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S" sheetId="1" r:id="rId4"/>
    <sheet state="hidden" name="Info" sheetId="2" r:id="rId5"/>
    <sheet state="visible" name="General Overview" sheetId="3" r:id="rId6"/>
    <sheet state="visible" name="Dashboard" sheetId="4" r:id="rId7"/>
  </sheets>
  <definedNames/>
  <calcPr/>
  <extLst>
    <ext uri="GoogleSheetsCustomDataVersion2">
      <go:sheetsCustomData xmlns:go="http://customooxmlschemas.google.com/" r:id="rId8" roundtripDataChecksum="8eXQc7zm21iLluIqweueznfTnRsc47zWYDSLceSQydc="/>
    </ext>
  </extLst>
</workbook>
</file>

<file path=xl/sharedStrings.xml><?xml version="1.0" encoding="utf-8"?>
<sst xmlns="http://schemas.openxmlformats.org/spreadsheetml/2006/main" count="13084" uniqueCount="3040">
  <si>
    <t xml:space="preserve">(Partner Name) in partnership with Medical Aid for Palestinains- MAP UK </t>
  </si>
  <si>
    <t>المصدر</t>
  </si>
  <si>
    <t>شمال Gaza City</t>
  </si>
  <si>
    <t>غير معدي</t>
  </si>
  <si>
    <t>FM- NCD</t>
  </si>
  <si>
    <t>ANC</t>
  </si>
  <si>
    <t>Dressing</t>
  </si>
  <si>
    <t>Screening</t>
  </si>
  <si>
    <t>فحص</t>
  </si>
  <si>
    <t>فحص سوء التغذية</t>
  </si>
  <si>
    <t xml:space="preserve">Project: </t>
  </si>
  <si>
    <t>Improving Access to Comprehensive Primary Health Care and Protection in Gaza</t>
  </si>
  <si>
    <t>Alzawida</t>
  </si>
  <si>
    <t>Gaza City</t>
  </si>
  <si>
    <t>قبل الحمل</t>
  </si>
  <si>
    <t>PCC</t>
  </si>
  <si>
    <t>FM- CD</t>
  </si>
  <si>
    <t>PNC</t>
  </si>
  <si>
    <t>Follow-up Dressing</t>
  </si>
  <si>
    <t>Screening and Referral</t>
  </si>
  <si>
    <t>SAM referral</t>
  </si>
  <si>
    <t>تحويل SAM</t>
  </si>
  <si>
    <t>سوء تغذية شديد</t>
  </si>
  <si>
    <t>Partner:</t>
  </si>
  <si>
    <t>Dier Albalah</t>
  </si>
  <si>
    <t>الزهراء</t>
  </si>
  <si>
    <t>ENT</t>
  </si>
  <si>
    <t>FP</t>
  </si>
  <si>
    <t>Wound Cleaning</t>
  </si>
  <si>
    <t>MAM referral</t>
  </si>
  <si>
    <t>تحويل MAM</t>
  </si>
  <si>
    <t>سوء تغذية متوسط</t>
  </si>
  <si>
    <t>Medical Point:</t>
  </si>
  <si>
    <t>خانيونس</t>
  </si>
  <si>
    <t>Alnussirat</t>
  </si>
  <si>
    <t>Derma</t>
  </si>
  <si>
    <t>GYN</t>
  </si>
  <si>
    <t>Suture Removal</t>
  </si>
  <si>
    <t>—</t>
  </si>
  <si>
    <t>Month</t>
  </si>
  <si>
    <t>مواصي خانيونس</t>
  </si>
  <si>
    <t>Alburaij</t>
  </si>
  <si>
    <t>Governorate</t>
  </si>
  <si>
    <t>رفح</t>
  </si>
  <si>
    <t>Almaghazi</t>
  </si>
  <si>
    <t xml:space="preserve">Displaced </t>
  </si>
  <si>
    <t>Service Matrix</t>
  </si>
  <si>
    <t>موعد الحجز</t>
  </si>
  <si>
    <t>#</t>
  </si>
  <si>
    <t>Full Name/الإسم الكامل</t>
  </si>
  <si>
    <t>Visit Date/تاريخ الزيارة</t>
  </si>
  <si>
    <t>Last Visit Date/تاريخ آخر زيارة</t>
  </si>
  <si>
    <t>ID N./رقم الهوية</t>
  </si>
  <si>
    <t>Date of Birth/ تاريخ الميلاد</t>
  </si>
  <si>
    <t>Age/العمر</t>
  </si>
  <si>
    <t>Age Group/الفئة العمرية</t>
  </si>
  <si>
    <t>Gender/الجنس</t>
  </si>
  <si>
    <t>Gender_N</t>
  </si>
  <si>
    <t>Phone N./الهاتف</t>
  </si>
  <si>
    <t>Governorate/المحافظة</t>
  </si>
  <si>
    <t>Social Status/الحالة الاجتماعية</t>
  </si>
  <si>
    <t>Disability Status/الإعاقة</t>
  </si>
  <si>
    <t>Disability Type/نوع الإعاقة</t>
  </si>
  <si>
    <t>Displacment Tracker</t>
  </si>
  <si>
    <t>FM services</t>
  </si>
  <si>
    <t>SRH services</t>
  </si>
  <si>
    <t>Wound Care</t>
  </si>
  <si>
    <t>Breast Cancer</t>
  </si>
  <si>
    <t xml:space="preserve">Mal-Nutirition </t>
  </si>
  <si>
    <t>Referral/التحويلات</t>
  </si>
  <si>
    <t>Follow-up Date/موعد المتابعة</t>
  </si>
  <si>
    <t>Visitor Code/رمز الزائر</t>
  </si>
  <si>
    <t>FM-N</t>
  </si>
  <si>
    <t>SRH-N</t>
  </si>
  <si>
    <t>Other1_N</t>
  </si>
  <si>
    <t>Other2_N</t>
  </si>
  <si>
    <t>Other3_N</t>
  </si>
  <si>
    <t>Unique Flag</t>
  </si>
  <si>
    <t>Visit Month</t>
  </si>
  <si>
    <t>Unique in Month Flag</t>
  </si>
  <si>
    <t>First Time in Project Flag</t>
  </si>
  <si>
    <t>غصون فوزي محمد ابو زيد</t>
  </si>
  <si>
    <t>2026-04-26</t>
  </si>
  <si>
    <t>700358666</t>
  </si>
  <si>
    <t>1988-09-01</t>
  </si>
  <si>
    <t>19-60</t>
  </si>
  <si>
    <t>Female</t>
  </si>
  <si>
    <t>female</t>
  </si>
  <si>
    <t>592144734</t>
  </si>
  <si>
    <t>Married</t>
  </si>
  <si>
    <t>No</t>
  </si>
  <si>
    <t>Displaced</t>
  </si>
  <si>
    <t>عايشة محمد صالح الدسوقي</t>
  </si>
  <si>
    <t>910717982</t>
  </si>
  <si>
    <t>1968-05-07</t>
  </si>
  <si>
    <t>599454954</t>
  </si>
  <si>
    <t>هبة إبراهيم محمد الهبيل</t>
  </si>
  <si>
    <t>402516355</t>
  </si>
  <si>
    <t>1997-10-09</t>
  </si>
  <si>
    <t>597054651</t>
  </si>
  <si>
    <t>بيسان يحيى ابراهيم وشاح</t>
  </si>
  <si>
    <t>412620361</t>
  </si>
  <si>
    <t>1990-04-01</t>
  </si>
  <si>
    <t>592661238</t>
  </si>
  <si>
    <t>فاطمة صبحي محمد القيق</t>
  </si>
  <si>
    <t>800779381</t>
  </si>
  <si>
    <t>1990-06-14</t>
  </si>
  <si>
    <t>595627804</t>
  </si>
  <si>
    <t>يوسف رامي خليل القيق</t>
  </si>
  <si>
    <t>438175176</t>
  </si>
  <si>
    <t>2016-09-22</t>
  </si>
  <si>
    <t>6-18</t>
  </si>
  <si>
    <t>Male</t>
  </si>
  <si>
    <t>male</t>
  </si>
  <si>
    <t>599933654</t>
  </si>
  <si>
    <t>N/A</t>
  </si>
  <si>
    <t>محمد عيسى عبد الناضر عيسى</t>
  </si>
  <si>
    <t>470066614</t>
  </si>
  <si>
    <t>2024-03-27</t>
  </si>
  <si>
    <t>0-5</t>
  </si>
  <si>
    <t>596546496</t>
  </si>
  <si>
    <t>روزين حسن صقر ابو سليسل</t>
  </si>
  <si>
    <t>903078541</t>
  </si>
  <si>
    <t>1980-03-03</t>
  </si>
  <si>
    <t>599056341</t>
  </si>
  <si>
    <t>رواء ماهر سلامة منصور</t>
  </si>
  <si>
    <t>801828559</t>
  </si>
  <si>
    <t>1988-02-18</t>
  </si>
  <si>
    <t>598282280</t>
  </si>
  <si>
    <t>غزل حسام محمد ابو جحجوح</t>
  </si>
  <si>
    <t>426241790</t>
  </si>
  <si>
    <t>2008-12-27</t>
  </si>
  <si>
    <t>599867041</t>
  </si>
  <si>
    <t>Single</t>
  </si>
  <si>
    <t>عبدالله محمد جميل ابو خاطر</t>
  </si>
  <si>
    <t>444703276</t>
  </si>
  <si>
    <t>2024-12-10</t>
  </si>
  <si>
    <t>595196074</t>
  </si>
  <si>
    <t>سجى محمد كامل ابو خاطر</t>
  </si>
  <si>
    <t>408794253</t>
  </si>
  <si>
    <t>2003-06-04</t>
  </si>
  <si>
    <t>595304423</t>
  </si>
  <si>
    <t>علي احمد سعيد الدوسيقي</t>
  </si>
  <si>
    <t>470316779</t>
  </si>
  <si>
    <t>2025-01-27</t>
  </si>
  <si>
    <t>شادي طارق يحيى ابو خاطر</t>
  </si>
  <si>
    <t>470701152</t>
  </si>
  <si>
    <t>2025-08-01</t>
  </si>
  <si>
    <t>597059290</t>
  </si>
  <si>
    <t>محمد طارق يحيى ابو خاطر</t>
  </si>
  <si>
    <t>446166944</t>
  </si>
  <si>
    <t>2024-03-19</t>
  </si>
  <si>
    <t>595324423</t>
  </si>
  <si>
    <t>محمد مهند محمد عطوة</t>
  </si>
  <si>
    <t>445399918</t>
  </si>
  <si>
    <t>2021-07-11</t>
  </si>
  <si>
    <t>593427538</t>
  </si>
  <si>
    <t>منى محمد دانيال أبو قمر</t>
  </si>
  <si>
    <t>445426281</t>
  </si>
  <si>
    <t>2022-04-10</t>
  </si>
  <si>
    <t>599573203</t>
  </si>
  <si>
    <t>خميس يحيى احمد ابو خاطر</t>
  </si>
  <si>
    <t>400823901</t>
  </si>
  <si>
    <t>1995-10-21</t>
  </si>
  <si>
    <t>592200830</t>
  </si>
  <si>
    <t>هبة كمال ابراهيم الحواجري</t>
  </si>
  <si>
    <t>800015604</t>
  </si>
  <si>
    <t>1983-08-04</t>
  </si>
  <si>
    <t>597413610</t>
  </si>
  <si>
    <t>سيدرا سامي شفيق النواجحة</t>
  </si>
  <si>
    <t>456702083</t>
  </si>
  <si>
    <t>2003-04-26</t>
  </si>
  <si>
    <t>598194042</t>
  </si>
  <si>
    <t>ريتاج رامي محمود الحواجري</t>
  </si>
  <si>
    <t>445166929</t>
  </si>
  <si>
    <t>2024-01-23</t>
  </si>
  <si>
    <t>ايلاف خليل رشيد القاضي</t>
  </si>
  <si>
    <t>438470148</t>
  </si>
  <si>
    <t>2017-10-25</t>
  </si>
  <si>
    <t>597337087</t>
  </si>
  <si>
    <t>سحر خضر محمود المجدلاوي</t>
  </si>
  <si>
    <t>803459551</t>
  </si>
  <si>
    <t>1994-02-02</t>
  </si>
  <si>
    <t>599619239</t>
  </si>
  <si>
    <t>منى هشام عبد القادر عبد القادر</t>
  </si>
  <si>
    <t>400947206</t>
  </si>
  <si>
    <t>1996-08-02</t>
  </si>
  <si>
    <t>592123364</t>
  </si>
  <si>
    <t>محمد نضال ناهض عطالله</t>
  </si>
  <si>
    <t>470291717</t>
  </si>
  <si>
    <t>2024-07-24</t>
  </si>
  <si>
    <t>597825458</t>
  </si>
  <si>
    <t>انور نضال ناهض عطالله</t>
  </si>
  <si>
    <t>470598533</t>
  </si>
  <si>
    <t>2025-10-13</t>
  </si>
  <si>
    <t>اسراء شوقي عايش ابو عطالله</t>
  </si>
  <si>
    <t>406160846</t>
  </si>
  <si>
    <t>2001-07-12</t>
  </si>
  <si>
    <t>592236933</t>
  </si>
  <si>
    <t>هداية رمزي نصر عطالله</t>
  </si>
  <si>
    <t>445916141</t>
  </si>
  <si>
    <t>2024-03-18</t>
  </si>
  <si>
    <t>ريم خليل ابراهيم حسين</t>
  </si>
  <si>
    <t>905451522</t>
  </si>
  <si>
    <t>1980-01-13</t>
  </si>
  <si>
    <t>598728701</t>
  </si>
  <si>
    <t>نعمة حسني محمد الخالدي</t>
  </si>
  <si>
    <t>400905691</t>
  </si>
  <si>
    <t>1996-02-21</t>
  </si>
  <si>
    <t>598184056</t>
  </si>
  <si>
    <t>اسماعيل محمد احمد الخالدي</t>
  </si>
  <si>
    <t>445137664</t>
  </si>
  <si>
    <t>2022-03-07</t>
  </si>
  <si>
    <t>محمدمحمد منير دويك</t>
  </si>
  <si>
    <t>429836406</t>
  </si>
  <si>
    <t>2010-03-31</t>
  </si>
  <si>
    <t>599860312</t>
  </si>
  <si>
    <t>ريم جميل احمد الزعانين</t>
  </si>
  <si>
    <t>400650644</t>
  </si>
  <si>
    <t>1996-04-17</t>
  </si>
  <si>
    <t>595901415</t>
  </si>
  <si>
    <t>ايمان فريح خليل ياسين</t>
  </si>
  <si>
    <t>802083105</t>
  </si>
  <si>
    <t>1988-11-02</t>
  </si>
  <si>
    <t>597576802</t>
  </si>
  <si>
    <t>اسماء جمال محمود سمرة</t>
  </si>
  <si>
    <t>802701193</t>
  </si>
  <si>
    <t>1990-05-18</t>
  </si>
  <si>
    <t>592530173</t>
  </si>
  <si>
    <t>دنيا عماد عمر الديري</t>
  </si>
  <si>
    <t>429619190</t>
  </si>
  <si>
    <t>2010-11-14</t>
  </si>
  <si>
    <t>599706870</t>
  </si>
  <si>
    <t>وردة عبد العزيز احمد ابو عطيوي</t>
  </si>
  <si>
    <t>802133116</t>
  </si>
  <si>
    <t>1990-08-27</t>
  </si>
  <si>
    <t>592401719</t>
  </si>
  <si>
    <t>هيام محمود محمد الجمال</t>
  </si>
  <si>
    <t>925724130</t>
  </si>
  <si>
    <t>1971-05-10</t>
  </si>
  <si>
    <t>599682503</t>
  </si>
  <si>
    <t>ولاء رمضان عيسى صبح</t>
  </si>
  <si>
    <t>402907794</t>
  </si>
  <si>
    <t>1997-03-27</t>
  </si>
  <si>
    <t>592498473</t>
  </si>
  <si>
    <t>رواء رامز محمد مهنا</t>
  </si>
  <si>
    <t>803678598</t>
  </si>
  <si>
    <t>1992-03-20</t>
  </si>
  <si>
    <t>598190191</t>
  </si>
  <si>
    <t>زهير عمر عمر اسليم</t>
  </si>
  <si>
    <t>407931153</t>
  </si>
  <si>
    <t>2002-03-01</t>
  </si>
  <si>
    <t>598419352</t>
  </si>
  <si>
    <t>محمد نوفل بدوي الشويخ</t>
  </si>
  <si>
    <t>800033565</t>
  </si>
  <si>
    <t>1983-04-02</t>
  </si>
  <si>
    <t>598282842</t>
  </si>
  <si>
    <t>مجدي فضل اسماعيل ظاهر</t>
  </si>
  <si>
    <t>945876381</t>
  </si>
  <si>
    <t>1963-06-02</t>
  </si>
  <si>
    <t>+60</t>
  </si>
  <si>
    <t>59288876</t>
  </si>
  <si>
    <t>هنا سامي دياب عياد</t>
  </si>
  <si>
    <t>402219216</t>
  </si>
  <si>
    <t>1997-12-24</t>
  </si>
  <si>
    <t>599989611</t>
  </si>
  <si>
    <t>موسى محمد البيرسك</t>
  </si>
  <si>
    <t>951571694</t>
  </si>
  <si>
    <t>1961-03-18</t>
  </si>
  <si>
    <t>592574954</t>
  </si>
  <si>
    <t>اماني عطا محمد أبو راشد</t>
  </si>
  <si>
    <t>803549559</t>
  </si>
  <si>
    <t>1992-11-01</t>
  </si>
  <si>
    <t>597103861</t>
  </si>
  <si>
    <t>ديما ياسر حسن عاشور</t>
  </si>
  <si>
    <t>424058295</t>
  </si>
  <si>
    <t>2025-08-07</t>
  </si>
  <si>
    <t>592230218</t>
  </si>
  <si>
    <t>اسلام ماهر عبد حسنين</t>
  </si>
  <si>
    <t>803605088</t>
  </si>
  <si>
    <t>1993-07-12</t>
  </si>
  <si>
    <t>599530633</t>
  </si>
  <si>
    <t>نواف علي عميرة ابو عوض</t>
  </si>
  <si>
    <t>939337754</t>
  </si>
  <si>
    <t>1959-10-31</t>
  </si>
  <si>
    <t>598681353</t>
  </si>
  <si>
    <t>ناهد نواف عبد الرحمان السيد</t>
  </si>
  <si>
    <t>906611397</t>
  </si>
  <si>
    <t>1982-09-13</t>
  </si>
  <si>
    <t>599744984</t>
  </si>
  <si>
    <t>سماح حسن المدهون</t>
  </si>
  <si>
    <t>901680348</t>
  </si>
  <si>
    <t>1978-06-11</t>
  </si>
  <si>
    <t>599930680</t>
  </si>
  <si>
    <t>ايمان علي سلمان دردس</t>
  </si>
  <si>
    <t>901474882</t>
  </si>
  <si>
    <t>1978-07-14</t>
  </si>
  <si>
    <t>593660450</t>
  </si>
  <si>
    <t>غادة بلال ناهض ابو عمشة</t>
  </si>
  <si>
    <t>444061238</t>
  </si>
  <si>
    <t>2022-07-11</t>
  </si>
  <si>
    <t>ميادة سامي محمد حسان</t>
  </si>
  <si>
    <t>407857861</t>
  </si>
  <si>
    <t>2002-04-02</t>
  </si>
  <si>
    <t>592144268</t>
  </si>
  <si>
    <t>ندى سامي محمد حسان</t>
  </si>
  <si>
    <t>421407628</t>
  </si>
  <si>
    <t>2006-04-07</t>
  </si>
  <si>
    <t>592144208</t>
  </si>
  <si>
    <t>موسى حسام محمد ابو حسني</t>
  </si>
  <si>
    <t>444153647</t>
  </si>
  <si>
    <t>2024-05-07</t>
  </si>
  <si>
    <t>592629418</t>
  </si>
  <si>
    <t>تحرير خالد حمد ابو صليح</t>
  </si>
  <si>
    <t>802348490</t>
  </si>
  <si>
    <t>1991-12-03</t>
  </si>
  <si>
    <t>599218426</t>
  </si>
  <si>
    <t>اسراء عوني عيد الحويحي</t>
  </si>
  <si>
    <t>802752725</t>
  </si>
  <si>
    <t>1993-12-25</t>
  </si>
  <si>
    <t>597822459</t>
  </si>
  <si>
    <t>حنين حاتم فتحي الحواجري</t>
  </si>
  <si>
    <t>404134512</t>
  </si>
  <si>
    <t>1998-07-20</t>
  </si>
  <si>
    <t>592213928</t>
  </si>
  <si>
    <t>خالد عاطف خالد ابو شغيبة</t>
  </si>
  <si>
    <t>470582297</t>
  </si>
  <si>
    <t>2025-05-07</t>
  </si>
  <si>
    <t>059</t>
  </si>
  <si>
    <t>رغد حاتم فتحي الحواجري</t>
  </si>
  <si>
    <t>429089527</t>
  </si>
  <si>
    <t>2010-05-03</t>
  </si>
  <si>
    <t>599332450</t>
  </si>
  <si>
    <t>فايزة عبدالمجيد محمد الكرد</t>
  </si>
  <si>
    <t>901253799</t>
  </si>
  <si>
    <t>1976-01-11</t>
  </si>
  <si>
    <t>598680386</t>
  </si>
  <si>
    <t>نائل يوسف ابراهيم نويجع</t>
  </si>
  <si>
    <t>801313610</t>
  </si>
  <si>
    <t>1987-07-19</t>
  </si>
  <si>
    <t>592033522</t>
  </si>
  <si>
    <t>امل يوسف ربحي الكفارنة</t>
  </si>
  <si>
    <t>412142651</t>
  </si>
  <si>
    <t>2012-11-15</t>
  </si>
  <si>
    <t>599683611</t>
  </si>
  <si>
    <t>بسام فتحي عوض الحواجري</t>
  </si>
  <si>
    <t>908960883</t>
  </si>
  <si>
    <t>1983-04-11</t>
  </si>
  <si>
    <t>599697395</t>
  </si>
  <si>
    <t>حنان محمد سليم الرملاوي</t>
  </si>
  <si>
    <t>803460104</t>
  </si>
  <si>
    <t>1992-10-10</t>
  </si>
  <si>
    <t>597200382</t>
  </si>
  <si>
    <t>حسام فتحي عوض الحواجري</t>
  </si>
  <si>
    <t>900544248</t>
  </si>
  <si>
    <t>1978-03-20</t>
  </si>
  <si>
    <t>599245832</t>
  </si>
  <si>
    <t>نور محمد منصور شحادة</t>
  </si>
  <si>
    <t>404638082</t>
  </si>
  <si>
    <t>2000-10-15</t>
  </si>
  <si>
    <t>595619234</t>
  </si>
  <si>
    <t>هدى محمود يونس الثوابتة</t>
  </si>
  <si>
    <t>440517746</t>
  </si>
  <si>
    <t>2018-12-05</t>
  </si>
  <si>
    <t>عزية عبدالكريم أبو عمشة</t>
  </si>
  <si>
    <t>940205297</t>
  </si>
  <si>
    <t>1970-03-13</t>
  </si>
  <si>
    <t>59561297</t>
  </si>
  <si>
    <t>دعاء رامي عبد العزيز سمور</t>
  </si>
  <si>
    <t>421697319</t>
  </si>
  <si>
    <t>2008-01-16</t>
  </si>
  <si>
    <t>599919444</t>
  </si>
  <si>
    <t>ملاك موفق كامل النادي</t>
  </si>
  <si>
    <t>421145566</t>
  </si>
  <si>
    <t>2005-02-08</t>
  </si>
  <si>
    <t>592151855</t>
  </si>
  <si>
    <t>ركان سمير محمود الصيفي</t>
  </si>
  <si>
    <t>444892111</t>
  </si>
  <si>
    <t>2021-11-24</t>
  </si>
  <si>
    <t>594350160</t>
  </si>
  <si>
    <t>غزل معتز محمد ابو ظاهر</t>
  </si>
  <si>
    <t>470475740</t>
  </si>
  <si>
    <t>2024-09-30</t>
  </si>
  <si>
    <t>592678006</t>
  </si>
  <si>
    <t>زينة معتز محمد ابو ظاهر</t>
  </si>
  <si>
    <t>444528160</t>
  </si>
  <si>
    <t>2024-11-15</t>
  </si>
  <si>
    <t>بدر البدور محمود سعيد بنات</t>
  </si>
  <si>
    <t>801518077</t>
  </si>
  <si>
    <t>1987-02-22</t>
  </si>
  <si>
    <t>597107218</t>
  </si>
  <si>
    <t>سالم كامل سالم العفش</t>
  </si>
  <si>
    <t>804601854</t>
  </si>
  <si>
    <t>592554771</t>
  </si>
  <si>
    <t>ازهار زاهر احمد موسى</t>
  </si>
  <si>
    <t>804423929</t>
  </si>
  <si>
    <t>1993-01-07</t>
  </si>
  <si>
    <t>597911232</t>
  </si>
  <si>
    <t>Divorced</t>
  </si>
  <si>
    <t>ريهام بسام فتحي الحواجري</t>
  </si>
  <si>
    <t>421392937</t>
  </si>
  <si>
    <t>2005-04-20</t>
  </si>
  <si>
    <t>عماد طالب محمود يونس</t>
  </si>
  <si>
    <t>921195848</t>
  </si>
  <si>
    <t>1968-11-17</t>
  </si>
  <si>
    <t>598786975</t>
  </si>
  <si>
    <t>مها عبدالواحد احمد السحار</t>
  </si>
  <si>
    <t>800504573</t>
  </si>
  <si>
    <t>1986-11-15</t>
  </si>
  <si>
    <t>568488710</t>
  </si>
  <si>
    <t>ابراهيم رامز ابراهيم محجز</t>
  </si>
  <si>
    <t>424106615</t>
  </si>
  <si>
    <t>2009-11-05</t>
  </si>
  <si>
    <t>599079222</t>
  </si>
  <si>
    <t>زاهر رمضان عبد الرحمن عبد الباري</t>
  </si>
  <si>
    <t>907902266</t>
  </si>
  <si>
    <t>1970-12-15</t>
  </si>
  <si>
    <t>595355188</t>
  </si>
  <si>
    <t>لينا عبد القادر سعيد الغرباوي</t>
  </si>
  <si>
    <t>703840990</t>
  </si>
  <si>
    <t>1993-03-11</t>
  </si>
  <si>
    <t>598723502</t>
  </si>
  <si>
    <t>يوسف فواز محمد ابو راشد</t>
  </si>
  <si>
    <t>400220323</t>
  </si>
  <si>
    <t>1995-05-09</t>
  </si>
  <si>
    <t>598567234</t>
  </si>
  <si>
    <t>ابراهيم عبد الرحيم محمد عيسى</t>
  </si>
  <si>
    <t>420538332</t>
  </si>
  <si>
    <t>2004-01-19</t>
  </si>
  <si>
    <t>595380477</t>
  </si>
  <si>
    <t>محمد ماهر أحمد الكفارنة</t>
  </si>
  <si>
    <t>800715872</t>
  </si>
  <si>
    <t>1988-05-15</t>
  </si>
  <si>
    <t>597523380</t>
  </si>
  <si>
    <t>محمد عاصم إسماعيل محمد زايد</t>
  </si>
  <si>
    <t>960248698</t>
  </si>
  <si>
    <t>1978-05-19</t>
  </si>
  <si>
    <t>567956250</t>
  </si>
  <si>
    <t>فضل طلال فضل أبو ثريا</t>
  </si>
  <si>
    <t>900954355</t>
  </si>
  <si>
    <t>1974-11-18</t>
  </si>
  <si>
    <t>599239743</t>
  </si>
  <si>
    <t>نجوى إسماعيل حسن أبو ثريا</t>
  </si>
  <si>
    <t>905300588</t>
  </si>
  <si>
    <t>1979-07-24</t>
  </si>
  <si>
    <t>عبد الرحمن ماهر ماجد القيشاوي</t>
  </si>
  <si>
    <t>429388325</t>
  </si>
  <si>
    <t>2009-01-21</t>
  </si>
  <si>
    <t>598785827</t>
  </si>
  <si>
    <t>ماهر ماجد يوسف القيشاوي</t>
  </si>
  <si>
    <t>936707308</t>
  </si>
  <si>
    <t>1982-06-04</t>
  </si>
  <si>
    <t>اسلام جمعة اعقيلان ابو نار</t>
  </si>
  <si>
    <t>931540918</t>
  </si>
  <si>
    <t>1983-02-20</t>
  </si>
  <si>
    <t>599455706</t>
  </si>
  <si>
    <t>هيام جمعة اعقيلان ابو نار</t>
  </si>
  <si>
    <t>900552431</t>
  </si>
  <si>
    <t>1980-08-27</t>
  </si>
  <si>
    <t>598706918</t>
  </si>
  <si>
    <t>غازى محمد غازى عاشور</t>
  </si>
  <si>
    <t>445401805</t>
  </si>
  <si>
    <t>2022-08-18</t>
  </si>
  <si>
    <t>598268380</t>
  </si>
  <si>
    <t>محمد احمد يوسف برغوث</t>
  </si>
  <si>
    <t>403732878</t>
  </si>
  <si>
    <t>1999-05-04</t>
  </si>
  <si>
    <t>597761338</t>
  </si>
  <si>
    <t>اماني  نبيل عبد العزيز القيسي</t>
  </si>
  <si>
    <t>2026-04-27</t>
  </si>
  <si>
    <t>800720682</t>
  </si>
  <si>
    <t>1989-04-14</t>
  </si>
  <si>
    <t>599635197</t>
  </si>
  <si>
    <t>امل نبيل عبد العزيز الحيلة</t>
  </si>
  <si>
    <t>803183367</t>
  </si>
  <si>
    <t>1992-06-21</t>
  </si>
  <si>
    <t>598474753</t>
  </si>
  <si>
    <t>شيرين فؤاد نعيم حمد</t>
  </si>
  <si>
    <t>931526503</t>
  </si>
  <si>
    <t>1984-04-07</t>
  </si>
  <si>
    <t>592248924</t>
  </si>
  <si>
    <t>رمضان محمد محمد البسيوني</t>
  </si>
  <si>
    <t>916486004</t>
  </si>
  <si>
    <t>1954-04-02</t>
  </si>
  <si>
    <t>599014548</t>
  </si>
  <si>
    <t>انتصار عبد الخالق عبد الحي البسيوني</t>
  </si>
  <si>
    <t>975888553</t>
  </si>
  <si>
    <t>1959-12-31</t>
  </si>
  <si>
    <t>ابراهيم رامي جمعة بدران</t>
  </si>
  <si>
    <t>438258261</t>
  </si>
  <si>
    <t>2018-08-07</t>
  </si>
  <si>
    <t>599334717</t>
  </si>
  <si>
    <t>علية صابر توفيق هنية</t>
  </si>
  <si>
    <t>900549692</t>
  </si>
  <si>
    <t>1978-11-01</t>
  </si>
  <si>
    <t>592608537</t>
  </si>
  <si>
    <t>حنين حسن محمد العجلة</t>
  </si>
  <si>
    <t>802670463</t>
  </si>
  <si>
    <t>1991-12-23</t>
  </si>
  <si>
    <t>598786391</t>
  </si>
  <si>
    <t>رهام مهدي اسماعيل ابو عمار</t>
  </si>
  <si>
    <t>801738089</t>
  </si>
  <si>
    <t>1988-04-03</t>
  </si>
  <si>
    <t>599346948</t>
  </si>
  <si>
    <t>لؤي احمد برهام الجعبري</t>
  </si>
  <si>
    <t>801700881</t>
  </si>
  <si>
    <t>1987-09-24</t>
  </si>
  <si>
    <t>592224841</t>
  </si>
  <si>
    <t>شيماء خالد عبد الجعبري</t>
  </si>
  <si>
    <t>803889625</t>
  </si>
  <si>
    <t>1994-10-02</t>
  </si>
  <si>
    <t>رندة اشرف محمد عبد الواحد</t>
  </si>
  <si>
    <t>407023175</t>
  </si>
  <si>
    <t>2001-04-16</t>
  </si>
  <si>
    <t>594859986</t>
  </si>
  <si>
    <t>بيروت ناهض محمود البوبو</t>
  </si>
  <si>
    <t>424260222</t>
  </si>
  <si>
    <t>2005-08-30</t>
  </si>
  <si>
    <t>597407205</t>
  </si>
  <si>
    <t>حنين نعيم  محمد مسعود</t>
  </si>
  <si>
    <t>408028336</t>
  </si>
  <si>
    <t>2003-07-13</t>
  </si>
  <si>
    <t>592085541</t>
  </si>
  <si>
    <t>سهام عدنان احمد الديري</t>
  </si>
  <si>
    <t>800228595</t>
  </si>
  <si>
    <t>1985-02-28</t>
  </si>
  <si>
    <t>598699585</t>
  </si>
  <si>
    <t>وداد طافش حسن خليل</t>
  </si>
  <si>
    <t>804687135</t>
  </si>
  <si>
    <t>1994-02-03</t>
  </si>
  <si>
    <t>597808488</t>
  </si>
  <si>
    <t>نوال محمود اوشاح اوشاح</t>
  </si>
  <si>
    <t>436096028</t>
  </si>
  <si>
    <t>2014-03-13</t>
  </si>
  <si>
    <t>597687530</t>
  </si>
  <si>
    <t>نادر جميل صبري ابو خاطر</t>
  </si>
  <si>
    <t>400691176</t>
  </si>
  <si>
    <t>1994-04-21</t>
  </si>
  <si>
    <t>595645455</t>
  </si>
  <si>
    <t>لبنى عبد العزيز محمد أبو صبرة</t>
  </si>
  <si>
    <t>900968876</t>
  </si>
  <si>
    <t>1976-10-17</t>
  </si>
  <si>
    <t>597113683</t>
  </si>
  <si>
    <t>ندى صالح حسن عيسى</t>
  </si>
  <si>
    <t>802648360</t>
  </si>
  <si>
    <t>1990-11-09</t>
  </si>
  <si>
    <t>592613286</t>
  </si>
  <si>
    <t>خولة محمود سلمان الحاوي</t>
  </si>
  <si>
    <t>901362657</t>
  </si>
  <si>
    <t>1977-07-15</t>
  </si>
  <si>
    <t>592532751</t>
  </si>
  <si>
    <t>عبير ناهض عطا ابو شحادة</t>
  </si>
  <si>
    <t>906520572</t>
  </si>
  <si>
    <t>1984-09-23</t>
  </si>
  <si>
    <t>592511139</t>
  </si>
  <si>
    <t>سناء جميل سلمان الجربة</t>
  </si>
  <si>
    <t>801343856</t>
  </si>
  <si>
    <t>1985-07-17</t>
  </si>
  <si>
    <t>599294290</t>
  </si>
  <si>
    <t>ميسر سعيد عثمان الشوربجي</t>
  </si>
  <si>
    <t>053876983</t>
  </si>
  <si>
    <t>1955-07-13</t>
  </si>
  <si>
    <t>568511004</t>
  </si>
  <si>
    <t>سحر عثمان بدوي السلك</t>
  </si>
  <si>
    <t>925209173</t>
  </si>
  <si>
    <t>1972-01-11</t>
  </si>
  <si>
    <t>592023902</t>
  </si>
  <si>
    <t>ملك جمال جميل عابد</t>
  </si>
  <si>
    <t>422549652</t>
  </si>
  <si>
    <t>2006-04-11</t>
  </si>
  <si>
    <t>597901250</t>
  </si>
  <si>
    <t>نعمة ابراهيم علي عابد</t>
  </si>
  <si>
    <t>925721888</t>
  </si>
  <si>
    <t>1972-09-05</t>
  </si>
  <si>
    <t>جوري محمد نبيل عزام</t>
  </si>
  <si>
    <t>445424674</t>
  </si>
  <si>
    <t>2021-09-21</t>
  </si>
  <si>
    <t>597161525</t>
  </si>
  <si>
    <t>ختام فهمي عبد المطلب عزام</t>
  </si>
  <si>
    <t>400529061</t>
  </si>
  <si>
    <t>1995-09-02</t>
  </si>
  <si>
    <t>سمر اياد احمد الخوالدة</t>
  </si>
  <si>
    <t>804653509</t>
  </si>
  <si>
    <t>1994-09-16</t>
  </si>
  <si>
    <t>598047146</t>
  </si>
  <si>
    <t>فداء خضر ابراهيم فرحات</t>
  </si>
  <si>
    <t>401925557</t>
  </si>
  <si>
    <t>1997-07-18</t>
  </si>
  <si>
    <t>597969498</t>
  </si>
  <si>
    <t>اسمهان سعدي محمود بدرة</t>
  </si>
  <si>
    <t>405276825</t>
  </si>
  <si>
    <t>2000-09-10</t>
  </si>
  <si>
    <t>599459178</t>
  </si>
  <si>
    <t>جميلة عزمي صرور</t>
  </si>
  <si>
    <t>801852856</t>
  </si>
  <si>
    <t>1990-09-01</t>
  </si>
  <si>
    <t>599307197</t>
  </si>
  <si>
    <t>نبيل محمد نبيل مناع</t>
  </si>
  <si>
    <t>445166861</t>
  </si>
  <si>
    <t>2023-07-24</t>
  </si>
  <si>
    <t>599983101</t>
  </si>
  <si>
    <t>رفيف محمد نبيل مناع</t>
  </si>
  <si>
    <t>445442130</t>
  </si>
  <si>
    <t>2021-10-12</t>
  </si>
  <si>
    <t>نورا حسن صقر نويجع</t>
  </si>
  <si>
    <t>800709750</t>
  </si>
  <si>
    <t>1987-08-16</t>
  </si>
  <si>
    <t>599597177</t>
  </si>
  <si>
    <t>محمود نايف فرج النعيزي</t>
  </si>
  <si>
    <t>406116970</t>
  </si>
  <si>
    <t>2000-01-02</t>
  </si>
  <si>
    <t>599194432</t>
  </si>
  <si>
    <t>موسى نافذ جمال اموم</t>
  </si>
  <si>
    <t>408562981</t>
  </si>
  <si>
    <t>2003-10-10</t>
  </si>
  <si>
    <t>599178603</t>
  </si>
  <si>
    <t>اسيل مصطفى عدنان ابو الكاس</t>
  </si>
  <si>
    <t>470817974</t>
  </si>
  <si>
    <t>2025-09-22</t>
  </si>
  <si>
    <t>592508419</t>
  </si>
  <si>
    <t>ملك رامي محمد أبو الكاس</t>
  </si>
  <si>
    <t>426406781</t>
  </si>
  <si>
    <t>2009-10-09</t>
  </si>
  <si>
    <t>599328957</t>
  </si>
  <si>
    <t>نضال فواز محمد ابو راشد</t>
  </si>
  <si>
    <t>422499087</t>
  </si>
  <si>
    <t>2006-09-07</t>
  </si>
  <si>
    <t>595117363</t>
  </si>
  <si>
    <t>نهى تحسين عبد الفتاح عودة</t>
  </si>
  <si>
    <t>802262899</t>
  </si>
  <si>
    <t>1990-04-20</t>
  </si>
  <si>
    <t>592626573</t>
  </si>
  <si>
    <t>فداء انور مختار ابو جاموس</t>
  </si>
  <si>
    <t>801772880</t>
  </si>
  <si>
    <t>1989-10-19</t>
  </si>
  <si>
    <t>597997910</t>
  </si>
  <si>
    <t>منى جهاد عبد الكريم ابو عطايا</t>
  </si>
  <si>
    <t>400698742</t>
  </si>
  <si>
    <t>1996-10-26</t>
  </si>
  <si>
    <t>594468525</t>
  </si>
  <si>
    <t>رضا ابراهيم حسنى ابو دقن</t>
  </si>
  <si>
    <t>906715354</t>
  </si>
  <si>
    <t>1984-05-05</t>
  </si>
  <si>
    <t>592342881</t>
  </si>
  <si>
    <t>غالية حسين السيد درويش</t>
  </si>
  <si>
    <t>800787558</t>
  </si>
  <si>
    <t>1988-03-09</t>
  </si>
  <si>
    <t>598195305</t>
  </si>
  <si>
    <t>صباح عبد الكريم عبد ربه خطاب</t>
  </si>
  <si>
    <t>901490219</t>
  </si>
  <si>
    <t>1979-11-20</t>
  </si>
  <si>
    <t>05969554550</t>
  </si>
  <si>
    <t>احمد ماجد عبد العزيز وهدان</t>
  </si>
  <si>
    <t>444721898</t>
  </si>
  <si>
    <t>2025-03-26</t>
  </si>
  <si>
    <t>599449717</t>
  </si>
  <si>
    <t>امنة ماجد عبد العزيز وهدان</t>
  </si>
  <si>
    <t>440416949</t>
  </si>
  <si>
    <t>2018-10-16</t>
  </si>
  <si>
    <t>سها محمد حسن شرف</t>
  </si>
  <si>
    <t>803271428</t>
  </si>
  <si>
    <t>1993-09-01</t>
  </si>
  <si>
    <t>567131139</t>
  </si>
  <si>
    <t>يوسف خليل فايز كتكت</t>
  </si>
  <si>
    <t>471031567</t>
  </si>
  <si>
    <t>2026-01-15</t>
  </si>
  <si>
    <t>ديما يوسف سليمان ابو حميد</t>
  </si>
  <si>
    <t>424461523</t>
  </si>
  <si>
    <t>2007-02-23</t>
  </si>
  <si>
    <t>599808338</t>
  </si>
  <si>
    <t>روان محمد عطا الشويخ</t>
  </si>
  <si>
    <t>409671120</t>
  </si>
  <si>
    <t>2004-05-02</t>
  </si>
  <si>
    <t>597117166</t>
  </si>
  <si>
    <t>هاني درويش محمود أبو القمبز</t>
  </si>
  <si>
    <t>908506006</t>
  </si>
  <si>
    <t>1964-07-22</t>
  </si>
  <si>
    <t>وفاء رمضان رشدي الرفادي</t>
  </si>
  <si>
    <t>801777582</t>
  </si>
  <si>
    <t>1988-04-16</t>
  </si>
  <si>
    <t>592226305</t>
  </si>
  <si>
    <t>اية رضوان يوسف مطر</t>
  </si>
  <si>
    <t>803565399</t>
  </si>
  <si>
    <t>1994-12-20</t>
  </si>
  <si>
    <t>59348245</t>
  </si>
  <si>
    <t>زينة هاني جهاد سلامة</t>
  </si>
  <si>
    <t>2026-09-02</t>
  </si>
  <si>
    <t>عبدالله احمد العبد الكرد</t>
  </si>
  <si>
    <t>900533886</t>
  </si>
  <si>
    <t>1979-07-09</t>
  </si>
  <si>
    <t>592318821</t>
  </si>
  <si>
    <t>نبال مهدي حسن بارود</t>
  </si>
  <si>
    <t>801856428</t>
  </si>
  <si>
    <t>1989-02-02</t>
  </si>
  <si>
    <t>598142073</t>
  </si>
  <si>
    <t>أماني علي خليل صيدم</t>
  </si>
  <si>
    <t>803868660</t>
  </si>
  <si>
    <t>1996-05-01</t>
  </si>
  <si>
    <t>592330183</t>
  </si>
  <si>
    <t>الاء عدنان رزق الشرافي</t>
  </si>
  <si>
    <t>804793933</t>
  </si>
  <si>
    <t>1996-09-10</t>
  </si>
  <si>
    <t>592232849</t>
  </si>
  <si>
    <t>ريما رضوان يوسف مطر</t>
  </si>
  <si>
    <t>802342154</t>
  </si>
  <si>
    <t>1990-04-08</t>
  </si>
  <si>
    <t>595814641</t>
  </si>
  <si>
    <t>سميرة محمد احمد مطر</t>
  </si>
  <si>
    <t>939190336</t>
  </si>
  <si>
    <t>1964-12-17</t>
  </si>
  <si>
    <t>هيام محمد محي الدين البنا</t>
  </si>
  <si>
    <t>901379149</t>
  </si>
  <si>
    <t>1976-12-27</t>
  </si>
  <si>
    <t>597270989</t>
  </si>
  <si>
    <t>ليان سعيد عبد المجيد البنا</t>
  </si>
  <si>
    <t>434419198</t>
  </si>
  <si>
    <t>2013-11-19</t>
  </si>
  <si>
    <t>صابرين عزات حسين عقل</t>
  </si>
  <si>
    <t>803376862</t>
  </si>
  <si>
    <t>1994-10-03</t>
  </si>
  <si>
    <t>592657295</t>
  </si>
  <si>
    <t>اسيل اياد ابراهيم ابو غزالة</t>
  </si>
  <si>
    <t>405850116</t>
  </si>
  <si>
    <t>2000-04-02</t>
  </si>
  <si>
    <t>597771849</t>
  </si>
  <si>
    <t>فوزية محمد عيد الحواجري</t>
  </si>
  <si>
    <t>912038049</t>
  </si>
  <si>
    <t>1956-02-05</t>
  </si>
  <si>
    <t>عبدالله محمد الحاج أحمد</t>
  </si>
  <si>
    <t>400009056</t>
  </si>
  <si>
    <t>1994-01-23</t>
  </si>
  <si>
    <t>594394648</t>
  </si>
  <si>
    <t>محمد سليم المدهون</t>
  </si>
  <si>
    <t>405826215</t>
  </si>
  <si>
    <t>2000-09-24</t>
  </si>
  <si>
    <t>594146698</t>
  </si>
  <si>
    <t>لطيفة عبد القادر ابو فياض</t>
  </si>
  <si>
    <t>910734177</t>
  </si>
  <si>
    <t>1959-06-16</t>
  </si>
  <si>
    <t>599415832</t>
  </si>
  <si>
    <t>عماد إسماعيل حسن أبو ركبة</t>
  </si>
  <si>
    <t>422333096</t>
  </si>
  <si>
    <t>2007-03-16</t>
  </si>
  <si>
    <t>595591695</t>
  </si>
  <si>
    <t>محمود يوسف جبر</t>
  </si>
  <si>
    <t>907502173</t>
  </si>
  <si>
    <t>1970-10-27</t>
  </si>
  <si>
    <t>599362190</t>
  </si>
  <si>
    <t>رعد محمد زكريا الدريني</t>
  </si>
  <si>
    <t>436964423</t>
  </si>
  <si>
    <t>2016-09-03</t>
  </si>
  <si>
    <t>599066513</t>
  </si>
  <si>
    <t>مروة حمودة سعيد شاهين</t>
  </si>
  <si>
    <t>802415828</t>
  </si>
  <si>
    <t>1991-02-05</t>
  </si>
  <si>
    <t>593814009</t>
  </si>
  <si>
    <t>هبة عمر اسماعيل رضوان</t>
  </si>
  <si>
    <t>2026-04-28</t>
  </si>
  <si>
    <t>800730905</t>
  </si>
  <si>
    <t>1988-12-11</t>
  </si>
  <si>
    <t>595982875</t>
  </si>
  <si>
    <t>فارس ناهض عبد القادر الجعل</t>
  </si>
  <si>
    <t>985176932</t>
  </si>
  <si>
    <t>1974-06-23</t>
  </si>
  <si>
    <t>599632165</t>
  </si>
  <si>
    <t>سونيا محمود حسن الزعانين</t>
  </si>
  <si>
    <t>456404821</t>
  </si>
  <si>
    <t>1980-05-25</t>
  </si>
  <si>
    <t>599686124</t>
  </si>
  <si>
    <t>اسراء سعيد ابراهيم الدسوقي</t>
  </si>
  <si>
    <t>407973734</t>
  </si>
  <si>
    <t>2002-01-09</t>
  </si>
  <si>
    <t>اسماء رفيق محمد ابو جبارة</t>
  </si>
  <si>
    <t>802592204</t>
  </si>
  <si>
    <t>1991-10-02</t>
  </si>
  <si>
    <t>599731740</t>
  </si>
  <si>
    <t>كامليا حسن حسين العاصي</t>
  </si>
  <si>
    <t>930693296</t>
  </si>
  <si>
    <t>1971-11-11</t>
  </si>
  <si>
    <t>599207192</t>
  </si>
  <si>
    <t>Yes</t>
  </si>
  <si>
    <t>جمال رمزي جمال أبو عوكل</t>
  </si>
  <si>
    <t>424390664</t>
  </si>
  <si>
    <t>2008-12-04</t>
  </si>
  <si>
    <t>599021489</t>
  </si>
  <si>
    <t>بديعة احمد عوض اموم</t>
  </si>
  <si>
    <t>908984784</t>
  </si>
  <si>
    <t>1981-12-01</t>
  </si>
  <si>
    <t>598980379</t>
  </si>
  <si>
    <t>سحر احمد عوض ابو شمالة</t>
  </si>
  <si>
    <t>926574971</t>
  </si>
  <si>
    <t>1974-04-06</t>
  </si>
  <si>
    <t>598078523</t>
  </si>
  <si>
    <t>محمد رياض محمد ابو جبارة</t>
  </si>
  <si>
    <t>800338956</t>
  </si>
  <si>
    <t>1986-08-14</t>
  </si>
  <si>
    <t>كريم عبدالملك نمر أبو ركبة</t>
  </si>
  <si>
    <t>429302862</t>
  </si>
  <si>
    <t>2009-03-24</t>
  </si>
  <si>
    <t>599702745</t>
  </si>
  <si>
    <t>ايمان عبدالرحمن ابو ركبة</t>
  </si>
  <si>
    <t>412326548</t>
  </si>
  <si>
    <t>1973-10-03</t>
  </si>
  <si>
    <t>لينا نائل حسين ابو جبل</t>
  </si>
  <si>
    <t>405156279</t>
  </si>
  <si>
    <t>1999-02-12</t>
  </si>
  <si>
    <t>598809090</t>
  </si>
  <si>
    <t>رغدة طارق محمد أبو جبل</t>
  </si>
  <si>
    <t>403635204</t>
  </si>
  <si>
    <t>1998-02-28</t>
  </si>
  <si>
    <t>595533874</t>
  </si>
  <si>
    <t>اماني فؤاد عبد الله التعبان</t>
  </si>
  <si>
    <t>803707371</t>
  </si>
  <si>
    <t>1992-01-07</t>
  </si>
  <si>
    <t>597227522</t>
  </si>
  <si>
    <t>نهيل ايمن مصطفى القاضي</t>
  </si>
  <si>
    <t>804697225</t>
  </si>
  <si>
    <t>1997-08-14</t>
  </si>
  <si>
    <t>594081121</t>
  </si>
  <si>
    <t>خلود يوسف محمود ريان</t>
  </si>
  <si>
    <t>903512556</t>
  </si>
  <si>
    <t>1980-12-10</t>
  </si>
  <si>
    <t>599806562</t>
  </si>
  <si>
    <t>شهد زياد عبد السلام ازريد</t>
  </si>
  <si>
    <t>401165337</t>
  </si>
  <si>
    <t>1996-01-02</t>
  </si>
  <si>
    <t>592688751</t>
  </si>
  <si>
    <t>الاء ماجد فريد مصلح</t>
  </si>
  <si>
    <t>404639809</t>
  </si>
  <si>
    <t>2001-05-18</t>
  </si>
  <si>
    <t>599908204</t>
  </si>
  <si>
    <t>محمود يوسف فارس مصلح</t>
  </si>
  <si>
    <t>470089509</t>
  </si>
  <si>
    <t>2020-10-02</t>
  </si>
  <si>
    <t>نهى احمد محمد عيد</t>
  </si>
  <si>
    <t>804318285</t>
  </si>
  <si>
    <t>1993-11-07</t>
  </si>
  <si>
    <t>599453250</t>
  </si>
  <si>
    <t>مهدي نافذ موسى اللداوي</t>
  </si>
  <si>
    <t>422675629</t>
  </si>
  <si>
    <t>2006-11-16</t>
  </si>
  <si>
    <t>599363649</t>
  </si>
  <si>
    <t>بلال ربحي محمد الكفارنة</t>
  </si>
  <si>
    <t>402585210</t>
  </si>
  <si>
    <t>1996-02-20</t>
  </si>
  <si>
    <t>592643536</t>
  </si>
  <si>
    <t>فرح وائل طه النبيه</t>
  </si>
  <si>
    <t>429828973</t>
  </si>
  <si>
    <t>2011-07-18</t>
  </si>
  <si>
    <t>599405936</t>
  </si>
  <si>
    <t>اماني ماهر احمد الكفارنة</t>
  </si>
  <si>
    <t>804570620</t>
  </si>
  <si>
    <t>1995-02-14</t>
  </si>
  <si>
    <t>592883912</t>
  </si>
  <si>
    <t>لانا عبد الخالق ابراهيم ابو الليل</t>
  </si>
  <si>
    <t>407076629</t>
  </si>
  <si>
    <t>2002-08-12</t>
  </si>
  <si>
    <t>597927970</t>
  </si>
  <si>
    <t>اميرة يوسف محمود العمري</t>
  </si>
  <si>
    <t>412259616</t>
  </si>
  <si>
    <t>1994-04-20</t>
  </si>
  <si>
    <t>598176212</t>
  </si>
  <si>
    <t>اسماء ناهض خليل الكولك</t>
  </si>
  <si>
    <t>403008618</t>
  </si>
  <si>
    <t>1998-05-23</t>
  </si>
  <si>
    <t>595891201</t>
  </si>
  <si>
    <t>سلوى محمود محمد زروق</t>
  </si>
  <si>
    <t>920619814</t>
  </si>
  <si>
    <t>1973-01-15</t>
  </si>
  <si>
    <t>599726331</t>
  </si>
  <si>
    <t>نيفين صلاح حمد نجم</t>
  </si>
  <si>
    <t>905267126</t>
  </si>
  <si>
    <t>1980-09-16</t>
  </si>
  <si>
    <t>598766189</t>
  </si>
  <si>
    <t>Widowed</t>
  </si>
  <si>
    <t>تحرير حسام حسن الحلو</t>
  </si>
  <si>
    <t>407825454</t>
  </si>
  <si>
    <t>2002-06-15</t>
  </si>
  <si>
    <t>592366286</t>
  </si>
  <si>
    <t>افنان عبدالرحيم محمد عيسى</t>
  </si>
  <si>
    <t>404066342</t>
  </si>
  <si>
    <t>1998-01-08</t>
  </si>
  <si>
    <t>592576858</t>
  </si>
  <si>
    <t>هيام عمر محمد الصيفي</t>
  </si>
  <si>
    <t>910805753</t>
  </si>
  <si>
    <t>1964-03-25</t>
  </si>
  <si>
    <t>595924965</t>
  </si>
  <si>
    <t>مريم عواد عبد الجواد الحو</t>
  </si>
  <si>
    <t>910855253</t>
  </si>
  <si>
    <t>1966-02-10</t>
  </si>
  <si>
    <t>599614707</t>
  </si>
  <si>
    <t>رائدة بسام عبد القادر الغول</t>
  </si>
  <si>
    <t>907904403</t>
  </si>
  <si>
    <t>1971-06-01</t>
  </si>
  <si>
    <t>وسيم رائد سعدي صيام</t>
  </si>
  <si>
    <t>433546868</t>
  </si>
  <si>
    <t>2013-09-07</t>
  </si>
  <si>
    <t>597894176</t>
  </si>
  <si>
    <t>نسمة سامي احمد كريم</t>
  </si>
  <si>
    <t>400791497</t>
  </si>
  <si>
    <t>1996-05-07</t>
  </si>
  <si>
    <t>597509210</t>
  </si>
  <si>
    <t>يسري حسن حسين الزعانين</t>
  </si>
  <si>
    <t>906774039</t>
  </si>
  <si>
    <t>1981-12-19</t>
  </si>
  <si>
    <t>هديل علاء الدين علي شاهين</t>
  </si>
  <si>
    <t>804341584</t>
  </si>
  <si>
    <t>1993-07-08</t>
  </si>
  <si>
    <t>594418319</t>
  </si>
  <si>
    <t>امير بسام حسن الاميطل</t>
  </si>
  <si>
    <t>429940315</t>
  </si>
  <si>
    <t>2010-10-10</t>
  </si>
  <si>
    <t>599791209</t>
  </si>
  <si>
    <t>حليمة محمود تيسير أبو شرخ</t>
  </si>
  <si>
    <t>424706364</t>
  </si>
  <si>
    <t>2007-02-10</t>
  </si>
  <si>
    <t>592408979</t>
  </si>
  <si>
    <t>أسيل محمود تيسير أبو شرخ</t>
  </si>
  <si>
    <t>429168818</t>
  </si>
  <si>
    <t>2009-05-15</t>
  </si>
  <si>
    <t>598334800</t>
  </si>
  <si>
    <t>هيثم خضر ابراهيم طوطح</t>
  </si>
  <si>
    <t>804331007</t>
  </si>
  <si>
    <t>1994-09-12</t>
  </si>
  <si>
    <t>597211546</t>
  </si>
  <si>
    <t>اسيل هيثم خضر طوطح</t>
  </si>
  <si>
    <t>441064177</t>
  </si>
  <si>
    <t>2020-06-15</t>
  </si>
  <si>
    <t>تهاني محمد خليل البهنساوي</t>
  </si>
  <si>
    <t>803365899</t>
  </si>
  <si>
    <t>1992-12-27</t>
  </si>
  <si>
    <t>599697855</t>
  </si>
  <si>
    <t>صفا خالد حيدر مهدي</t>
  </si>
  <si>
    <t>403710650</t>
  </si>
  <si>
    <t>1999-10-26</t>
  </si>
  <si>
    <t>595348273</t>
  </si>
  <si>
    <t>اماني محمد خليل البهنساوي</t>
  </si>
  <si>
    <t>802104356</t>
  </si>
  <si>
    <t>1989-03-05</t>
  </si>
  <si>
    <t>598196246</t>
  </si>
  <si>
    <t>اياد طه محمد ابو لمضي</t>
  </si>
  <si>
    <t>801133463</t>
  </si>
  <si>
    <t>1977-05-09</t>
  </si>
  <si>
    <t>598596961</t>
  </si>
  <si>
    <t>تهاني حمد محمد ابو الكاس</t>
  </si>
  <si>
    <t>2026-04-29</t>
  </si>
  <si>
    <t>901306340</t>
  </si>
  <si>
    <t>1977-11-07</t>
  </si>
  <si>
    <t>599462427</t>
  </si>
  <si>
    <t>ابتهال صلاح مصطفى الجعيدي</t>
  </si>
  <si>
    <t>802916528</t>
  </si>
  <si>
    <t>1991-01-14</t>
  </si>
  <si>
    <t>عمر حامد عمر ابو الطيف</t>
  </si>
  <si>
    <t>470829334</t>
  </si>
  <si>
    <t>2025-10-09</t>
  </si>
  <si>
    <t>595339511</t>
  </si>
  <si>
    <t>ريهام اشرف عبد الفتاح ريان</t>
  </si>
  <si>
    <t>402038277</t>
  </si>
  <si>
    <t>1997-04-14</t>
  </si>
  <si>
    <t>592390216</t>
  </si>
  <si>
    <t>مها تحسين عبدالفتاح عودة</t>
  </si>
  <si>
    <t>802157248</t>
  </si>
  <si>
    <t>1988-11-09</t>
  </si>
  <si>
    <t>597239384</t>
  </si>
  <si>
    <t>امل سليم يوسف المدهون</t>
  </si>
  <si>
    <t>801728494</t>
  </si>
  <si>
    <t>1988-01-16</t>
  </si>
  <si>
    <t>598385531</t>
  </si>
  <si>
    <t>وردة محمد خليل حجازي</t>
  </si>
  <si>
    <t>405875501</t>
  </si>
  <si>
    <t>2000-05-21</t>
  </si>
  <si>
    <t>594787608</t>
  </si>
  <si>
    <t>ياسين محمود ياسين نور الدين</t>
  </si>
  <si>
    <t>445698152</t>
  </si>
  <si>
    <t>2022-10-24</t>
  </si>
  <si>
    <t>598725226</t>
  </si>
  <si>
    <t>وسام ابراهيم حسن ابو عيشة</t>
  </si>
  <si>
    <t>906693429</t>
  </si>
  <si>
    <t>1981-02-19</t>
  </si>
  <si>
    <t>599047728</t>
  </si>
  <si>
    <t>محمود ماجد وجيه مسلم</t>
  </si>
  <si>
    <t>803898394</t>
  </si>
  <si>
    <t>1993-08-14</t>
  </si>
  <si>
    <t>597811244</t>
  </si>
  <si>
    <t>ياسمين رياض خضر الريفي</t>
  </si>
  <si>
    <t>407038512</t>
  </si>
  <si>
    <t>2002-03-26</t>
  </si>
  <si>
    <t>595210839</t>
  </si>
  <si>
    <t>اية محمد مصطفى حسان</t>
  </si>
  <si>
    <t>421272352</t>
  </si>
  <si>
    <t>2005-08-07</t>
  </si>
  <si>
    <t>597074382</t>
  </si>
  <si>
    <t>حلا سامي محمد حسان</t>
  </si>
  <si>
    <t>431770163</t>
  </si>
  <si>
    <t>2011-09-16</t>
  </si>
  <si>
    <t>اركان عمر فؤاد ابو العنزين</t>
  </si>
  <si>
    <t>470511874</t>
  </si>
  <si>
    <t>2025-02-06</t>
  </si>
  <si>
    <t>وفاء احمد محمد حمودة</t>
  </si>
  <si>
    <t>905254066</t>
  </si>
  <si>
    <t>1981-05-18</t>
  </si>
  <si>
    <t>594363540</t>
  </si>
  <si>
    <t>كريم نائل محمد حموده</t>
  </si>
  <si>
    <t>438172686</t>
  </si>
  <si>
    <t>2018-06-07</t>
  </si>
  <si>
    <t>ملاك صادق سعيد عاشور</t>
  </si>
  <si>
    <t>429592322</t>
  </si>
  <si>
    <t>2010-11-21</t>
  </si>
  <si>
    <t>592531874</t>
  </si>
  <si>
    <t>جواهر تامر سامي مسعود</t>
  </si>
  <si>
    <t>422637843</t>
  </si>
  <si>
    <t>2005-01-27</t>
  </si>
  <si>
    <t>599610023</t>
  </si>
  <si>
    <t>سوزان تامر سامي حميد</t>
  </si>
  <si>
    <t>438959561</t>
  </si>
  <si>
    <t>2018-12-18</t>
  </si>
  <si>
    <t>عبير علي عايش عبد ربه</t>
  </si>
  <si>
    <t>800348203</t>
  </si>
  <si>
    <t>1986-10-18</t>
  </si>
  <si>
    <t>597810442</t>
  </si>
  <si>
    <t>فاطمة اياد محمود عبد ربه</t>
  </si>
  <si>
    <t>439059080</t>
  </si>
  <si>
    <t>2019-07-06</t>
  </si>
  <si>
    <t>شادية محمود احمد الشيخ حسين</t>
  </si>
  <si>
    <t>925731044</t>
  </si>
  <si>
    <t>1972-03-22</t>
  </si>
  <si>
    <t>598266781</t>
  </si>
  <si>
    <t>وتين  عبدالرحمن صقر عودة</t>
  </si>
  <si>
    <t>470835257</t>
  </si>
  <si>
    <t>2025-10-04</t>
  </si>
  <si>
    <t>597199739</t>
  </si>
  <si>
    <t>كريم تيسير محمد الحوراني</t>
  </si>
  <si>
    <t>471032417</t>
  </si>
  <si>
    <t>2026-01-18</t>
  </si>
  <si>
    <t>598425391</t>
  </si>
  <si>
    <t>سند خالد فوزي الجريسي</t>
  </si>
  <si>
    <t>470787979</t>
  </si>
  <si>
    <t>2025-09-19</t>
  </si>
  <si>
    <t>599983788</t>
  </si>
  <si>
    <t>رندا محمود محمد الطويل</t>
  </si>
  <si>
    <t>803401108</t>
  </si>
  <si>
    <t>1994-02-15</t>
  </si>
  <si>
    <t>تهاني فضل طلال ابو ثريا</t>
  </si>
  <si>
    <t>407722123</t>
  </si>
  <si>
    <t>2002-02-23</t>
  </si>
  <si>
    <t>597164434</t>
  </si>
  <si>
    <t>2002-02-06</t>
  </si>
  <si>
    <t>ليلى عدانان محمد جبريل</t>
  </si>
  <si>
    <t>905288395</t>
  </si>
  <si>
    <t>1981-08-19</t>
  </si>
  <si>
    <t>599634694</t>
  </si>
  <si>
    <t>رياض اكرم رياض قرضاية</t>
  </si>
  <si>
    <t>434122396</t>
  </si>
  <si>
    <t>2014-02-02</t>
  </si>
  <si>
    <t>599650104</t>
  </si>
  <si>
    <t>محمود ابراهيم عصام مزهر</t>
  </si>
  <si>
    <t>470553173</t>
  </si>
  <si>
    <t>2025-10-08</t>
  </si>
  <si>
    <t>595158191</t>
  </si>
  <si>
    <t>ناجي فضل إسماعيل ظاهر</t>
  </si>
  <si>
    <t>995876373</t>
  </si>
  <si>
    <t>1958-09-04</t>
  </si>
  <si>
    <t>599702533</t>
  </si>
  <si>
    <t>ابتهال احمد رشاد فياض</t>
  </si>
  <si>
    <t>400623468</t>
  </si>
  <si>
    <t>1996-10-19</t>
  </si>
  <si>
    <t>592703496</t>
  </si>
  <si>
    <t>رجاء محمود احمد حسين</t>
  </si>
  <si>
    <t>949830376</t>
  </si>
  <si>
    <t>1984-04-29</t>
  </si>
  <si>
    <t>597114291</t>
  </si>
  <si>
    <t>سوار شادي رمضان المقيد</t>
  </si>
  <si>
    <t>444305056</t>
  </si>
  <si>
    <t>2022-10-16</t>
  </si>
  <si>
    <t>592726872</t>
  </si>
  <si>
    <t>نرمين واىل يوسف الاعرج</t>
  </si>
  <si>
    <t>403670334</t>
  </si>
  <si>
    <t>1993-11-26</t>
  </si>
  <si>
    <t>595756106</t>
  </si>
  <si>
    <t>فدوى مسعد محمد العجلة</t>
  </si>
  <si>
    <t>903686780</t>
  </si>
  <si>
    <t>1980-10-15</t>
  </si>
  <si>
    <t>599328209</t>
  </si>
  <si>
    <t>هبة نواف رمضان البدوي الشيمي</t>
  </si>
  <si>
    <t>422710889</t>
  </si>
  <si>
    <t>2006-07-06</t>
  </si>
  <si>
    <t>599659726</t>
  </si>
  <si>
    <t>اميرة رشيد عمر الكحلوت</t>
  </si>
  <si>
    <t>403256662</t>
  </si>
  <si>
    <t>1997-04-02</t>
  </si>
  <si>
    <t>592460881</t>
  </si>
  <si>
    <t>امال عبدالعزيز محمد الأطرش</t>
  </si>
  <si>
    <t>800200313</t>
  </si>
  <si>
    <t>1984-03-01</t>
  </si>
  <si>
    <t>598150315</t>
  </si>
  <si>
    <t>عطا الله محمود عطية النباهين</t>
  </si>
  <si>
    <t>401216411</t>
  </si>
  <si>
    <t>1997-05-24</t>
  </si>
  <si>
    <t>595177694</t>
  </si>
  <si>
    <t>حنان عقل محمد ابو حسنة</t>
  </si>
  <si>
    <t>957869076</t>
  </si>
  <si>
    <t>1963-11-24</t>
  </si>
  <si>
    <t>598782548</t>
  </si>
  <si>
    <t>جوري رمزي طالب حسنين</t>
  </si>
  <si>
    <t>440866788</t>
  </si>
  <si>
    <t>2019-10-02</t>
  </si>
  <si>
    <t>599498620</t>
  </si>
  <si>
    <t>غلا رمزي طالب حسنين</t>
  </si>
  <si>
    <t>445064173</t>
  </si>
  <si>
    <t>2020-08-16</t>
  </si>
  <si>
    <t>فريزة ماجد محمد ابو سلطان</t>
  </si>
  <si>
    <t>800200818</t>
  </si>
  <si>
    <t>1984-01-27</t>
  </si>
  <si>
    <t>599647336</t>
  </si>
  <si>
    <t>هاني جهاد محمد سلامة</t>
  </si>
  <si>
    <t>801511999</t>
  </si>
  <si>
    <t>1986-12-18</t>
  </si>
  <si>
    <t>599348245</t>
  </si>
  <si>
    <t>غدير خليل عبد الرحمن بوادي</t>
  </si>
  <si>
    <t>802642165</t>
  </si>
  <si>
    <t>1991-12-26</t>
  </si>
  <si>
    <t>595858110</t>
  </si>
  <si>
    <t>صباح يوسف عبد العزيز وهدان</t>
  </si>
  <si>
    <t>801393836</t>
  </si>
  <si>
    <t>1986-08-20</t>
  </si>
  <si>
    <t>598388125</t>
  </si>
  <si>
    <t>العنود حامد علي السموني</t>
  </si>
  <si>
    <t>426421301</t>
  </si>
  <si>
    <t>2010-02-08</t>
  </si>
  <si>
    <t>594861641</t>
  </si>
  <si>
    <t>علاء شعبان فرحات الاشقر</t>
  </si>
  <si>
    <t>802822494</t>
  </si>
  <si>
    <t>1991-09-06</t>
  </si>
  <si>
    <t>592583821</t>
  </si>
  <si>
    <t>محمود عمر عبد الله ابو سلمان</t>
  </si>
  <si>
    <t>801516964</t>
  </si>
  <si>
    <t>1986-04-15</t>
  </si>
  <si>
    <t>598277677</t>
  </si>
  <si>
    <t>خالد محمد خالد الشمالي</t>
  </si>
  <si>
    <t>437039688</t>
  </si>
  <si>
    <t>2016-08-20</t>
  </si>
  <si>
    <t>598368468</t>
  </si>
  <si>
    <t>سعدية احمد عبد الله ابو لبدة</t>
  </si>
  <si>
    <t>975661079</t>
  </si>
  <si>
    <t>1963-05-22</t>
  </si>
  <si>
    <t>598070929</t>
  </si>
  <si>
    <t>امل ابراهيم عليان جندية</t>
  </si>
  <si>
    <t>903073310</t>
  </si>
  <si>
    <t>1981-08-07</t>
  </si>
  <si>
    <t>595376091</t>
  </si>
  <si>
    <t>سماهر فايز محمود الديب</t>
  </si>
  <si>
    <t>802821488</t>
  </si>
  <si>
    <t>1991-07-03</t>
  </si>
  <si>
    <t>599686773</t>
  </si>
  <si>
    <t>الهام ماهر احمد زاهد</t>
  </si>
  <si>
    <t>802901769</t>
  </si>
  <si>
    <t>1991-05-21</t>
  </si>
  <si>
    <t>592705813</t>
  </si>
  <si>
    <t>ديانا ماهر احمد الكفارنة</t>
  </si>
  <si>
    <t>406992909</t>
  </si>
  <si>
    <t>2001-09-11</t>
  </si>
  <si>
    <t>594379585</t>
  </si>
  <si>
    <t>صبحية الفهد شحدة أبو فول</t>
  </si>
  <si>
    <t>429774730</t>
  </si>
  <si>
    <t>2011-10-08</t>
  </si>
  <si>
    <t>597977164</t>
  </si>
  <si>
    <t>هشام نضال خليل الكحلوت</t>
  </si>
  <si>
    <t>2026-04-30</t>
  </si>
  <si>
    <t>400186854</t>
  </si>
  <si>
    <t>1993-11-19</t>
  </si>
  <si>
    <t>592100063</t>
  </si>
  <si>
    <t>امير اكرم عبد الله الخطيب</t>
  </si>
  <si>
    <t>438224065</t>
  </si>
  <si>
    <t>2017-02-07</t>
  </si>
  <si>
    <t>599622817</t>
  </si>
  <si>
    <t>نوال عبد المجيد محمد المقادمة</t>
  </si>
  <si>
    <t>912199304</t>
  </si>
  <si>
    <t>1969-05-02</t>
  </si>
  <si>
    <t>597657889</t>
  </si>
  <si>
    <t>محمد يحيى محمد الشافعي</t>
  </si>
  <si>
    <t>905198735</t>
  </si>
  <si>
    <t>1981-05-24</t>
  </si>
  <si>
    <t>599491630</t>
  </si>
  <si>
    <t>محمود ماهر  احمد الكفارنة</t>
  </si>
  <si>
    <t>424315596</t>
  </si>
  <si>
    <t>2006-07-03</t>
  </si>
  <si>
    <t>594135508</t>
  </si>
  <si>
    <t>سالم مصباح سعيد الكتناني</t>
  </si>
  <si>
    <t>802986304</t>
  </si>
  <si>
    <t>1991-11-21</t>
  </si>
  <si>
    <t>رويدة عبدالمعطي  محمد حمودة</t>
  </si>
  <si>
    <t>802472522</t>
  </si>
  <si>
    <t>1990-09-06</t>
  </si>
  <si>
    <t>599066413</t>
  </si>
  <si>
    <t>وئام فارق محمد قنوع</t>
  </si>
  <si>
    <t>903068062</t>
  </si>
  <si>
    <t>1980-03-05</t>
  </si>
  <si>
    <t>595511682</t>
  </si>
  <si>
    <t>عبدالباسط رمضان عدلي حموده</t>
  </si>
  <si>
    <t>446166571</t>
  </si>
  <si>
    <t>2023-10-05</t>
  </si>
  <si>
    <t>حازم حسين حسين سليم</t>
  </si>
  <si>
    <t>903685956</t>
  </si>
  <si>
    <t>1980-08-14</t>
  </si>
  <si>
    <t>599422346</t>
  </si>
  <si>
    <t>ساندي حازم حسين سليم</t>
  </si>
  <si>
    <t>438489049</t>
  </si>
  <si>
    <t>2017-03-27</t>
  </si>
  <si>
    <t>محمد شعبان محمود المباشر</t>
  </si>
  <si>
    <t>900575812</t>
  </si>
  <si>
    <t>1979-11-09</t>
  </si>
  <si>
    <t>599349484</t>
  </si>
  <si>
    <t>رواء ادهم عبد الخالق الكفارنة</t>
  </si>
  <si>
    <t>424555373</t>
  </si>
  <si>
    <t>599804423</t>
  </si>
  <si>
    <t>فرح محمود ياسين نور الدين</t>
  </si>
  <si>
    <t>433831120</t>
  </si>
  <si>
    <t>2013-10-06</t>
  </si>
  <si>
    <t>598837335</t>
  </si>
  <si>
    <t>حكمت حسن احمد العامودي</t>
  </si>
  <si>
    <t>925946964</t>
  </si>
  <si>
    <t>1958-06-10</t>
  </si>
  <si>
    <t>599843321</t>
  </si>
  <si>
    <t>ليان محمود  فخري شويخ</t>
  </si>
  <si>
    <t>436028674</t>
  </si>
  <si>
    <t>2015-04-01</t>
  </si>
  <si>
    <t>592229564</t>
  </si>
  <si>
    <t>ملكة محمود  فخري اشويخ</t>
  </si>
  <si>
    <t>445722887</t>
  </si>
  <si>
    <t>2022-07-31</t>
  </si>
  <si>
    <t>595140356</t>
  </si>
  <si>
    <t>حاتم نبيل مصلح عزام</t>
  </si>
  <si>
    <t>802437467</t>
  </si>
  <si>
    <t>1989-10-25</t>
  </si>
  <si>
    <t>599025215</t>
  </si>
  <si>
    <t>ميسر عبد الحميد محمد ظاهر</t>
  </si>
  <si>
    <t>974882847</t>
  </si>
  <si>
    <t>1961-12-09</t>
  </si>
  <si>
    <t>596621222</t>
  </si>
  <si>
    <t>نسرين عبدالرحيم  اسماعيل عبدالله</t>
  </si>
  <si>
    <t>802160853</t>
  </si>
  <si>
    <t>1990-01-07</t>
  </si>
  <si>
    <t>59932530</t>
  </si>
  <si>
    <t>محمود محمد محمد عبد الله</t>
  </si>
  <si>
    <t>436035935</t>
  </si>
  <si>
    <t>2015-08-27</t>
  </si>
  <si>
    <t>599327530</t>
  </si>
  <si>
    <t>رامز إبراهيم محمد  محجز</t>
  </si>
  <si>
    <t>901505933</t>
  </si>
  <si>
    <t>1979-11-30</t>
  </si>
  <si>
    <t>599097222</t>
  </si>
  <si>
    <t>خلود احمد محمد شاهين</t>
  </si>
  <si>
    <t>901667097</t>
  </si>
  <si>
    <t>1978-11-22</t>
  </si>
  <si>
    <t>595265889</t>
  </si>
  <si>
    <t>أسماء رمضان عبد الله القلقيلي</t>
  </si>
  <si>
    <t>802401901</t>
  </si>
  <si>
    <t>1990-04-10</t>
  </si>
  <si>
    <t>599146887</t>
  </si>
  <si>
    <t>زهية محمد خالد درويش</t>
  </si>
  <si>
    <t>800062352</t>
  </si>
  <si>
    <t>1995-03-15</t>
  </si>
  <si>
    <t>592117014</t>
  </si>
  <si>
    <t>محمد نبيل مصلح عزام</t>
  </si>
  <si>
    <t>803566827</t>
  </si>
  <si>
    <t>1992-05-26</t>
  </si>
  <si>
    <t>ايمان جهاد شحدة بحر</t>
  </si>
  <si>
    <t>801403924</t>
  </si>
  <si>
    <t>1989-08-13</t>
  </si>
  <si>
    <t>592433651</t>
  </si>
  <si>
    <t>ريم شوقي عايش أبو غبن</t>
  </si>
  <si>
    <t>408112373</t>
  </si>
  <si>
    <t>2005-07-31</t>
  </si>
  <si>
    <t>597114853</t>
  </si>
  <si>
    <t>ساجد امير اكرم نصير</t>
  </si>
  <si>
    <t>470513730</t>
  </si>
  <si>
    <t>2025-02-15</t>
  </si>
  <si>
    <t>مريم عطية عمر الطواشي</t>
  </si>
  <si>
    <t>409758695</t>
  </si>
  <si>
    <t>2004-09-10</t>
  </si>
  <si>
    <t>599251494</t>
  </si>
  <si>
    <t>معاذ عبد الله اسعد جبر</t>
  </si>
  <si>
    <t>470905225</t>
  </si>
  <si>
    <t>2025-11-02</t>
  </si>
  <si>
    <t>599161250</t>
  </si>
  <si>
    <t>محمود بدوي محمد الحطاب</t>
  </si>
  <si>
    <t>903433365</t>
  </si>
  <si>
    <t>1981-06-14</t>
  </si>
  <si>
    <t>599536706</t>
  </si>
  <si>
    <t>افنان محمود بدوي الحطاب</t>
  </si>
  <si>
    <t>422554097</t>
  </si>
  <si>
    <t>2005-12-31</t>
  </si>
  <si>
    <t>593209130</t>
  </si>
  <si>
    <t>سارة ايمن فؤاد المباشر</t>
  </si>
  <si>
    <t>432350502</t>
  </si>
  <si>
    <t>2011-03-07</t>
  </si>
  <si>
    <t>595764404</t>
  </si>
  <si>
    <t>ملك نعيم اكرم عيسى</t>
  </si>
  <si>
    <t>429308182</t>
  </si>
  <si>
    <t>2010-05-20</t>
  </si>
  <si>
    <t>599021657</t>
  </si>
  <si>
    <t>دينا سامي عصام جودة</t>
  </si>
  <si>
    <t>442812830</t>
  </si>
  <si>
    <t>2021-10-03</t>
  </si>
  <si>
    <t>599065214</t>
  </si>
  <si>
    <t>الاء زهير صبحي يونس</t>
  </si>
  <si>
    <t>801258328</t>
  </si>
  <si>
    <t>1986-01-14</t>
  </si>
  <si>
    <t>خالد جميل نمر عابد</t>
  </si>
  <si>
    <t>966100729</t>
  </si>
  <si>
    <t>1965-07-13</t>
  </si>
  <si>
    <t>596652641</t>
  </si>
  <si>
    <t>مسك محمد حسن  الزعانين</t>
  </si>
  <si>
    <t>436990865</t>
  </si>
  <si>
    <t>2016-12-24</t>
  </si>
  <si>
    <t>592166623</t>
  </si>
  <si>
    <t>يسري علي  محمد قفة</t>
  </si>
  <si>
    <t>802870253</t>
  </si>
  <si>
    <t>1991-09-24</t>
  </si>
  <si>
    <t>599387426</t>
  </si>
  <si>
    <t>زياد زياد صلاح قفة</t>
  </si>
  <si>
    <t>445608052</t>
  </si>
  <si>
    <t>2022-01-02</t>
  </si>
  <si>
    <t>597452654</t>
  </si>
  <si>
    <t>محمود علي محمد اخروات</t>
  </si>
  <si>
    <t>802135020</t>
  </si>
  <si>
    <t>1988-12-25</t>
  </si>
  <si>
    <t>598155214</t>
  </si>
  <si>
    <t>علي احمد  فرج البسوس</t>
  </si>
  <si>
    <t>470060492</t>
  </si>
  <si>
    <t>2024-08-07</t>
  </si>
  <si>
    <t>597162137</t>
  </si>
  <si>
    <t>رامي احمد  فرج البسوس</t>
  </si>
  <si>
    <t>470060500</t>
  </si>
  <si>
    <t>2024-07-12</t>
  </si>
  <si>
    <t>نعمة ابراهيم يوسف ابو رضوان</t>
  </si>
  <si>
    <t>438396467</t>
  </si>
  <si>
    <t>2018-08-23</t>
  </si>
  <si>
    <t>592724133</t>
  </si>
  <si>
    <t>ولاء ادريس محمد الرملاوي</t>
  </si>
  <si>
    <t>803631761</t>
  </si>
  <si>
    <t>1992-01-02</t>
  </si>
  <si>
    <t>592622193</t>
  </si>
  <si>
    <t>خديجة رزق احمد العرابيد</t>
  </si>
  <si>
    <t>410934244</t>
  </si>
  <si>
    <t>1960-01-24</t>
  </si>
  <si>
    <t>597836116</t>
  </si>
  <si>
    <t>حسن احمد حسن ريان</t>
  </si>
  <si>
    <t>900278912</t>
  </si>
  <si>
    <t>1974-01-22</t>
  </si>
  <si>
    <t>597866990</t>
  </si>
  <si>
    <t>نعمة سليم محمود ريان</t>
  </si>
  <si>
    <t>926801945</t>
  </si>
  <si>
    <t>1954-03-26</t>
  </si>
  <si>
    <t>اديبة احمد عبد الواحد بارود</t>
  </si>
  <si>
    <t>910747500</t>
  </si>
  <si>
    <t>1976-02-10</t>
  </si>
  <si>
    <t>569994441</t>
  </si>
  <si>
    <t>عصام سامي عصام جودة</t>
  </si>
  <si>
    <t>438415432</t>
  </si>
  <si>
    <t>2018-02-04</t>
  </si>
  <si>
    <t>نرمين يوسف ابراهيم  جبر</t>
  </si>
  <si>
    <t>800524555</t>
  </si>
  <si>
    <t>1986-04-11</t>
  </si>
  <si>
    <t>595656211</t>
  </si>
  <si>
    <t>علي غسان علي  جبر</t>
  </si>
  <si>
    <t>438472672</t>
  </si>
  <si>
    <t>2017-03-06</t>
  </si>
  <si>
    <t>احمد يوسف ربحي الكفارنة</t>
  </si>
  <si>
    <t>470463639</t>
  </si>
  <si>
    <t>2024-10-15</t>
  </si>
  <si>
    <t>خضر بلال عبد اللطيف عياد</t>
  </si>
  <si>
    <t>444363782</t>
  </si>
  <si>
    <t>2022-12-18</t>
  </si>
  <si>
    <t>595563773</t>
  </si>
  <si>
    <t>كامل سليم محمود السقا</t>
  </si>
  <si>
    <t>958910440</t>
  </si>
  <si>
    <t>1952-01-26</t>
  </si>
  <si>
    <t>597100411</t>
  </si>
  <si>
    <t>رمزي جمال محمد ابو عوكل</t>
  </si>
  <si>
    <t>903495562</t>
  </si>
  <si>
    <t>1979-01-27</t>
  </si>
  <si>
    <t>احمد جمال محمد عوكل</t>
  </si>
  <si>
    <t>801386210</t>
  </si>
  <si>
    <t>1986-06-10</t>
  </si>
  <si>
    <t>عماد اسماعيل حسن ابو ركبة</t>
  </si>
  <si>
    <t>822333096</t>
  </si>
  <si>
    <t>2007-06-10</t>
  </si>
  <si>
    <t>592040383</t>
  </si>
  <si>
    <t>سجود حسين محمد البس</t>
  </si>
  <si>
    <t>421421132</t>
  </si>
  <si>
    <t>2005-06-18</t>
  </si>
  <si>
    <t>592699936</t>
  </si>
  <si>
    <t>جود محمد جمال البس</t>
  </si>
  <si>
    <t>470281346</t>
  </si>
  <si>
    <t>2025-01-18</t>
  </si>
  <si>
    <t>انتصار ابراهيم ابراهيم خطاب</t>
  </si>
  <si>
    <t>969180231</t>
  </si>
  <si>
    <t>1956-12-26</t>
  </si>
  <si>
    <t>059921493</t>
  </si>
  <si>
    <t>شوق ايمن محمد فتحي المصري</t>
  </si>
  <si>
    <t>404325623</t>
  </si>
  <si>
    <t>1999-03-19</t>
  </si>
  <si>
    <t>592490467</t>
  </si>
  <si>
    <t>مؤيد سليم محمد الرملاوي</t>
  </si>
  <si>
    <t>470716010</t>
  </si>
  <si>
    <t>2025-07-10</t>
  </si>
  <si>
    <t>هيثم ابراهيم عبد الشاعر</t>
  </si>
  <si>
    <t>801477084</t>
  </si>
  <si>
    <t>1986-12-15</t>
  </si>
  <si>
    <t>592604485</t>
  </si>
  <si>
    <t>فاطمة سعدي جابر ابو خريس</t>
  </si>
  <si>
    <t>1996-03-11</t>
  </si>
  <si>
    <t>597292073</t>
  </si>
  <si>
    <t>محمد عبدالله محمد أبو خريس</t>
  </si>
  <si>
    <t>445903883</t>
  </si>
  <si>
    <t>2023-05-08</t>
  </si>
  <si>
    <t>ابرار ابراهيم يونس ابو رضوان</t>
  </si>
  <si>
    <t>442228789</t>
  </si>
  <si>
    <t>2020-02-09</t>
  </si>
  <si>
    <t>597232164</t>
  </si>
  <si>
    <t>محفوظ سليمان محفوظ المصري</t>
  </si>
  <si>
    <t>992691295</t>
  </si>
  <si>
    <t>1971-04-19</t>
  </si>
  <si>
    <t>597181532</t>
  </si>
  <si>
    <t>ناصر راتب غيث قديح</t>
  </si>
  <si>
    <t>900325861</t>
  </si>
  <si>
    <t>1976-09-16</t>
  </si>
  <si>
    <t>599704528</t>
  </si>
  <si>
    <t>Khanyounis City</t>
  </si>
  <si>
    <t>آلاء اسماعيل  عبد المعطي الافرنجي</t>
  </si>
  <si>
    <t>433409331</t>
  </si>
  <si>
    <t>2012-09-25</t>
  </si>
  <si>
    <t>599268740</t>
  </si>
  <si>
    <t>رائد احمد جبر ابو عودة</t>
  </si>
  <si>
    <t>953980893</t>
  </si>
  <si>
    <t>1978-06-04</t>
  </si>
  <si>
    <t>599229167</t>
  </si>
  <si>
    <t>2023-10-03</t>
  </si>
  <si>
    <t>محمد اكرم صبحي الزهارنة</t>
  </si>
  <si>
    <t>802776427</t>
  </si>
  <si>
    <t>1991-04-03</t>
  </si>
  <si>
    <t>598450844</t>
  </si>
  <si>
    <t>رنين ادهم ا عبد الخالق لكفارنة</t>
  </si>
  <si>
    <t>429494404</t>
  </si>
  <si>
    <t>2010-02-13</t>
  </si>
  <si>
    <t>59980423</t>
  </si>
  <si>
    <t>بيسان محمود ياسين نور الدين</t>
  </si>
  <si>
    <t>429340979</t>
  </si>
  <si>
    <t>2010-04-16</t>
  </si>
  <si>
    <t>سحر جهاد حسن جبر</t>
  </si>
  <si>
    <t>2026-05-03</t>
  </si>
  <si>
    <t>801372558</t>
  </si>
  <si>
    <t>1987-07-21</t>
  </si>
  <si>
    <t>592200380</t>
  </si>
  <si>
    <t>1987-11-25</t>
  </si>
  <si>
    <t>1994-04-18</t>
  </si>
  <si>
    <t>بسند دهمان شعبان السيسي</t>
  </si>
  <si>
    <t>400737789</t>
  </si>
  <si>
    <t>1996-01-14</t>
  </si>
  <si>
    <t>597366981</t>
  </si>
  <si>
    <t>الاء عمر اسماعيل خليل</t>
  </si>
  <si>
    <t>400989117</t>
  </si>
  <si>
    <t>1996-02-03</t>
  </si>
  <si>
    <t>597823021</t>
  </si>
  <si>
    <t>امل داهش محمد بدوي</t>
  </si>
  <si>
    <t>803498591</t>
  </si>
  <si>
    <t>1993-01-02</t>
  </si>
  <si>
    <t>598788991</t>
  </si>
  <si>
    <t>سهاد محمد سالم الغمري</t>
  </si>
  <si>
    <t>949830749</t>
  </si>
  <si>
    <t>1983-02-10</t>
  </si>
  <si>
    <t>592625789</t>
  </si>
  <si>
    <t>سعاد كمال مصطفى السدودي</t>
  </si>
  <si>
    <t>910471085</t>
  </si>
  <si>
    <t>1971-01-17</t>
  </si>
  <si>
    <t>599278113</t>
  </si>
  <si>
    <t>امير اكرم عبد الله ابو حجير</t>
  </si>
  <si>
    <t>2018-06-19</t>
  </si>
  <si>
    <t>سميح محمد ناهض المدهون</t>
  </si>
  <si>
    <t>429712128</t>
  </si>
  <si>
    <t>2010-07-07</t>
  </si>
  <si>
    <t>594139969</t>
  </si>
  <si>
    <t>رمضان خالد محمد ابو عرب</t>
  </si>
  <si>
    <t>801540618</t>
  </si>
  <si>
    <t>1987-06-19</t>
  </si>
  <si>
    <t>599617749</t>
  </si>
  <si>
    <t>1988-04-09</t>
  </si>
  <si>
    <t>دعاء صبحي عوض البسيوني</t>
  </si>
  <si>
    <t>400587838</t>
  </si>
  <si>
    <t>1996-01-10</t>
  </si>
  <si>
    <t>592511877</t>
  </si>
  <si>
    <t>سالي نضال كمال طوطح</t>
  </si>
  <si>
    <t>424677623</t>
  </si>
  <si>
    <t>2007-01-11</t>
  </si>
  <si>
    <t>567771229</t>
  </si>
  <si>
    <t>1968-04-13</t>
  </si>
  <si>
    <t>1981-09-05</t>
  </si>
  <si>
    <t>تيا محمد فهمي عبد الكافي</t>
  </si>
  <si>
    <t>470604232</t>
  </si>
  <si>
    <t>2025-10-27</t>
  </si>
  <si>
    <t>597732298</t>
  </si>
  <si>
    <t>شوق هيثم محمد السكني</t>
  </si>
  <si>
    <t>404740441</t>
  </si>
  <si>
    <t>2000-10-06</t>
  </si>
  <si>
    <t>059773298</t>
  </si>
  <si>
    <t>سها سهير علي حسن</t>
  </si>
  <si>
    <t>402962344</t>
  </si>
  <si>
    <t>1998-06-17</t>
  </si>
  <si>
    <t>597933538</t>
  </si>
  <si>
    <t>نور سهيل علي نصر</t>
  </si>
  <si>
    <t>411965411</t>
  </si>
  <si>
    <t>1999-10-25</t>
  </si>
  <si>
    <t>592710377</t>
  </si>
  <si>
    <t>عزة يسرى حسن الزعانين</t>
  </si>
  <si>
    <t>424053965</t>
  </si>
  <si>
    <t>2007-08-24</t>
  </si>
  <si>
    <t>599686123</t>
  </si>
  <si>
    <t>1977-06-27</t>
  </si>
  <si>
    <t>مجد حاتم مجدي ظاهر</t>
  </si>
  <si>
    <t>438248197</t>
  </si>
  <si>
    <t>2017-02-23</t>
  </si>
  <si>
    <t>598876646</t>
  </si>
  <si>
    <t>مها نضال خليل الكحلوت</t>
  </si>
  <si>
    <t>401981972</t>
  </si>
  <si>
    <t>1997-03-13</t>
  </si>
  <si>
    <t>592557082</t>
  </si>
  <si>
    <t>هناء عباس عبد الله محجز</t>
  </si>
  <si>
    <t>931514533</t>
  </si>
  <si>
    <t>1988-10-01</t>
  </si>
  <si>
    <t>599713316</t>
  </si>
  <si>
    <t>سهيلة رامز  ابراهيم محجز</t>
  </si>
  <si>
    <t>436975023</t>
  </si>
  <si>
    <t>2017-11-13</t>
  </si>
  <si>
    <t>نضال الدين امين محمد الراعي</t>
  </si>
  <si>
    <t>906568852</t>
  </si>
  <si>
    <t>1982-01-21</t>
  </si>
  <si>
    <t>592640515</t>
  </si>
  <si>
    <t>نور اياد عوض عبد الجواد</t>
  </si>
  <si>
    <t>409772761</t>
  </si>
  <si>
    <t>597419499</t>
  </si>
  <si>
    <t>يوسف تيسير عطية وشاح</t>
  </si>
  <si>
    <t>407205954</t>
  </si>
  <si>
    <t>2002-05-14</t>
  </si>
  <si>
    <t>597655949</t>
  </si>
  <si>
    <t>هبة اسماعيل نبيل أبو زايدة</t>
  </si>
  <si>
    <t>470796228</t>
  </si>
  <si>
    <t>2025-10-14</t>
  </si>
  <si>
    <t>597785425</t>
  </si>
  <si>
    <t>حنان جمال قنديل عوض</t>
  </si>
  <si>
    <t>802111419</t>
  </si>
  <si>
    <t>1988-06-26</t>
  </si>
  <si>
    <t>598985336</t>
  </si>
  <si>
    <t>ابراهيم نمر عبد ربه النجار</t>
  </si>
  <si>
    <t>400160800</t>
  </si>
  <si>
    <t>1995-08-27</t>
  </si>
  <si>
    <t>595668382</t>
  </si>
  <si>
    <t>منى جمال عبد الفتاح الاشقر</t>
  </si>
  <si>
    <t>800260499</t>
  </si>
  <si>
    <t>1986-03-08</t>
  </si>
  <si>
    <t>597516306</t>
  </si>
  <si>
    <t>سما زكريا صبحي الجعيدي</t>
  </si>
  <si>
    <t>2017-01-31</t>
  </si>
  <si>
    <t>ضياء محمد نبيل عزام</t>
  </si>
  <si>
    <t>434783742</t>
  </si>
  <si>
    <t>2014-09-04</t>
  </si>
  <si>
    <t>جميلة محمد محمد النجار</t>
  </si>
  <si>
    <t>958630653</t>
  </si>
  <si>
    <t>1959-06-27</t>
  </si>
  <si>
    <t>597984001</t>
  </si>
  <si>
    <t>شهيرة سمير محمود ابو حجر</t>
  </si>
  <si>
    <t>906505482</t>
  </si>
  <si>
    <t>1982-06-10</t>
  </si>
  <si>
    <t>594835197</t>
  </si>
  <si>
    <t>منى ابراهيم محمد عويضة</t>
  </si>
  <si>
    <t>910717776</t>
  </si>
  <si>
    <t>1974-03-19</t>
  </si>
  <si>
    <t>592375135</t>
  </si>
  <si>
    <t>يوسف ربيع عدلي حمودة</t>
  </si>
  <si>
    <t>445093503</t>
  </si>
  <si>
    <t>2021-10-31</t>
  </si>
  <si>
    <t>597104217</t>
  </si>
  <si>
    <t>جمال عبدالله بسيوني حسان</t>
  </si>
  <si>
    <t>802003483</t>
  </si>
  <si>
    <t>1983-09-02</t>
  </si>
  <si>
    <t>599211784</t>
  </si>
  <si>
    <t>صابرين جميل عبد الفتاح الاشقر</t>
  </si>
  <si>
    <t>801705278</t>
  </si>
  <si>
    <t>1989-10-18</t>
  </si>
  <si>
    <t>598258987</t>
  </si>
  <si>
    <t>اكرام اكرم ابراهيم الزعانين</t>
  </si>
  <si>
    <t>400630232</t>
  </si>
  <si>
    <t>1995-11-03</t>
  </si>
  <si>
    <t>592146663</t>
  </si>
  <si>
    <t>فايقة مصطفى حسين الزعانين الزعانين</t>
  </si>
  <si>
    <t>400840237</t>
  </si>
  <si>
    <t>1995-02-03</t>
  </si>
  <si>
    <t>592556080</t>
  </si>
  <si>
    <t>سماهر يوسف شكري المصري</t>
  </si>
  <si>
    <t>900837998</t>
  </si>
  <si>
    <t>1976-03-19</t>
  </si>
  <si>
    <t>599669358</t>
  </si>
  <si>
    <t>خليل عبدالجواد ديب زقول</t>
  </si>
  <si>
    <t>905305017</t>
  </si>
  <si>
    <t>1980-09-01</t>
  </si>
  <si>
    <t>599858099</t>
  </si>
  <si>
    <t>نجوى احمد يوسق الجديلي</t>
  </si>
  <si>
    <t>911278786</t>
  </si>
  <si>
    <t>1961-06-15</t>
  </si>
  <si>
    <t>598835034</t>
  </si>
  <si>
    <t>وعد رامي اسامة فاضل</t>
  </si>
  <si>
    <t>422710277</t>
  </si>
  <si>
    <t>2006-09-02</t>
  </si>
  <si>
    <t>595172223</t>
  </si>
  <si>
    <t>هالة فؤاد رجب خليل</t>
  </si>
  <si>
    <t>803552546</t>
  </si>
  <si>
    <t>1992-06-01</t>
  </si>
  <si>
    <t>592120033</t>
  </si>
  <si>
    <t>كفاح اسد مصطفى الجمال</t>
  </si>
  <si>
    <t>800743098</t>
  </si>
  <si>
    <t>1988-11-10</t>
  </si>
  <si>
    <t>592518910</t>
  </si>
  <si>
    <t>فرح فهمي مصطفى الغزاوي</t>
  </si>
  <si>
    <t>422115048</t>
  </si>
  <si>
    <t>2008-04-07</t>
  </si>
  <si>
    <t>592028653</t>
  </si>
  <si>
    <t>ايناس عماد جودت الاعرج</t>
  </si>
  <si>
    <t>427407283</t>
  </si>
  <si>
    <t>2009-09-05</t>
  </si>
  <si>
    <t>598336322</t>
  </si>
  <si>
    <t>صفاء اياد رمضان بدوي</t>
  </si>
  <si>
    <t>400996427</t>
  </si>
  <si>
    <t>1996-06-04</t>
  </si>
  <si>
    <t>595490818</t>
  </si>
  <si>
    <t>نعيمة نمر محمد ابو عطيوة</t>
  </si>
  <si>
    <t>800858037</t>
  </si>
  <si>
    <t>1980-02-04</t>
  </si>
  <si>
    <t>595246447</t>
  </si>
  <si>
    <t>احمد اسامة وائل النبيه</t>
  </si>
  <si>
    <t>470501263</t>
  </si>
  <si>
    <t>2025-02-24</t>
  </si>
  <si>
    <t>597701996</t>
  </si>
  <si>
    <t>اسامة وائل طه النبيه</t>
  </si>
  <si>
    <t>401269121</t>
  </si>
  <si>
    <t>1996-03-04</t>
  </si>
  <si>
    <t>احلام ناصر عبد الهادي ابو الروس</t>
  </si>
  <si>
    <t>400996963</t>
  </si>
  <si>
    <t>1996-11-03</t>
  </si>
  <si>
    <t>592112814</t>
  </si>
  <si>
    <t>ريهام جميل خطاب السلك</t>
  </si>
  <si>
    <t>400962833</t>
  </si>
  <si>
    <t>1996-05-25</t>
  </si>
  <si>
    <t>599533313</t>
  </si>
  <si>
    <t>نجوى إبراهيم دياب أبو عطيوي</t>
  </si>
  <si>
    <t>800200081</t>
  </si>
  <si>
    <t>1984-07-23</t>
  </si>
  <si>
    <t>592236532</t>
  </si>
  <si>
    <t>فداء رياض محمد أبو شخ</t>
  </si>
  <si>
    <t>802594705</t>
  </si>
  <si>
    <t>1987-12-26</t>
  </si>
  <si>
    <t>رانية جهاد محمد ابو جبر</t>
  </si>
  <si>
    <t>908984792</t>
  </si>
  <si>
    <t>1981-07-10</t>
  </si>
  <si>
    <t>597788324</t>
  </si>
  <si>
    <t>اسلام حماد جمعة عرفات</t>
  </si>
  <si>
    <t>802707018</t>
  </si>
  <si>
    <t>1991-11-02</t>
  </si>
  <si>
    <t>599141517</t>
  </si>
  <si>
    <t>نجوى حماد جمعة أبو عايش</t>
  </si>
  <si>
    <t>903185767</t>
  </si>
  <si>
    <t>1980-05-31</t>
  </si>
  <si>
    <t>595467524</t>
  </si>
  <si>
    <t>امية حماد جمعة الفيومي</t>
  </si>
  <si>
    <t>914428321</t>
  </si>
  <si>
    <t>1971-02-22</t>
  </si>
  <si>
    <t>595220710</t>
  </si>
  <si>
    <t>معين حسين معين حسين</t>
  </si>
  <si>
    <t>445610413</t>
  </si>
  <si>
    <t>2021-11-21</t>
  </si>
  <si>
    <t>595661279</t>
  </si>
  <si>
    <t>ايمان فتحي محمد ابو خاطر</t>
  </si>
  <si>
    <t>802824896</t>
  </si>
  <si>
    <t>1991-04-10</t>
  </si>
  <si>
    <t>597799501</t>
  </si>
  <si>
    <t>محمد فواز محمد أبو راشد</t>
  </si>
  <si>
    <t>802967521</t>
  </si>
  <si>
    <t>1991-08-27</t>
  </si>
  <si>
    <t>Physical Disability</t>
  </si>
  <si>
    <t>صابرين اسعد شكري السيد</t>
  </si>
  <si>
    <t>409826757</t>
  </si>
  <si>
    <t>2005-02-12</t>
  </si>
  <si>
    <t>599741996</t>
  </si>
  <si>
    <t>رانيا اكرم محمد مقداد</t>
  </si>
  <si>
    <t>434461679</t>
  </si>
  <si>
    <t>2014-02-09</t>
  </si>
  <si>
    <t>599753249</t>
  </si>
  <si>
    <t>جمال نمر عبد الله سعد</t>
  </si>
  <si>
    <t>800903049</t>
  </si>
  <si>
    <t>1973-02-15</t>
  </si>
  <si>
    <t>599708941</t>
  </si>
  <si>
    <t>غالية محمد فوزي كوثر</t>
  </si>
  <si>
    <t>456405752</t>
  </si>
  <si>
    <t>1963-10-02</t>
  </si>
  <si>
    <t>هلا محمد سعيد صالح</t>
  </si>
  <si>
    <t>431702489</t>
  </si>
  <si>
    <t>2011-12-11</t>
  </si>
  <si>
    <t>595126701</t>
  </si>
  <si>
    <t>سماح محمد سليم صالح</t>
  </si>
  <si>
    <t>949835615</t>
  </si>
  <si>
    <t>1985-08-05</t>
  </si>
  <si>
    <t>599326078</t>
  </si>
  <si>
    <t>سماح دنيان كامل النادي</t>
  </si>
  <si>
    <t>802905224</t>
  </si>
  <si>
    <t>1993-06-13</t>
  </si>
  <si>
    <t>599681288</t>
  </si>
  <si>
    <t>تالا حسام نبيل ابو عبدو</t>
  </si>
  <si>
    <t>433546488</t>
  </si>
  <si>
    <t>2017-11-25</t>
  </si>
  <si>
    <t>2003-07-06</t>
  </si>
  <si>
    <t>روان يوسف احمد المصري</t>
  </si>
  <si>
    <t>407745868</t>
  </si>
  <si>
    <t>2002-05-10</t>
  </si>
  <si>
    <t>593042304</t>
  </si>
  <si>
    <t>محمد خالد محمد الددح</t>
  </si>
  <si>
    <t>802388124</t>
  </si>
  <si>
    <t>1990-01-12</t>
  </si>
  <si>
    <t>592595044</t>
  </si>
  <si>
    <t>1994-01-08</t>
  </si>
  <si>
    <t>1984-05-21</t>
  </si>
  <si>
    <t>محمود سعيد عزات ابو سلطان</t>
  </si>
  <si>
    <t>445951064</t>
  </si>
  <si>
    <t>2023-10-18</t>
  </si>
  <si>
    <t>نهلة حسن محمد المصري</t>
  </si>
  <si>
    <t>901456681</t>
  </si>
  <si>
    <t>1979-06-18</t>
  </si>
  <si>
    <t>599530253</t>
  </si>
  <si>
    <t>نداء طلال محمد أبو لبدة</t>
  </si>
  <si>
    <t>803320746</t>
  </si>
  <si>
    <t>1993-12-11</t>
  </si>
  <si>
    <t>592575622</t>
  </si>
  <si>
    <t>عايدة شحدة إبراهيم زقوت</t>
  </si>
  <si>
    <t>900265612</t>
  </si>
  <si>
    <t>1975-01-03</t>
  </si>
  <si>
    <t>598296962</t>
  </si>
  <si>
    <t>فايزة عبد الفتاح احمد الفيومي</t>
  </si>
  <si>
    <t>917955932</t>
  </si>
  <si>
    <t>1964-06-03</t>
  </si>
  <si>
    <t>599807418</t>
  </si>
  <si>
    <t>بيسان حمزة دياب الرفاتي</t>
  </si>
  <si>
    <t>424059285</t>
  </si>
  <si>
    <t>2006-11-21</t>
  </si>
  <si>
    <t>595491038</t>
  </si>
  <si>
    <t>ندى حمزة دياب الرفاتي</t>
  </si>
  <si>
    <t>424571420</t>
  </si>
  <si>
    <t>2007-06-21</t>
  </si>
  <si>
    <t>حسن محمد حسين النجار</t>
  </si>
  <si>
    <t>910845734</t>
  </si>
  <si>
    <t>1950-11-26</t>
  </si>
  <si>
    <t>597984011</t>
  </si>
  <si>
    <t>ريم محمد عبد الكريم أبو لبدة</t>
  </si>
  <si>
    <t>401284476</t>
  </si>
  <si>
    <t>1997-12-04</t>
  </si>
  <si>
    <t>597707356</t>
  </si>
  <si>
    <t>غادة يوسف احمد عثمان المصري</t>
  </si>
  <si>
    <t>429175383</t>
  </si>
  <si>
    <t>2009-09-01</t>
  </si>
  <si>
    <t>عمر محمد حسن نصار</t>
  </si>
  <si>
    <t>470312919</t>
  </si>
  <si>
    <t>2025-03-15</t>
  </si>
  <si>
    <t>592148029</t>
  </si>
  <si>
    <t>فواز محمد محمد النباهين</t>
  </si>
  <si>
    <t>409092566</t>
  </si>
  <si>
    <t>2004-03-08</t>
  </si>
  <si>
    <t>595686731</t>
  </si>
  <si>
    <t>داليا انس عبد الهادي ابو نار</t>
  </si>
  <si>
    <t>408558369</t>
  </si>
  <si>
    <t>2002-12-17</t>
  </si>
  <si>
    <t>592255464</t>
  </si>
  <si>
    <t>انتصار محمد إسماعيل صلاح</t>
  </si>
  <si>
    <t>2026-05-04</t>
  </si>
  <si>
    <t>801901885</t>
  </si>
  <si>
    <t>1990-02-13</t>
  </si>
  <si>
    <t>599530391</t>
  </si>
  <si>
    <t>شهود مهدي فضل طعيمة</t>
  </si>
  <si>
    <t>802157123</t>
  </si>
  <si>
    <t>1990-06-05</t>
  </si>
  <si>
    <t>599618733</t>
  </si>
  <si>
    <t>نسمة ناصر أبو درابي</t>
  </si>
  <si>
    <t>429333982</t>
  </si>
  <si>
    <t>2009-07-10</t>
  </si>
  <si>
    <t>567772959</t>
  </si>
  <si>
    <t>صمود وشاح فهمي وشاح</t>
  </si>
  <si>
    <t>804599843</t>
  </si>
  <si>
    <t>1993-06-15</t>
  </si>
  <si>
    <t>598160799</t>
  </si>
  <si>
    <t>شريهان ايهاب إسماعيل دبابيش</t>
  </si>
  <si>
    <t>426406450</t>
  </si>
  <si>
    <t>2008-09-10</t>
  </si>
  <si>
    <t>هداية باسم كامل أبو خاطر</t>
  </si>
  <si>
    <t>421282732</t>
  </si>
  <si>
    <t>2006-08-02</t>
  </si>
  <si>
    <t>597138872</t>
  </si>
  <si>
    <t>اسلام فؤاد سعيد عابد</t>
  </si>
  <si>
    <t>802257253</t>
  </si>
  <si>
    <t>1989-06-20</t>
  </si>
  <si>
    <t>598214742</t>
  </si>
  <si>
    <t>هية عدنان حسن الصعيدي</t>
  </si>
  <si>
    <t>400844007</t>
  </si>
  <si>
    <t>1995-01-14</t>
  </si>
  <si>
    <t>599925640</t>
  </si>
  <si>
    <t>مودة الهور</t>
  </si>
  <si>
    <t>400915823</t>
  </si>
  <si>
    <t>1995-12-13</t>
  </si>
  <si>
    <t>595847870</t>
  </si>
  <si>
    <t>علا احمد محمد أبو جحجوح</t>
  </si>
  <si>
    <t>801416082</t>
  </si>
  <si>
    <t>599477426</t>
  </si>
  <si>
    <t>1983-06-19</t>
  </si>
  <si>
    <t>1994-01-20</t>
  </si>
  <si>
    <t>رانيا عبد الحميد ابو عيسى</t>
  </si>
  <si>
    <t>802089920</t>
  </si>
  <si>
    <t>1988-06-21</t>
  </si>
  <si>
    <t>599141673</t>
  </si>
  <si>
    <t>نداء عوض جبر الديري</t>
  </si>
  <si>
    <t>402164594</t>
  </si>
  <si>
    <t>1997-07-31</t>
  </si>
  <si>
    <t>592404720</t>
  </si>
  <si>
    <t>نور عبد العزيز احمد ابو صليح</t>
  </si>
  <si>
    <t>802829895</t>
  </si>
  <si>
    <t>597712643</t>
  </si>
  <si>
    <t>رواء عماد ماجد شبير</t>
  </si>
  <si>
    <t>409391018</t>
  </si>
  <si>
    <t>2004-09-08</t>
  </si>
  <si>
    <t>599329929</t>
  </si>
  <si>
    <t>وفاء طاهر محمد البسيوني</t>
  </si>
  <si>
    <t>408392900</t>
  </si>
  <si>
    <t>2002-11-06</t>
  </si>
  <si>
    <t>592674813</t>
  </si>
  <si>
    <t>وعد عبد الله محمد الأطرش</t>
  </si>
  <si>
    <t>424355857</t>
  </si>
  <si>
    <t>2006-12-11</t>
  </si>
  <si>
    <t>592511487</t>
  </si>
  <si>
    <t>2006-08-31</t>
  </si>
  <si>
    <t>حنين زياد عبدالجواد العواودة</t>
  </si>
  <si>
    <t>402508550</t>
  </si>
  <si>
    <t>1996-07-23</t>
  </si>
  <si>
    <t>597045603</t>
  </si>
  <si>
    <t>ايمان محمد علي عبد الهادي</t>
  </si>
  <si>
    <t>800096240</t>
  </si>
  <si>
    <t>1984-11-11</t>
  </si>
  <si>
    <t>594852256</t>
  </si>
  <si>
    <t>ميار فريد محمد النجار</t>
  </si>
  <si>
    <t>404778045</t>
  </si>
  <si>
    <t>1999-02-11</t>
  </si>
  <si>
    <t>597330760</t>
  </si>
  <si>
    <t>اية اياد زياد قنوع</t>
  </si>
  <si>
    <t>405202540</t>
  </si>
  <si>
    <t>2002-02-25</t>
  </si>
  <si>
    <t>597539163</t>
  </si>
  <si>
    <t>شيماء عيد محمد خطاب</t>
  </si>
  <si>
    <t>405187253</t>
  </si>
  <si>
    <t>2000-11-14</t>
  </si>
  <si>
    <t>597714124</t>
  </si>
  <si>
    <t>2007-09-21</t>
  </si>
  <si>
    <t>منى رزق محمد الزهارنة</t>
  </si>
  <si>
    <t>911871978</t>
  </si>
  <si>
    <t>1965-07-25</t>
  </si>
  <si>
    <t>هيام زياد حسن العصار</t>
  </si>
  <si>
    <t>421224262</t>
  </si>
  <si>
    <t>2005-02-20</t>
  </si>
  <si>
    <t>567265782</t>
  </si>
  <si>
    <t>هبة فرج رضوان المبيض</t>
  </si>
  <si>
    <t>402904825</t>
  </si>
  <si>
    <t>1997-03-24</t>
  </si>
  <si>
    <t>592754144</t>
  </si>
  <si>
    <t>امتثال ابراهيم محمد حمدان</t>
  </si>
  <si>
    <t>900315029</t>
  </si>
  <si>
    <t>1973-11-09</t>
  </si>
  <si>
    <t>599688952</t>
  </si>
  <si>
    <t>هناء احمد اسماعيل الخالدي</t>
  </si>
  <si>
    <t>405417171</t>
  </si>
  <si>
    <t>1999-02-18</t>
  </si>
  <si>
    <t>592569083</t>
  </si>
  <si>
    <t/>
  </si>
  <si>
    <t>2026-05-05</t>
  </si>
  <si>
    <t>فادي إسماعيل مسلم أبو ابطيحان</t>
  </si>
  <si>
    <t>ريا سوليم سليمان أبو بيحان</t>
  </si>
  <si>
    <t xml:space="preserve">يوسف احمد عطية الهبيل </t>
  </si>
  <si>
    <t xml:space="preserve">انتصار احمد محمد غالية </t>
  </si>
  <si>
    <t xml:space="preserve">ولاء محمد ناصر محمد عزام </t>
  </si>
  <si>
    <t xml:space="preserve">نبيل تامر نبيل عزام </t>
  </si>
  <si>
    <t xml:space="preserve">ملك ايمن فلاح عسلية </t>
  </si>
  <si>
    <t>نجاة فاروق عبد القاجر الجعل</t>
  </si>
  <si>
    <t xml:space="preserve">الهام جمعة محمود أبو سلطان </t>
  </si>
  <si>
    <t>امير محمد سمير أبو حجير</t>
  </si>
  <si>
    <t xml:space="preserve">لانا وليد عبد الله المفتي </t>
  </si>
  <si>
    <t xml:space="preserve">ديما عصام كمال حجاج </t>
  </si>
  <si>
    <t xml:space="preserve"> تحرير عدنان محمد حسونة</t>
  </si>
  <si>
    <t>سيلا رعد محمد حسونة</t>
  </si>
  <si>
    <t xml:space="preserve">ندى حاتم رجب أبو نصر </t>
  </si>
  <si>
    <t>هنادي محمود مروان العطار</t>
  </si>
  <si>
    <t xml:space="preserve">محمد احمد عبد السلام فتيحة </t>
  </si>
  <si>
    <t>سامية محمد عبد الرحمن براش</t>
  </si>
  <si>
    <t>هدى سالم محمد الغمري</t>
  </si>
  <si>
    <t xml:space="preserve">سميرة احمد موسى أبو الغصين </t>
  </si>
  <si>
    <t>اماني نبيل عبد العزيز القيسي</t>
  </si>
  <si>
    <t>نور الحياة رياض احمد عدس</t>
  </si>
  <si>
    <t xml:space="preserve">الهام محمد احمد شاهين </t>
  </si>
  <si>
    <t>ريتال يوسف يوسف أبو شمالة</t>
  </si>
  <si>
    <t xml:space="preserve">حنان خالد محمود قرضايا </t>
  </si>
  <si>
    <t xml:space="preserve">يوسف محمد معوض الميناوي </t>
  </si>
  <si>
    <t xml:space="preserve">سعاد عبد الله إسماعيل عيسى </t>
  </si>
  <si>
    <t>ملاك محمد عبد الله الحاج</t>
  </si>
  <si>
    <t xml:space="preserve">دانا حمادة رمضان غالية </t>
  </si>
  <si>
    <t>الاء عبد الرحمن كامل غالية</t>
  </si>
  <si>
    <t>ايمان فضل يونس اخروات</t>
  </si>
  <si>
    <t>محمد نافذ فايق اخروات</t>
  </si>
  <si>
    <t>زينة محمد نافذ اخروات</t>
  </si>
  <si>
    <t>هناء وائل سرحان كامل</t>
  </si>
  <si>
    <t>اليان منذر سمير الديب</t>
  </si>
  <si>
    <t xml:space="preserve">منذر سمير سعد الديب </t>
  </si>
  <si>
    <t xml:space="preserve">ريماس محمود عبد أبو عميرة </t>
  </si>
  <si>
    <t>سارة محمود عبد أبو عميرة</t>
  </si>
  <si>
    <t xml:space="preserve">جيهان جهاد شحدة أبو لوز </t>
  </si>
  <si>
    <t xml:space="preserve">علا صبحي عبد الله أبو لوز </t>
  </si>
  <si>
    <t xml:space="preserve">عوض هاني فايق اخروات </t>
  </si>
  <si>
    <t>زينة اكرم رياض حلس</t>
  </si>
  <si>
    <t xml:space="preserve">براء احمد سليمان حلس </t>
  </si>
  <si>
    <t>سحر أنور احمد جابر</t>
  </si>
  <si>
    <t xml:space="preserve">فيروز احمد حسن شويخ </t>
  </si>
  <si>
    <t xml:space="preserve">روز ياسر  شحادة حسين </t>
  </si>
  <si>
    <t>اميرة سامي سليمان الطيب</t>
  </si>
  <si>
    <t>ربا نعيم خليل الطيب</t>
  </si>
  <si>
    <t>حنين جبريل عبد الرحمن موسى</t>
  </si>
  <si>
    <t xml:space="preserve">تحرير اكرم إسماعيل حسين </t>
  </si>
  <si>
    <t xml:space="preserve">نورا محمد فواز أبو راشد </t>
  </si>
  <si>
    <t>نجود محمد موسى الزوارعة</t>
  </si>
  <si>
    <t>سحر محمد حسن العثماني</t>
  </si>
  <si>
    <t xml:space="preserve">هبة احمد سالم القيرناوي </t>
  </si>
  <si>
    <t xml:space="preserve">ملاك عبد الرحمن محمد القيرناوي </t>
  </si>
  <si>
    <t xml:space="preserve">سماح حسن احمد حمدان </t>
  </si>
  <si>
    <t xml:space="preserve">محمد رامي محمود أبو صبحة </t>
  </si>
  <si>
    <t xml:space="preserve">وسام عمر دياب منصور </t>
  </si>
  <si>
    <t xml:space="preserve">حبيبة خليل بشير الزعانين </t>
  </si>
  <si>
    <t xml:space="preserve">ترتيل منذر خالد أبو كميل </t>
  </si>
  <si>
    <t xml:space="preserve">علياء حمدان محمد أبو كميل </t>
  </si>
  <si>
    <t xml:space="preserve">ايمان جهاد شحدة بحر </t>
  </si>
  <si>
    <t xml:space="preserve">زهراء خالد محمود ظاهر </t>
  </si>
  <si>
    <t xml:space="preserve">رئيسة علي عبد العزيز السكافي </t>
  </si>
  <si>
    <t xml:space="preserve">ميرا شريف عوني كحيل </t>
  </si>
  <si>
    <t xml:space="preserve">ديانا كمال محمد دياب </t>
  </si>
  <si>
    <t xml:space="preserve">هديل محمد إسماعيل كحيل </t>
  </si>
  <si>
    <t xml:space="preserve">ختام خالد احمد أبو شيحة </t>
  </si>
  <si>
    <t xml:space="preserve">احمد ميسرة فايز كتكت </t>
  </si>
  <si>
    <t xml:space="preserve">فؤاد عبد الله سلمان التعبان </t>
  </si>
  <si>
    <t>2026-05-06</t>
  </si>
  <si>
    <t>1986-06-15</t>
  </si>
  <si>
    <t>لمياء حسن حسين الشاويش</t>
  </si>
  <si>
    <t>800112971</t>
  </si>
  <si>
    <t>1984-10-09</t>
  </si>
  <si>
    <t>599248577</t>
  </si>
  <si>
    <t>ضحى محمود مصطفى السويطي</t>
  </si>
  <si>
    <t>400628129</t>
  </si>
  <si>
    <t>592681364</t>
  </si>
  <si>
    <t>دفاع عبد الله محمد عمر</t>
  </si>
  <si>
    <t>802475525</t>
  </si>
  <si>
    <t>1989-12-09</t>
  </si>
  <si>
    <t>595606533</t>
  </si>
  <si>
    <t>اسلام محمد سلمان الحميدي</t>
  </si>
  <si>
    <t>803500594</t>
  </si>
  <si>
    <t>1992-04-02</t>
  </si>
  <si>
    <t>595485361</t>
  </si>
  <si>
    <t>حنان خالد عبد القادر نادية</t>
  </si>
  <si>
    <t>801432022</t>
  </si>
  <si>
    <t>1986-11-19</t>
  </si>
  <si>
    <t>599207273</t>
  </si>
  <si>
    <t>ليان شكري عبد العزيز نادية</t>
  </si>
  <si>
    <t>432974129</t>
  </si>
  <si>
    <t>2014-05-25</t>
  </si>
  <si>
    <t>ريما كنان شحدة ابو الكاس</t>
  </si>
  <si>
    <t>422565069</t>
  </si>
  <si>
    <t>2006-12-14</t>
  </si>
  <si>
    <t>599384246</t>
  </si>
  <si>
    <t>حياة كنعان شحدة أبو الكاس</t>
  </si>
  <si>
    <t>404609034</t>
  </si>
  <si>
    <t>1999-05-10</t>
  </si>
  <si>
    <t>599974857</t>
  </si>
  <si>
    <t>جملات جبر عيسى ابو لحية</t>
  </si>
  <si>
    <t>801759820</t>
  </si>
  <si>
    <t>1988-06-07</t>
  </si>
  <si>
    <t>595356530</t>
  </si>
  <si>
    <t>جود سالم محمد الغمري</t>
  </si>
  <si>
    <t>445138027</t>
  </si>
  <si>
    <t>2023-07-22</t>
  </si>
  <si>
    <t>599753365</t>
  </si>
  <si>
    <t>علي محمد مصطفى ابو عاصي</t>
  </si>
  <si>
    <t>972973192</t>
  </si>
  <si>
    <t>1974-07-21</t>
  </si>
  <si>
    <t>599296272</t>
  </si>
  <si>
    <t>ريهام عبد الله عبد العزيز زقوت</t>
  </si>
  <si>
    <t>803337922</t>
  </si>
  <si>
    <t>1993-10-22</t>
  </si>
  <si>
    <t>599662389</t>
  </si>
  <si>
    <t>يوسف رياض محمد الغول</t>
  </si>
  <si>
    <t>803438365</t>
  </si>
  <si>
    <t>1991-11-15</t>
  </si>
  <si>
    <t>592342178</t>
  </si>
  <si>
    <t>Host Community</t>
  </si>
  <si>
    <t>اميرة رمضان محمد حميد</t>
  </si>
  <si>
    <t>921481040</t>
  </si>
  <si>
    <t>1963-02-23</t>
  </si>
  <si>
    <t>599142044</t>
  </si>
  <si>
    <t>Hearing Disability</t>
  </si>
  <si>
    <t>اميرة باسم سامي حميد</t>
  </si>
  <si>
    <t>433273786</t>
  </si>
  <si>
    <t>2013-12-06</t>
  </si>
  <si>
    <t>روزان تامر سامي حميد</t>
  </si>
  <si>
    <t>408840098</t>
  </si>
  <si>
    <t>2005-04-02</t>
  </si>
  <si>
    <t>كريم امير جمعة مسعود</t>
  </si>
  <si>
    <t>401402173</t>
  </si>
  <si>
    <t>2026-03-02</t>
  </si>
  <si>
    <t>599384071</t>
  </si>
  <si>
    <t>رندة سامي عيد قنوع</t>
  </si>
  <si>
    <t>801819681</t>
  </si>
  <si>
    <t>1989-08-12</t>
  </si>
  <si>
    <t>599187403</t>
  </si>
  <si>
    <t>شادي صلاح محمود ابو جبل</t>
  </si>
  <si>
    <t>800032161</t>
  </si>
  <si>
    <t>1983-06-08</t>
  </si>
  <si>
    <t>نسمة جهاد صبري جندية</t>
  </si>
  <si>
    <t>804579613</t>
  </si>
  <si>
    <t>1994-06-10</t>
  </si>
  <si>
    <t>598778645</t>
  </si>
  <si>
    <t>نزار ابراهيم احمد درويش</t>
  </si>
  <si>
    <t>470489139</t>
  </si>
  <si>
    <t>2023-11-15</t>
  </si>
  <si>
    <t>سما كريم علي حمدان</t>
  </si>
  <si>
    <t>426194668</t>
  </si>
  <si>
    <t>2009-08-04</t>
  </si>
  <si>
    <t>567656437</t>
  </si>
  <si>
    <t>مي شادي خميس الحويحي</t>
  </si>
  <si>
    <t>430538926</t>
  </si>
  <si>
    <t>2011-10-31</t>
  </si>
  <si>
    <t>أسماء جميل محمود الكحلوت</t>
  </si>
  <si>
    <t>802303487</t>
  </si>
  <si>
    <t>1990-07-02</t>
  </si>
  <si>
    <t>566404262</t>
  </si>
  <si>
    <t>خالد مجدي خالد الكحلوات</t>
  </si>
  <si>
    <t>441303054</t>
  </si>
  <si>
    <t>2020-05-02</t>
  </si>
  <si>
    <t>سماح فايق محمد الحو</t>
  </si>
  <si>
    <t>802645796</t>
  </si>
  <si>
    <t>1990-08-15</t>
  </si>
  <si>
    <t>598268781</t>
  </si>
  <si>
    <t>كفاية توفيق محمد ابو مسلم</t>
  </si>
  <si>
    <t>910735356</t>
  </si>
  <si>
    <t>1972-11-02</t>
  </si>
  <si>
    <t>599538471</t>
  </si>
  <si>
    <t>دايم محمد فخري ظاهر</t>
  </si>
  <si>
    <t>444661482</t>
  </si>
  <si>
    <t>2022-11-09</t>
  </si>
  <si>
    <t>1998-09-01</t>
  </si>
  <si>
    <t>عبير زياد محمد القريناوي</t>
  </si>
  <si>
    <t>407198894</t>
  </si>
  <si>
    <t>2003-12-25</t>
  </si>
  <si>
    <t>595637197</t>
  </si>
  <si>
    <t>احمد ابراهيم سمير القرناوي</t>
  </si>
  <si>
    <t>444690127</t>
  </si>
  <si>
    <t>2024-05-08</t>
  </si>
  <si>
    <t>انغام كمال احمد الشريف</t>
  </si>
  <si>
    <t>407699149</t>
  </si>
  <si>
    <t>2002-07-23</t>
  </si>
  <si>
    <t>592394790</t>
  </si>
  <si>
    <t>شام بلال ربحي الكفارنة</t>
  </si>
  <si>
    <t>470929209</t>
  </si>
  <si>
    <t>2025-12-07</t>
  </si>
  <si>
    <t>مالك اكرم عبد الهادي شتات</t>
  </si>
  <si>
    <t>445381460</t>
  </si>
  <si>
    <t>2023-05-26</t>
  </si>
  <si>
    <t>امال محمد عبد الواحد النجمي</t>
  </si>
  <si>
    <t>954965992</t>
  </si>
  <si>
    <t>1970-12-19</t>
  </si>
  <si>
    <t>599356189</t>
  </si>
  <si>
    <t>رشا فؤاد خليل عثمان</t>
  </si>
  <si>
    <t>802350256</t>
  </si>
  <si>
    <t>1990-01-09</t>
  </si>
  <si>
    <t>599237346</t>
  </si>
  <si>
    <t>شيماء وليد سالم قويدر</t>
  </si>
  <si>
    <t>404617730</t>
  </si>
  <si>
    <t>1999-02-23</t>
  </si>
  <si>
    <t>595015467</t>
  </si>
  <si>
    <t>يمان صلاح محمد شلط</t>
  </si>
  <si>
    <t>444671028</t>
  </si>
  <si>
    <t>2024-12-21</t>
  </si>
  <si>
    <t>597512528</t>
  </si>
  <si>
    <t>اسلام امين حسن شلط</t>
  </si>
  <si>
    <t>803495878</t>
  </si>
  <si>
    <t>1991-10-05</t>
  </si>
  <si>
    <t>اعتماد حاتم فتحي الحواجري</t>
  </si>
  <si>
    <t>408667335</t>
  </si>
  <si>
    <t>2003-02-13</t>
  </si>
  <si>
    <t>593484631</t>
  </si>
  <si>
    <t>عليان محمد عليان شلدان</t>
  </si>
  <si>
    <t>410172118</t>
  </si>
  <si>
    <t>1968-11-08</t>
  </si>
  <si>
    <t>599799155</t>
  </si>
  <si>
    <t>سها طلال سرحان شلدان</t>
  </si>
  <si>
    <t>802102442</t>
  </si>
  <si>
    <t>1989-01-16</t>
  </si>
  <si>
    <t>سماح عبدالكريم عبد الله دلول</t>
  </si>
  <si>
    <t>424607497</t>
  </si>
  <si>
    <t>2007-10-13</t>
  </si>
  <si>
    <t>597192511</t>
  </si>
  <si>
    <t>بيسان جميل عطية النباهين</t>
  </si>
  <si>
    <t>441227907</t>
  </si>
  <si>
    <t>2018-08-22</t>
  </si>
  <si>
    <t>599811023</t>
  </si>
  <si>
    <t>الين خالد احمد مهدي</t>
  </si>
  <si>
    <t>445320906</t>
  </si>
  <si>
    <t>2023-10-20</t>
  </si>
  <si>
    <t>599443945</t>
  </si>
  <si>
    <t>تحسين اسماعيل تحسين البطنيجي</t>
  </si>
  <si>
    <t>470147463</t>
  </si>
  <si>
    <t>2024-12-14</t>
  </si>
  <si>
    <t>593221153</t>
  </si>
  <si>
    <t>بتول هايل عمر أبو جبل</t>
  </si>
  <si>
    <t>406066362</t>
  </si>
  <si>
    <t>2003-08-02</t>
  </si>
  <si>
    <t>رائد فوزي يوسف السمري</t>
  </si>
  <si>
    <t>926725664</t>
  </si>
  <si>
    <t>1984-06-12</t>
  </si>
  <si>
    <t>597100404</t>
  </si>
  <si>
    <t>هالة عطا عقاب ابو ظاهر</t>
  </si>
  <si>
    <t>400551057</t>
  </si>
  <si>
    <t>1997-04-22</t>
  </si>
  <si>
    <t>598940011</t>
  </si>
  <si>
    <t>تحرير فايق ابراهيم الكفارنة</t>
  </si>
  <si>
    <t>900258385</t>
  </si>
  <si>
    <t>1975-03-03</t>
  </si>
  <si>
    <t>599804223</t>
  </si>
  <si>
    <t>ليلى عباس عبد الله الددح</t>
  </si>
  <si>
    <t>801927021</t>
  </si>
  <si>
    <t>1989-12-06</t>
  </si>
  <si>
    <t>592411512</t>
  </si>
  <si>
    <t>خالد محمد خالد الددح</t>
  </si>
  <si>
    <t>470512633</t>
  </si>
  <si>
    <t>2026-03-03</t>
  </si>
  <si>
    <t>ضياء جبر محمد العصار</t>
  </si>
  <si>
    <t>400685095</t>
  </si>
  <si>
    <t>1996-09-21</t>
  </si>
  <si>
    <t>595964072</t>
  </si>
  <si>
    <t>2008-11-15</t>
  </si>
  <si>
    <t>عمر محمد علي ابو مسلم</t>
  </si>
  <si>
    <t>970306171</t>
  </si>
  <si>
    <t>1968-11-01</t>
  </si>
  <si>
    <t>599302490</t>
  </si>
  <si>
    <t>لولو جميل عطيه النباهين</t>
  </si>
  <si>
    <t>404637506</t>
  </si>
  <si>
    <t>2000-02-16</t>
  </si>
  <si>
    <t>598484156</t>
  </si>
  <si>
    <t>سامي محمد سالم الغمري</t>
  </si>
  <si>
    <t>801099888</t>
  </si>
  <si>
    <t>1983-08-12</t>
  </si>
  <si>
    <t>فاطمة علي خليل حسين</t>
  </si>
  <si>
    <t>804535748</t>
  </si>
  <si>
    <t>1994-08-04</t>
  </si>
  <si>
    <t>592651139</t>
  </si>
  <si>
    <t>سجى علي خليل حسين</t>
  </si>
  <si>
    <t>408773968</t>
  </si>
  <si>
    <t>2003-11-21</t>
  </si>
  <si>
    <t>592572325</t>
  </si>
  <si>
    <t>حنان ابراهيم محمد ابو حجر</t>
  </si>
  <si>
    <t>900583733</t>
  </si>
  <si>
    <t>1981-09-11</t>
  </si>
  <si>
    <t>593606201</t>
  </si>
  <si>
    <t xml:space="preserve">شهد موفق كامل النادي </t>
  </si>
  <si>
    <t>2026-05-07</t>
  </si>
  <si>
    <t xml:space="preserve">هداية عودة محمد النجار </t>
  </si>
  <si>
    <t xml:space="preserve">ديمة صبحي عبد الله أبو لوز </t>
  </si>
  <si>
    <t xml:space="preserve">ريم هاشم فتحي الحلو </t>
  </si>
  <si>
    <t xml:space="preserve">حنين محمد جمال عباس </t>
  </si>
  <si>
    <t xml:space="preserve">سحر عبد الله مسلم أبو خليل </t>
  </si>
  <si>
    <t xml:space="preserve">ايات اكرم عبد الله أبو حجير </t>
  </si>
  <si>
    <t xml:space="preserve">شيماء علي سليمان أبو صبرة </t>
  </si>
  <si>
    <t xml:space="preserve">يوسف احمدعثمان المصري </t>
  </si>
  <si>
    <t xml:space="preserve">مبروكة سماعيل احمد دلول </t>
  </si>
  <si>
    <t xml:space="preserve">بسمة محمد نمر الصواف </t>
  </si>
  <si>
    <t xml:space="preserve">امانة جلال محمد بن سعيد </t>
  </si>
  <si>
    <t xml:space="preserve">معتز اياد نواف صيام </t>
  </si>
  <si>
    <t xml:space="preserve">الاء عبد المنعم محمد البحر </t>
  </si>
  <si>
    <t xml:space="preserve">نوال حسان محمود وشاح </t>
  </si>
  <si>
    <t>منار مسلم سليمان أبو سماحة</t>
  </si>
  <si>
    <t xml:space="preserve">سعد محمود عابدين نجم </t>
  </si>
  <si>
    <t>هبة عيسى حسين مبحوح</t>
  </si>
  <si>
    <t xml:space="preserve">إسماعيل محمود محمد مقداد </t>
  </si>
  <si>
    <t xml:space="preserve">حور هيثم مصطفى أبو سرية </t>
  </si>
  <si>
    <t xml:space="preserve">ورود محمد سالم أبو سرية </t>
  </si>
  <si>
    <t xml:space="preserve">حنان خالد عبد القادر نادية </t>
  </si>
  <si>
    <t xml:space="preserve">رانية صلاح صبحي ربيع </t>
  </si>
  <si>
    <t xml:space="preserve">ماجد عبد العزيزوهدان </t>
  </si>
  <si>
    <t xml:space="preserve">نهال فضل إبراهيم طوطح </t>
  </si>
  <si>
    <t xml:space="preserve">عبد الله محمود عبد الله قمر </t>
  </si>
  <si>
    <t xml:space="preserve">ليلى خالد جابر حسان </t>
  </si>
  <si>
    <t xml:space="preserve">سمر خالد جابر حسان </t>
  </si>
  <si>
    <t xml:space="preserve">أحلام محمود يوسف شاهين </t>
  </si>
  <si>
    <t xml:space="preserve">محمد سالم محمد شاهين </t>
  </si>
  <si>
    <t xml:space="preserve">ملاك محمد عمر عبد القادر </t>
  </si>
  <si>
    <t xml:space="preserve">سلوى يوسففمحمد أبو الحصين </t>
  </si>
  <si>
    <t xml:space="preserve">فارس حسن صالح الافرنجي </t>
  </si>
  <si>
    <t xml:space="preserve">هناء زهير صبحي يونس </t>
  </si>
  <si>
    <t xml:space="preserve">تحريرحسام حسن الحلو </t>
  </si>
  <si>
    <t xml:space="preserve"> أسماء محمد حسن أبو هندي </t>
  </si>
  <si>
    <t xml:space="preserve">وتين محمد نبيل عابد </t>
  </si>
  <si>
    <t xml:space="preserve">ميس فايق هاني اخروات </t>
  </si>
  <si>
    <t xml:space="preserve">اسراء محمد عبد القادر عبد الهادي </t>
  </si>
  <si>
    <t xml:space="preserve">سحر حسن إسماعيل العفيفي </t>
  </si>
  <si>
    <t xml:space="preserve">كفاية مطاوع محمد حسب الله </t>
  </si>
  <si>
    <t xml:space="preserve">ايمان جمعة محمود الصباغ </t>
  </si>
  <si>
    <t xml:space="preserve">محمد أسامة محمد الصباغ </t>
  </si>
  <si>
    <t xml:space="preserve">محمد خالد إبراهيم صهيون </t>
  </si>
  <si>
    <t xml:space="preserve">شيماء علاء الدين سليمان المغربي </t>
  </si>
  <si>
    <t xml:space="preserve">جوري مهند صلاح مهدي </t>
  </si>
  <si>
    <t xml:space="preserve">شام مهند صلاح مهدي </t>
  </si>
  <si>
    <t xml:space="preserve">أحلام هاني فتيق اخروات </t>
  </si>
  <si>
    <t xml:space="preserve">حنان اسليم يوسف قاعود </t>
  </si>
  <si>
    <t xml:space="preserve">منار نوفل عبد الفتاح أبو العيش </t>
  </si>
  <si>
    <t xml:space="preserve">محمد عرابي عبد ربه عزيز </t>
  </si>
  <si>
    <t xml:space="preserve">فداء تحسين محمد خضير </t>
  </si>
  <si>
    <t xml:space="preserve">اسراءسعيد عثمان سلمان </t>
  </si>
  <si>
    <t xml:space="preserve">نداء نعيم احمد الحساسنة </t>
  </si>
  <si>
    <t xml:space="preserve">داليا إبراهيم سلامة أبو مدين </t>
  </si>
  <si>
    <t xml:space="preserve">لمار نائل محمد أبو مدين </t>
  </si>
  <si>
    <t xml:space="preserve">اخلاص احمد دياب أبو جراد </t>
  </si>
  <si>
    <t xml:space="preserve"> زينة محمد نافذ اخروات </t>
  </si>
  <si>
    <t xml:space="preserve">زينة يوسف فؤاد منصور </t>
  </si>
  <si>
    <t xml:space="preserve">يوسف فؤاد عبد القادر منصور </t>
  </si>
  <si>
    <t xml:space="preserve">كمال عوض يوسف رابعة </t>
  </si>
  <si>
    <t xml:space="preserve">عادل عمر محمد الكحلوت </t>
  </si>
  <si>
    <t xml:space="preserve">لينا محمد عدنان قاسم </t>
  </si>
  <si>
    <t xml:space="preserve">محمد عدنان حسين قاسم </t>
  </si>
  <si>
    <t xml:space="preserve">نداء فؤاد سعيد المسارعي </t>
  </si>
  <si>
    <t xml:space="preserve">نهى تحسين عبد الفتاح عودة </t>
  </si>
  <si>
    <t xml:space="preserve">فلسطين شعبان صالح الفيومي </t>
  </si>
  <si>
    <t xml:space="preserve">هدى عبد الرحمن الهور </t>
  </si>
  <si>
    <t xml:space="preserve">محمد فخري إبراهيم شويخ </t>
  </si>
  <si>
    <t xml:space="preserve">ادهم فخري إبراهيم شويخ </t>
  </si>
  <si>
    <t xml:space="preserve">رضا عبد الله كامل عوض </t>
  </si>
  <si>
    <t xml:space="preserve">إبراهيم محمد فارس الغرة </t>
  </si>
  <si>
    <t xml:space="preserve">ليلى محمد الهادي أبو عاصي </t>
  </si>
  <si>
    <t xml:space="preserve">علي محمد الهادي علي أبو عاصي </t>
  </si>
  <si>
    <t xml:space="preserve">فادي سعيد عزات أبو سلطان </t>
  </si>
  <si>
    <t xml:space="preserve">اماني محمد عيد أبو غبن </t>
  </si>
  <si>
    <t xml:space="preserve">بسمة ناصر فتحي زعرب </t>
  </si>
  <si>
    <t xml:space="preserve">بلال محمود شوقي أبو غبن </t>
  </si>
  <si>
    <t xml:space="preserve">تسنيم سامي شفيق النواجحة </t>
  </si>
  <si>
    <t xml:space="preserve">فريد إبراهيم محمد امن </t>
  </si>
  <si>
    <t xml:space="preserve">اسراء عبد الرحمن حسان فرج الله </t>
  </si>
  <si>
    <t xml:space="preserve">منة الله عبد الرحيم زهير حسين </t>
  </si>
  <si>
    <t xml:space="preserve">سلوى محمد إبراهيم أبو مسارعي </t>
  </si>
  <si>
    <t xml:space="preserve">فتحية عبد الخالق محمود العصار </t>
  </si>
  <si>
    <t xml:space="preserve">سندس ياسر جبر غزال </t>
  </si>
  <si>
    <t xml:space="preserve">زينات ياسر جبر غزال </t>
  </si>
  <si>
    <t xml:space="preserve">ليندا محمد سلامة غزال </t>
  </si>
  <si>
    <t xml:space="preserve">ملكوت محمود تيسير أبو شرخ </t>
  </si>
  <si>
    <t>محمد عبد المجيد محمد المبحوح</t>
  </si>
  <si>
    <t>2026-05-10</t>
  </si>
  <si>
    <t>تيسير حسن حسين أبو بطيحان</t>
  </si>
  <si>
    <t>محمد يحيى إبراهيم أبو دحروج</t>
  </si>
  <si>
    <t xml:space="preserve"> عماد طالب محمود يونس </t>
  </si>
  <si>
    <t xml:space="preserve">ثورة محمد محمد أبو الكاس </t>
  </si>
  <si>
    <t xml:space="preserve">حمزة احمد جميل الشعرواي </t>
  </si>
  <si>
    <t xml:space="preserve">محمد نشات محمد أبو الكاس </t>
  </si>
  <si>
    <t xml:space="preserve">شعبان راتب شعبان حمدان </t>
  </si>
  <si>
    <t xml:space="preserve">فلسطين محمد محمد يونس </t>
  </si>
  <si>
    <t xml:space="preserve">انس احمد محمد صالحة  </t>
  </si>
  <si>
    <t xml:space="preserve">فواز محمد درويش أبو راشد </t>
  </si>
  <si>
    <t xml:space="preserve">سماح ناهض فايوز اسليم </t>
  </si>
  <si>
    <t xml:space="preserve">اروى محمد يوسف اسليم </t>
  </si>
  <si>
    <t xml:space="preserve">امنة جميل موسى الدلو </t>
  </si>
  <si>
    <t xml:space="preserve">نيسان حازم احمد الدلو </t>
  </si>
  <si>
    <t xml:space="preserve">نور صبري محسين أبو ظاهر </t>
  </si>
  <si>
    <t xml:space="preserve">سجود محمد سالم المصالحة </t>
  </si>
  <si>
    <t xml:space="preserve">رنين مصعب يوسف اسليم </t>
  </si>
  <si>
    <t xml:space="preserve">أسماء موسى عمر اسليم </t>
  </si>
  <si>
    <t>امجاد زياد رمضان بدوي</t>
  </si>
  <si>
    <t xml:space="preserve">دعاء سليم علي الجوجو </t>
  </si>
  <si>
    <t xml:space="preserve">محمد يحي محمد الشافعي </t>
  </si>
  <si>
    <t>يزن مجدي عمر علوان</t>
  </si>
  <si>
    <t xml:space="preserve">نرمين سالم محمد علوان </t>
  </si>
  <si>
    <t xml:space="preserve">ميساء معين محمد العبد الكرد </t>
  </si>
  <si>
    <t xml:space="preserve">هبة حسن محمد أبو ركبة </t>
  </si>
  <si>
    <t>محمد محمد عبد الجواد أبو راعي</t>
  </si>
  <si>
    <t xml:space="preserve">احمد حسن عمر نصار </t>
  </si>
  <si>
    <t xml:space="preserve">سها بهاء الدين يوسف اسليم </t>
  </si>
  <si>
    <t xml:space="preserve">عاهد بهاء الدين يوسف سليم </t>
  </si>
  <si>
    <t xml:space="preserve">يوسف علي بهاءالدين سليم </t>
  </si>
  <si>
    <t xml:space="preserve">وردة احمد عبد العزيز البهتيني </t>
  </si>
  <si>
    <t>ضحى أنور ديب الشريف</t>
  </si>
  <si>
    <t>عمار عبد الفتاح عارف احمد</t>
  </si>
  <si>
    <t xml:space="preserve">براء خالد امين الهجين </t>
  </si>
  <si>
    <t>امل إبراهيم محمد سليم</t>
  </si>
  <si>
    <t>أسماء ايمن عمر شقورة</t>
  </si>
  <si>
    <t>مدللة خالد محمود البسيوني</t>
  </si>
  <si>
    <t>نورا  اكرم إسماعيل عيسى</t>
  </si>
  <si>
    <t xml:space="preserve">وئام يحيى إبراهيم الغصين </t>
  </si>
  <si>
    <t>فاطمة خليل محمد الجوجو</t>
  </si>
  <si>
    <t xml:space="preserve">بسمة علي نافذ البسيوني </t>
  </si>
  <si>
    <t>نسمة اكرم عبد الله أبو حجير</t>
  </si>
  <si>
    <t xml:space="preserve">سومة وليد محمد حجازي </t>
  </si>
  <si>
    <t>هيلين هيثم مهدي خليل</t>
  </si>
  <si>
    <t xml:space="preserve">ميرفت عباس عبد الله قمر </t>
  </si>
  <si>
    <t>اسراء ماجد عوض الغرابلي</t>
  </si>
  <si>
    <t>ياسمين طارق تيسير أبو هزاع</t>
  </si>
  <si>
    <t>سهير نعيم حسن أبو هزاع</t>
  </si>
  <si>
    <t>ماريا فادي ربحي ناصر</t>
  </si>
  <si>
    <t>الهام عادل حسن ناصر</t>
  </si>
  <si>
    <t xml:space="preserve">لولو جميل عطية النباهين </t>
  </si>
  <si>
    <t>مريم ادهم عبد الخالق الكفارنة</t>
  </si>
  <si>
    <t>هلا عبد الكريم توفيق قرموط</t>
  </si>
  <si>
    <t>راما فرج محمد البسوس</t>
  </si>
  <si>
    <t>إبراهيم احمد فرج البسوس</t>
  </si>
  <si>
    <t xml:space="preserve">حلا احمد فرج البسوس </t>
  </si>
  <si>
    <t xml:space="preserve">قمر ناصر صادق الشافعي </t>
  </si>
  <si>
    <t>وفاء رمضان رشدي الرفاتي</t>
  </si>
  <si>
    <t>ريتال لؤي عبد الرحيم جابر</t>
  </si>
  <si>
    <t xml:space="preserve">نهال فوزي احمد مهدي </t>
  </si>
  <si>
    <t xml:space="preserve">سجود خليل صالح السنداوي </t>
  </si>
  <si>
    <t xml:space="preserve">ختام محمود محمد الجمال </t>
  </si>
  <si>
    <t>نور سعيد عبد العاطي عبيد</t>
  </si>
  <si>
    <t>حور محمد غازي عاشور</t>
  </si>
  <si>
    <t xml:space="preserve">سعدي محمد حسن أبو شوارب </t>
  </si>
  <si>
    <t xml:space="preserve">تمني نايف سالم النباهين </t>
  </si>
  <si>
    <t>محمد إسماعيل حسن أبو ركبة</t>
  </si>
  <si>
    <t xml:space="preserve">محمود تيسير محمود أبو شرخ </t>
  </si>
  <si>
    <t>2026-05-11</t>
  </si>
  <si>
    <t>1969-06-05</t>
  </si>
  <si>
    <t>ايمان عماد فارس الحواجري</t>
  </si>
  <si>
    <t>804355279</t>
  </si>
  <si>
    <t>1993-07-24</t>
  </si>
  <si>
    <t>598135265</t>
  </si>
  <si>
    <t>مسك سهيل محمد البس</t>
  </si>
  <si>
    <t>444661334</t>
  </si>
  <si>
    <t>2023-11-11</t>
  </si>
  <si>
    <t>595373617</t>
  </si>
  <si>
    <t>محمد نائل محمد حموده</t>
  </si>
  <si>
    <t>429707466</t>
  </si>
  <si>
    <t>2010-11-27</t>
  </si>
  <si>
    <t>1981-06-09</t>
  </si>
  <si>
    <t>اسلام سمير عبد الله الفيومي</t>
  </si>
  <si>
    <t>803718691</t>
  </si>
  <si>
    <t>1992-11-30</t>
  </si>
  <si>
    <t>598833631</t>
  </si>
  <si>
    <t>1976-08-15</t>
  </si>
  <si>
    <t>052616549</t>
  </si>
  <si>
    <t>ناهد فريد عبدالله خروات</t>
  </si>
  <si>
    <t>801998386</t>
  </si>
  <si>
    <t>1988-07-06</t>
  </si>
  <si>
    <t>595553935</t>
  </si>
  <si>
    <t>سمير زهير سمير الطوط</t>
  </si>
  <si>
    <t>470636754</t>
  </si>
  <si>
    <t>2024-08-01</t>
  </si>
  <si>
    <t>598591627</t>
  </si>
  <si>
    <t>عزيه ماجد حسين منصور</t>
  </si>
  <si>
    <t>803361435</t>
  </si>
  <si>
    <t>1991-11-03</t>
  </si>
  <si>
    <t>وسام سالم سلام ابو جراد</t>
  </si>
  <si>
    <t>405863374</t>
  </si>
  <si>
    <t>2000-01-26</t>
  </si>
  <si>
    <t>592695894</t>
  </si>
  <si>
    <t>ريم سعيد زرعي العف</t>
  </si>
  <si>
    <t>802358911</t>
  </si>
  <si>
    <t>1989-10-20</t>
  </si>
  <si>
    <t>599956647</t>
  </si>
  <si>
    <t>فايده سيد علي رحيم</t>
  </si>
  <si>
    <t>413328410</t>
  </si>
  <si>
    <t>1950-11-30</t>
  </si>
  <si>
    <t>599015892</t>
  </si>
  <si>
    <t>تحرير وجيه جمال ابو سلطان</t>
  </si>
  <si>
    <t>803059534</t>
  </si>
  <si>
    <t>1991-01-16</t>
  </si>
  <si>
    <t>599530093</t>
  </si>
  <si>
    <t>ركان منير علي الوليد الهور</t>
  </si>
  <si>
    <t>440500882</t>
  </si>
  <si>
    <t>2020-05-11</t>
  </si>
  <si>
    <t>599268720</t>
  </si>
  <si>
    <t>منير علي محمد الوليد الهور</t>
  </si>
  <si>
    <t>909099582</t>
  </si>
  <si>
    <t>1981-07-19</t>
  </si>
  <si>
    <t>الهام جمعة محمود أبو سلطان</t>
  </si>
  <si>
    <t>800450306</t>
  </si>
  <si>
    <t>1985-04-17</t>
  </si>
  <si>
    <t>599622709</t>
  </si>
  <si>
    <t>يوسف محمد كامل سعد</t>
  </si>
  <si>
    <t>420569352</t>
  </si>
  <si>
    <t>2004-08-26</t>
  </si>
  <si>
    <t>599501494</t>
  </si>
  <si>
    <t>مروة محمد عليان أبو حجير</t>
  </si>
  <si>
    <t>803127695</t>
  </si>
  <si>
    <t>1993-01-13</t>
  </si>
  <si>
    <t>595341580</t>
  </si>
  <si>
    <t>لطيفه عبد القادر سليمان ابو فياض</t>
  </si>
  <si>
    <t>1960-03-05</t>
  </si>
  <si>
    <t>انغام محمد عليان ابو حجير</t>
  </si>
  <si>
    <t>404592032</t>
  </si>
  <si>
    <t>1999-01-21</t>
  </si>
  <si>
    <t>599366895</t>
  </si>
  <si>
    <t>ليلى عبد الرحمن مصطفى خطاب</t>
  </si>
  <si>
    <t>947651758</t>
  </si>
  <si>
    <t>1967-03-27</t>
  </si>
  <si>
    <t>598685020</t>
  </si>
  <si>
    <t>مالك بشار محمد أبو ظاهر</t>
  </si>
  <si>
    <t>470076365</t>
  </si>
  <si>
    <t>597937186</t>
  </si>
  <si>
    <t>1979-12-18</t>
  </si>
  <si>
    <t>هدى حسين عبدالله ابو شاويش</t>
  </si>
  <si>
    <t>942067562</t>
  </si>
  <si>
    <t>1966-01-13</t>
  </si>
  <si>
    <t>597107286</t>
  </si>
  <si>
    <t>1989-05-24</t>
  </si>
  <si>
    <t>مها شعبان محمد ابودان</t>
  </si>
  <si>
    <t>905382354</t>
  </si>
  <si>
    <t>1968-09-12</t>
  </si>
  <si>
    <t>597718886</t>
  </si>
  <si>
    <t>عبير محمود عبد الرحمن ابوعبيد</t>
  </si>
  <si>
    <t>901605410</t>
  </si>
  <si>
    <t>1978-02-12</t>
  </si>
  <si>
    <t>597037119</t>
  </si>
  <si>
    <t>جهاد هايل عمر أبو جبل</t>
  </si>
  <si>
    <t>470220252</t>
  </si>
  <si>
    <t>2023-10-16</t>
  </si>
  <si>
    <t>595708421</t>
  </si>
  <si>
    <t>تالة هايل عمر ابوجبل</t>
  </si>
  <si>
    <t>409658770</t>
  </si>
  <si>
    <t>2007-12-26</t>
  </si>
  <si>
    <t>559570842</t>
  </si>
  <si>
    <t>1985-02-05</t>
  </si>
  <si>
    <t>اسراء سليمان صقر العكلوك</t>
  </si>
  <si>
    <t>803605252</t>
  </si>
  <si>
    <t>1992-04-12</t>
  </si>
  <si>
    <t>595097192</t>
  </si>
  <si>
    <t>سها سمير محمد الخالدي</t>
  </si>
  <si>
    <t>801405390</t>
  </si>
  <si>
    <t>1986-01-28</t>
  </si>
  <si>
    <t>597855263</t>
  </si>
  <si>
    <t>سامي دياب حسن عياد</t>
  </si>
  <si>
    <t>930802434</t>
  </si>
  <si>
    <t>1960-07-13</t>
  </si>
  <si>
    <t>597763010</t>
  </si>
  <si>
    <t>فايزة محمد سالم أبو جبل</t>
  </si>
  <si>
    <t>950872739</t>
  </si>
  <si>
    <t>1961-09-25</t>
  </si>
  <si>
    <t>592877492</t>
  </si>
  <si>
    <t>منى عبد الرحمن عودة النعامي</t>
  </si>
  <si>
    <t>406097915</t>
  </si>
  <si>
    <t>2000-09-14</t>
  </si>
  <si>
    <t>059234993</t>
  </si>
  <si>
    <t>1987-08-30</t>
  </si>
  <si>
    <t>طارق زياد ديب زقول</t>
  </si>
  <si>
    <t>800278442</t>
  </si>
  <si>
    <t>1984-05-12</t>
  </si>
  <si>
    <t>599340873</t>
  </si>
  <si>
    <t>بسمة محمد نمر الصواف</t>
  </si>
  <si>
    <t>400796009</t>
  </si>
  <si>
    <t>1996-02-13</t>
  </si>
  <si>
    <t>599978000</t>
  </si>
  <si>
    <t>اية يونس احمد ابو عجوة</t>
  </si>
  <si>
    <t>802438390</t>
  </si>
  <si>
    <t>1990-11-13</t>
  </si>
  <si>
    <t>592188938</t>
  </si>
  <si>
    <t>فاتنه علي عبدالله احمد</t>
  </si>
  <si>
    <t>900324237</t>
  </si>
  <si>
    <t>1974-12-16</t>
  </si>
  <si>
    <t>598225754</t>
  </si>
  <si>
    <t>قمر محمد إبراهيم أبو عمشه</t>
  </si>
  <si>
    <t>400953782</t>
  </si>
  <si>
    <t>1995-11-25</t>
  </si>
  <si>
    <t>592574605</t>
  </si>
  <si>
    <t>عبد الرحيم لؤي عبد الرحيم جابر</t>
  </si>
  <si>
    <t>432345650</t>
  </si>
  <si>
    <t>2011-12-25</t>
  </si>
  <si>
    <t>598814773</t>
  </si>
  <si>
    <t>الاء سمير حسين ابو جلد</t>
  </si>
  <si>
    <t>400023180</t>
  </si>
  <si>
    <t>1994-06-02</t>
  </si>
  <si>
    <t>592814241</t>
  </si>
  <si>
    <t>1991-11-11</t>
  </si>
  <si>
    <t>وسام ماهر زكي ابو وطفه</t>
  </si>
  <si>
    <t>800659146</t>
  </si>
  <si>
    <t>1986-12-30</t>
  </si>
  <si>
    <t>059229597</t>
  </si>
  <si>
    <t>محمد احمد فوزي ابو وطفة</t>
  </si>
  <si>
    <t>444870976</t>
  </si>
  <si>
    <t>2021-05-11</t>
  </si>
  <si>
    <t>فايزه زكي يوسف ابو وطفه</t>
  </si>
  <si>
    <t>931230635</t>
  </si>
  <si>
    <t>1955-08-05</t>
  </si>
  <si>
    <t>سيف يوسف محمد عزيزة</t>
  </si>
  <si>
    <t>436025563</t>
  </si>
  <si>
    <t>2015-05-11</t>
  </si>
  <si>
    <t>598698426</t>
  </si>
  <si>
    <t>اميره اسماعيل مطر دويك</t>
  </si>
  <si>
    <t>800690646</t>
  </si>
  <si>
    <t>1987-04-12</t>
  </si>
  <si>
    <t>599882609</t>
  </si>
  <si>
    <t>هديل محمد نبيل ابوعبدة</t>
  </si>
  <si>
    <t>424355808</t>
  </si>
  <si>
    <t>2006-10-07</t>
  </si>
  <si>
    <t>594841315</t>
  </si>
  <si>
    <t>مصطفى محمد نبيل ابوعبدة</t>
  </si>
  <si>
    <t>433590692</t>
  </si>
  <si>
    <t>2014-04-06</t>
  </si>
  <si>
    <t>أحمد عزات منيب المشهراوي</t>
  </si>
  <si>
    <t>903317378</t>
  </si>
  <si>
    <t>1979-12-13</t>
  </si>
  <si>
    <t>599735762</t>
  </si>
  <si>
    <t>كفاح عدنان أحمد الديري</t>
  </si>
  <si>
    <t>900875238</t>
  </si>
  <si>
    <t>1975-06-14</t>
  </si>
  <si>
    <t>599787785</t>
  </si>
  <si>
    <t>دينا عماد عمر الديري</t>
  </si>
  <si>
    <t>2010-03-21</t>
  </si>
  <si>
    <t>نور الحياه رياض أحمد عدس</t>
  </si>
  <si>
    <t>402542484</t>
  </si>
  <si>
    <t>1997-01-26</t>
  </si>
  <si>
    <t>595102309</t>
  </si>
  <si>
    <t>اكتمال خليل سعود عدس</t>
  </si>
  <si>
    <t>470393935</t>
  </si>
  <si>
    <t>2023-12-11</t>
  </si>
  <si>
    <t>سميه سامي محمد الافرنجى</t>
  </si>
  <si>
    <t>800531790</t>
  </si>
  <si>
    <t>1985-07-30</t>
  </si>
  <si>
    <t>1951-01-07</t>
  </si>
  <si>
    <t>تحرير مهاجر سالم الترابين</t>
  </si>
  <si>
    <t>800459729</t>
  </si>
  <si>
    <t>1985-01-29</t>
  </si>
  <si>
    <t>597564849</t>
  </si>
  <si>
    <t>كامله صلاح الدين علي ابو جلهوم</t>
  </si>
  <si>
    <t>804599413</t>
  </si>
  <si>
    <t>1993-12-26</t>
  </si>
  <si>
    <t>592156791</t>
  </si>
  <si>
    <t>1995-03-28</t>
  </si>
  <si>
    <t>1976-08-30</t>
  </si>
  <si>
    <t>595659656</t>
  </si>
  <si>
    <t>ماهر محمد محي الدين البنا</t>
  </si>
  <si>
    <t>470553132</t>
  </si>
  <si>
    <t>2025-05-11</t>
  </si>
  <si>
    <t>عثمان علي عودة بن سعيد</t>
  </si>
  <si>
    <t>444996227</t>
  </si>
  <si>
    <t>599265654</t>
  </si>
  <si>
    <t>عمر علي عودة بن سعيد</t>
  </si>
  <si>
    <t>437010937</t>
  </si>
  <si>
    <t>2018-05-11</t>
  </si>
  <si>
    <t>ليام محمد خليل عاشور</t>
  </si>
  <si>
    <t>433479987</t>
  </si>
  <si>
    <t>2014-05-17</t>
  </si>
  <si>
    <t>592266734</t>
  </si>
  <si>
    <t>2026-05-12</t>
  </si>
  <si>
    <t>رائدة زياد حمودة بدرة</t>
  </si>
  <si>
    <t>رشا ماهر إبراهيم البحري</t>
  </si>
  <si>
    <t>أسامة صالح أسامة البحري</t>
  </si>
  <si>
    <t xml:space="preserve">احمد يوسف احمد الصعيدي </t>
  </si>
  <si>
    <t>محمد يوسف احمد الصعيدي</t>
  </si>
  <si>
    <t>هناء فادي منصور أبو خاطر</t>
  </si>
  <si>
    <t xml:space="preserve">منال إبراهيم إسماعيل بدوي </t>
  </si>
  <si>
    <t xml:space="preserve">عزيزة إسماعيل احمد بدوي </t>
  </si>
  <si>
    <t xml:space="preserve">فخرية جمعة صلاح حجي </t>
  </si>
  <si>
    <t>فداء رياض محمد أبو شرخ</t>
  </si>
  <si>
    <t xml:space="preserve">عماد اشرف اسليمان أبو عمشة </t>
  </si>
  <si>
    <t xml:space="preserve">ضحى محمود مصطفى السويركي </t>
  </si>
  <si>
    <t xml:space="preserve">ياسمين نافذ احمد الزعانين </t>
  </si>
  <si>
    <t>مكة عاهد ماهر الكفارنة</t>
  </si>
  <si>
    <t xml:space="preserve">جنان صلاح جمعة بدوي </t>
  </si>
  <si>
    <t xml:space="preserve">زهير عمر عمر اسليم </t>
  </si>
  <si>
    <t xml:space="preserve">محمد نوفل بدوي شويخ </t>
  </si>
  <si>
    <t xml:space="preserve">حمزة احمد نبيل الشعراوي </t>
  </si>
  <si>
    <t xml:space="preserve">نرجس عبد الفتاح تيسير عودة </t>
  </si>
  <si>
    <t xml:space="preserve">هديل بشير محمد نعيم </t>
  </si>
  <si>
    <t>محمد احمد فريد نعيم</t>
  </si>
  <si>
    <t xml:space="preserve">اسلام عبد الرحمن عودة النعامي </t>
  </si>
  <si>
    <t>اميرة نايف عبد الرحمن خبزة</t>
  </si>
  <si>
    <t xml:space="preserve">سماح عبد الله سلمان عبد العال </t>
  </si>
  <si>
    <t>ايات عيسى عمر اسليم</t>
  </si>
  <si>
    <t>نغم عيسى عمر اسليم</t>
  </si>
  <si>
    <t>تولين ايمن محمد اسليم</t>
  </si>
  <si>
    <t>وجدان أسامة محمد حسين</t>
  </si>
  <si>
    <t xml:space="preserve">محمود احمد فريد نعيم </t>
  </si>
  <si>
    <t>ياسمين رياض محمد أبو حمد</t>
  </si>
  <si>
    <t>اياد أسامة محمد الصباغ</t>
  </si>
  <si>
    <t>ديما أسامة  محمد الصباغ</t>
  </si>
  <si>
    <t>دينا ناصر محمد صافي</t>
  </si>
  <si>
    <t>هديل ناصر محمد صافي</t>
  </si>
  <si>
    <t>هديل موسى قاسم خلف</t>
  </si>
  <si>
    <t xml:space="preserve">هبة موسى صابر أبو عمشة </t>
  </si>
  <si>
    <t>امتياز احمد شوقي أبو غبن</t>
  </si>
  <si>
    <t xml:space="preserve">نصرة رمزي نصر عطالله </t>
  </si>
  <si>
    <t>امل عبد الخالق عبد الرازق الكفارنة</t>
  </si>
  <si>
    <t>سند محمد عالله الشرباصي</t>
  </si>
  <si>
    <t>شادي زكي جميل أبو طقية</t>
  </si>
  <si>
    <t xml:space="preserve">كرم يوسف إبراهيم حميد </t>
  </si>
  <si>
    <t>مريم حسن احمد حمدان</t>
  </si>
  <si>
    <t xml:space="preserve">هبة إسماعيل نبيل أبو زايدة </t>
  </si>
  <si>
    <t>مهند خالد نظمي هزاع</t>
  </si>
  <si>
    <t xml:space="preserve">وفاء عبد العزيز محمد هزاع </t>
  </si>
  <si>
    <t xml:space="preserve">دنيال نضال دنيال أبو قمر </t>
  </si>
  <si>
    <t xml:space="preserve">سميرة عصر عبد القادر أبو قمر </t>
  </si>
  <si>
    <t>امنة عبد الله عوض أبو قمر</t>
  </si>
  <si>
    <t xml:space="preserve">صابرين جواد محمود أبو هاني </t>
  </si>
  <si>
    <t xml:space="preserve">دنيا محمد خليل الشيخ حسين </t>
  </si>
  <si>
    <t>منى عمر محمود شاهين</t>
  </si>
  <si>
    <t xml:space="preserve">نور علي خليل حسين </t>
  </si>
  <si>
    <t>جنى عزمي خليل صرصور</t>
  </si>
  <si>
    <t>بيان إيهاب عامر البحيصي</t>
  </si>
  <si>
    <t xml:space="preserve">إبراهيم عبد الرحيم فتحي الشطلي </t>
  </si>
  <si>
    <t>صباح احمد محمد السموني</t>
  </si>
  <si>
    <t>2026-05-13</t>
  </si>
  <si>
    <t>900771916</t>
  </si>
  <si>
    <t>1977-03-11</t>
  </si>
  <si>
    <t>599183514</t>
  </si>
  <si>
    <t>زهر فخري بدوي الشويخ</t>
  </si>
  <si>
    <t>901275966</t>
  </si>
  <si>
    <t>1976-03-15</t>
  </si>
  <si>
    <t>592700193</t>
  </si>
  <si>
    <t>فاطمة عبد المحسن ابراهيم غبن</t>
  </si>
  <si>
    <t>404269763</t>
  </si>
  <si>
    <t>1998-11-06</t>
  </si>
  <si>
    <t>594581769</t>
  </si>
  <si>
    <t>ايمان فايق عبد العزيز عزيز</t>
  </si>
  <si>
    <t>912907623</t>
  </si>
  <si>
    <t>1968-09-20</t>
  </si>
  <si>
    <t>592185222</t>
  </si>
  <si>
    <t>عبد ربه عرابي عبد ربه عزيز</t>
  </si>
  <si>
    <t>438927956</t>
  </si>
  <si>
    <t>2017-10-28</t>
  </si>
  <si>
    <t>نعيمة جموع جمعة النجار</t>
  </si>
  <si>
    <t>906648894</t>
  </si>
  <si>
    <t>1984-04-04</t>
  </si>
  <si>
    <t>599858569</t>
  </si>
  <si>
    <t>ادهم عبد الخالق عبد الرازق الكفارنه</t>
  </si>
  <si>
    <t>900260688</t>
  </si>
  <si>
    <t>1974-03-21</t>
  </si>
  <si>
    <t>1991-01-20</t>
  </si>
  <si>
    <t>595660789</t>
  </si>
  <si>
    <t>الاء احمد حمودة دغمش</t>
  </si>
  <si>
    <t>422432914</t>
  </si>
  <si>
    <t>2000-07-13</t>
  </si>
  <si>
    <t>599172849</t>
  </si>
  <si>
    <t>فاتن احمد محمد صالحة</t>
  </si>
  <si>
    <t>404586349</t>
  </si>
  <si>
    <t>592469018</t>
  </si>
  <si>
    <t>صباح عبد الهادي محمد ابو عبيد</t>
  </si>
  <si>
    <t>408088177</t>
  </si>
  <si>
    <t>2002-10-18</t>
  </si>
  <si>
    <t>593980706</t>
  </si>
  <si>
    <t>اميره فوزي رجب العصار</t>
  </si>
  <si>
    <t>802259531</t>
  </si>
  <si>
    <t>1989-04-06</t>
  </si>
  <si>
    <t>599164337</t>
  </si>
  <si>
    <t>علا غسان عبد المالك الدحدوح</t>
  </si>
  <si>
    <t>402148654</t>
  </si>
  <si>
    <t>1996-10-03</t>
  </si>
  <si>
    <t>593014021</t>
  </si>
  <si>
    <t>ولاء علاء الدين سليمان السرحي</t>
  </si>
  <si>
    <t>400913208</t>
  </si>
  <si>
    <t>595941156</t>
  </si>
  <si>
    <t>ناديه فؤاد أحمد سلامة</t>
  </si>
  <si>
    <t>802051508</t>
  </si>
  <si>
    <t>1989-04-28</t>
  </si>
  <si>
    <t>599635226</t>
  </si>
  <si>
    <t>فؤاد علاء حسين سلامة</t>
  </si>
  <si>
    <t>470352790</t>
  </si>
  <si>
    <t>2024-09-13</t>
  </si>
  <si>
    <t>نداء فؤاد سعيد المسارعي</t>
  </si>
  <si>
    <t>400527875</t>
  </si>
  <si>
    <t>1996-01-08</t>
  </si>
  <si>
    <t>595396006</t>
  </si>
  <si>
    <t>2025-10-19</t>
  </si>
  <si>
    <t>صقر عبد الرحمن ابراهيم عودة</t>
  </si>
  <si>
    <t>445228760</t>
  </si>
  <si>
    <t>2021-11-10</t>
  </si>
  <si>
    <t>1999-02-13</t>
  </si>
  <si>
    <t>2006-08-18</t>
  </si>
  <si>
    <t>ناهد هاني درويش ابو تاقمبز</t>
  </si>
  <si>
    <t>402026215</t>
  </si>
  <si>
    <t>1997-05-13</t>
  </si>
  <si>
    <t>594360332</t>
  </si>
  <si>
    <t>نورهان أسامة يوسف زروق</t>
  </si>
  <si>
    <t>400543815</t>
  </si>
  <si>
    <t>1995-07-04</t>
  </si>
  <si>
    <t>592413184</t>
  </si>
  <si>
    <t>محمد نضال صلاح ابوجبل</t>
  </si>
  <si>
    <t>431774694</t>
  </si>
  <si>
    <t>2011-02-26</t>
  </si>
  <si>
    <t>595663446</t>
  </si>
  <si>
    <t>نضال صلاح محمود ابوجبل</t>
  </si>
  <si>
    <t>901475723</t>
  </si>
  <si>
    <t>1978-09-19</t>
  </si>
  <si>
    <t>سهام عبدالله أحمد ابوعيطة</t>
  </si>
  <si>
    <t>903628782</t>
  </si>
  <si>
    <t>1980-01-17</t>
  </si>
  <si>
    <t>597679737</t>
  </si>
  <si>
    <t>سراج بلال ربحي الكفارنة</t>
  </si>
  <si>
    <t>444624266</t>
  </si>
  <si>
    <t>2020-11-13</t>
  </si>
  <si>
    <t>2025-11-13</t>
  </si>
  <si>
    <t>محمد محمد محمد حسين</t>
  </si>
  <si>
    <t>440776235</t>
  </si>
  <si>
    <t>2018-05-13</t>
  </si>
  <si>
    <t>595075278</t>
  </si>
  <si>
    <t>صبا محمد محمد حسين</t>
  </si>
  <si>
    <t>444497739</t>
  </si>
  <si>
    <t>2023-05-13</t>
  </si>
  <si>
    <t>تغريد عدنان احمد ابو عبيد</t>
  </si>
  <si>
    <t>900188343</t>
  </si>
  <si>
    <t>1974-09-05</t>
  </si>
  <si>
    <t>جوري اسماعيل رائد الفقي</t>
  </si>
  <si>
    <t>470781022</t>
  </si>
  <si>
    <t>2025-09-13</t>
  </si>
  <si>
    <t>595272564</t>
  </si>
  <si>
    <t>هنا سالم مصباح الكتناني</t>
  </si>
  <si>
    <t>444913446</t>
  </si>
  <si>
    <t>2022-07-06</t>
  </si>
  <si>
    <t>علا أسعد عبد الله الزعانين</t>
  </si>
  <si>
    <t>901680983</t>
  </si>
  <si>
    <t>1977-09-02</t>
  </si>
  <si>
    <t>5983453104</t>
  </si>
  <si>
    <t>بيلاسان بشير خليل الزعانين</t>
  </si>
  <si>
    <t>436960561</t>
  </si>
  <si>
    <t>2016-05-13</t>
  </si>
  <si>
    <t>559834531</t>
  </si>
  <si>
    <t>مي علي أحمد عابد</t>
  </si>
  <si>
    <t>402509541</t>
  </si>
  <si>
    <t>1997-02-27</t>
  </si>
  <si>
    <t>599956328</t>
  </si>
  <si>
    <t>علي سعد الله عدنان جبريل</t>
  </si>
  <si>
    <t>445135932</t>
  </si>
  <si>
    <t>2022-05-13</t>
  </si>
  <si>
    <t>سجود سهيل مصلح سلمان</t>
  </si>
  <si>
    <t>402040398</t>
  </si>
  <si>
    <t>1996-08-29</t>
  </si>
  <si>
    <t>599526187</t>
  </si>
  <si>
    <t>هبة خليل يوسف ابو قطمة</t>
  </si>
  <si>
    <t>962823043</t>
  </si>
  <si>
    <t>1982-05-13</t>
  </si>
  <si>
    <t>592485275</t>
  </si>
  <si>
    <t>2003-01-16</t>
  </si>
  <si>
    <t>2024-08-28</t>
  </si>
  <si>
    <t>2000-10-30</t>
  </si>
  <si>
    <t>سماح وليد سعيد عليان</t>
  </si>
  <si>
    <t>803381435</t>
  </si>
  <si>
    <t>1992-10-07</t>
  </si>
  <si>
    <t>597239279</t>
  </si>
  <si>
    <t>غزل محمد عرفات شبير</t>
  </si>
  <si>
    <t>430648915</t>
  </si>
  <si>
    <t>2010-12-08</t>
  </si>
  <si>
    <t>598395583</t>
  </si>
  <si>
    <t>هويده عبدالله أحمد ابوعيطة</t>
  </si>
  <si>
    <t>800454092</t>
  </si>
  <si>
    <t>1985-02-12</t>
  </si>
  <si>
    <t>597976737</t>
  </si>
  <si>
    <t>هبه خضر حسن الحزوقي</t>
  </si>
  <si>
    <t>802395194</t>
  </si>
  <si>
    <t>1989-08-05</t>
  </si>
  <si>
    <t>599161398</t>
  </si>
  <si>
    <t>سراء محمد اسماعيل أبو جزر</t>
  </si>
  <si>
    <t>404155640</t>
  </si>
  <si>
    <t>1998-10-03</t>
  </si>
  <si>
    <t>567967859</t>
  </si>
  <si>
    <t>يوسف إبراهيم موسى ابو جبر</t>
  </si>
  <si>
    <t>938831224</t>
  </si>
  <si>
    <t>1963-04-12</t>
  </si>
  <si>
    <t>599314980</t>
  </si>
  <si>
    <t>محمد عبد الحي توفيق قرموط</t>
  </si>
  <si>
    <t>406050328</t>
  </si>
  <si>
    <t>2000-07-06</t>
  </si>
  <si>
    <t>599232755</t>
  </si>
  <si>
    <t>ايات امير ابراهيم ابو سمهدانه</t>
  </si>
  <si>
    <t>2026-05-14</t>
  </si>
  <si>
    <t>408721777</t>
  </si>
  <si>
    <t>2002-09-16</t>
  </si>
  <si>
    <t>1998-08-14</t>
  </si>
  <si>
    <t>إسراء موسى محمد العربيد</t>
  </si>
  <si>
    <t>400793261</t>
  </si>
  <si>
    <t>1995-08-06</t>
  </si>
  <si>
    <t>نازح</t>
  </si>
  <si>
    <t>1996-06-24</t>
  </si>
  <si>
    <t>سندس شريف عبد الله الحاوي</t>
  </si>
  <si>
    <t>420572075</t>
  </si>
  <si>
    <t>2004-09-02</t>
  </si>
  <si>
    <t>599486604</t>
  </si>
  <si>
    <t>سحر حسين حسن ابو فياض</t>
  </si>
  <si>
    <t>953242369</t>
  </si>
  <si>
    <t>1972-10-10</t>
  </si>
  <si>
    <t>0598297277</t>
  </si>
  <si>
    <t>سعدي محمد حسن ابو شوارب</t>
  </si>
  <si>
    <t>934863358</t>
  </si>
  <si>
    <t>1966-02-15</t>
  </si>
  <si>
    <t>0592116440</t>
  </si>
  <si>
    <t>رامي سالم مصباح الكتناني</t>
  </si>
  <si>
    <t>470839127</t>
  </si>
  <si>
    <t>0599989611</t>
  </si>
  <si>
    <t>ايمان احمد محسن عاشور</t>
  </si>
  <si>
    <t>470725458</t>
  </si>
  <si>
    <t>2025-08-14</t>
  </si>
  <si>
    <t>2007-03-29</t>
  </si>
  <si>
    <t>عبير عماد عمر الديري</t>
  </si>
  <si>
    <t>433189339</t>
  </si>
  <si>
    <t>2012-09-01</t>
  </si>
  <si>
    <t>0598699585</t>
  </si>
  <si>
    <t>عائشة عاطف طالب عبيان</t>
  </si>
  <si>
    <t>445410236</t>
  </si>
  <si>
    <t>2023-01-14</t>
  </si>
  <si>
    <t>0598726445</t>
  </si>
  <si>
    <t>علا عمر محارب سكر</t>
  </si>
  <si>
    <t>443244926</t>
  </si>
  <si>
    <t>2020-11-14</t>
  </si>
  <si>
    <t>0598127771</t>
  </si>
  <si>
    <t>سعاد جابر محمد ابو خريس</t>
  </si>
  <si>
    <t>958956369</t>
  </si>
  <si>
    <t>1961-04-01</t>
  </si>
  <si>
    <t>0567685307</t>
  </si>
  <si>
    <t>قمر اكرم عبد الله ابو حجير</t>
  </si>
  <si>
    <t>471090563</t>
  </si>
  <si>
    <t>2026-03-14</t>
  </si>
  <si>
    <t>0599622817</t>
  </si>
  <si>
    <t>سحر عبدالله مسلم ابو خليل</t>
  </si>
  <si>
    <t>802963678</t>
  </si>
  <si>
    <t>1991-04-21</t>
  </si>
  <si>
    <t>رهف شادي رمضان المقيد</t>
  </si>
  <si>
    <t>442397949</t>
  </si>
  <si>
    <t>2020-05-14</t>
  </si>
  <si>
    <t>0592726872</t>
  </si>
  <si>
    <t>بسمة رشيد عمر الكحلوت</t>
  </si>
  <si>
    <t>405904426</t>
  </si>
  <si>
    <t>2000-02-29</t>
  </si>
  <si>
    <t>592475139</t>
  </si>
  <si>
    <t>NO</t>
  </si>
  <si>
    <t>خلود أحمد محمد شاهين</t>
  </si>
  <si>
    <t>1977-07-11</t>
  </si>
  <si>
    <t>0595265889</t>
  </si>
  <si>
    <t>عبير رمضان سعد الاعرج</t>
  </si>
  <si>
    <t>470822040</t>
  </si>
  <si>
    <t>0595756106</t>
  </si>
  <si>
    <t>انتصار مصطفى محمود ساكن</t>
  </si>
  <si>
    <t>800050874</t>
  </si>
  <si>
    <t>1983-07-19</t>
  </si>
  <si>
    <t>0598418288</t>
  </si>
  <si>
    <t>أحمد ابراهيم عبد الهادي صيدم</t>
  </si>
  <si>
    <t>410076715</t>
  </si>
  <si>
    <t>1946-01-03</t>
  </si>
  <si>
    <t>1997-02-13</t>
  </si>
  <si>
    <t>فاطمة علي يوسف العطار</t>
  </si>
  <si>
    <t>445615016</t>
  </si>
  <si>
    <t>2022-05-14</t>
  </si>
  <si>
    <t>0599144319</t>
  </si>
  <si>
    <t>لينا سفيان يوسف الفيري</t>
  </si>
  <si>
    <t>403311905</t>
  </si>
  <si>
    <t>1998-02-13</t>
  </si>
  <si>
    <t>597361977</t>
  </si>
  <si>
    <t>ميساء محمد احمد ابو عبدو</t>
  </si>
  <si>
    <t>803927896</t>
  </si>
  <si>
    <t>1994-08-18</t>
  </si>
  <si>
    <t>592517304</t>
  </si>
  <si>
    <t>لبنى عبد العزيز محمد ابو صبره</t>
  </si>
  <si>
    <t>1976-02-22</t>
  </si>
  <si>
    <t>0597113683</t>
  </si>
  <si>
    <t>2001-08-08</t>
  </si>
  <si>
    <t>0597679737</t>
  </si>
  <si>
    <t>1995-12-30</t>
  </si>
  <si>
    <t>0597823021</t>
  </si>
  <si>
    <t>ياسمين محمد يوسف ابو عون</t>
  </si>
  <si>
    <t>803640408</t>
  </si>
  <si>
    <t>1992-05-02</t>
  </si>
  <si>
    <t>0597741882</t>
  </si>
  <si>
    <t>سيف يوسف محمد العزايزة</t>
  </si>
  <si>
    <t>2015-05-14</t>
  </si>
  <si>
    <t>0599905032</t>
  </si>
  <si>
    <t>اسراء رشدي مصطفى حجي</t>
  </si>
  <si>
    <t>402539621</t>
  </si>
  <si>
    <t>1997-02-01</t>
  </si>
  <si>
    <t>0595121595</t>
  </si>
  <si>
    <t>ادهم فخري ابراهيم شويخ</t>
  </si>
  <si>
    <t>445514227</t>
  </si>
  <si>
    <t>اخلاص أمير محمود بارود</t>
  </si>
  <si>
    <t>400040499</t>
  </si>
  <si>
    <t>1994-06-25</t>
  </si>
  <si>
    <t>0595797877</t>
  </si>
  <si>
    <t>سجى عزمي خليل صرصور</t>
  </si>
  <si>
    <t>424419687</t>
  </si>
  <si>
    <t>2007-05-12</t>
  </si>
  <si>
    <t>592024047</t>
  </si>
  <si>
    <t>منار زاهر فخري صيام</t>
  </si>
  <si>
    <t>407207422</t>
  </si>
  <si>
    <t>2001-11-11</t>
  </si>
  <si>
    <t>598670860</t>
  </si>
  <si>
    <t>آدم محمد عاصم اسماعيل زايد</t>
  </si>
  <si>
    <t>433446762</t>
  </si>
  <si>
    <t>2012-10-01</t>
  </si>
  <si>
    <t>0594303121</t>
  </si>
  <si>
    <t>ولاء خالد توفيق ابو حسنين</t>
  </si>
  <si>
    <t>802863563</t>
  </si>
  <si>
    <t>1991-03-15</t>
  </si>
  <si>
    <t>حمزة أحمد نبيل الشعراوي</t>
  </si>
  <si>
    <t>431935188</t>
  </si>
  <si>
    <t>2013-12-04</t>
  </si>
  <si>
    <t>0595266744</t>
  </si>
  <si>
    <t>ابتسام رمزي يوسف معيط</t>
  </si>
  <si>
    <t>802716886</t>
  </si>
  <si>
    <t>1990-06-03</t>
  </si>
  <si>
    <t>599478710</t>
  </si>
  <si>
    <t>ريماس محمود عبد ابو عميرة</t>
  </si>
  <si>
    <t>427135843</t>
  </si>
  <si>
    <t>2009-03-31</t>
  </si>
  <si>
    <t>0599912424</t>
  </si>
  <si>
    <t>شام محمود عبد ابو عميرة</t>
  </si>
  <si>
    <t>441375011</t>
  </si>
  <si>
    <t>2019-05-14</t>
  </si>
  <si>
    <t>1995-09-27</t>
  </si>
  <si>
    <t>أحمد نبيل السيد الشعراوي</t>
  </si>
  <si>
    <t>803355346</t>
  </si>
  <si>
    <t>1991-10-23</t>
  </si>
  <si>
    <t>نهلة وائل محمد ابو منصور</t>
  </si>
  <si>
    <t>803278399</t>
  </si>
  <si>
    <t>1992-04-30</t>
  </si>
  <si>
    <t>597240885</t>
  </si>
  <si>
    <t>أحمد فوزي أحمد ابو وطفه</t>
  </si>
  <si>
    <t>905264008</t>
  </si>
  <si>
    <t>1980-07-01</t>
  </si>
  <si>
    <t>0567121398</t>
  </si>
  <si>
    <t>ضحا زاهد ابراهيم ابوعبدو</t>
  </si>
  <si>
    <t>409524402</t>
  </si>
  <si>
    <t>2004-01-21</t>
  </si>
  <si>
    <t>0599010498</t>
  </si>
  <si>
    <t>مرام بلال زهير ابو عبدو</t>
  </si>
  <si>
    <t>444086524</t>
  </si>
  <si>
    <t>2023-05-14</t>
  </si>
  <si>
    <t>غاده عيسى خليل أبو جراد</t>
  </si>
  <si>
    <t>402131197</t>
  </si>
  <si>
    <t>1996-09-23</t>
  </si>
  <si>
    <t>0592643536</t>
  </si>
  <si>
    <t>ازهار كمال أحمد حمدان</t>
  </si>
  <si>
    <t>804531119</t>
  </si>
  <si>
    <t>1993-09-16</t>
  </si>
  <si>
    <t>0599503998</t>
  </si>
  <si>
    <t>أحلام اسد مصطفى الجمال</t>
  </si>
  <si>
    <t>406066555</t>
  </si>
  <si>
    <t>2000-08-12</t>
  </si>
  <si>
    <t>0599065993</t>
  </si>
  <si>
    <t>ورده كمال كامل اسليم</t>
  </si>
  <si>
    <t>949826226</t>
  </si>
  <si>
    <t>1983-04-01</t>
  </si>
  <si>
    <t>059700488</t>
  </si>
  <si>
    <t>أحمد محمود يوسف أبو الخير</t>
  </si>
  <si>
    <t>803853548</t>
  </si>
  <si>
    <t>1992-11-02</t>
  </si>
  <si>
    <t>0560598616</t>
  </si>
  <si>
    <t>عبد الله ربحي محمد الكفارنه</t>
  </si>
  <si>
    <t>421191735</t>
  </si>
  <si>
    <t>2005-07-15</t>
  </si>
  <si>
    <t>0598574772</t>
  </si>
  <si>
    <t>نور ربحي محمد الكفارنه</t>
  </si>
  <si>
    <t>409881034</t>
  </si>
  <si>
    <t>2004-02-08</t>
  </si>
  <si>
    <t>جنات اسماعيل عبد المعطي الافرنجى</t>
  </si>
  <si>
    <t>430546119</t>
  </si>
  <si>
    <t>2011-01-18</t>
  </si>
  <si>
    <t>0599268740</t>
  </si>
  <si>
    <t>سما فايز عزمي ابو طبق</t>
  </si>
  <si>
    <t>441129160</t>
  </si>
  <si>
    <t>0599744843</t>
  </si>
  <si>
    <t>ميار فايز عزمي أبو طبق</t>
  </si>
  <si>
    <t>445466626</t>
  </si>
  <si>
    <t>2021-06-27</t>
  </si>
  <si>
    <t>599744843</t>
  </si>
  <si>
    <t>وسام خليل سليمان ابو درويش</t>
  </si>
  <si>
    <t>909129868</t>
  </si>
  <si>
    <t>1981-04-03</t>
  </si>
  <si>
    <t>0599563291</t>
  </si>
  <si>
    <t>لانا احمد محمد الرملاوي</t>
  </si>
  <si>
    <t>445723513</t>
  </si>
  <si>
    <t>2021-05-14</t>
  </si>
  <si>
    <t>0598799616</t>
  </si>
  <si>
    <t>1983-07-15</t>
  </si>
  <si>
    <t>منة لؤي عبد الرحيم جابر</t>
  </si>
  <si>
    <t>433584976</t>
  </si>
  <si>
    <t>0595656559</t>
  </si>
  <si>
    <t>SRH Services</t>
  </si>
  <si>
    <t>Mal-Nutirion</t>
  </si>
  <si>
    <t>Gender</t>
  </si>
  <si>
    <t>Sites</t>
  </si>
  <si>
    <t>Screeining</t>
  </si>
  <si>
    <t>North Gaza</t>
  </si>
  <si>
    <t>Gaza Clinic</t>
  </si>
  <si>
    <t xml:space="preserve"> </t>
  </si>
  <si>
    <t>Screeining and Referral</t>
  </si>
  <si>
    <t>SAM referal</t>
  </si>
  <si>
    <t>Nussirat Clinic</t>
  </si>
  <si>
    <t>MAM referal</t>
  </si>
  <si>
    <t>Alzahra City</t>
  </si>
  <si>
    <t>Berka Clinic</t>
  </si>
  <si>
    <t>Hiker Clinic</t>
  </si>
  <si>
    <t>Jameel Wadie Clinic</t>
  </si>
  <si>
    <t>Majidah Clinic</t>
  </si>
  <si>
    <t>ACHA</t>
  </si>
  <si>
    <t>Almusadar</t>
  </si>
  <si>
    <t>CFTA</t>
  </si>
  <si>
    <t>Khanyouni- Almawasi</t>
  </si>
  <si>
    <t>Rafah</t>
  </si>
  <si>
    <t xml:space="preserve">consulations </t>
  </si>
  <si>
    <t>Males</t>
  </si>
  <si>
    <t>Females</t>
  </si>
  <si>
    <t>Total</t>
  </si>
  <si>
    <t>Service</t>
  </si>
  <si>
    <t>(0-5)</t>
  </si>
  <si>
    <t>(6-18)</t>
  </si>
  <si>
    <t>(19-60)</t>
  </si>
  <si>
    <t>(+60)</t>
  </si>
  <si>
    <t>FM-NCD</t>
  </si>
  <si>
    <t>SRH-ANC</t>
  </si>
  <si>
    <t>SRH-PNC</t>
  </si>
  <si>
    <t>SRH-FP</t>
  </si>
  <si>
    <t>SRH-Gynea Care</t>
  </si>
  <si>
    <t>SRH- Other</t>
  </si>
  <si>
    <t>Totals</t>
  </si>
  <si>
    <t>Services</t>
  </si>
  <si>
    <t>Displacement tracker</t>
  </si>
  <si>
    <t>Count of Displacment Tracker</t>
  </si>
  <si>
    <t>FM service</t>
  </si>
  <si>
    <t>SRH Service</t>
  </si>
  <si>
    <t>Grand Total</t>
  </si>
  <si>
    <t>Total Consulations</t>
  </si>
  <si>
    <t>Total SRH Consulations</t>
  </si>
  <si>
    <t>Total of Wound Care</t>
  </si>
  <si>
    <t>Total of Breast Cancer</t>
  </si>
  <si>
    <t>Age Groups</t>
  </si>
  <si>
    <t>Agr Groups Vs SRH services</t>
  </si>
  <si>
    <t>Row Labels</t>
  </si>
  <si>
    <t>Total Patients</t>
  </si>
  <si>
    <t>Total Pateints</t>
  </si>
  <si>
    <t>PWD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</si>
</sst>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B1mmm\-yy"/>
    <numFmt numFmtId="165" formatCode="yyyy\-mm\-dd\ h:mm:ss"/>
    <numFmt numFmtId="166" formatCode="m/d/yyyy"/>
  </numFmts>
  <fonts count="24">
    <font>
      <sz val="11.0"/>
      <color theme="1"/>
      <name val="Calibri"/>
      <scheme val="minor"/>
    </font>
    <font>
      <b/>
      <sz val="14.0"/>
      <color rgb="FFFFFFFF"/>
      <name val="Times New Roman"/>
    </font>
    <font/>
    <font>
      <b/>
      <sz val="11.0"/>
      <color theme="1"/>
      <name val="Arial"/>
    </font>
    <font>
      <b/>
      <sz val="14.0"/>
      <color theme="1"/>
      <name val="Times New Roman"/>
    </font>
    <font>
      <sz val="11.0"/>
      <color theme="1"/>
      <name val="Arial"/>
    </font>
    <font>
      <sz val="11.0"/>
      <color theme="1"/>
      <name val="Times New Roman"/>
    </font>
    <font>
      <b/>
      <sz val="11.0"/>
      <color rgb="FFFFFFFF"/>
      <name val="Times New Roman"/>
    </font>
    <font>
      <b/>
      <sz val="11.0"/>
      <color theme="1"/>
      <name val="Times New Roman"/>
    </font>
    <font>
      <b/>
      <sz val="11.0"/>
      <color theme="9"/>
      <name val="Arial"/>
    </font>
    <font>
      <b/>
      <sz val="11.0"/>
      <color rgb="FF0070C0"/>
      <name val="Arial"/>
    </font>
    <font>
      <b/>
      <sz val="11.0"/>
      <color rgb="FFFF0000"/>
      <name val="Arial"/>
    </font>
    <font>
      <b/>
      <sz val="11.0"/>
      <color rgb="FFC55A11"/>
      <name val="Arial"/>
    </font>
    <font>
      <b/>
      <sz val="12.0"/>
      <color theme="1"/>
      <name val="Times New Roman"/>
    </font>
    <font>
      <sz val="11.0"/>
      <color rgb="FFFFFFFF"/>
      <name val="Times New Roman"/>
    </font>
    <font>
      <sz val="11.0"/>
      <color theme="1"/>
      <name val="Calibri"/>
    </font>
    <font>
      <sz val="11.0"/>
      <color theme="1"/>
      <name val="FreeSans"/>
    </font>
    <font>
      <b/>
      <sz val="12.0"/>
      <color rgb="FFFF0000"/>
      <name val="Times New Roman"/>
    </font>
    <font>
      <b/>
      <sz val="11.0"/>
      <color rgb="FFFF0000"/>
      <name val="Times New Roman"/>
    </font>
    <font>
      <sz val="11.0"/>
      <color rgb="FFFF0000"/>
      <name val="Times New Roman"/>
    </font>
    <font>
      <sz val="11.0"/>
      <color rgb="FFFF0000"/>
      <name val="Calibri"/>
    </font>
    <font>
      <sz val="12.0"/>
      <color theme="1"/>
      <name val="Calibri"/>
    </font>
    <font>
      <sz val="11.0"/>
      <color rgb="FFFFFFFF"/>
      <name val="Calibri"/>
    </font>
    <font>
      <b/>
      <sz val="11.0"/>
      <color theme="1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F7CAAC"/>
        <bgColor rgb="FFF7CAAC"/>
      </patternFill>
    </fill>
    <fill>
      <patternFill patternType="solid">
        <fgColor rgb="FFFF66FF"/>
        <bgColor rgb="FFFF66FF"/>
      </patternFill>
    </fill>
    <fill>
      <patternFill patternType="solid">
        <fgColor rgb="FFFF5050"/>
        <bgColor rgb="FFFF5050"/>
      </patternFill>
    </fill>
    <fill>
      <patternFill patternType="solid">
        <fgColor rgb="FFBDD6EE"/>
        <bgColor rgb="FFBDD6EE"/>
      </patternFill>
    </fill>
    <fill>
      <patternFill patternType="solid">
        <fgColor rgb="FFFFC000"/>
        <bgColor rgb="FFFFC000"/>
      </patternFill>
    </fill>
    <fill>
      <patternFill patternType="solid">
        <fgColor rgb="FFFF99FF"/>
        <bgColor rgb="FFFF99FF"/>
      </patternFill>
    </fill>
    <fill>
      <patternFill patternType="solid">
        <fgColor rgb="FFDC3939"/>
        <bgColor rgb="FFDC3939"/>
      </patternFill>
    </fill>
    <fill>
      <patternFill patternType="solid">
        <fgColor rgb="FFFFFF00"/>
        <bgColor rgb="FFFFFF00"/>
      </patternFill>
    </fill>
    <fill>
      <patternFill patternType="solid">
        <fgColor rgb="FFC189F7"/>
        <bgColor rgb="FFC189F7"/>
      </patternFill>
    </fill>
    <fill>
      <patternFill patternType="solid">
        <fgColor rgb="FFE5E5E5"/>
        <bgColor rgb="FFE5E5E5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8EAADB"/>
        <bgColor rgb="FF8EAADB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</border>
    <border>
      <left/>
      <right/>
      <top/>
      <bottom/>
    </border>
    <border>
      <left style="thin">
        <color rgb="FF9CC2E5"/>
      </left>
      <right style="thin">
        <color rgb="FF9CC2E5"/>
      </right>
      <top style="thin">
        <color rgb="FF9CC2E5"/>
      </top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vertical="center"/>
    </xf>
    <xf borderId="5" fillId="4" fontId="1" numFmtId="0" xfId="0" applyAlignment="1" applyBorder="1" applyFill="1" applyFont="1">
      <alignment vertical="center"/>
    </xf>
    <xf borderId="6" fillId="5" fontId="3" numFmtId="0" xfId="0" applyAlignment="1" applyBorder="1" applyFill="1" applyFont="1">
      <alignment horizontal="center" readingOrder="0" vertical="center"/>
    </xf>
    <xf borderId="6" fillId="5" fontId="3" numFmtId="0" xfId="0" applyAlignment="1" applyBorder="1" applyFont="1">
      <alignment horizontal="center" vertical="center"/>
    </xf>
    <xf borderId="7" fillId="4" fontId="1" numFmtId="0" xfId="0" applyAlignment="1" applyBorder="1" applyFont="1">
      <alignment vertical="center"/>
    </xf>
    <xf borderId="7" fillId="4" fontId="4" numFmtId="0" xfId="0" applyAlignment="1" applyBorder="1" applyFont="1">
      <alignment readingOrder="0" vertical="center"/>
    </xf>
    <xf borderId="7" fillId="6" fontId="5" numFmtId="0" xfId="0" applyAlignment="1" applyBorder="1" applyFill="1" applyFont="1">
      <alignment horizontal="center" shrinkToFit="0" vertical="center" wrapText="1"/>
    </xf>
    <xf borderId="7" fillId="7" fontId="5" numFmtId="0" xfId="0" applyAlignment="1" applyBorder="1" applyFill="1" applyFont="1">
      <alignment horizontal="center" shrinkToFit="0" vertical="center" wrapText="1"/>
    </xf>
    <xf borderId="7" fillId="8" fontId="5" numFmtId="0" xfId="0" applyAlignment="1" applyBorder="1" applyFill="1" applyFont="1">
      <alignment horizontal="center" shrinkToFit="0" vertical="center" wrapText="1"/>
    </xf>
    <xf borderId="7" fillId="9" fontId="5" numFmtId="0" xfId="0" applyAlignment="1" applyBorder="1" applyFill="1" applyFont="1">
      <alignment horizontal="center" shrinkToFit="0" vertical="center" wrapText="1"/>
    </xf>
    <xf borderId="7" fillId="10" fontId="5" numFmtId="0" xfId="0" applyAlignment="1" applyBorder="1" applyFill="1" applyFont="1">
      <alignment horizontal="center" shrinkToFit="0" vertical="center" wrapText="1"/>
    </xf>
    <xf borderId="0" fillId="0" fontId="6" numFmtId="0" xfId="0" applyFont="1"/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7" fillId="10" fontId="5" numFmtId="0" xfId="0" applyAlignment="1" applyBorder="1" applyFont="1">
      <alignment horizontal="center" readingOrder="0" shrinkToFit="0" vertical="center" wrapText="1"/>
    </xf>
    <xf borderId="1" fillId="2" fontId="7" numFmtId="0" xfId="0" applyAlignment="1" applyBorder="1" applyFont="1">
      <alignment horizontal="center" vertical="center"/>
    </xf>
    <xf borderId="1" fillId="11" fontId="8" numFmtId="0" xfId="0" applyAlignment="1" applyBorder="1" applyFill="1" applyFont="1">
      <alignment horizontal="center" vertical="center"/>
    </xf>
    <xf borderId="4" fillId="4" fontId="8" numFmtId="0" xfId="0" applyBorder="1" applyFont="1"/>
    <xf borderId="7" fillId="4" fontId="8" numFmtId="0" xfId="0" applyBorder="1" applyFont="1"/>
    <xf borderId="6" fillId="0" fontId="9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7" fillId="4" fontId="8" numFmtId="0" xfId="0" applyAlignment="1" applyBorder="1" applyFont="1">
      <alignment readingOrder="0"/>
    </xf>
    <xf borderId="7" fillId="12" fontId="5" numFmtId="0" xfId="0" applyAlignment="1" applyBorder="1" applyFill="1" applyFont="1">
      <alignment horizontal="center" shrinkToFit="0" vertical="center" wrapText="1"/>
    </xf>
    <xf borderId="7" fillId="13" fontId="5" numFmtId="0" xfId="0" applyAlignment="1" applyBorder="1" applyFill="1" applyFont="1">
      <alignment horizontal="center" vertical="center"/>
    </xf>
    <xf borderId="6" fillId="0" fontId="3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horizontal="center" vertical="center"/>
    </xf>
    <xf borderId="1" fillId="11" fontId="8" numFmtId="164" xfId="0" applyAlignment="1" applyBorder="1" applyFont="1" applyNumberFormat="1">
      <alignment horizontal="center" vertical="center"/>
    </xf>
    <xf borderId="4" fillId="4" fontId="8" numFmtId="164" xfId="0" applyBorder="1" applyFont="1" applyNumberFormat="1"/>
    <xf borderId="7" fillId="4" fontId="8" numFmtId="164" xfId="0" applyBorder="1" applyFont="1" applyNumberFormat="1"/>
    <xf borderId="6" fillId="5" fontId="11" numFmtId="0" xfId="0" applyAlignment="1" applyBorder="1" applyFont="1">
      <alignment horizontal="center" vertical="center"/>
    </xf>
    <xf borderId="7" fillId="4" fontId="6" numFmtId="164" xfId="0" applyBorder="1" applyFont="1" applyNumberFormat="1"/>
    <xf borderId="7" fillId="4" fontId="6" numFmtId="0" xfId="0" applyBorder="1" applyFont="1"/>
    <xf borderId="0" fillId="0" fontId="3" numFmtId="0" xfId="0" applyAlignment="1" applyFont="1">
      <alignment horizontal="center" shrinkToFit="0" vertical="center" wrapText="1"/>
    </xf>
    <xf borderId="5" fillId="4" fontId="6" numFmtId="0" xfId="0" applyBorder="1" applyFont="1"/>
    <xf borderId="8" fillId="0" fontId="3" numFmtId="0" xfId="0" applyAlignment="1" applyBorder="1" applyFont="1">
      <alignment horizontal="center" readingOrder="0" vertical="center"/>
    </xf>
    <xf borderId="8" fillId="0" fontId="12" numFmtId="0" xfId="0" applyAlignment="1" applyBorder="1" applyFont="1">
      <alignment horizontal="center" vertical="center"/>
    </xf>
    <xf borderId="7" fillId="4" fontId="6" numFmtId="0" xfId="0" applyAlignment="1" applyBorder="1" applyFont="1">
      <alignment horizontal="center"/>
    </xf>
    <xf borderId="9" fillId="14" fontId="1" numFmtId="0" xfId="0" applyAlignment="1" applyBorder="1" applyFill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7" fillId="4" fontId="6" numFmtId="0" xfId="0" applyAlignment="1" applyBorder="1" applyFont="1">
      <alignment horizontal="center" readingOrder="0"/>
    </xf>
    <xf borderId="12" fillId="0" fontId="13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shrinkToFit="0" vertical="center" wrapText="1"/>
    </xf>
    <xf borderId="12" fillId="0" fontId="7" numFmtId="14" xfId="0" applyAlignment="1" applyBorder="1" applyFont="1" applyNumberFormat="1">
      <alignment horizontal="center" shrinkToFit="0" vertical="center" wrapText="1"/>
    </xf>
    <xf borderId="12" fillId="0" fontId="14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center" shrinkToFit="0" vertical="center" wrapText="1"/>
    </xf>
    <xf borderId="14" fillId="0" fontId="14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vertical="center" wrapText="1"/>
    </xf>
    <xf borderId="12" fillId="0" fontId="15" numFmtId="0" xfId="0" applyAlignment="1" applyBorder="1" applyFont="1">
      <alignment horizontal="center"/>
    </xf>
    <xf borderId="12" fillId="0" fontId="16" numFmtId="0" xfId="0" applyAlignment="1" applyBorder="1" applyFont="1">
      <alignment horizontal="center" readingOrder="0" vertical="center"/>
    </xf>
    <xf borderId="12" fillId="0" fontId="15" numFmtId="0" xfId="0" applyAlignment="1" applyBorder="1" applyFont="1">
      <alignment horizontal="center" vertical="center"/>
    </xf>
    <xf borderId="3" fillId="0" fontId="15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vertical="center"/>
    </xf>
    <xf borderId="12" fillId="0" fontId="15" numFmtId="165" xfId="0" applyAlignment="1" applyBorder="1" applyFont="1" applyNumberFormat="1">
      <alignment horizontal="center" vertical="center"/>
    </xf>
    <xf borderId="12" fillId="15" fontId="17" numFmtId="0" xfId="0" applyAlignment="1" applyBorder="1" applyFill="1" applyFont="1">
      <alignment horizontal="center" vertical="center"/>
    </xf>
    <xf borderId="12" fillId="15" fontId="18" numFmtId="0" xfId="0" applyAlignment="1" applyBorder="1" applyFont="1">
      <alignment horizontal="center" vertical="center"/>
    </xf>
    <xf borderId="12" fillId="15" fontId="18" numFmtId="166" xfId="0" applyAlignment="1" applyBorder="1" applyFont="1" applyNumberFormat="1">
      <alignment horizontal="center" vertical="center"/>
    </xf>
    <xf borderId="12" fillId="15" fontId="18" numFmtId="1" xfId="0" applyAlignment="1" applyBorder="1" applyFont="1" applyNumberFormat="1">
      <alignment horizontal="center" shrinkToFit="0" vertical="center" wrapText="1"/>
    </xf>
    <xf borderId="12" fillId="15" fontId="19" numFmtId="1" xfId="0" applyAlignment="1" applyBorder="1" applyFont="1" applyNumberFormat="1">
      <alignment horizontal="center" shrinkToFit="0" vertical="center" wrapText="1"/>
    </xf>
    <xf borderId="12" fillId="15" fontId="19" numFmtId="0" xfId="0" applyAlignment="1" applyBorder="1" applyFont="1">
      <alignment horizontal="center" shrinkToFit="0" vertical="center" wrapText="1"/>
    </xf>
    <xf borderId="16" fillId="15" fontId="18" numFmtId="0" xfId="0" applyAlignment="1" applyBorder="1" applyFont="1">
      <alignment horizontal="center" shrinkToFit="0" vertical="center" wrapText="1"/>
    </xf>
    <xf borderId="12" fillId="15" fontId="18" numFmtId="0" xfId="0" applyAlignment="1" applyBorder="1" applyFont="1">
      <alignment horizontal="center" shrinkToFit="0" vertical="center" wrapText="1"/>
    </xf>
    <xf borderId="12" fillId="15" fontId="20" numFmtId="0" xfId="0" applyAlignment="1" applyBorder="1" applyFont="1">
      <alignment horizontal="center" vertical="center"/>
    </xf>
    <xf borderId="12" fillId="15" fontId="19" numFmtId="0" xfId="0" applyAlignment="1" applyBorder="1" applyFont="1">
      <alignment horizontal="center" vertical="center"/>
    </xf>
    <xf borderId="12" fillId="15" fontId="11" numFmtId="0" xfId="0" applyAlignment="1" applyBorder="1" applyFont="1">
      <alignment horizontal="center" vertical="center"/>
    </xf>
    <xf borderId="17" fillId="15" fontId="18" numFmtId="0" xfId="0" applyAlignment="1" applyBorder="1" applyFont="1">
      <alignment horizontal="center" vertical="center"/>
    </xf>
    <xf borderId="7" fillId="15" fontId="19" numFmtId="0" xfId="0" applyBorder="1" applyFont="1"/>
    <xf borderId="12" fillId="0" fontId="8" numFmtId="0" xfId="0" applyAlignment="1" applyBorder="1" applyFont="1">
      <alignment horizontal="center" readingOrder="0" vertical="center"/>
    </xf>
    <xf borderId="12" fillId="0" fontId="8" numFmtId="166" xfId="0" applyAlignment="1" applyBorder="1" applyFont="1" applyNumberFormat="1">
      <alignment horizontal="center" vertical="center"/>
    </xf>
    <xf borderId="12" fillId="0" fontId="15" numFmtId="166" xfId="0" applyAlignment="1" applyBorder="1" applyFont="1" applyNumberFormat="1">
      <alignment horizontal="center" shrinkToFit="0" vertical="center" wrapText="1"/>
    </xf>
    <xf borderId="12" fillId="0" fontId="8" numFmtId="1" xfId="0" applyAlignment="1" applyBorder="1" applyFont="1" applyNumberFormat="1">
      <alignment horizontal="center" shrinkToFit="0" vertical="center" wrapText="1"/>
    </xf>
    <xf borderId="12" fillId="0" fontId="6" numFmtId="1" xfId="0" applyAlignment="1" applyBorder="1" applyFont="1" applyNumberForma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12" fillId="15" fontId="8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vertical="center"/>
    </xf>
    <xf borderId="12" fillId="0" fontId="15" numFmtId="0" xfId="0" applyAlignment="1" applyBorder="1" applyFont="1">
      <alignment horizontal="center" vertical="center"/>
    </xf>
    <xf borderId="12" fillId="0" fontId="15" numFmtId="0" xfId="0" applyAlignment="1" applyBorder="1" applyFont="1">
      <alignment horizontal="center" readingOrder="0" vertical="center"/>
    </xf>
    <xf borderId="12" fillId="0" fontId="16" numFmtId="0" xfId="0" applyAlignment="1" applyBorder="1" applyFont="1">
      <alignment horizontal="center" vertical="center"/>
    </xf>
    <xf borderId="12" fillId="0" fontId="8" numFmtId="14" xfId="0" applyAlignment="1" applyBorder="1" applyFont="1" applyNumberFormat="1">
      <alignment horizontal="center" vertical="center"/>
    </xf>
    <xf borderId="18" fillId="0" fontId="8" numFmtId="0" xfId="0" applyAlignment="1" applyBorder="1" applyFont="1">
      <alignment horizontal="center" shrinkToFit="0" vertical="center" wrapText="1"/>
    </xf>
    <xf borderId="19" fillId="0" fontId="8" numFmtId="0" xfId="0" applyAlignment="1" applyBorder="1" applyFont="1">
      <alignment horizontal="center" shrinkToFit="0" vertical="center" wrapText="1"/>
    </xf>
    <xf borderId="19" fillId="0" fontId="8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vertical="center"/>
    </xf>
    <xf borderId="19" fillId="0" fontId="6" numFmtId="0" xfId="0" applyAlignment="1" applyBorder="1" applyFont="1">
      <alignment horizontal="center" vertical="center"/>
    </xf>
    <xf borderId="20" fillId="0" fontId="8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4" numFmtId="0" xfId="0" applyFont="1"/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21" numFmtId="0" xfId="0" applyFont="1"/>
    <xf borderId="0" fillId="0" fontId="15" numFmtId="0" xfId="0" applyFont="1"/>
    <xf borderId="0" fillId="0" fontId="22" numFmtId="0" xfId="0" applyFont="1"/>
    <xf borderId="0" fillId="0" fontId="5" numFmtId="0" xfId="0" applyAlignment="1" applyFont="1">
      <alignment horizontal="center"/>
    </xf>
    <xf borderId="0" fillId="0" fontId="15" numFmtId="0" xfId="0" applyFont="1"/>
    <xf borderId="0" fillId="0" fontId="5" numFmtId="2" xfId="0" applyFont="1" applyNumberFormat="1"/>
    <xf borderId="12" fillId="0" fontId="5" numFmtId="0" xfId="0" applyBorder="1" applyFont="1"/>
    <xf borderId="21" fillId="0" fontId="21" numFmtId="0" xfId="0" applyAlignment="1" applyBorder="1" applyFont="1">
      <alignment horizontal="center" vertical="center"/>
    </xf>
    <xf borderId="21" fillId="0" fontId="2" numFmtId="0" xfId="0" applyBorder="1" applyFont="1"/>
    <xf borderId="0" fillId="0" fontId="21" numFmtId="0" xfId="0" applyAlignment="1" applyFont="1">
      <alignment horizontal="center" vertical="center"/>
    </xf>
    <xf borderId="12" fillId="0" fontId="21" numFmtId="0" xfId="0" applyAlignment="1" applyBorder="1" applyFont="1">
      <alignment horizontal="center" vertical="center"/>
    </xf>
    <xf borderId="1" fillId="6" fontId="21" numFmtId="0" xfId="0" applyAlignment="1" applyBorder="1" applyFont="1">
      <alignment horizontal="center" vertical="center"/>
    </xf>
    <xf borderId="1" fillId="16" fontId="21" numFmtId="0" xfId="0" applyAlignment="1" applyBorder="1" applyFill="1" applyFont="1">
      <alignment horizontal="center" vertical="center"/>
    </xf>
    <xf borderId="19" fillId="0" fontId="21" numFmtId="0" xfId="0" applyAlignment="1" applyBorder="1" applyFont="1">
      <alignment horizontal="center" vertical="center"/>
    </xf>
    <xf borderId="12" fillId="6" fontId="21" numFmtId="0" xfId="0" applyAlignment="1" applyBorder="1" applyFont="1">
      <alignment horizontal="center" vertical="center"/>
    </xf>
    <xf borderId="12" fillId="16" fontId="21" numFmtId="0" xfId="0" applyAlignment="1" applyBorder="1" applyFont="1">
      <alignment horizontal="center" vertical="center"/>
    </xf>
    <xf borderId="14" fillId="0" fontId="2" numFmtId="0" xfId="0" applyBorder="1" applyFont="1"/>
    <xf borderId="12" fillId="17" fontId="21" numFmtId="0" xfId="0" applyAlignment="1" applyBorder="1" applyFill="1" applyFont="1">
      <alignment horizontal="center" vertical="center"/>
    </xf>
    <xf borderId="12" fillId="5" fontId="21" numFmtId="0" xfId="0" applyAlignment="1" applyBorder="1" applyFont="1">
      <alignment horizontal="center" vertical="center"/>
    </xf>
    <xf borderId="0" fillId="0" fontId="23" numFmtId="0" xfId="0" applyAlignment="1" applyFont="1">
      <alignment horizontal="center"/>
    </xf>
    <xf borderId="12" fillId="0" fontId="15" numFmtId="0" xfId="0" applyBorder="1" applyFont="1"/>
    <xf borderId="22" fillId="11" fontId="15" numFmtId="0" xfId="0" applyAlignment="1" applyBorder="1" applyFont="1">
      <alignment horizontal="center"/>
    </xf>
    <xf borderId="23" fillId="0" fontId="2" numFmtId="0" xfId="0" applyBorder="1" applyFont="1"/>
    <xf borderId="22" fillId="18" fontId="15" numFmtId="0" xfId="0" applyAlignment="1" applyBorder="1" applyFill="1" applyFont="1">
      <alignment horizontal="center"/>
    </xf>
    <xf borderId="22" fillId="19" fontId="15" numFmtId="0" xfId="0" applyAlignment="1" applyBorder="1" applyFill="1" applyFont="1">
      <alignment horizontal="center"/>
    </xf>
    <xf borderId="22" fillId="20" fontId="15" numFmtId="0" xfId="0" applyAlignment="1" applyBorder="1" applyFill="1" applyFont="1">
      <alignment horizontal="center"/>
    </xf>
    <xf borderId="12" fillId="0" fontId="15" numFmtId="0" xfId="0" applyAlignment="1" applyBorder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7">
    <tableStyle count="3" pivot="0" name="IMS-style">
      <tableStyleElement dxfId="1" type="headerRow"/>
      <tableStyleElement dxfId="2" type="firstRowStripe"/>
      <tableStyleElement dxfId="3" type="secondRowStripe"/>
    </tableStyle>
    <tableStyle count="3" pivot="0" name="Info-style">
      <tableStyleElement dxfId="1" type="headerRow"/>
      <tableStyleElement dxfId="4" type="firstRowStripe"/>
      <tableStyleElement dxfId="3" type="secondRowStripe"/>
    </tableStyle>
    <tableStyle count="3" pivot="0" name="Info-style 2">
      <tableStyleElement dxfId="1" type="headerRow"/>
      <tableStyleElement dxfId="4" type="firstRowStripe"/>
      <tableStyleElement dxfId="3" type="secondRowStripe"/>
    </tableStyle>
    <tableStyle count="3" pivot="0" name="Info-style 3">
      <tableStyleElement dxfId="1" type="headerRow"/>
      <tableStyleElement dxfId="4" type="firstRowStripe"/>
      <tableStyleElement dxfId="3" type="secondRowStripe"/>
    </tableStyle>
    <tableStyle count="3" pivot="0" name="Info-style 4">
      <tableStyleElement dxfId="1" type="headerRow"/>
      <tableStyleElement dxfId="4" type="firstRowStripe"/>
      <tableStyleElement dxfId="3" type="secondRowStripe"/>
    </tableStyle>
    <tableStyle count="3" pivot="0" name="Info-style 5">
      <tableStyleElement dxfId="1" type="headerRow"/>
      <tableStyleElement dxfId="4" type="firstRowStripe"/>
      <tableStyleElement dxfId="3" type="secondRowStripe"/>
    </tableStyle>
    <tableStyle count="3" pivot="0" name="Info-style 6">
      <tableStyleElement dxfId="1" type="headerRow"/>
      <tableStyleElement dxfId="4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7:AG2574" displayName="Table_1" name="Table_1" id="1">
  <tableColumns count="32">
    <tableColumn name="Full Name/الإسم الكامل" id="1"/>
    <tableColumn name="Visit Date/تاريخ الزيارة" id="2"/>
    <tableColumn name="Last Visit Date/تاريخ آخر زيارة" id="3"/>
    <tableColumn name="ID N./رقم الهوية" id="4"/>
    <tableColumn name="Date of Birth/ تاريخ الميلاد" id="5"/>
    <tableColumn name="Age/العمر" id="6"/>
    <tableColumn name="Age Group/الفئة العمرية" id="7"/>
    <tableColumn name="Gender/الجنس" id="8"/>
    <tableColumn name="Gender_N" id="9"/>
    <tableColumn name="Phone N./الهاتف" id="10"/>
    <tableColumn name="Governorate/المحافظة" id="11"/>
    <tableColumn name="Social Status/الحالة الاجتماعية" id="12"/>
    <tableColumn name="Disability Status/الإعاقة" id="13"/>
    <tableColumn name="Disability Type/نوع الإعاقة" id="14"/>
    <tableColumn name="Displacment Tracker" id="15"/>
    <tableColumn name="FM services" id="16"/>
    <tableColumn name="SRH services" id="17"/>
    <tableColumn name="Wound Care" id="18"/>
    <tableColumn name="Breast Cancer" id="19"/>
    <tableColumn name="Mal-Nutirition " id="20"/>
    <tableColumn name="Referral/التحويلات" id="21"/>
    <tableColumn name="Follow-up Date/موعد المتابعة" id="22"/>
    <tableColumn name="Visitor Code/رمز الزائر" id="23"/>
    <tableColumn name="FM-N" id="24"/>
    <tableColumn name="SRH-N" id="25"/>
    <tableColumn name="Other1_N" id="26"/>
    <tableColumn name="Other2_N" id="27"/>
    <tableColumn name="Other3_N" id="28"/>
    <tableColumn name="Unique Flag" id="29"/>
    <tableColumn name="Visit Month" id="30"/>
    <tableColumn name="Unique in Month Flag" id="31"/>
    <tableColumn name="First Time in Project Flag" id="32"/>
  </tableColumns>
  <tableStyleInfo name="IMS-style" showColumnStripes="0" showFirstColumn="1" showLastColumn="1" showRowStripes="1"/>
</table>
</file>

<file path=xl/tables/table2.xml><?xml version="1.0" encoding="utf-8"?>
<table xmlns="http://schemas.openxmlformats.org/spreadsheetml/2006/main" ref="A1:A14" displayName="Table_2" name="Table_2" id="2">
  <tableColumns count="1">
    <tableColumn name="FM services" id="1"/>
  </tableColumns>
  <tableStyleInfo name="Info-style" showColumnStripes="0" showFirstColumn="1" showLastColumn="1" showRowStripes="1"/>
</table>
</file>

<file path=xl/tables/table3.xml><?xml version="1.0" encoding="utf-8"?>
<table xmlns="http://schemas.openxmlformats.org/spreadsheetml/2006/main" ref="B1:B14" displayName="Table_3" name="Table_3" id="3">
  <tableColumns count="1">
    <tableColumn name="SRH Services" id="1"/>
  </tableColumns>
  <tableStyleInfo name="Info-style 2" showColumnStripes="0" showFirstColumn="1" showLastColumn="1" showRowStripes="1"/>
</table>
</file>

<file path=xl/tables/table4.xml><?xml version="1.0" encoding="utf-8"?>
<table xmlns="http://schemas.openxmlformats.org/spreadsheetml/2006/main" ref="C1:E14" displayName="Table_4" name="Table_4" id="4">
  <tableColumns count="3">
    <tableColumn name="Wound Care" id="1"/>
    <tableColumn name="Breast Cancer" id="2"/>
    <tableColumn name="Mal-Nutirion" id="3"/>
  </tableColumns>
  <tableStyleInfo name="Info-style 3" showColumnStripes="0" showFirstColumn="1" showLastColumn="1" showRowStripes="1"/>
</table>
</file>

<file path=xl/tables/table5.xml><?xml version="1.0" encoding="utf-8"?>
<table xmlns="http://schemas.openxmlformats.org/spreadsheetml/2006/main" ref="L1:L6" displayName="Table_5" name="Table_5" id="5">
  <tableColumns count="1">
    <tableColumn name="Gender" id="1"/>
  </tableColumns>
  <tableStyleInfo name="Info-style 4" showColumnStripes="0" showFirstColumn="1" showLastColumn="1" showRowStripes="1"/>
</table>
</file>

<file path=xl/tables/table6.xml><?xml version="1.0" encoding="utf-8"?>
<table xmlns="http://schemas.openxmlformats.org/spreadsheetml/2006/main" ref="P1:P20" displayName="Table_6" name="Table_6" id="6">
  <tableColumns count="1">
    <tableColumn name="Governorate" id="1"/>
  </tableColumns>
  <tableStyleInfo name="Info-style 5" showColumnStripes="0" showFirstColumn="1" showLastColumn="1" showRowStripes="1"/>
</table>
</file>

<file path=xl/tables/table7.xml><?xml version="1.0" encoding="utf-8"?>
<table xmlns="http://schemas.openxmlformats.org/spreadsheetml/2006/main" ref="T1:T14" displayName="Table_7" name="Table_7" id="7">
  <tableColumns count="1">
    <tableColumn name="Sites" id="1"/>
  </tableColumns>
  <tableStyleInfo name="Info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6.57"/>
    <col customWidth="1" min="2" max="2" width="32.86"/>
    <col customWidth="1" min="3" max="3" width="19.86"/>
    <col customWidth="1" hidden="1" min="4" max="4" width="18.86"/>
    <col customWidth="1" min="5" max="5" width="15.29"/>
    <col customWidth="1" min="7" max="7" width="9.0"/>
    <col customWidth="1" min="8" max="8" width="15.43"/>
    <col customWidth="1" min="9" max="9" width="17.29"/>
    <col customWidth="1" hidden="1" min="10" max="10" width="12.14"/>
    <col customWidth="1" min="11" max="11" width="16.29"/>
    <col customWidth="1" min="12" max="12" width="18.29"/>
    <col customWidth="1" min="13" max="13" width="17.86"/>
    <col customWidth="1" min="14" max="14" width="12.0"/>
    <col customWidth="1" min="15" max="15" width="24.29"/>
    <col customWidth="1" min="16" max="16" width="15.71"/>
    <col customWidth="1" min="17" max="17" width="13.86"/>
    <col customWidth="1" min="18" max="18" width="14.86"/>
    <col customWidth="1" min="19" max="19" width="16.29"/>
    <col customWidth="1" min="20" max="20" width="15.14"/>
    <col customWidth="1" min="21" max="21" width="17.14"/>
    <col customWidth="1" min="22" max="22" width="11.14"/>
    <col customWidth="1" min="23" max="23" width="11.86"/>
    <col customWidth="1" min="24" max="24" width="23.29"/>
    <col customWidth="1" hidden="1" min="25" max="25" width="12.0"/>
    <col customWidth="1" hidden="1" min="26" max="26" width="8.71"/>
    <col customWidth="1" hidden="1" min="27" max="27" width="16.14"/>
    <col customWidth="1" hidden="1" min="28" max="28" width="18.0"/>
    <col customWidth="1" hidden="1" min="29" max="29" width="13.0"/>
    <col customWidth="1" hidden="1" min="30" max="33" width="25.86"/>
    <col customWidth="1" min="34" max="47" width="25.86"/>
  </cols>
  <sheetData>
    <row r="1" ht="25.5" hidden="1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5"/>
      <c r="L1" s="6" t="s">
        <v>1</v>
      </c>
      <c r="M1" s="7" t="s">
        <v>2</v>
      </c>
      <c r="N1" s="8"/>
      <c r="O1" s="8"/>
      <c r="P1" s="9" t="s">
        <v>3</v>
      </c>
      <c r="Q1" s="10" t="s">
        <v>4</v>
      </c>
      <c r="R1" s="11" t="s">
        <v>5</v>
      </c>
      <c r="S1" s="12" t="s">
        <v>6</v>
      </c>
      <c r="T1" s="13" t="s">
        <v>7</v>
      </c>
      <c r="U1" s="14" t="s">
        <v>7</v>
      </c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0"/>
      <c r="AJ1" s="11"/>
      <c r="AK1" s="12"/>
      <c r="AL1" s="16"/>
      <c r="AM1" s="17" t="s">
        <v>8</v>
      </c>
      <c r="AN1" s="15"/>
      <c r="AO1" s="15"/>
      <c r="AP1" s="15"/>
      <c r="AQ1" s="15"/>
      <c r="AR1" s="15"/>
      <c r="AS1" s="15"/>
      <c r="AT1" s="15"/>
      <c r="AU1" s="18" t="s">
        <v>9</v>
      </c>
    </row>
    <row r="2" ht="27.0" hidden="1" customHeight="1">
      <c r="A2" s="19" t="s">
        <v>10</v>
      </c>
      <c r="B2" s="3"/>
      <c r="C2" s="20" t="s">
        <v>11</v>
      </c>
      <c r="D2" s="2"/>
      <c r="E2" s="2"/>
      <c r="F2" s="2"/>
      <c r="G2" s="2"/>
      <c r="H2" s="2"/>
      <c r="I2" s="3"/>
      <c r="J2" s="21"/>
      <c r="K2" s="22"/>
      <c r="L2" s="23" t="s">
        <v>12</v>
      </c>
      <c r="M2" s="24" t="s">
        <v>13</v>
      </c>
      <c r="N2" s="22"/>
      <c r="O2" s="25" t="s">
        <v>14</v>
      </c>
      <c r="P2" s="26" t="s">
        <v>15</v>
      </c>
      <c r="Q2" s="10" t="s">
        <v>16</v>
      </c>
      <c r="R2" s="11" t="s">
        <v>17</v>
      </c>
      <c r="S2" s="12" t="s">
        <v>18</v>
      </c>
      <c r="T2" s="13" t="s">
        <v>19</v>
      </c>
      <c r="U2" s="14" t="s">
        <v>20</v>
      </c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0"/>
      <c r="AJ2" s="11"/>
      <c r="AK2" s="12"/>
      <c r="AL2" s="16"/>
      <c r="AM2" s="17" t="s">
        <v>21</v>
      </c>
      <c r="AN2" s="15"/>
      <c r="AO2" s="15"/>
      <c r="AP2" s="15"/>
      <c r="AQ2" s="15"/>
      <c r="AR2" s="15"/>
      <c r="AS2" s="15"/>
      <c r="AT2" s="15"/>
      <c r="AU2" s="18" t="s">
        <v>22</v>
      </c>
    </row>
    <row r="3" ht="14.25" hidden="1" customHeight="1">
      <c r="A3" s="19" t="s">
        <v>23</v>
      </c>
      <c r="B3" s="3"/>
      <c r="C3" s="20"/>
      <c r="D3" s="2"/>
      <c r="E3" s="2"/>
      <c r="F3" s="2"/>
      <c r="G3" s="2"/>
      <c r="H3" s="2"/>
      <c r="I3" s="3"/>
      <c r="J3" s="21"/>
      <c r="K3" s="22"/>
      <c r="L3" s="7" t="s">
        <v>24</v>
      </c>
      <c r="M3" s="6" t="s">
        <v>25</v>
      </c>
      <c r="N3" s="22"/>
      <c r="O3" s="22"/>
      <c r="P3" s="22"/>
      <c r="Q3" s="10" t="s">
        <v>26</v>
      </c>
      <c r="R3" s="11" t="s">
        <v>27</v>
      </c>
      <c r="S3" s="12" t="s">
        <v>28</v>
      </c>
      <c r="T3" s="27"/>
      <c r="U3" s="14" t="s">
        <v>29</v>
      </c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0"/>
      <c r="AJ3" s="11"/>
      <c r="AK3" s="12"/>
      <c r="AL3" s="16"/>
      <c r="AM3" s="17" t="s">
        <v>30</v>
      </c>
      <c r="AN3" s="15"/>
      <c r="AO3" s="15"/>
      <c r="AP3" s="15"/>
      <c r="AQ3" s="15"/>
      <c r="AR3" s="15"/>
      <c r="AS3" s="15"/>
      <c r="AT3" s="15"/>
      <c r="AU3" s="18" t="s">
        <v>31</v>
      </c>
    </row>
    <row r="4" ht="14.25" hidden="1" customHeight="1">
      <c r="A4" s="19" t="s">
        <v>32</v>
      </c>
      <c r="B4" s="3"/>
      <c r="C4" s="20"/>
      <c r="D4" s="2"/>
      <c r="E4" s="2"/>
      <c r="F4" s="2"/>
      <c r="G4" s="2"/>
      <c r="H4" s="2"/>
      <c r="I4" s="3"/>
      <c r="J4" s="21"/>
      <c r="K4" s="22"/>
      <c r="L4" s="28" t="s">
        <v>33</v>
      </c>
      <c r="M4" s="29" t="s">
        <v>34</v>
      </c>
      <c r="N4" s="22"/>
      <c r="O4" s="22"/>
      <c r="P4" s="22"/>
      <c r="Q4" s="10" t="s">
        <v>35</v>
      </c>
      <c r="R4" s="11" t="s">
        <v>36</v>
      </c>
      <c r="S4" s="12" t="s">
        <v>37</v>
      </c>
      <c r="T4" s="27"/>
      <c r="U4" s="16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0"/>
      <c r="AJ4" s="11"/>
      <c r="AK4" s="12"/>
      <c r="AL4" s="16"/>
      <c r="AM4" s="16" t="s">
        <v>38</v>
      </c>
      <c r="AN4" s="15"/>
      <c r="AO4" s="15"/>
      <c r="AP4" s="15"/>
      <c r="AQ4" s="15"/>
      <c r="AR4" s="15"/>
      <c r="AS4" s="15"/>
      <c r="AT4" s="15"/>
      <c r="AU4" s="15"/>
    </row>
    <row r="5" ht="24.0" hidden="1" customHeight="1">
      <c r="A5" s="19" t="s">
        <v>39</v>
      </c>
      <c r="B5" s="3"/>
      <c r="C5" s="30"/>
      <c r="D5" s="2"/>
      <c r="E5" s="2"/>
      <c r="F5" s="2"/>
      <c r="G5" s="2"/>
      <c r="H5" s="2"/>
      <c r="I5" s="3"/>
      <c r="J5" s="31"/>
      <c r="K5" s="32"/>
      <c r="L5" s="6" t="s">
        <v>40</v>
      </c>
      <c r="M5" s="33" t="s">
        <v>41</v>
      </c>
      <c r="N5" s="32"/>
      <c r="O5" s="32"/>
      <c r="P5" s="32"/>
      <c r="Q5" s="34"/>
      <c r="R5" s="34"/>
      <c r="S5" s="35"/>
      <c r="T5" s="35"/>
      <c r="U5" s="35"/>
      <c r="V5" s="35"/>
      <c r="W5" s="35"/>
      <c r="X5" s="35"/>
      <c r="Y5" s="36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</row>
    <row r="6" ht="13.5" hidden="1" customHeight="1">
      <c r="A6" s="19" t="s">
        <v>42</v>
      </c>
      <c r="B6" s="3"/>
      <c r="C6" s="20"/>
      <c r="D6" s="2"/>
      <c r="E6" s="2"/>
      <c r="F6" s="2"/>
      <c r="G6" s="2"/>
      <c r="H6" s="2"/>
      <c r="I6" s="3"/>
      <c r="J6" s="37"/>
      <c r="K6" s="35"/>
      <c r="L6" s="38" t="s">
        <v>43</v>
      </c>
      <c r="M6" s="39" t="s">
        <v>44</v>
      </c>
      <c r="N6" s="35"/>
      <c r="O6" s="35"/>
      <c r="P6" s="40" t="s">
        <v>45</v>
      </c>
      <c r="Q6" s="41" t="s">
        <v>46</v>
      </c>
      <c r="R6" s="42"/>
      <c r="S6" s="42"/>
      <c r="T6" s="42"/>
      <c r="U6" s="43"/>
      <c r="V6" s="40"/>
      <c r="W6" s="44" t="s">
        <v>47</v>
      </c>
      <c r="X6" s="40"/>
      <c r="Y6" s="36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</row>
    <row r="7" ht="39.0" customHeight="1">
      <c r="A7" s="45" t="s">
        <v>48</v>
      </c>
      <c r="B7" s="46" t="s">
        <v>49</v>
      </c>
      <c r="C7" s="47" t="s">
        <v>50</v>
      </c>
      <c r="D7" s="47" t="s">
        <v>51</v>
      </c>
      <c r="E7" s="46" t="s">
        <v>52</v>
      </c>
      <c r="F7" s="46" t="s">
        <v>53</v>
      </c>
      <c r="G7" s="46" t="s">
        <v>54</v>
      </c>
      <c r="H7" s="48" t="s">
        <v>55</v>
      </c>
      <c r="I7" s="48" t="s">
        <v>56</v>
      </c>
      <c r="J7" s="49" t="s">
        <v>57</v>
      </c>
      <c r="K7" s="50" t="s">
        <v>58</v>
      </c>
      <c r="L7" s="50" t="s">
        <v>59</v>
      </c>
      <c r="M7" s="50" t="s">
        <v>60</v>
      </c>
      <c r="N7" s="50" t="s">
        <v>61</v>
      </c>
      <c r="O7" s="50" t="s">
        <v>62</v>
      </c>
      <c r="P7" s="50" t="s">
        <v>63</v>
      </c>
      <c r="Q7" s="51" t="s">
        <v>64</v>
      </c>
      <c r="R7" s="51" t="s">
        <v>65</v>
      </c>
      <c r="S7" s="50" t="s">
        <v>66</v>
      </c>
      <c r="T7" s="50" t="s">
        <v>67</v>
      </c>
      <c r="U7" s="50" t="s">
        <v>68</v>
      </c>
      <c r="V7" s="50" t="s">
        <v>69</v>
      </c>
      <c r="W7" s="50" t="s">
        <v>70</v>
      </c>
      <c r="X7" s="50" t="s">
        <v>71</v>
      </c>
      <c r="Y7" s="50" t="s">
        <v>72</v>
      </c>
      <c r="Z7" s="50" t="s">
        <v>73</v>
      </c>
      <c r="AA7" s="50" t="s">
        <v>74</v>
      </c>
      <c r="AB7" s="50" t="s">
        <v>75</v>
      </c>
      <c r="AC7" s="50" t="s">
        <v>76</v>
      </c>
      <c r="AD7" s="50" t="s">
        <v>77</v>
      </c>
      <c r="AE7" s="50" t="s">
        <v>78</v>
      </c>
      <c r="AF7" s="50" t="s">
        <v>79</v>
      </c>
      <c r="AG7" s="52" t="s">
        <v>80</v>
      </c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</row>
    <row r="8" ht="24.0" customHeight="1">
      <c r="A8" s="53">
        <v>1.0</v>
      </c>
      <c r="B8" s="54" t="s">
        <v>81</v>
      </c>
      <c r="C8" s="55" t="s">
        <v>82</v>
      </c>
      <c r="D8" s="55"/>
      <c r="E8" s="55" t="s">
        <v>83</v>
      </c>
      <c r="F8" s="55" t="s">
        <v>84</v>
      </c>
      <c r="G8" s="55">
        <v>37.0</v>
      </c>
      <c r="H8" s="55" t="s">
        <v>85</v>
      </c>
      <c r="I8" s="55" t="s">
        <v>86</v>
      </c>
      <c r="J8" s="56" t="s">
        <v>87</v>
      </c>
      <c r="K8" s="55" t="s">
        <v>88</v>
      </c>
      <c r="L8" s="55" t="s">
        <v>44</v>
      </c>
      <c r="M8" s="55" t="s">
        <v>89</v>
      </c>
      <c r="N8" s="55" t="s">
        <v>90</v>
      </c>
      <c r="O8" s="55"/>
      <c r="P8" s="55" t="s">
        <v>91</v>
      </c>
      <c r="Q8" s="55"/>
      <c r="R8" s="55" t="s">
        <v>36</v>
      </c>
      <c r="S8" s="55"/>
      <c r="T8" s="55"/>
      <c r="U8" s="55"/>
      <c r="V8" s="55"/>
      <c r="W8" s="55"/>
      <c r="X8" s="57" t="str">
        <f t="shared" ref="X8:X495" si="2">IF(E8="","",UPPER(LEFT($C$3,1)&amp;"-"&amp;LEFT($C$4,1)&amp;"-"&amp;TEXT(ROW(B1),"000")&amp;"-"&amp;TEXT(C8,"dd-mm")))</f>
        <v>--001-26-04</v>
      </c>
      <c r="Y8" s="58" t="str">
        <f t="shared" ref="Y8:AC8" si="1">TRIM(SUBSTITUTE(SUBSTITUTE(OFFSET($Q8,0,COLUMN()-COLUMN($AL$1)),CHAR(160)," "),_xludf.UNICHAR(8239)," "))</f>
        <v>#NAME?</v>
      </c>
      <c r="Z8" s="58" t="str">
        <f t="shared" si="1"/>
        <v>#NAME?</v>
      </c>
      <c r="AA8" s="58" t="str">
        <f t="shared" si="1"/>
        <v>#NAME?</v>
      </c>
      <c r="AB8" s="58" t="str">
        <f t="shared" si="1"/>
        <v>#NAME?</v>
      </c>
      <c r="AC8" s="58" t="str">
        <f t="shared" si="1"/>
        <v>#NAME?</v>
      </c>
      <c r="AD8" s="57">
        <f t="shared" ref="AD8:AD495" si="4">IF($E8="",0,--(COUNTIFS($E:$E,$E8,$C:$C,"&gt;"&amp;$C8)+COUNTIFS($E$8:E8,$E8,$C$8:C8,$C8)=1))</f>
        <v>1</v>
      </c>
      <c r="AE8" s="57" t="str">
        <f t="shared" ref="AE8:AE495" si="5">IF($C8="","",TEXT($C8,"yyyy-mm"))</f>
        <v>2026-04</v>
      </c>
      <c r="AF8" s="57">
        <f t="shared" ref="AF8:AF572" si="6">IF(OR($E8="",$AE8=""),0,IF(COUNTIFS($E$8:E8,$E8,$AE$8:AE8,$AE8)=1,1,0))</f>
        <v>1</v>
      </c>
      <c r="AG8" s="59">
        <f t="shared" ref="AG8:AG572" si="7">IF($E8="",0,IF(COUNTIF($E$8:E8,$E8)=1,1,0))</f>
        <v>1</v>
      </c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</row>
    <row r="9" ht="24.0" customHeight="1">
      <c r="A9" s="53">
        <v>2.0</v>
      </c>
      <c r="B9" s="54" t="s">
        <v>92</v>
      </c>
      <c r="C9" s="55" t="s">
        <v>82</v>
      </c>
      <c r="D9" s="55"/>
      <c r="E9" s="55" t="s">
        <v>93</v>
      </c>
      <c r="F9" s="55" t="s">
        <v>94</v>
      </c>
      <c r="G9" s="55">
        <v>57.0</v>
      </c>
      <c r="H9" s="55" t="s">
        <v>85</v>
      </c>
      <c r="I9" s="55" t="s">
        <v>86</v>
      </c>
      <c r="J9" s="56" t="s">
        <v>87</v>
      </c>
      <c r="K9" s="55" t="s">
        <v>95</v>
      </c>
      <c r="L9" s="55" t="s">
        <v>34</v>
      </c>
      <c r="M9" s="55" t="s">
        <v>89</v>
      </c>
      <c r="N9" s="55" t="s">
        <v>90</v>
      </c>
      <c r="O9" s="55"/>
      <c r="P9" s="55" t="s">
        <v>91</v>
      </c>
      <c r="Q9" s="55"/>
      <c r="R9" s="55" t="s">
        <v>36</v>
      </c>
      <c r="S9" s="55"/>
      <c r="T9" s="55"/>
      <c r="U9" s="55"/>
      <c r="V9" s="55"/>
      <c r="W9" s="55"/>
      <c r="X9" s="57" t="str">
        <f t="shared" si="2"/>
        <v>--002-26-04</v>
      </c>
      <c r="Y9" s="58" t="str">
        <f t="shared" ref="Y9:AC9" si="3">TRIM(SUBSTITUTE(SUBSTITUTE(OFFSET($Q9,0,COLUMN()-COLUMN($AL$1)),CHAR(160)," "),_xludf.UNICHAR(8239)," "))</f>
        <v>#NAME?</v>
      </c>
      <c r="Z9" s="58" t="str">
        <f t="shared" si="3"/>
        <v>#NAME?</v>
      </c>
      <c r="AA9" s="58" t="str">
        <f t="shared" si="3"/>
        <v>#NAME?</v>
      </c>
      <c r="AB9" s="58" t="str">
        <f t="shared" si="3"/>
        <v>#NAME?</v>
      </c>
      <c r="AC9" s="58" t="str">
        <f t="shared" si="3"/>
        <v>#NAME?</v>
      </c>
      <c r="AD9" s="57">
        <f t="shared" si="4"/>
        <v>1</v>
      </c>
      <c r="AE9" s="57" t="str">
        <f t="shared" si="5"/>
        <v>2026-04</v>
      </c>
      <c r="AF9" s="57">
        <f t="shared" si="6"/>
        <v>1</v>
      </c>
      <c r="AG9" s="59">
        <f t="shared" si="7"/>
        <v>1</v>
      </c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</row>
    <row r="10" ht="24.0" customHeight="1">
      <c r="A10" s="53">
        <v>3.0</v>
      </c>
      <c r="B10" s="54" t="s">
        <v>96</v>
      </c>
      <c r="C10" s="55" t="s">
        <v>82</v>
      </c>
      <c r="D10" s="55"/>
      <c r="E10" s="55" t="s">
        <v>97</v>
      </c>
      <c r="F10" s="55" t="s">
        <v>98</v>
      </c>
      <c r="G10" s="55">
        <v>28.0</v>
      </c>
      <c r="H10" s="55" t="s">
        <v>85</v>
      </c>
      <c r="I10" s="55" t="s">
        <v>86</v>
      </c>
      <c r="J10" s="56" t="s">
        <v>87</v>
      </c>
      <c r="K10" s="55" t="s">
        <v>99</v>
      </c>
      <c r="L10" s="55" t="s">
        <v>34</v>
      </c>
      <c r="M10" s="55" t="s">
        <v>89</v>
      </c>
      <c r="N10" s="55" t="s">
        <v>90</v>
      </c>
      <c r="O10" s="55"/>
      <c r="P10" s="55" t="s">
        <v>91</v>
      </c>
      <c r="Q10" s="55"/>
      <c r="R10" s="55" t="s">
        <v>27</v>
      </c>
      <c r="S10" s="55"/>
      <c r="T10" s="55"/>
      <c r="U10" s="55"/>
      <c r="V10" s="55"/>
      <c r="W10" s="55"/>
      <c r="X10" s="57" t="str">
        <f t="shared" si="2"/>
        <v>--003-26-04</v>
      </c>
      <c r="Y10" s="58" t="str">
        <f t="shared" ref="Y10:AC10" si="8">TRIM(SUBSTITUTE(SUBSTITUTE(OFFSET($Q10,0,COLUMN()-COLUMN($AL$1)),CHAR(160)," "),_xludf.UNICHAR(8239)," "))</f>
        <v>#NAME?</v>
      </c>
      <c r="Z10" s="58" t="str">
        <f t="shared" si="8"/>
        <v>#NAME?</v>
      </c>
      <c r="AA10" s="58" t="str">
        <f t="shared" si="8"/>
        <v>#NAME?</v>
      </c>
      <c r="AB10" s="58" t="str">
        <f t="shared" si="8"/>
        <v>#NAME?</v>
      </c>
      <c r="AC10" s="58" t="str">
        <f t="shared" si="8"/>
        <v>#NAME?</v>
      </c>
      <c r="AD10" s="57">
        <f t="shared" si="4"/>
        <v>1</v>
      </c>
      <c r="AE10" s="57" t="str">
        <f t="shared" si="5"/>
        <v>2026-04</v>
      </c>
      <c r="AF10" s="57">
        <f t="shared" si="6"/>
        <v>1</v>
      </c>
      <c r="AG10" s="59">
        <f t="shared" si="7"/>
        <v>1</v>
      </c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</row>
    <row r="11" ht="24.0" customHeight="1">
      <c r="A11" s="53">
        <v>4.0</v>
      </c>
      <c r="B11" s="54" t="s">
        <v>100</v>
      </c>
      <c r="C11" s="55" t="s">
        <v>82</v>
      </c>
      <c r="D11" s="55"/>
      <c r="E11" s="55" t="s">
        <v>101</v>
      </c>
      <c r="F11" s="55" t="s">
        <v>102</v>
      </c>
      <c r="G11" s="55">
        <v>36.0</v>
      </c>
      <c r="H11" s="55" t="s">
        <v>85</v>
      </c>
      <c r="I11" s="55" t="s">
        <v>86</v>
      </c>
      <c r="J11" s="56" t="s">
        <v>87</v>
      </c>
      <c r="K11" s="55" t="s">
        <v>103</v>
      </c>
      <c r="L11" s="55" t="s">
        <v>34</v>
      </c>
      <c r="M11" s="55" t="s">
        <v>89</v>
      </c>
      <c r="N11" s="55" t="s">
        <v>90</v>
      </c>
      <c r="O11" s="55"/>
      <c r="P11" s="55" t="s">
        <v>91</v>
      </c>
      <c r="Q11" s="55"/>
      <c r="R11" s="55" t="s">
        <v>5</v>
      </c>
      <c r="S11" s="55"/>
      <c r="T11" s="55"/>
      <c r="U11" s="55" t="s">
        <v>7</v>
      </c>
      <c r="V11" s="55"/>
      <c r="W11" s="55"/>
      <c r="X11" s="57" t="str">
        <f t="shared" si="2"/>
        <v>--004-26-04</v>
      </c>
      <c r="Y11" s="58" t="str">
        <f t="shared" ref="Y11:AC11" si="9">TRIM(SUBSTITUTE(SUBSTITUTE(OFFSET($Q11,0,COLUMN()-COLUMN($AL$1)),CHAR(160)," "),_xludf.UNICHAR(8239)," "))</f>
        <v>#NAME?</v>
      </c>
      <c r="Z11" s="58" t="str">
        <f t="shared" si="9"/>
        <v>#NAME?</v>
      </c>
      <c r="AA11" s="58" t="str">
        <f t="shared" si="9"/>
        <v>#NAME?</v>
      </c>
      <c r="AB11" s="58" t="str">
        <f t="shared" si="9"/>
        <v>#NAME?</v>
      </c>
      <c r="AC11" s="58" t="str">
        <f t="shared" si="9"/>
        <v>#NAME?</v>
      </c>
      <c r="AD11" s="57">
        <f t="shared" si="4"/>
        <v>1</v>
      </c>
      <c r="AE11" s="57" t="str">
        <f t="shared" si="5"/>
        <v>2026-04</v>
      </c>
      <c r="AF11" s="57">
        <f t="shared" si="6"/>
        <v>1</v>
      </c>
      <c r="AG11" s="59">
        <f t="shared" si="7"/>
        <v>1</v>
      </c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</row>
    <row r="12" ht="24.0" customHeight="1">
      <c r="A12" s="53">
        <v>5.0</v>
      </c>
      <c r="B12" s="54" t="s">
        <v>104</v>
      </c>
      <c r="C12" s="55" t="s">
        <v>82</v>
      </c>
      <c r="D12" s="55"/>
      <c r="E12" s="55" t="s">
        <v>105</v>
      </c>
      <c r="F12" s="55" t="s">
        <v>106</v>
      </c>
      <c r="G12" s="55">
        <v>35.0</v>
      </c>
      <c r="H12" s="55" t="s">
        <v>85</v>
      </c>
      <c r="I12" s="55" t="s">
        <v>86</v>
      </c>
      <c r="J12" s="56" t="s">
        <v>87</v>
      </c>
      <c r="K12" s="55" t="s">
        <v>107</v>
      </c>
      <c r="L12" s="55" t="s">
        <v>34</v>
      </c>
      <c r="M12" s="55" t="s">
        <v>89</v>
      </c>
      <c r="N12" s="55" t="s">
        <v>90</v>
      </c>
      <c r="O12" s="55"/>
      <c r="P12" s="55" t="s">
        <v>91</v>
      </c>
      <c r="Q12" s="55"/>
      <c r="R12" s="55" t="s">
        <v>5</v>
      </c>
      <c r="S12" s="55"/>
      <c r="T12" s="55"/>
      <c r="U12" s="55" t="s">
        <v>7</v>
      </c>
      <c r="V12" s="55"/>
      <c r="W12" s="55"/>
      <c r="X12" s="57" t="str">
        <f t="shared" si="2"/>
        <v>--005-26-04</v>
      </c>
      <c r="Y12" s="58" t="str">
        <f t="shared" ref="Y12:AC12" si="10">TRIM(SUBSTITUTE(SUBSTITUTE(OFFSET($Q12,0,COLUMN()-COLUMN($AL$1)),CHAR(160)," "),_xludf.UNICHAR(8239)," "))</f>
        <v>#NAME?</v>
      </c>
      <c r="Z12" s="58" t="str">
        <f t="shared" si="10"/>
        <v>#NAME?</v>
      </c>
      <c r="AA12" s="58" t="str">
        <f t="shared" si="10"/>
        <v>#NAME?</v>
      </c>
      <c r="AB12" s="58" t="str">
        <f t="shared" si="10"/>
        <v>#NAME?</v>
      </c>
      <c r="AC12" s="58" t="str">
        <f t="shared" si="10"/>
        <v>#NAME?</v>
      </c>
      <c r="AD12" s="57">
        <f t="shared" si="4"/>
        <v>1</v>
      </c>
      <c r="AE12" s="57" t="str">
        <f t="shared" si="5"/>
        <v>2026-04</v>
      </c>
      <c r="AF12" s="57">
        <f t="shared" si="6"/>
        <v>1</v>
      </c>
      <c r="AG12" s="59">
        <f t="shared" si="7"/>
        <v>1</v>
      </c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</row>
    <row r="13" ht="24.0" customHeight="1">
      <c r="A13" s="53">
        <v>6.0</v>
      </c>
      <c r="B13" s="54" t="s">
        <v>108</v>
      </c>
      <c r="C13" s="55" t="s">
        <v>82</v>
      </c>
      <c r="D13" s="55"/>
      <c r="E13" s="55" t="s">
        <v>109</v>
      </c>
      <c r="F13" s="55" t="s">
        <v>110</v>
      </c>
      <c r="G13" s="55">
        <v>9.0</v>
      </c>
      <c r="H13" s="55" t="s">
        <v>111</v>
      </c>
      <c r="I13" s="55" t="s">
        <v>112</v>
      </c>
      <c r="J13" s="56" t="s">
        <v>113</v>
      </c>
      <c r="K13" s="55" t="s">
        <v>114</v>
      </c>
      <c r="L13" s="55" t="s">
        <v>34</v>
      </c>
      <c r="M13" s="55" t="s">
        <v>115</v>
      </c>
      <c r="N13" s="55" t="s">
        <v>90</v>
      </c>
      <c r="O13" s="55"/>
      <c r="P13" s="55" t="s">
        <v>91</v>
      </c>
      <c r="Q13" s="55" t="s">
        <v>16</v>
      </c>
      <c r="R13" s="55"/>
      <c r="S13" s="55"/>
      <c r="T13" s="55"/>
      <c r="U13" s="55"/>
      <c r="V13" s="55"/>
      <c r="W13" s="55"/>
      <c r="X13" s="57" t="str">
        <f t="shared" si="2"/>
        <v>--006-26-04</v>
      </c>
      <c r="Y13" s="58" t="str">
        <f t="shared" ref="Y13:AC13" si="11">TRIM(SUBSTITUTE(SUBSTITUTE(OFFSET($Q13,0,COLUMN()-COLUMN($AL$1)),CHAR(160)," "),_xludf.UNICHAR(8239)," "))</f>
        <v>#NAME?</v>
      </c>
      <c r="Z13" s="58" t="str">
        <f t="shared" si="11"/>
        <v>#NAME?</v>
      </c>
      <c r="AA13" s="58" t="str">
        <f t="shared" si="11"/>
        <v>#NAME?</v>
      </c>
      <c r="AB13" s="58" t="str">
        <f t="shared" si="11"/>
        <v>#NAME?</v>
      </c>
      <c r="AC13" s="58" t="str">
        <f t="shared" si="11"/>
        <v>#NAME?</v>
      </c>
      <c r="AD13" s="57">
        <f t="shared" si="4"/>
        <v>1</v>
      </c>
      <c r="AE13" s="57" t="str">
        <f t="shared" si="5"/>
        <v>2026-04</v>
      </c>
      <c r="AF13" s="57">
        <f t="shared" si="6"/>
        <v>1</v>
      </c>
      <c r="AG13" s="59">
        <f t="shared" si="7"/>
        <v>1</v>
      </c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</row>
    <row r="14" ht="24.0" customHeight="1">
      <c r="A14" s="53">
        <v>7.0</v>
      </c>
      <c r="B14" s="54" t="s">
        <v>116</v>
      </c>
      <c r="C14" s="55" t="s">
        <v>82</v>
      </c>
      <c r="D14" s="55"/>
      <c r="E14" s="55" t="s">
        <v>117</v>
      </c>
      <c r="F14" s="55" t="s">
        <v>118</v>
      </c>
      <c r="G14" s="55">
        <v>2.0</v>
      </c>
      <c r="H14" s="55" t="s">
        <v>119</v>
      </c>
      <c r="I14" s="55" t="s">
        <v>86</v>
      </c>
      <c r="J14" s="56" t="s">
        <v>87</v>
      </c>
      <c r="K14" s="55" t="s">
        <v>120</v>
      </c>
      <c r="L14" s="55" t="s">
        <v>34</v>
      </c>
      <c r="M14" s="55" t="s">
        <v>115</v>
      </c>
      <c r="N14" s="55" t="s">
        <v>90</v>
      </c>
      <c r="O14" s="55"/>
      <c r="P14" s="55" t="s">
        <v>91</v>
      </c>
      <c r="Q14" s="55" t="s">
        <v>16</v>
      </c>
      <c r="R14" s="55"/>
      <c r="S14" s="55"/>
      <c r="T14" s="55"/>
      <c r="U14" s="55"/>
      <c r="V14" s="55"/>
      <c r="W14" s="55"/>
      <c r="X14" s="57" t="str">
        <f t="shared" si="2"/>
        <v>--007-26-04</v>
      </c>
      <c r="Y14" s="58" t="str">
        <f t="shared" ref="Y14:AC14" si="12">TRIM(SUBSTITUTE(SUBSTITUTE(OFFSET($Q14,0,COLUMN()-COLUMN($AL$1)),CHAR(160)," "),_xludf.UNICHAR(8239)," "))</f>
        <v>#NAME?</v>
      </c>
      <c r="Z14" s="58" t="str">
        <f t="shared" si="12"/>
        <v>#NAME?</v>
      </c>
      <c r="AA14" s="58" t="str">
        <f t="shared" si="12"/>
        <v>#NAME?</v>
      </c>
      <c r="AB14" s="58" t="str">
        <f t="shared" si="12"/>
        <v>#NAME?</v>
      </c>
      <c r="AC14" s="58" t="str">
        <f t="shared" si="12"/>
        <v>#NAME?</v>
      </c>
      <c r="AD14" s="57">
        <f t="shared" si="4"/>
        <v>1</v>
      </c>
      <c r="AE14" s="57" t="str">
        <f t="shared" si="5"/>
        <v>2026-04</v>
      </c>
      <c r="AF14" s="57">
        <f t="shared" si="6"/>
        <v>1</v>
      </c>
      <c r="AG14" s="59">
        <f t="shared" si="7"/>
        <v>1</v>
      </c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</row>
    <row r="15" ht="24.0" customHeight="1">
      <c r="A15" s="53">
        <v>8.0</v>
      </c>
      <c r="B15" s="54" t="s">
        <v>121</v>
      </c>
      <c r="C15" s="55" t="s">
        <v>82</v>
      </c>
      <c r="D15" s="55"/>
      <c r="E15" s="55" t="s">
        <v>122</v>
      </c>
      <c r="F15" s="55" t="s">
        <v>123</v>
      </c>
      <c r="G15" s="55">
        <v>46.0</v>
      </c>
      <c r="H15" s="55" t="s">
        <v>85</v>
      </c>
      <c r="I15" s="55" t="s">
        <v>86</v>
      </c>
      <c r="J15" s="56" t="s">
        <v>87</v>
      </c>
      <c r="K15" s="55" t="s">
        <v>124</v>
      </c>
      <c r="L15" s="55" t="s">
        <v>34</v>
      </c>
      <c r="M15" s="55" t="s">
        <v>89</v>
      </c>
      <c r="N15" s="55" t="s">
        <v>90</v>
      </c>
      <c r="O15" s="55"/>
      <c r="P15" s="55" t="s">
        <v>91</v>
      </c>
      <c r="Q15" s="55"/>
      <c r="R15" s="55" t="s">
        <v>5</v>
      </c>
      <c r="S15" s="55"/>
      <c r="T15" s="55"/>
      <c r="U15" s="55" t="s">
        <v>7</v>
      </c>
      <c r="V15" s="55"/>
      <c r="W15" s="55"/>
      <c r="X15" s="57" t="str">
        <f t="shared" si="2"/>
        <v>--008-26-04</v>
      </c>
      <c r="Y15" s="58" t="str">
        <f t="shared" ref="Y15:AC15" si="13">TRIM(SUBSTITUTE(SUBSTITUTE(OFFSET($Q15,0,COLUMN()-COLUMN($AL$1)),CHAR(160)," "),_xludf.UNICHAR(8239)," "))</f>
        <v>#NAME?</v>
      </c>
      <c r="Z15" s="58" t="str">
        <f t="shared" si="13"/>
        <v>#NAME?</v>
      </c>
      <c r="AA15" s="58" t="str">
        <f t="shared" si="13"/>
        <v>#NAME?</v>
      </c>
      <c r="AB15" s="58" t="str">
        <f t="shared" si="13"/>
        <v>#NAME?</v>
      </c>
      <c r="AC15" s="58" t="str">
        <f t="shared" si="13"/>
        <v>#NAME?</v>
      </c>
      <c r="AD15" s="57">
        <f t="shared" si="4"/>
        <v>1</v>
      </c>
      <c r="AE15" s="57" t="str">
        <f t="shared" si="5"/>
        <v>2026-04</v>
      </c>
      <c r="AF15" s="57">
        <f t="shared" si="6"/>
        <v>1</v>
      </c>
      <c r="AG15" s="59">
        <f t="shared" si="7"/>
        <v>1</v>
      </c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</row>
    <row r="16" ht="24.0" customHeight="1">
      <c r="A16" s="53">
        <v>9.0</v>
      </c>
      <c r="B16" s="54" t="s">
        <v>125</v>
      </c>
      <c r="C16" s="55" t="s">
        <v>82</v>
      </c>
      <c r="D16" s="55"/>
      <c r="E16" s="55" t="s">
        <v>126</v>
      </c>
      <c r="F16" s="55" t="s">
        <v>127</v>
      </c>
      <c r="G16" s="55">
        <v>38.0</v>
      </c>
      <c r="H16" s="55" t="s">
        <v>85</v>
      </c>
      <c r="I16" s="55" t="s">
        <v>86</v>
      </c>
      <c r="J16" s="56" t="s">
        <v>87</v>
      </c>
      <c r="K16" s="55" t="s">
        <v>128</v>
      </c>
      <c r="L16" s="55" t="s">
        <v>34</v>
      </c>
      <c r="M16" s="55" t="s">
        <v>89</v>
      </c>
      <c r="N16" s="55" t="s">
        <v>90</v>
      </c>
      <c r="O16" s="55"/>
      <c r="P16" s="55" t="s">
        <v>91</v>
      </c>
      <c r="Q16" s="55"/>
      <c r="R16" s="55" t="s">
        <v>27</v>
      </c>
      <c r="S16" s="55"/>
      <c r="T16" s="55"/>
      <c r="U16" s="55"/>
      <c r="V16" s="55"/>
      <c r="W16" s="55"/>
      <c r="X16" s="57" t="str">
        <f t="shared" si="2"/>
        <v>--009-26-04</v>
      </c>
      <c r="Y16" s="58" t="str">
        <f t="shared" ref="Y16:AC16" si="14">TRIM(SUBSTITUTE(SUBSTITUTE(OFFSET($Q16,0,COLUMN()-COLUMN($AL$1)),CHAR(160)," "),_xludf.UNICHAR(8239)," "))</f>
        <v>#NAME?</v>
      </c>
      <c r="Z16" s="58" t="str">
        <f t="shared" si="14"/>
        <v>#NAME?</v>
      </c>
      <c r="AA16" s="58" t="str">
        <f t="shared" si="14"/>
        <v>#NAME?</v>
      </c>
      <c r="AB16" s="58" t="str">
        <f t="shared" si="14"/>
        <v>#NAME?</v>
      </c>
      <c r="AC16" s="58" t="str">
        <f t="shared" si="14"/>
        <v>#NAME?</v>
      </c>
      <c r="AD16" s="57">
        <f t="shared" si="4"/>
        <v>1</v>
      </c>
      <c r="AE16" s="57" t="str">
        <f t="shared" si="5"/>
        <v>2026-04</v>
      </c>
      <c r="AF16" s="57">
        <f t="shared" si="6"/>
        <v>1</v>
      </c>
      <c r="AG16" s="59">
        <f t="shared" si="7"/>
        <v>1</v>
      </c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</row>
    <row r="17" ht="24.0" customHeight="1">
      <c r="A17" s="53">
        <v>10.0</v>
      </c>
      <c r="B17" s="54" t="s">
        <v>129</v>
      </c>
      <c r="C17" s="55" t="s">
        <v>82</v>
      </c>
      <c r="D17" s="55"/>
      <c r="E17" s="55" t="s">
        <v>130</v>
      </c>
      <c r="F17" s="55" t="s">
        <v>131</v>
      </c>
      <c r="G17" s="55">
        <v>17.0</v>
      </c>
      <c r="H17" s="55" t="s">
        <v>111</v>
      </c>
      <c r="I17" s="55" t="s">
        <v>86</v>
      </c>
      <c r="J17" s="56" t="s">
        <v>87</v>
      </c>
      <c r="K17" s="55" t="s">
        <v>132</v>
      </c>
      <c r="L17" s="55" t="s">
        <v>34</v>
      </c>
      <c r="M17" s="55" t="s">
        <v>133</v>
      </c>
      <c r="N17" s="55" t="s">
        <v>90</v>
      </c>
      <c r="O17" s="55"/>
      <c r="P17" s="55" t="s">
        <v>91</v>
      </c>
      <c r="Q17" s="55"/>
      <c r="R17" s="55" t="s">
        <v>36</v>
      </c>
      <c r="S17" s="55"/>
      <c r="T17" s="55"/>
      <c r="U17" s="55"/>
      <c r="V17" s="55"/>
      <c r="W17" s="55"/>
      <c r="X17" s="57" t="str">
        <f t="shared" si="2"/>
        <v>--010-26-04</v>
      </c>
      <c r="Y17" s="58" t="str">
        <f t="shared" ref="Y17:AC17" si="15">TRIM(SUBSTITUTE(SUBSTITUTE(OFFSET($Q17,0,COLUMN()-COLUMN($AL$1)),CHAR(160)," "),_xludf.UNICHAR(8239)," "))</f>
        <v>#NAME?</v>
      </c>
      <c r="Z17" s="58" t="str">
        <f t="shared" si="15"/>
        <v>#NAME?</v>
      </c>
      <c r="AA17" s="58" t="str">
        <f t="shared" si="15"/>
        <v>#NAME?</v>
      </c>
      <c r="AB17" s="58" t="str">
        <f t="shared" si="15"/>
        <v>#NAME?</v>
      </c>
      <c r="AC17" s="58" t="str">
        <f t="shared" si="15"/>
        <v>#NAME?</v>
      </c>
      <c r="AD17" s="57">
        <f t="shared" si="4"/>
        <v>1</v>
      </c>
      <c r="AE17" s="57" t="str">
        <f t="shared" si="5"/>
        <v>2026-04</v>
      </c>
      <c r="AF17" s="57">
        <f t="shared" si="6"/>
        <v>1</v>
      </c>
      <c r="AG17" s="59">
        <f t="shared" si="7"/>
        <v>1</v>
      </c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</row>
    <row r="18" ht="24.0" customHeight="1">
      <c r="A18" s="53">
        <v>11.0</v>
      </c>
      <c r="B18" s="54" t="s">
        <v>134</v>
      </c>
      <c r="C18" s="55" t="s">
        <v>82</v>
      </c>
      <c r="D18" s="55"/>
      <c r="E18" s="55" t="s">
        <v>135</v>
      </c>
      <c r="F18" s="55" t="s">
        <v>136</v>
      </c>
      <c r="G18" s="55">
        <v>1.0</v>
      </c>
      <c r="H18" s="55" t="s">
        <v>119</v>
      </c>
      <c r="I18" s="55" t="s">
        <v>112</v>
      </c>
      <c r="J18" s="56" t="s">
        <v>113</v>
      </c>
      <c r="K18" s="55" t="s">
        <v>137</v>
      </c>
      <c r="L18" s="55" t="s">
        <v>34</v>
      </c>
      <c r="M18" s="55" t="s">
        <v>115</v>
      </c>
      <c r="N18" s="55" t="s">
        <v>90</v>
      </c>
      <c r="O18" s="55"/>
      <c r="P18" s="55" t="s">
        <v>91</v>
      </c>
      <c r="Q18" s="55" t="s">
        <v>16</v>
      </c>
      <c r="R18" s="55"/>
      <c r="S18" s="55"/>
      <c r="T18" s="55"/>
      <c r="U18" s="55"/>
      <c r="V18" s="55"/>
      <c r="W18" s="55"/>
      <c r="X18" s="57" t="str">
        <f t="shared" si="2"/>
        <v>--011-26-04</v>
      </c>
      <c r="Y18" s="58" t="str">
        <f t="shared" ref="Y18:AC18" si="16">TRIM(SUBSTITUTE(SUBSTITUTE(OFFSET($Q18,0,COLUMN()-COLUMN($AL$1)),CHAR(160)," "),_xludf.UNICHAR(8239)," "))</f>
        <v>#NAME?</v>
      </c>
      <c r="Z18" s="58" t="str">
        <f t="shared" si="16"/>
        <v>#NAME?</v>
      </c>
      <c r="AA18" s="58" t="str">
        <f t="shared" si="16"/>
        <v>#NAME?</v>
      </c>
      <c r="AB18" s="58" t="str">
        <f t="shared" si="16"/>
        <v>#NAME?</v>
      </c>
      <c r="AC18" s="58" t="str">
        <f t="shared" si="16"/>
        <v>#NAME?</v>
      </c>
      <c r="AD18" s="57">
        <f t="shared" si="4"/>
        <v>1</v>
      </c>
      <c r="AE18" s="57" t="str">
        <f t="shared" si="5"/>
        <v>2026-04</v>
      </c>
      <c r="AF18" s="57">
        <f t="shared" si="6"/>
        <v>1</v>
      </c>
      <c r="AG18" s="59">
        <f t="shared" si="7"/>
        <v>1</v>
      </c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</row>
    <row r="19" ht="24.0" customHeight="1">
      <c r="A19" s="53">
        <v>12.0</v>
      </c>
      <c r="B19" s="54" t="s">
        <v>138</v>
      </c>
      <c r="C19" s="55" t="s">
        <v>82</v>
      </c>
      <c r="D19" s="55"/>
      <c r="E19" s="55" t="s">
        <v>139</v>
      </c>
      <c r="F19" s="55" t="s">
        <v>140</v>
      </c>
      <c r="G19" s="55">
        <v>22.0</v>
      </c>
      <c r="H19" s="55" t="s">
        <v>85</v>
      </c>
      <c r="I19" s="55" t="s">
        <v>86</v>
      </c>
      <c r="J19" s="56" t="s">
        <v>87</v>
      </c>
      <c r="K19" s="55" t="s">
        <v>141</v>
      </c>
      <c r="L19" s="55" t="s">
        <v>34</v>
      </c>
      <c r="M19" s="55" t="s">
        <v>89</v>
      </c>
      <c r="N19" s="55" t="s">
        <v>90</v>
      </c>
      <c r="O19" s="55"/>
      <c r="P19" s="55" t="s">
        <v>91</v>
      </c>
      <c r="Q19" s="55"/>
      <c r="R19" s="55" t="s">
        <v>36</v>
      </c>
      <c r="S19" s="55"/>
      <c r="T19" s="55"/>
      <c r="U19" s="55"/>
      <c r="V19" s="55"/>
      <c r="W19" s="55"/>
      <c r="X19" s="57" t="str">
        <f t="shared" si="2"/>
        <v>--012-26-04</v>
      </c>
      <c r="Y19" s="58" t="str">
        <f t="shared" ref="Y19:AC19" si="17">TRIM(SUBSTITUTE(SUBSTITUTE(OFFSET($Q19,0,COLUMN()-COLUMN($AL$1)),CHAR(160)," "),_xludf.UNICHAR(8239)," "))</f>
        <v>#NAME?</v>
      </c>
      <c r="Z19" s="58" t="str">
        <f t="shared" si="17"/>
        <v>#NAME?</v>
      </c>
      <c r="AA19" s="58" t="str">
        <f t="shared" si="17"/>
        <v>#NAME?</v>
      </c>
      <c r="AB19" s="58" t="str">
        <f t="shared" si="17"/>
        <v>#NAME?</v>
      </c>
      <c r="AC19" s="58" t="str">
        <f t="shared" si="17"/>
        <v>#NAME?</v>
      </c>
      <c r="AD19" s="57">
        <f t="shared" si="4"/>
        <v>1</v>
      </c>
      <c r="AE19" s="57" t="str">
        <f t="shared" si="5"/>
        <v>2026-04</v>
      </c>
      <c r="AF19" s="57">
        <f t="shared" si="6"/>
        <v>1</v>
      </c>
      <c r="AG19" s="59">
        <f t="shared" si="7"/>
        <v>1</v>
      </c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</row>
    <row r="20" ht="24.0" customHeight="1">
      <c r="A20" s="53">
        <v>13.0</v>
      </c>
      <c r="B20" s="54" t="s">
        <v>142</v>
      </c>
      <c r="C20" s="55" t="s">
        <v>82</v>
      </c>
      <c r="D20" s="55"/>
      <c r="E20" s="55" t="s">
        <v>143</v>
      </c>
      <c r="F20" s="55" t="s">
        <v>144</v>
      </c>
      <c r="G20" s="55">
        <v>1.0</v>
      </c>
      <c r="H20" s="55" t="s">
        <v>119</v>
      </c>
      <c r="I20" s="55" t="s">
        <v>112</v>
      </c>
      <c r="J20" s="56" t="s">
        <v>113</v>
      </c>
      <c r="K20" s="55" t="s">
        <v>141</v>
      </c>
      <c r="L20" s="55" t="s">
        <v>34</v>
      </c>
      <c r="M20" s="55" t="s">
        <v>115</v>
      </c>
      <c r="N20" s="55" t="s">
        <v>90</v>
      </c>
      <c r="O20" s="55"/>
      <c r="P20" s="55" t="s">
        <v>91</v>
      </c>
      <c r="Q20" s="55" t="s">
        <v>16</v>
      </c>
      <c r="R20" s="55"/>
      <c r="S20" s="55"/>
      <c r="T20" s="55"/>
      <c r="U20" s="55"/>
      <c r="V20" s="55"/>
      <c r="W20" s="55"/>
      <c r="X20" s="57" t="str">
        <f t="shared" si="2"/>
        <v>--013-26-04</v>
      </c>
      <c r="Y20" s="58" t="str">
        <f t="shared" ref="Y20:AC20" si="18">TRIM(SUBSTITUTE(SUBSTITUTE(OFFSET($Q20,0,COLUMN()-COLUMN($AL$1)),CHAR(160)," "),_xludf.UNICHAR(8239)," "))</f>
        <v>#NAME?</v>
      </c>
      <c r="Z20" s="58" t="str">
        <f t="shared" si="18"/>
        <v>#NAME?</v>
      </c>
      <c r="AA20" s="58" t="str">
        <f t="shared" si="18"/>
        <v>#NAME?</v>
      </c>
      <c r="AB20" s="58" t="str">
        <f t="shared" si="18"/>
        <v>#NAME?</v>
      </c>
      <c r="AC20" s="58" t="str">
        <f t="shared" si="18"/>
        <v>#NAME?</v>
      </c>
      <c r="AD20" s="57">
        <f t="shared" si="4"/>
        <v>1</v>
      </c>
      <c r="AE20" s="57" t="str">
        <f t="shared" si="5"/>
        <v>2026-04</v>
      </c>
      <c r="AF20" s="57">
        <f t="shared" si="6"/>
        <v>1</v>
      </c>
      <c r="AG20" s="59">
        <f t="shared" si="7"/>
        <v>1</v>
      </c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</row>
    <row r="21" ht="24.0" customHeight="1">
      <c r="A21" s="53">
        <v>14.0</v>
      </c>
      <c r="B21" s="54" t="s">
        <v>145</v>
      </c>
      <c r="C21" s="55" t="s">
        <v>82</v>
      </c>
      <c r="D21" s="55"/>
      <c r="E21" s="55" t="s">
        <v>146</v>
      </c>
      <c r="F21" s="55" t="s">
        <v>147</v>
      </c>
      <c r="G21" s="55">
        <v>1.0</v>
      </c>
      <c r="H21" s="55" t="s">
        <v>119</v>
      </c>
      <c r="I21" s="55" t="s">
        <v>112</v>
      </c>
      <c r="J21" s="56" t="s">
        <v>113</v>
      </c>
      <c r="K21" s="55" t="s">
        <v>148</v>
      </c>
      <c r="L21" s="55" t="s">
        <v>34</v>
      </c>
      <c r="M21" s="55" t="s">
        <v>115</v>
      </c>
      <c r="N21" s="55" t="s">
        <v>90</v>
      </c>
      <c r="O21" s="55"/>
      <c r="P21" s="55" t="s">
        <v>91</v>
      </c>
      <c r="Q21" s="55" t="s">
        <v>16</v>
      </c>
      <c r="R21" s="55"/>
      <c r="S21" s="55"/>
      <c r="T21" s="55"/>
      <c r="U21" s="55"/>
      <c r="V21" s="55"/>
      <c r="W21" s="55"/>
      <c r="X21" s="57" t="str">
        <f t="shared" si="2"/>
        <v>--014-26-04</v>
      </c>
      <c r="Y21" s="58" t="str">
        <f t="shared" ref="Y21:AC21" si="19">TRIM(SUBSTITUTE(SUBSTITUTE(OFFSET($Q21,0,COLUMN()-COLUMN($AL$1)),CHAR(160)," "),_xludf.UNICHAR(8239)," "))</f>
        <v>#NAME?</v>
      </c>
      <c r="Z21" s="58" t="str">
        <f t="shared" si="19"/>
        <v>#NAME?</v>
      </c>
      <c r="AA21" s="58" t="str">
        <f t="shared" si="19"/>
        <v>#NAME?</v>
      </c>
      <c r="AB21" s="58" t="str">
        <f t="shared" si="19"/>
        <v>#NAME?</v>
      </c>
      <c r="AC21" s="58" t="str">
        <f t="shared" si="19"/>
        <v>#NAME?</v>
      </c>
      <c r="AD21" s="57">
        <f t="shared" si="4"/>
        <v>1</v>
      </c>
      <c r="AE21" s="57" t="str">
        <f t="shared" si="5"/>
        <v>2026-04</v>
      </c>
      <c r="AF21" s="57">
        <f t="shared" si="6"/>
        <v>1</v>
      </c>
      <c r="AG21" s="59">
        <f t="shared" si="7"/>
        <v>1</v>
      </c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</row>
    <row r="22" ht="24.0" customHeight="1">
      <c r="A22" s="53">
        <v>15.0</v>
      </c>
      <c r="B22" s="54" t="s">
        <v>149</v>
      </c>
      <c r="C22" s="55" t="s">
        <v>82</v>
      </c>
      <c r="D22" s="55"/>
      <c r="E22" s="55" t="s">
        <v>150</v>
      </c>
      <c r="F22" s="55" t="s">
        <v>151</v>
      </c>
      <c r="G22" s="55">
        <v>2.0</v>
      </c>
      <c r="H22" s="55" t="s">
        <v>119</v>
      </c>
      <c r="I22" s="55" t="s">
        <v>112</v>
      </c>
      <c r="J22" s="56" t="s">
        <v>113</v>
      </c>
      <c r="K22" s="55" t="s">
        <v>152</v>
      </c>
      <c r="L22" s="55" t="s">
        <v>34</v>
      </c>
      <c r="M22" s="55" t="s">
        <v>115</v>
      </c>
      <c r="N22" s="55" t="s">
        <v>90</v>
      </c>
      <c r="O22" s="55"/>
      <c r="P22" s="55" t="s">
        <v>91</v>
      </c>
      <c r="Q22" s="55" t="s">
        <v>16</v>
      </c>
      <c r="R22" s="55"/>
      <c r="S22" s="55"/>
      <c r="T22" s="55"/>
      <c r="U22" s="55"/>
      <c r="V22" s="55"/>
      <c r="W22" s="55"/>
      <c r="X22" s="57" t="str">
        <f t="shared" si="2"/>
        <v>--015-26-04</v>
      </c>
      <c r="Y22" s="58" t="str">
        <f t="shared" ref="Y22:AC22" si="20">TRIM(SUBSTITUTE(SUBSTITUTE(OFFSET($Q22,0,COLUMN()-COLUMN($AL$1)),CHAR(160)," "),_xludf.UNICHAR(8239)," "))</f>
        <v>#NAME?</v>
      </c>
      <c r="Z22" s="58" t="str">
        <f t="shared" si="20"/>
        <v>#NAME?</v>
      </c>
      <c r="AA22" s="58" t="str">
        <f t="shared" si="20"/>
        <v>#NAME?</v>
      </c>
      <c r="AB22" s="58" t="str">
        <f t="shared" si="20"/>
        <v>#NAME?</v>
      </c>
      <c r="AC22" s="58" t="str">
        <f t="shared" si="20"/>
        <v>#NAME?</v>
      </c>
      <c r="AD22" s="57">
        <f t="shared" si="4"/>
        <v>1</v>
      </c>
      <c r="AE22" s="57" t="str">
        <f t="shared" si="5"/>
        <v>2026-04</v>
      </c>
      <c r="AF22" s="57">
        <f t="shared" si="6"/>
        <v>1</v>
      </c>
      <c r="AG22" s="59">
        <f t="shared" si="7"/>
        <v>1</v>
      </c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</row>
    <row r="23" ht="24.0" customHeight="1">
      <c r="A23" s="53">
        <v>16.0</v>
      </c>
      <c r="B23" s="54" t="s">
        <v>153</v>
      </c>
      <c r="C23" s="55" t="s">
        <v>82</v>
      </c>
      <c r="D23" s="55"/>
      <c r="E23" s="55" t="s">
        <v>154</v>
      </c>
      <c r="F23" s="55" t="s">
        <v>155</v>
      </c>
      <c r="G23" s="55">
        <v>4.0</v>
      </c>
      <c r="H23" s="55" t="s">
        <v>119</v>
      </c>
      <c r="I23" s="55" t="s">
        <v>86</v>
      </c>
      <c r="J23" s="56" t="s">
        <v>87</v>
      </c>
      <c r="K23" s="55" t="s">
        <v>156</v>
      </c>
      <c r="L23" s="55" t="s">
        <v>34</v>
      </c>
      <c r="M23" s="55" t="s">
        <v>115</v>
      </c>
      <c r="N23" s="55" t="s">
        <v>90</v>
      </c>
      <c r="O23" s="55"/>
      <c r="P23" s="55" t="s">
        <v>91</v>
      </c>
      <c r="Q23" s="55" t="s">
        <v>4</v>
      </c>
      <c r="R23" s="55"/>
      <c r="S23" s="55"/>
      <c r="T23" s="55"/>
      <c r="U23" s="55"/>
      <c r="V23" s="55"/>
      <c r="W23" s="55"/>
      <c r="X23" s="57" t="str">
        <f t="shared" si="2"/>
        <v>--016-26-04</v>
      </c>
      <c r="Y23" s="58" t="str">
        <f t="shared" ref="Y23:AC23" si="21">TRIM(SUBSTITUTE(SUBSTITUTE(OFFSET($Q23,0,COLUMN()-COLUMN($AL$1)),CHAR(160)," "),_xludf.UNICHAR(8239)," "))</f>
        <v>#NAME?</v>
      </c>
      <c r="Z23" s="58" t="str">
        <f t="shared" si="21"/>
        <v>#NAME?</v>
      </c>
      <c r="AA23" s="58" t="str">
        <f t="shared" si="21"/>
        <v>#NAME?</v>
      </c>
      <c r="AB23" s="58" t="str">
        <f t="shared" si="21"/>
        <v>#NAME?</v>
      </c>
      <c r="AC23" s="58" t="str">
        <f t="shared" si="21"/>
        <v>#NAME?</v>
      </c>
      <c r="AD23" s="57">
        <f t="shared" si="4"/>
        <v>1</v>
      </c>
      <c r="AE23" s="57" t="str">
        <f t="shared" si="5"/>
        <v>2026-04</v>
      </c>
      <c r="AF23" s="57">
        <f t="shared" si="6"/>
        <v>1</v>
      </c>
      <c r="AG23" s="59">
        <f t="shared" si="7"/>
        <v>1</v>
      </c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</row>
    <row r="24" ht="24.0" customHeight="1">
      <c r="A24" s="53">
        <v>17.0</v>
      </c>
      <c r="B24" s="54" t="s">
        <v>157</v>
      </c>
      <c r="C24" s="55" t="s">
        <v>82</v>
      </c>
      <c r="D24" s="55"/>
      <c r="E24" s="55" t="s">
        <v>158</v>
      </c>
      <c r="F24" s="55" t="s">
        <v>159</v>
      </c>
      <c r="G24" s="55">
        <v>4.0</v>
      </c>
      <c r="H24" s="55" t="s">
        <v>119</v>
      </c>
      <c r="I24" s="55" t="s">
        <v>86</v>
      </c>
      <c r="J24" s="56" t="s">
        <v>87</v>
      </c>
      <c r="K24" s="55" t="s">
        <v>160</v>
      </c>
      <c r="L24" s="55" t="s">
        <v>34</v>
      </c>
      <c r="M24" s="55" t="s">
        <v>115</v>
      </c>
      <c r="N24" s="55" t="s">
        <v>90</v>
      </c>
      <c r="O24" s="55"/>
      <c r="P24" s="55" t="s">
        <v>91</v>
      </c>
      <c r="Q24" s="55" t="s">
        <v>16</v>
      </c>
      <c r="R24" s="55"/>
      <c r="S24" s="55"/>
      <c r="T24" s="55"/>
      <c r="U24" s="55"/>
      <c r="V24" s="55"/>
      <c r="W24" s="55"/>
      <c r="X24" s="57" t="str">
        <f t="shared" si="2"/>
        <v>--017-26-04</v>
      </c>
      <c r="Y24" s="58" t="str">
        <f t="shared" ref="Y24:AC24" si="22">TRIM(SUBSTITUTE(SUBSTITUTE(OFFSET($Q24,0,COLUMN()-COLUMN($AL$1)),CHAR(160)," "),_xludf.UNICHAR(8239)," "))</f>
        <v>#NAME?</v>
      </c>
      <c r="Z24" s="58" t="str">
        <f t="shared" si="22"/>
        <v>#NAME?</v>
      </c>
      <c r="AA24" s="58" t="str">
        <f t="shared" si="22"/>
        <v>#NAME?</v>
      </c>
      <c r="AB24" s="58" t="str">
        <f t="shared" si="22"/>
        <v>#NAME?</v>
      </c>
      <c r="AC24" s="58" t="str">
        <f t="shared" si="22"/>
        <v>#NAME?</v>
      </c>
      <c r="AD24" s="57">
        <f t="shared" si="4"/>
        <v>1</v>
      </c>
      <c r="AE24" s="57" t="str">
        <f t="shared" si="5"/>
        <v>2026-04</v>
      </c>
      <c r="AF24" s="57">
        <f t="shared" si="6"/>
        <v>1</v>
      </c>
      <c r="AG24" s="59">
        <f t="shared" si="7"/>
        <v>1</v>
      </c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</row>
    <row r="25" ht="24.0" customHeight="1">
      <c r="A25" s="53">
        <v>18.0</v>
      </c>
      <c r="B25" s="54" t="s">
        <v>161</v>
      </c>
      <c r="C25" s="55" t="s">
        <v>82</v>
      </c>
      <c r="D25" s="55"/>
      <c r="E25" s="55" t="s">
        <v>162</v>
      </c>
      <c r="F25" s="55" t="s">
        <v>163</v>
      </c>
      <c r="G25" s="55">
        <v>30.0</v>
      </c>
      <c r="H25" s="55" t="s">
        <v>85</v>
      </c>
      <c r="I25" s="55" t="s">
        <v>86</v>
      </c>
      <c r="J25" s="56" t="s">
        <v>87</v>
      </c>
      <c r="K25" s="55" t="s">
        <v>164</v>
      </c>
      <c r="L25" s="55" t="s">
        <v>34</v>
      </c>
      <c r="M25" s="55" t="s">
        <v>115</v>
      </c>
      <c r="N25" s="55" t="s">
        <v>90</v>
      </c>
      <c r="O25" s="55"/>
      <c r="P25" s="55" t="s">
        <v>91</v>
      </c>
      <c r="Q25" s="55" t="s">
        <v>16</v>
      </c>
      <c r="R25" s="55"/>
      <c r="S25" s="55"/>
      <c r="T25" s="55"/>
      <c r="U25" s="55"/>
      <c r="V25" s="55"/>
      <c r="W25" s="55"/>
      <c r="X25" s="57" t="str">
        <f t="shared" si="2"/>
        <v>--018-26-04</v>
      </c>
      <c r="Y25" s="58" t="str">
        <f t="shared" ref="Y25:AC25" si="23">TRIM(SUBSTITUTE(SUBSTITUTE(OFFSET($Q25,0,COLUMN()-COLUMN($AL$1)),CHAR(160)," "),_xludf.UNICHAR(8239)," "))</f>
        <v>#NAME?</v>
      </c>
      <c r="Z25" s="58" t="str">
        <f t="shared" si="23"/>
        <v>#NAME?</v>
      </c>
      <c r="AA25" s="58" t="str">
        <f t="shared" si="23"/>
        <v>#NAME?</v>
      </c>
      <c r="AB25" s="58" t="str">
        <f t="shared" si="23"/>
        <v>#NAME?</v>
      </c>
      <c r="AC25" s="58" t="str">
        <f t="shared" si="23"/>
        <v>#NAME?</v>
      </c>
      <c r="AD25" s="57">
        <f t="shared" si="4"/>
        <v>1</v>
      </c>
      <c r="AE25" s="57" t="str">
        <f t="shared" si="5"/>
        <v>2026-04</v>
      </c>
      <c r="AF25" s="57">
        <f t="shared" si="6"/>
        <v>1</v>
      </c>
      <c r="AG25" s="59">
        <f t="shared" si="7"/>
        <v>1</v>
      </c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</row>
    <row r="26" ht="24.0" customHeight="1">
      <c r="A26" s="53">
        <v>19.0</v>
      </c>
      <c r="B26" s="54" t="s">
        <v>165</v>
      </c>
      <c r="C26" s="55" t="s">
        <v>82</v>
      </c>
      <c r="D26" s="55"/>
      <c r="E26" s="55" t="s">
        <v>166</v>
      </c>
      <c r="F26" s="55" t="s">
        <v>167</v>
      </c>
      <c r="G26" s="55">
        <v>42.0</v>
      </c>
      <c r="H26" s="55" t="s">
        <v>85</v>
      </c>
      <c r="I26" s="55" t="s">
        <v>86</v>
      </c>
      <c r="J26" s="56" t="s">
        <v>87</v>
      </c>
      <c r="K26" s="55" t="s">
        <v>168</v>
      </c>
      <c r="L26" s="55" t="s">
        <v>34</v>
      </c>
      <c r="M26" s="55" t="s">
        <v>89</v>
      </c>
      <c r="N26" s="55" t="s">
        <v>90</v>
      </c>
      <c r="O26" s="55"/>
      <c r="P26" s="55" t="s">
        <v>91</v>
      </c>
      <c r="Q26" s="55"/>
      <c r="R26" s="55" t="s">
        <v>36</v>
      </c>
      <c r="S26" s="55"/>
      <c r="T26" s="55"/>
      <c r="U26" s="55"/>
      <c r="V26" s="55"/>
      <c r="W26" s="55"/>
      <c r="X26" s="57" t="str">
        <f t="shared" si="2"/>
        <v>--019-26-04</v>
      </c>
      <c r="Y26" s="58" t="str">
        <f t="shared" ref="Y26:AC26" si="24">TRIM(SUBSTITUTE(SUBSTITUTE(OFFSET($Q26,0,COLUMN()-COLUMN($AL$1)),CHAR(160)," "),_xludf.UNICHAR(8239)," "))</f>
        <v>#NAME?</v>
      </c>
      <c r="Z26" s="58" t="str">
        <f t="shared" si="24"/>
        <v>#NAME?</v>
      </c>
      <c r="AA26" s="58" t="str">
        <f t="shared" si="24"/>
        <v>#NAME?</v>
      </c>
      <c r="AB26" s="58" t="str">
        <f t="shared" si="24"/>
        <v>#NAME?</v>
      </c>
      <c r="AC26" s="58" t="str">
        <f t="shared" si="24"/>
        <v>#NAME?</v>
      </c>
      <c r="AD26" s="57">
        <f t="shared" si="4"/>
        <v>1</v>
      </c>
      <c r="AE26" s="57" t="str">
        <f t="shared" si="5"/>
        <v>2026-04</v>
      </c>
      <c r="AF26" s="57">
        <f t="shared" si="6"/>
        <v>1</v>
      </c>
      <c r="AG26" s="59">
        <f t="shared" si="7"/>
        <v>1</v>
      </c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</row>
    <row r="27" ht="24.0" customHeight="1">
      <c r="A27" s="53">
        <v>20.0</v>
      </c>
      <c r="B27" s="54" t="s">
        <v>169</v>
      </c>
      <c r="C27" s="55" t="s">
        <v>82</v>
      </c>
      <c r="D27" s="55"/>
      <c r="E27" s="55" t="s">
        <v>170</v>
      </c>
      <c r="F27" s="55" t="s">
        <v>171</v>
      </c>
      <c r="G27" s="55">
        <v>23.0</v>
      </c>
      <c r="H27" s="55" t="s">
        <v>85</v>
      </c>
      <c r="I27" s="55" t="s">
        <v>86</v>
      </c>
      <c r="J27" s="56" t="s">
        <v>87</v>
      </c>
      <c r="K27" s="55" t="s">
        <v>172</v>
      </c>
      <c r="L27" s="55" t="s">
        <v>34</v>
      </c>
      <c r="M27" s="55" t="s">
        <v>89</v>
      </c>
      <c r="N27" s="55" t="s">
        <v>90</v>
      </c>
      <c r="O27" s="55"/>
      <c r="P27" s="55" t="s">
        <v>91</v>
      </c>
      <c r="Q27" s="55"/>
      <c r="R27" s="55"/>
      <c r="S27" s="55" t="s">
        <v>18</v>
      </c>
      <c r="T27" s="55"/>
      <c r="U27" s="55"/>
      <c r="V27" s="55"/>
      <c r="W27" s="55"/>
      <c r="X27" s="57" t="str">
        <f t="shared" si="2"/>
        <v>--020-26-04</v>
      </c>
      <c r="Y27" s="58" t="str">
        <f t="shared" ref="Y27:AC27" si="25">TRIM(SUBSTITUTE(SUBSTITUTE(OFFSET($Q27,0,COLUMN()-COLUMN($AL$1)),CHAR(160)," "),_xludf.UNICHAR(8239)," "))</f>
        <v>#NAME?</v>
      </c>
      <c r="Z27" s="58" t="str">
        <f t="shared" si="25"/>
        <v>#NAME?</v>
      </c>
      <c r="AA27" s="58" t="str">
        <f t="shared" si="25"/>
        <v>#NAME?</v>
      </c>
      <c r="AB27" s="58" t="str">
        <f t="shared" si="25"/>
        <v>#NAME?</v>
      </c>
      <c r="AC27" s="58" t="str">
        <f t="shared" si="25"/>
        <v>#NAME?</v>
      </c>
      <c r="AD27" s="57">
        <f t="shared" si="4"/>
        <v>1</v>
      </c>
      <c r="AE27" s="57" t="str">
        <f t="shared" si="5"/>
        <v>2026-04</v>
      </c>
      <c r="AF27" s="57">
        <f t="shared" si="6"/>
        <v>1</v>
      </c>
      <c r="AG27" s="59">
        <f t="shared" si="7"/>
        <v>1</v>
      </c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</row>
    <row r="28" ht="24.0" customHeight="1">
      <c r="A28" s="53">
        <v>21.0</v>
      </c>
      <c r="B28" s="54" t="s">
        <v>173</v>
      </c>
      <c r="C28" s="55" t="s">
        <v>82</v>
      </c>
      <c r="D28" s="55"/>
      <c r="E28" s="55" t="s">
        <v>174</v>
      </c>
      <c r="F28" s="55" t="s">
        <v>175</v>
      </c>
      <c r="G28" s="55">
        <v>2.0</v>
      </c>
      <c r="H28" s="55" t="s">
        <v>119</v>
      </c>
      <c r="I28" s="55" t="s">
        <v>86</v>
      </c>
      <c r="J28" s="56" t="s">
        <v>87</v>
      </c>
      <c r="K28" s="55" t="s">
        <v>168</v>
      </c>
      <c r="L28" s="55" t="s">
        <v>34</v>
      </c>
      <c r="M28" s="55" t="s">
        <v>115</v>
      </c>
      <c r="N28" s="55" t="s">
        <v>90</v>
      </c>
      <c r="O28" s="55"/>
      <c r="P28" s="55" t="s">
        <v>91</v>
      </c>
      <c r="Q28" s="55" t="s">
        <v>16</v>
      </c>
      <c r="R28" s="55"/>
      <c r="S28" s="55"/>
      <c r="T28" s="55"/>
      <c r="U28" s="55"/>
      <c r="V28" s="55"/>
      <c r="W28" s="55"/>
      <c r="X28" s="57" t="str">
        <f t="shared" si="2"/>
        <v>--021-26-04</v>
      </c>
      <c r="Y28" s="58" t="str">
        <f t="shared" ref="Y28:AC28" si="26">TRIM(SUBSTITUTE(SUBSTITUTE(OFFSET($Q28,0,COLUMN()-COLUMN($AL$1)),CHAR(160)," "),_xludf.UNICHAR(8239)," "))</f>
        <v>#NAME?</v>
      </c>
      <c r="Z28" s="58" t="str">
        <f t="shared" si="26"/>
        <v>#NAME?</v>
      </c>
      <c r="AA28" s="58" t="str">
        <f t="shared" si="26"/>
        <v>#NAME?</v>
      </c>
      <c r="AB28" s="58" t="str">
        <f t="shared" si="26"/>
        <v>#NAME?</v>
      </c>
      <c r="AC28" s="58" t="str">
        <f t="shared" si="26"/>
        <v>#NAME?</v>
      </c>
      <c r="AD28" s="57">
        <f t="shared" si="4"/>
        <v>1</v>
      </c>
      <c r="AE28" s="57" t="str">
        <f t="shared" si="5"/>
        <v>2026-04</v>
      </c>
      <c r="AF28" s="57">
        <f t="shared" si="6"/>
        <v>1</v>
      </c>
      <c r="AG28" s="59">
        <f t="shared" si="7"/>
        <v>1</v>
      </c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</row>
    <row r="29" ht="24.0" customHeight="1">
      <c r="A29" s="53">
        <v>22.0</v>
      </c>
      <c r="B29" s="54" t="s">
        <v>176</v>
      </c>
      <c r="C29" s="55" t="s">
        <v>82</v>
      </c>
      <c r="D29" s="55"/>
      <c r="E29" s="55" t="s">
        <v>177</v>
      </c>
      <c r="F29" s="55" t="s">
        <v>178</v>
      </c>
      <c r="G29" s="55">
        <v>8.0</v>
      </c>
      <c r="H29" s="55" t="s">
        <v>111</v>
      </c>
      <c r="I29" s="55" t="s">
        <v>86</v>
      </c>
      <c r="J29" s="56" t="s">
        <v>87</v>
      </c>
      <c r="K29" s="55" t="s">
        <v>179</v>
      </c>
      <c r="L29" s="55" t="s">
        <v>34</v>
      </c>
      <c r="M29" s="55" t="s">
        <v>115</v>
      </c>
      <c r="N29" s="55" t="s">
        <v>90</v>
      </c>
      <c r="O29" s="55"/>
      <c r="P29" s="55" t="s">
        <v>91</v>
      </c>
      <c r="Q29" s="55" t="s">
        <v>4</v>
      </c>
      <c r="R29" s="55"/>
      <c r="S29" s="55"/>
      <c r="T29" s="55"/>
      <c r="U29" s="55"/>
      <c r="V29" s="55"/>
      <c r="W29" s="55"/>
      <c r="X29" s="57" t="str">
        <f t="shared" si="2"/>
        <v>--022-26-04</v>
      </c>
      <c r="Y29" s="58" t="str">
        <f t="shared" ref="Y29:AC29" si="27">TRIM(SUBSTITUTE(SUBSTITUTE(OFFSET($Q29,0,COLUMN()-COLUMN($AL$1)),CHAR(160)," "),_xludf.UNICHAR(8239)," "))</f>
        <v>#NAME?</v>
      </c>
      <c r="Z29" s="58" t="str">
        <f t="shared" si="27"/>
        <v>#NAME?</v>
      </c>
      <c r="AA29" s="58" t="str">
        <f t="shared" si="27"/>
        <v>#NAME?</v>
      </c>
      <c r="AB29" s="58" t="str">
        <f t="shared" si="27"/>
        <v>#NAME?</v>
      </c>
      <c r="AC29" s="58" t="str">
        <f t="shared" si="27"/>
        <v>#NAME?</v>
      </c>
      <c r="AD29" s="57">
        <f t="shared" si="4"/>
        <v>1</v>
      </c>
      <c r="AE29" s="57" t="str">
        <f t="shared" si="5"/>
        <v>2026-04</v>
      </c>
      <c r="AF29" s="57">
        <f t="shared" si="6"/>
        <v>1</v>
      </c>
      <c r="AG29" s="59">
        <f t="shared" si="7"/>
        <v>1</v>
      </c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</row>
    <row r="30" ht="24.0" customHeight="1">
      <c r="A30" s="53">
        <v>23.0</v>
      </c>
      <c r="B30" s="54" t="s">
        <v>180</v>
      </c>
      <c r="C30" s="55" t="s">
        <v>82</v>
      </c>
      <c r="D30" s="55"/>
      <c r="E30" s="55" t="s">
        <v>181</v>
      </c>
      <c r="F30" s="55" t="s">
        <v>182</v>
      </c>
      <c r="G30" s="55">
        <v>32.0</v>
      </c>
      <c r="H30" s="55" t="s">
        <v>85</v>
      </c>
      <c r="I30" s="55" t="s">
        <v>86</v>
      </c>
      <c r="J30" s="56" t="s">
        <v>87</v>
      </c>
      <c r="K30" s="55" t="s">
        <v>183</v>
      </c>
      <c r="L30" s="55" t="s">
        <v>34</v>
      </c>
      <c r="M30" s="55" t="s">
        <v>89</v>
      </c>
      <c r="N30" s="55" t="s">
        <v>90</v>
      </c>
      <c r="O30" s="55"/>
      <c r="P30" s="55" t="s">
        <v>91</v>
      </c>
      <c r="Q30" s="55"/>
      <c r="R30" s="55" t="s">
        <v>5</v>
      </c>
      <c r="S30" s="55"/>
      <c r="T30" s="55"/>
      <c r="U30" s="55" t="s">
        <v>7</v>
      </c>
      <c r="V30" s="55"/>
      <c r="W30" s="55"/>
      <c r="X30" s="57" t="str">
        <f t="shared" si="2"/>
        <v>--023-26-04</v>
      </c>
      <c r="Y30" s="58" t="str">
        <f t="shared" ref="Y30:AC30" si="28">TRIM(SUBSTITUTE(SUBSTITUTE(OFFSET($Q30,0,COLUMN()-COLUMN($AL$1)),CHAR(160)," "),_xludf.UNICHAR(8239)," "))</f>
        <v>#NAME?</v>
      </c>
      <c r="Z30" s="58" t="str">
        <f t="shared" si="28"/>
        <v>#NAME?</v>
      </c>
      <c r="AA30" s="58" t="str">
        <f t="shared" si="28"/>
        <v>#NAME?</v>
      </c>
      <c r="AB30" s="58" t="str">
        <f t="shared" si="28"/>
        <v>#NAME?</v>
      </c>
      <c r="AC30" s="58" t="str">
        <f t="shared" si="28"/>
        <v>#NAME?</v>
      </c>
      <c r="AD30" s="57">
        <f t="shared" si="4"/>
        <v>1</v>
      </c>
      <c r="AE30" s="57" t="str">
        <f t="shared" si="5"/>
        <v>2026-04</v>
      </c>
      <c r="AF30" s="57">
        <f t="shared" si="6"/>
        <v>1</v>
      </c>
      <c r="AG30" s="59">
        <f t="shared" si="7"/>
        <v>1</v>
      </c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</row>
    <row r="31" ht="24.0" customHeight="1">
      <c r="A31" s="53">
        <v>24.0</v>
      </c>
      <c r="B31" s="54" t="s">
        <v>184</v>
      </c>
      <c r="C31" s="55" t="s">
        <v>82</v>
      </c>
      <c r="D31" s="55"/>
      <c r="E31" s="55" t="s">
        <v>185</v>
      </c>
      <c r="F31" s="55" t="s">
        <v>186</v>
      </c>
      <c r="G31" s="55">
        <v>29.0</v>
      </c>
      <c r="H31" s="55" t="s">
        <v>85</v>
      </c>
      <c r="I31" s="55" t="s">
        <v>86</v>
      </c>
      <c r="J31" s="56" t="s">
        <v>87</v>
      </c>
      <c r="K31" s="55" t="s">
        <v>187</v>
      </c>
      <c r="L31" s="55" t="s">
        <v>34</v>
      </c>
      <c r="M31" s="55" t="s">
        <v>115</v>
      </c>
      <c r="N31" s="55" t="s">
        <v>90</v>
      </c>
      <c r="O31" s="55"/>
      <c r="P31" s="55" t="s">
        <v>91</v>
      </c>
      <c r="Q31" s="55"/>
      <c r="R31" s="55" t="s">
        <v>5</v>
      </c>
      <c r="S31" s="55"/>
      <c r="T31" s="55"/>
      <c r="U31" s="55" t="s">
        <v>7</v>
      </c>
      <c r="V31" s="55"/>
      <c r="W31" s="55"/>
      <c r="X31" s="57" t="str">
        <f t="shared" si="2"/>
        <v>--024-26-04</v>
      </c>
      <c r="Y31" s="58" t="str">
        <f t="shared" ref="Y31:AC31" si="29">TRIM(SUBSTITUTE(SUBSTITUTE(OFFSET($Q31,0,COLUMN()-COLUMN($AL$1)),CHAR(160)," "),_xludf.UNICHAR(8239)," "))</f>
        <v>#NAME?</v>
      </c>
      <c r="Z31" s="58" t="str">
        <f t="shared" si="29"/>
        <v>#NAME?</v>
      </c>
      <c r="AA31" s="58" t="str">
        <f t="shared" si="29"/>
        <v>#NAME?</v>
      </c>
      <c r="AB31" s="58" t="str">
        <f t="shared" si="29"/>
        <v>#NAME?</v>
      </c>
      <c r="AC31" s="58" t="str">
        <f t="shared" si="29"/>
        <v>#NAME?</v>
      </c>
      <c r="AD31" s="57">
        <f t="shared" si="4"/>
        <v>1</v>
      </c>
      <c r="AE31" s="57" t="str">
        <f t="shared" si="5"/>
        <v>2026-04</v>
      </c>
      <c r="AF31" s="57">
        <f t="shared" si="6"/>
        <v>1</v>
      </c>
      <c r="AG31" s="59">
        <f t="shared" si="7"/>
        <v>1</v>
      </c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</row>
    <row r="32" ht="24.0" customHeight="1">
      <c r="A32" s="53">
        <v>25.0</v>
      </c>
      <c r="B32" s="54" t="s">
        <v>188</v>
      </c>
      <c r="C32" s="55" t="s">
        <v>82</v>
      </c>
      <c r="D32" s="55"/>
      <c r="E32" s="55" t="s">
        <v>189</v>
      </c>
      <c r="F32" s="55" t="s">
        <v>190</v>
      </c>
      <c r="G32" s="55">
        <v>1.0</v>
      </c>
      <c r="H32" s="55" t="s">
        <v>119</v>
      </c>
      <c r="I32" s="55" t="s">
        <v>112</v>
      </c>
      <c r="J32" s="56" t="s">
        <v>113</v>
      </c>
      <c r="K32" s="55" t="s">
        <v>191</v>
      </c>
      <c r="L32" s="55" t="s">
        <v>34</v>
      </c>
      <c r="M32" s="55" t="s">
        <v>115</v>
      </c>
      <c r="N32" s="55" t="s">
        <v>90</v>
      </c>
      <c r="O32" s="55"/>
      <c r="P32" s="55" t="s">
        <v>91</v>
      </c>
      <c r="Q32" s="55" t="s">
        <v>16</v>
      </c>
      <c r="R32" s="55"/>
      <c r="S32" s="55"/>
      <c r="T32" s="55"/>
      <c r="U32" s="55"/>
      <c r="V32" s="55"/>
      <c r="W32" s="55"/>
      <c r="X32" s="57" t="str">
        <f t="shared" si="2"/>
        <v>--025-26-04</v>
      </c>
      <c r="Y32" s="58" t="str">
        <f t="shared" ref="Y32:AC32" si="30">TRIM(SUBSTITUTE(SUBSTITUTE(OFFSET($Q32,0,COLUMN()-COLUMN($AL$1)),CHAR(160)," "),_xludf.UNICHAR(8239)," "))</f>
        <v>#NAME?</v>
      </c>
      <c r="Z32" s="58" t="str">
        <f t="shared" si="30"/>
        <v>#NAME?</v>
      </c>
      <c r="AA32" s="58" t="str">
        <f t="shared" si="30"/>
        <v>#NAME?</v>
      </c>
      <c r="AB32" s="58" t="str">
        <f t="shared" si="30"/>
        <v>#NAME?</v>
      </c>
      <c r="AC32" s="58" t="str">
        <f t="shared" si="30"/>
        <v>#NAME?</v>
      </c>
      <c r="AD32" s="57">
        <f t="shared" si="4"/>
        <v>1</v>
      </c>
      <c r="AE32" s="57" t="str">
        <f t="shared" si="5"/>
        <v>2026-04</v>
      </c>
      <c r="AF32" s="57">
        <f t="shared" si="6"/>
        <v>1</v>
      </c>
      <c r="AG32" s="59">
        <f t="shared" si="7"/>
        <v>1</v>
      </c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</row>
    <row r="33" ht="24.0" customHeight="1">
      <c r="A33" s="53">
        <v>26.0</v>
      </c>
      <c r="B33" s="54" t="s">
        <v>192</v>
      </c>
      <c r="C33" s="55" t="s">
        <v>82</v>
      </c>
      <c r="D33" s="55"/>
      <c r="E33" s="55" t="s">
        <v>193</v>
      </c>
      <c r="F33" s="55" t="s">
        <v>194</v>
      </c>
      <c r="G33" s="55">
        <v>1.0</v>
      </c>
      <c r="H33" s="55" t="s">
        <v>119</v>
      </c>
      <c r="I33" s="55" t="s">
        <v>112</v>
      </c>
      <c r="J33" s="56" t="s">
        <v>113</v>
      </c>
      <c r="K33" s="55" t="s">
        <v>191</v>
      </c>
      <c r="L33" s="55" t="s">
        <v>34</v>
      </c>
      <c r="M33" s="55" t="s">
        <v>115</v>
      </c>
      <c r="N33" s="55" t="s">
        <v>90</v>
      </c>
      <c r="O33" s="55"/>
      <c r="P33" s="55" t="s">
        <v>91</v>
      </c>
      <c r="Q33" s="55" t="s">
        <v>16</v>
      </c>
      <c r="R33" s="55"/>
      <c r="S33" s="55"/>
      <c r="T33" s="55"/>
      <c r="U33" s="55"/>
      <c r="V33" s="55"/>
      <c r="W33" s="55"/>
      <c r="X33" s="57" t="str">
        <f t="shared" si="2"/>
        <v>--026-26-04</v>
      </c>
      <c r="Y33" s="58" t="str">
        <f t="shared" ref="Y33:AC33" si="31">TRIM(SUBSTITUTE(SUBSTITUTE(OFFSET($Q33,0,COLUMN()-COLUMN($AL$1)),CHAR(160)," "),_xludf.UNICHAR(8239)," "))</f>
        <v>#NAME?</v>
      </c>
      <c r="Z33" s="58" t="str">
        <f t="shared" si="31"/>
        <v>#NAME?</v>
      </c>
      <c r="AA33" s="58" t="str">
        <f t="shared" si="31"/>
        <v>#NAME?</v>
      </c>
      <c r="AB33" s="58" t="str">
        <f t="shared" si="31"/>
        <v>#NAME?</v>
      </c>
      <c r="AC33" s="58" t="str">
        <f t="shared" si="31"/>
        <v>#NAME?</v>
      </c>
      <c r="AD33" s="57">
        <f t="shared" si="4"/>
        <v>1</v>
      </c>
      <c r="AE33" s="57" t="str">
        <f t="shared" si="5"/>
        <v>2026-04</v>
      </c>
      <c r="AF33" s="57">
        <f t="shared" si="6"/>
        <v>1</v>
      </c>
      <c r="AG33" s="59">
        <f t="shared" si="7"/>
        <v>1</v>
      </c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</row>
    <row r="34" ht="24.0" customHeight="1">
      <c r="A34" s="53">
        <v>27.0</v>
      </c>
      <c r="B34" s="54" t="s">
        <v>195</v>
      </c>
      <c r="C34" s="55" t="s">
        <v>82</v>
      </c>
      <c r="D34" s="55"/>
      <c r="E34" s="55" t="s">
        <v>196</v>
      </c>
      <c r="F34" s="55" t="s">
        <v>197</v>
      </c>
      <c r="G34" s="55">
        <v>24.0</v>
      </c>
      <c r="H34" s="55" t="s">
        <v>85</v>
      </c>
      <c r="I34" s="55" t="s">
        <v>86</v>
      </c>
      <c r="J34" s="56" t="s">
        <v>87</v>
      </c>
      <c r="K34" s="55" t="s">
        <v>198</v>
      </c>
      <c r="L34" s="55" t="s">
        <v>34</v>
      </c>
      <c r="M34" s="55" t="s">
        <v>89</v>
      </c>
      <c r="N34" s="55" t="s">
        <v>90</v>
      </c>
      <c r="O34" s="55"/>
      <c r="P34" s="55" t="s">
        <v>91</v>
      </c>
      <c r="Q34" s="55"/>
      <c r="R34" s="55" t="s">
        <v>5</v>
      </c>
      <c r="S34" s="55"/>
      <c r="T34" s="55"/>
      <c r="U34" s="55" t="s">
        <v>7</v>
      </c>
      <c r="V34" s="55"/>
      <c r="W34" s="55"/>
      <c r="X34" s="57" t="str">
        <f t="shared" si="2"/>
        <v>--027-26-04</v>
      </c>
      <c r="Y34" s="58" t="str">
        <f t="shared" ref="Y34:AC34" si="32">TRIM(SUBSTITUTE(SUBSTITUTE(OFFSET($Q34,0,COLUMN()-COLUMN($AL$1)),CHAR(160)," "),_xludf.UNICHAR(8239)," "))</f>
        <v>#NAME?</v>
      </c>
      <c r="Z34" s="58" t="str">
        <f t="shared" si="32"/>
        <v>#NAME?</v>
      </c>
      <c r="AA34" s="58" t="str">
        <f t="shared" si="32"/>
        <v>#NAME?</v>
      </c>
      <c r="AB34" s="58" t="str">
        <f t="shared" si="32"/>
        <v>#NAME?</v>
      </c>
      <c r="AC34" s="58" t="str">
        <f t="shared" si="32"/>
        <v>#NAME?</v>
      </c>
      <c r="AD34" s="57">
        <f t="shared" si="4"/>
        <v>1</v>
      </c>
      <c r="AE34" s="57" t="str">
        <f t="shared" si="5"/>
        <v>2026-04</v>
      </c>
      <c r="AF34" s="57">
        <f t="shared" si="6"/>
        <v>1</v>
      </c>
      <c r="AG34" s="59">
        <f t="shared" si="7"/>
        <v>1</v>
      </c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</row>
    <row r="35" ht="24.0" customHeight="1">
      <c r="A35" s="53">
        <v>28.0</v>
      </c>
      <c r="B35" s="54" t="s">
        <v>199</v>
      </c>
      <c r="C35" s="55" t="s">
        <v>82</v>
      </c>
      <c r="D35" s="55"/>
      <c r="E35" s="55" t="s">
        <v>200</v>
      </c>
      <c r="F35" s="55" t="s">
        <v>201</v>
      </c>
      <c r="G35" s="55">
        <v>2.0</v>
      </c>
      <c r="H35" s="55" t="s">
        <v>119</v>
      </c>
      <c r="I35" s="55" t="s">
        <v>86</v>
      </c>
      <c r="J35" s="56" t="s">
        <v>87</v>
      </c>
      <c r="K35" s="55" t="s">
        <v>198</v>
      </c>
      <c r="L35" s="55" t="s">
        <v>34</v>
      </c>
      <c r="M35" s="55" t="s">
        <v>115</v>
      </c>
      <c r="N35" s="55" t="s">
        <v>90</v>
      </c>
      <c r="O35" s="55"/>
      <c r="P35" s="55" t="s">
        <v>91</v>
      </c>
      <c r="Q35" s="55" t="s">
        <v>16</v>
      </c>
      <c r="R35" s="55"/>
      <c r="S35" s="55"/>
      <c r="T35" s="55"/>
      <c r="U35" s="55"/>
      <c r="V35" s="55"/>
      <c r="W35" s="55"/>
      <c r="X35" s="57" t="str">
        <f t="shared" si="2"/>
        <v>--028-26-04</v>
      </c>
      <c r="Y35" s="58" t="str">
        <f t="shared" ref="Y35:AC35" si="33">TRIM(SUBSTITUTE(SUBSTITUTE(OFFSET($Q35,0,COLUMN()-COLUMN($AL$1)),CHAR(160)," "),_xludf.UNICHAR(8239)," "))</f>
        <v>#NAME?</v>
      </c>
      <c r="Z35" s="58" t="str">
        <f t="shared" si="33"/>
        <v>#NAME?</v>
      </c>
      <c r="AA35" s="58" t="str">
        <f t="shared" si="33"/>
        <v>#NAME?</v>
      </c>
      <c r="AB35" s="58" t="str">
        <f t="shared" si="33"/>
        <v>#NAME?</v>
      </c>
      <c r="AC35" s="58" t="str">
        <f t="shared" si="33"/>
        <v>#NAME?</v>
      </c>
      <c r="AD35" s="57">
        <f t="shared" si="4"/>
        <v>1</v>
      </c>
      <c r="AE35" s="57" t="str">
        <f t="shared" si="5"/>
        <v>2026-04</v>
      </c>
      <c r="AF35" s="57">
        <f t="shared" si="6"/>
        <v>1</v>
      </c>
      <c r="AG35" s="59">
        <f t="shared" si="7"/>
        <v>1</v>
      </c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</row>
    <row r="36" ht="24.0" customHeight="1">
      <c r="A36" s="53">
        <v>29.0</v>
      </c>
      <c r="B36" s="54" t="s">
        <v>202</v>
      </c>
      <c r="C36" s="55" t="s">
        <v>82</v>
      </c>
      <c r="D36" s="55"/>
      <c r="E36" s="55" t="s">
        <v>203</v>
      </c>
      <c r="F36" s="55" t="s">
        <v>204</v>
      </c>
      <c r="G36" s="55">
        <v>46.0</v>
      </c>
      <c r="H36" s="55" t="s">
        <v>85</v>
      </c>
      <c r="I36" s="55" t="s">
        <v>86</v>
      </c>
      <c r="J36" s="56" t="s">
        <v>87</v>
      </c>
      <c r="K36" s="55" t="s">
        <v>205</v>
      </c>
      <c r="L36" s="55" t="s">
        <v>34</v>
      </c>
      <c r="M36" s="55" t="s">
        <v>115</v>
      </c>
      <c r="N36" s="55" t="s">
        <v>90</v>
      </c>
      <c r="O36" s="55"/>
      <c r="P36" s="55" t="s">
        <v>91</v>
      </c>
      <c r="Q36" s="55" t="s">
        <v>16</v>
      </c>
      <c r="R36" s="55"/>
      <c r="S36" s="55"/>
      <c r="T36" s="55"/>
      <c r="U36" s="55"/>
      <c r="V36" s="55"/>
      <c r="W36" s="55"/>
      <c r="X36" s="57" t="str">
        <f t="shared" si="2"/>
        <v>--029-26-04</v>
      </c>
      <c r="Y36" s="58" t="str">
        <f t="shared" ref="Y36:AC36" si="34">TRIM(SUBSTITUTE(SUBSTITUTE(OFFSET($Q36,0,COLUMN()-COLUMN($AL$1)),CHAR(160)," "),_xludf.UNICHAR(8239)," "))</f>
        <v>#NAME?</v>
      </c>
      <c r="Z36" s="58" t="str">
        <f t="shared" si="34"/>
        <v>#NAME?</v>
      </c>
      <c r="AA36" s="58" t="str">
        <f t="shared" si="34"/>
        <v>#NAME?</v>
      </c>
      <c r="AB36" s="58" t="str">
        <f t="shared" si="34"/>
        <v>#NAME?</v>
      </c>
      <c r="AC36" s="58" t="str">
        <f t="shared" si="34"/>
        <v>#NAME?</v>
      </c>
      <c r="AD36" s="57">
        <f t="shared" si="4"/>
        <v>1</v>
      </c>
      <c r="AE36" s="57" t="str">
        <f t="shared" si="5"/>
        <v>2026-04</v>
      </c>
      <c r="AF36" s="57">
        <f t="shared" si="6"/>
        <v>1</v>
      </c>
      <c r="AG36" s="59">
        <f t="shared" si="7"/>
        <v>1</v>
      </c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</row>
    <row r="37" ht="24.0" customHeight="1">
      <c r="A37" s="53">
        <v>30.0</v>
      </c>
      <c r="B37" s="54" t="s">
        <v>206</v>
      </c>
      <c r="C37" s="55" t="s">
        <v>82</v>
      </c>
      <c r="D37" s="55"/>
      <c r="E37" s="55" t="s">
        <v>207</v>
      </c>
      <c r="F37" s="55" t="s">
        <v>208</v>
      </c>
      <c r="G37" s="55">
        <v>30.0</v>
      </c>
      <c r="H37" s="55" t="s">
        <v>85</v>
      </c>
      <c r="I37" s="55" t="s">
        <v>86</v>
      </c>
      <c r="J37" s="56" t="s">
        <v>87</v>
      </c>
      <c r="K37" s="55" t="s">
        <v>209</v>
      </c>
      <c r="L37" s="55" t="s">
        <v>34</v>
      </c>
      <c r="M37" s="55" t="s">
        <v>89</v>
      </c>
      <c r="N37" s="55" t="s">
        <v>90</v>
      </c>
      <c r="O37" s="55"/>
      <c r="P37" s="55" t="s">
        <v>91</v>
      </c>
      <c r="Q37" s="55"/>
      <c r="R37" s="55" t="s">
        <v>27</v>
      </c>
      <c r="S37" s="55"/>
      <c r="T37" s="55"/>
      <c r="U37" s="55"/>
      <c r="V37" s="55"/>
      <c r="W37" s="55"/>
      <c r="X37" s="57" t="str">
        <f t="shared" si="2"/>
        <v>--030-26-04</v>
      </c>
      <c r="Y37" s="58" t="str">
        <f t="shared" ref="Y37:AC37" si="35">TRIM(SUBSTITUTE(SUBSTITUTE(OFFSET($Q37,0,COLUMN()-COLUMN($AL$1)),CHAR(160)," "),_xludf.UNICHAR(8239)," "))</f>
        <v>#NAME?</v>
      </c>
      <c r="Z37" s="58" t="str">
        <f t="shared" si="35"/>
        <v>#NAME?</v>
      </c>
      <c r="AA37" s="58" t="str">
        <f t="shared" si="35"/>
        <v>#NAME?</v>
      </c>
      <c r="AB37" s="58" t="str">
        <f t="shared" si="35"/>
        <v>#NAME?</v>
      </c>
      <c r="AC37" s="58" t="str">
        <f t="shared" si="35"/>
        <v>#NAME?</v>
      </c>
      <c r="AD37" s="57">
        <f t="shared" si="4"/>
        <v>1</v>
      </c>
      <c r="AE37" s="57" t="str">
        <f t="shared" si="5"/>
        <v>2026-04</v>
      </c>
      <c r="AF37" s="57">
        <f t="shared" si="6"/>
        <v>1</v>
      </c>
      <c r="AG37" s="59">
        <f t="shared" si="7"/>
        <v>1</v>
      </c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</row>
    <row r="38" ht="24.0" customHeight="1">
      <c r="A38" s="53">
        <v>31.0</v>
      </c>
      <c r="B38" s="54" t="s">
        <v>210</v>
      </c>
      <c r="C38" s="55" t="s">
        <v>82</v>
      </c>
      <c r="D38" s="55"/>
      <c r="E38" s="55" t="s">
        <v>211</v>
      </c>
      <c r="F38" s="55" t="s">
        <v>212</v>
      </c>
      <c r="G38" s="55">
        <v>4.0</v>
      </c>
      <c r="H38" s="55" t="s">
        <v>119</v>
      </c>
      <c r="I38" s="55" t="s">
        <v>112</v>
      </c>
      <c r="J38" s="56" t="s">
        <v>113</v>
      </c>
      <c r="K38" s="55" t="s">
        <v>209</v>
      </c>
      <c r="L38" s="55" t="s">
        <v>34</v>
      </c>
      <c r="M38" s="55" t="s">
        <v>115</v>
      </c>
      <c r="N38" s="55" t="s">
        <v>90</v>
      </c>
      <c r="O38" s="55"/>
      <c r="P38" s="55" t="s">
        <v>91</v>
      </c>
      <c r="Q38" s="55" t="s">
        <v>16</v>
      </c>
      <c r="R38" s="55"/>
      <c r="S38" s="55"/>
      <c r="T38" s="55"/>
      <c r="U38" s="55"/>
      <c r="V38" s="55"/>
      <c r="W38" s="55"/>
      <c r="X38" s="57" t="str">
        <f t="shared" si="2"/>
        <v>--031-26-04</v>
      </c>
      <c r="Y38" s="58" t="str">
        <f t="shared" ref="Y38:AC38" si="36">TRIM(SUBSTITUTE(SUBSTITUTE(OFFSET($Q38,0,COLUMN()-COLUMN($AL$1)),CHAR(160)," "),_xludf.UNICHAR(8239)," "))</f>
        <v>#NAME?</v>
      </c>
      <c r="Z38" s="58" t="str">
        <f t="shared" si="36"/>
        <v>#NAME?</v>
      </c>
      <c r="AA38" s="58" t="str">
        <f t="shared" si="36"/>
        <v>#NAME?</v>
      </c>
      <c r="AB38" s="58" t="str">
        <f t="shared" si="36"/>
        <v>#NAME?</v>
      </c>
      <c r="AC38" s="58" t="str">
        <f t="shared" si="36"/>
        <v>#NAME?</v>
      </c>
      <c r="AD38" s="57">
        <f t="shared" si="4"/>
        <v>1</v>
      </c>
      <c r="AE38" s="57" t="str">
        <f t="shared" si="5"/>
        <v>2026-04</v>
      </c>
      <c r="AF38" s="57">
        <f t="shared" si="6"/>
        <v>1</v>
      </c>
      <c r="AG38" s="59">
        <f t="shared" si="7"/>
        <v>1</v>
      </c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</row>
    <row r="39" ht="24.0" customHeight="1">
      <c r="A39" s="53">
        <v>32.0</v>
      </c>
      <c r="B39" s="54" t="s">
        <v>213</v>
      </c>
      <c r="C39" s="55" t="s">
        <v>82</v>
      </c>
      <c r="D39" s="55"/>
      <c r="E39" s="55" t="s">
        <v>214</v>
      </c>
      <c r="F39" s="55" t="s">
        <v>215</v>
      </c>
      <c r="G39" s="55">
        <v>16.0</v>
      </c>
      <c r="H39" s="55" t="s">
        <v>111</v>
      </c>
      <c r="I39" s="55" t="s">
        <v>86</v>
      </c>
      <c r="J39" s="56" t="s">
        <v>87</v>
      </c>
      <c r="K39" s="55" t="s">
        <v>216</v>
      </c>
      <c r="L39" s="55" t="s">
        <v>34</v>
      </c>
      <c r="M39" s="55" t="s">
        <v>133</v>
      </c>
      <c r="N39" s="55" t="s">
        <v>90</v>
      </c>
      <c r="O39" s="55"/>
      <c r="P39" s="55" t="s">
        <v>91</v>
      </c>
      <c r="Q39" s="55" t="s">
        <v>16</v>
      </c>
      <c r="R39" s="55"/>
      <c r="S39" s="55"/>
      <c r="T39" s="55"/>
      <c r="U39" s="55"/>
      <c r="V39" s="55"/>
      <c r="W39" s="55"/>
      <c r="X39" s="57" t="str">
        <f t="shared" si="2"/>
        <v>--032-26-04</v>
      </c>
      <c r="Y39" s="58" t="str">
        <f t="shared" ref="Y39:AC39" si="37">TRIM(SUBSTITUTE(SUBSTITUTE(OFFSET($Q39,0,COLUMN()-COLUMN($AL$1)),CHAR(160)," "),_xludf.UNICHAR(8239)," "))</f>
        <v>#NAME?</v>
      </c>
      <c r="Z39" s="58" t="str">
        <f t="shared" si="37"/>
        <v>#NAME?</v>
      </c>
      <c r="AA39" s="58" t="str">
        <f t="shared" si="37"/>
        <v>#NAME?</v>
      </c>
      <c r="AB39" s="58" t="str">
        <f t="shared" si="37"/>
        <v>#NAME?</v>
      </c>
      <c r="AC39" s="58" t="str">
        <f t="shared" si="37"/>
        <v>#NAME?</v>
      </c>
      <c r="AD39" s="57">
        <f t="shared" si="4"/>
        <v>1</v>
      </c>
      <c r="AE39" s="57" t="str">
        <f t="shared" si="5"/>
        <v>2026-04</v>
      </c>
      <c r="AF39" s="57">
        <f t="shared" si="6"/>
        <v>1</v>
      </c>
      <c r="AG39" s="59">
        <f t="shared" si="7"/>
        <v>1</v>
      </c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</row>
    <row r="40" ht="24.0" customHeight="1">
      <c r="A40" s="53">
        <v>33.0</v>
      </c>
      <c r="B40" s="54" t="s">
        <v>217</v>
      </c>
      <c r="C40" s="55" t="s">
        <v>82</v>
      </c>
      <c r="D40" s="55"/>
      <c r="E40" s="55" t="s">
        <v>218</v>
      </c>
      <c r="F40" s="55" t="s">
        <v>219</v>
      </c>
      <c r="G40" s="55">
        <v>30.0</v>
      </c>
      <c r="H40" s="55" t="s">
        <v>85</v>
      </c>
      <c r="I40" s="55" t="s">
        <v>86</v>
      </c>
      <c r="J40" s="56" t="s">
        <v>87</v>
      </c>
      <c r="K40" s="55" t="s">
        <v>220</v>
      </c>
      <c r="L40" s="55"/>
      <c r="M40" s="55" t="s">
        <v>89</v>
      </c>
      <c r="N40" s="55" t="s">
        <v>90</v>
      </c>
      <c r="O40" s="55"/>
      <c r="P40" s="55" t="s">
        <v>91</v>
      </c>
      <c r="Q40" s="55"/>
      <c r="R40" s="55" t="s">
        <v>5</v>
      </c>
      <c r="S40" s="55"/>
      <c r="T40" s="55"/>
      <c r="U40" s="55" t="s">
        <v>7</v>
      </c>
      <c r="V40" s="55"/>
      <c r="W40" s="55"/>
      <c r="X40" s="57" t="str">
        <f t="shared" si="2"/>
        <v>--033-26-04</v>
      </c>
      <c r="Y40" s="58" t="str">
        <f t="shared" ref="Y40:AC40" si="38">TRIM(SUBSTITUTE(SUBSTITUTE(OFFSET($Q40,0,COLUMN()-COLUMN($AL$1)),CHAR(160)," "),_xludf.UNICHAR(8239)," "))</f>
        <v>#NAME?</v>
      </c>
      <c r="Z40" s="58" t="str">
        <f t="shared" si="38"/>
        <v>#NAME?</v>
      </c>
      <c r="AA40" s="58" t="str">
        <f t="shared" si="38"/>
        <v>#NAME?</v>
      </c>
      <c r="AB40" s="58" t="str">
        <f t="shared" si="38"/>
        <v>#NAME?</v>
      </c>
      <c r="AC40" s="58" t="str">
        <f t="shared" si="38"/>
        <v>#NAME?</v>
      </c>
      <c r="AD40" s="57">
        <f t="shared" si="4"/>
        <v>1</v>
      </c>
      <c r="AE40" s="57" t="str">
        <f t="shared" si="5"/>
        <v>2026-04</v>
      </c>
      <c r="AF40" s="57">
        <f t="shared" si="6"/>
        <v>1</v>
      </c>
      <c r="AG40" s="59">
        <f t="shared" si="7"/>
        <v>1</v>
      </c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</row>
    <row r="41" ht="24.0" customHeight="1">
      <c r="A41" s="53">
        <v>34.0</v>
      </c>
      <c r="B41" s="54" t="s">
        <v>221</v>
      </c>
      <c r="C41" s="55" t="s">
        <v>82</v>
      </c>
      <c r="D41" s="55"/>
      <c r="E41" s="55" t="s">
        <v>222</v>
      </c>
      <c r="F41" s="55" t="s">
        <v>223</v>
      </c>
      <c r="G41" s="55">
        <v>37.0</v>
      </c>
      <c r="H41" s="55" t="s">
        <v>85</v>
      </c>
      <c r="I41" s="55" t="s">
        <v>86</v>
      </c>
      <c r="J41" s="56" t="s">
        <v>87</v>
      </c>
      <c r="K41" s="55" t="s">
        <v>224</v>
      </c>
      <c r="L41" s="55" t="s">
        <v>34</v>
      </c>
      <c r="M41" s="55" t="s">
        <v>89</v>
      </c>
      <c r="N41" s="55" t="s">
        <v>90</v>
      </c>
      <c r="O41" s="55"/>
      <c r="P41" s="55" t="s">
        <v>91</v>
      </c>
      <c r="Q41" s="55"/>
      <c r="R41" s="55" t="s">
        <v>36</v>
      </c>
      <c r="S41" s="55"/>
      <c r="T41" s="55"/>
      <c r="U41" s="55"/>
      <c r="V41" s="55"/>
      <c r="W41" s="55"/>
      <c r="X41" s="57" t="str">
        <f t="shared" si="2"/>
        <v>--034-26-04</v>
      </c>
      <c r="Y41" s="58" t="str">
        <f t="shared" ref="Y41:AC41" si="39">TRIM(SUBSTITUTE(SUBSTITUTE(OFFSET($Q41,0,COLUMN()-COLUMN($AL$1)),CHAR(160)," "),_xludf.UNICHAR(8239)," "))</f>
        <v>#NAME?</v>
      </c>
      <c r="Z41" s="58" t="str">
        <f t="shared" si="39"/>
        <v>#NAME?</v>
      </c>
      <c r="AA41" s="58" t="str">
        <f t="shared" si="39"/>
        <v>#NAME?</v>
      </c>
      <c r="AB41" s="58" t="str">
        <f t="shared" si="39"/>
        <v>#NAME?</v>
      </c>
      <c r="AC41" s="58" t="str">
        <f t="shared" si="39"/>
        <v>#NAME?</v>
      </c>
      <c r="AD41" s="57">
        <f t="shared" si="4"/>
        <v>1</v>
      </c>
      <c r="AE41" s="57" t="str">
        <f t="shared" si="5"/>
        <v>2026-04</v>
      </c>
      <c r="AF41" s="57">
        <f t="shared" si="6"/>
        <v>1</v>
      </c>
      <c r="AG41" s="59">
        <f t="shared" si="7"/>
        <v>1</v>
      </c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</row>
    <row r="42" ht="24.0" customHeight="1">
      <c r="A42" s="53">
        <v>35.0</v>
      </c>
      <c r="B42" s="54" t="s">
        <v>225</v>
      </c>
      <c r="C42" s="55" t="s">
        <v>82</v>
      </c>
      <c r="D42" s="55"/>
      <c r="E42" s="55" t="s">
        <v>226</v>
      </c>
      <c r="F42" s="55" t="s">
        <v>227</v>
      </c>
      <c r="G42" s="55">
        <v>35.0</v>
      </c>
      <c r="H42" s="55" t="s">
        <v>85</v>
      </c>
      <c r="I42" s="55" t="s">
        <v>86</v>
      </c>
      <c r="J42" s="56" t="s">
        <v>87</v>
      </c>
      <c r="K42" s="55" t="s">
        <v>228</v>
      </c>
      <c r="L42" s="55" t="s">
        <v>34</v>
      </c>
      <c r="M42" s="55" t="s">
        <v>115</v>
      </c>
      <c r="N42" s="55" t="s">
        <v>90</v>
      </c>
      <c r="O42" s="55"/>
      <c r="P42" s="55" t="s">
        <v>91</v>
      </c>
      <c r="Q42" s="55"/>
      <c r="R42" s="55" t="s">
        <v>5</v>
      </c>
      <c r="S42" s="55"/>
      <c r="T42" s="55"/>
      <c r="U42" s="55" t="s">
        <v>7</v>
      </c>
      <c r="V42" s="55"/>
      <c r="W42" s="55"/>
      <c r="X42" s="57" t="str">
        <f t="shared" si="2"/>
        <v>--035-26-04</v>
      </c>
      <c r="Y42" s="58" t="str">
        <f t="shared" ref="Y42:AC42" si="40">TRIM(SUBSTITUTE(SUBSTITUTE(OFFSET($Q42,0,COLUMN()-COLUMN($AL$1)),CHAR(160)," "),_xludf.UNICHAR(8239)," "))</f>
        <v>#NAME?</v>
      </c>
      <c r="Z42" s="58" t="str">
        <f t="shared" si="40"/>
        <v>#NAME?</v>
      </c>
      <c r="AA42" s="58" t="str">
        <f t="shared" si="40"/>
        <v>#NAME?</v>
      </c>
      <c r="AB42" s="58" t="str">
        <f t="shared" si="40"/>
        <v>#NAME?</v>
      </c>
      <c r="AC42" s="58" t="str">
        <f t="shared" si="40"/>
        <v>#NAME?</v>
      </c>
      <c r="AD42" s="57">
        <f t="shared" si="4"/>
        <v>1</v>
      </c>
      <c r="AE42" s="57" t="str">
        <f t="shared" si="5"/>
        <v>2026-04</v>
      </c>
      <c r="AF42" s="57">
        <f t="shared" si="6"/>
        <v>1</v>
      </c>
      <c r="AG42" s="59">
        <f t="shared" si="7"/>
        <v>1</v>
      </c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</row>
    <row r="43" ht="24.0" customHeight="1">
      <c r="A43" s="53">
        <v>36.0</v>
      </c>
      <c r="B43" s="54" t="s">
        <v>229</v>
      </c>
      <c r="C43" s="55" t="s">
        <v>82</v>
      </c>
      <c r="D43" s="55"/>
      <c r="E43" s="55" t="s">
        <v>230</v>
      </c>
      <c r="F43" s="55" t="s">
        <v>231</v>
      </c>
      <c r="G43" s="55">
        <v>15.0</v>
      </c>
      <c r="H43" s="55" t="s">
        <v>111</v>
      </c>
      <c r="I43" s="55" t="s">
        <v>86</v>
      </c>
      <c r="J43" s="56" t="s">
        <v>87</v>
      </c>
      <c r="K43" s="55" t="s">
        <v>232</v>
      </c>
      <c r="L43" s="55" t="s">
        <v>34</v>
      </c>
      <c r="M43" s="55" t="s">
        <v>133</v>
      </c>
      <c r="N43" s="55" t="s">
        <v>90</v>
      </c>
      <c r="O43" s="55"/>
      <c r="P43" s="55" t="s">
        <v>91</v>
      </c>
      <c r="Q43" s="55" t="s">
        <v>16</v>
      </c>
      <c r="R43" s="55"/>
      <c r="S43" s="55"/>
      <c r="T43" s="55"/>
      <c r="U43" s="55"/>
      <c r="V43" s="55"/>
      <c r="W43" s="55"/>
      <c r="X43" s="57" t="str">
        <f t="shared" si="2"/>
        <v>--036-26-04</v>
      </c>
      <c r="Y43" s="58" t="str">
        <f t="shared" ref="Y43:AC43" si="41">TRIM(SUBSTITUTE(SUBSTITUTE(OFFSET($Q43,0,COLUMN()-COLUMN($AL$1)),CHAR(160)," "),_xludf.UNICHAR(8239)," "))</f>
        <v>#NAME?</v>
      </c>
      <c r="Z43" s="58" t="str">
        <f t="shared" si="41"/>
        <v>#NAME?</v>
      </c>
      <c r="AA43" s="58" t="str">
        <f t="shared" si="41"/>
        <v>#NAME?</v>
      </c>
      <c r="AB43" s="58" t="str">
        <f t="shared" si="41"/>
        <v>#NAME?</v>
      </c>
      <c r="AC43" s="58" t="str">
        <f t="shared" si="41"/>
        <v>#NAME?</v>
      </c>
      <c r="AD43" s="57">
        <f t="shared" si="4"/>
        <v>1</v>
      </c>
      <c r="AE43" s="57" t="str">
        <f t="shared" si="5"/>
        <v>2026-04</v>
      </c>
      <c r="AF43" s="57">
        <f t="shared" si="6"/>
        <v>1</v>
      </c>
      <c r="AG43" s="59">
        <f t="shared" si="7"/>
        <v>1</v>
      </c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</row>
    <row r="44" ht="24.0" customHeight="1">
      <c r="A44" s="53">
        <v>37.0</v>
      </c>
      <c r="B44" s="54" t="s">
        <v>233</v>
      </c>
      <c r="C44" s="55" t="s">
        <v>82</v>
      </c>
      <c r="D44" s="55"/>
      <c r="E44" s="55" t="s">
        <v>234</v>
      </c>
      <c r="F44" s="55" t="s">
        <v>235</v>
      </c>
      <c r="G44" s="55">
        <v>35.0</v>
      </c>
      <c r="H44" s="55" t="s">
        <v>85</v>
      </c>
      <c r="I44" s="55" t="s">
        <v>86</v>
      </c>
      <c r="J44" s="56" t="s">
        <v>87</v>
      </c>
      <c r="K44" s="55" t="s">
        <v>236</v>
      </c>
      <c r="L44" s="55" t="s">
        <v>34</v>
      </c>
      <c r="M44" s="55" t="s">
        <v>89</v>
      </c>
      <c r="N44" s="55" t="s">
        <v>90</v>
      </c>
      <c r="O44" s="55"/>
      <c r="P44" s="55" t="s">
        <v>91</v>
      </c>
      <c r="Q44" s="55"/>
      <c r="R44" s="55" t="s">
        <v>5</v>
      </c>
      <c r="S44" s="55"/>
      <c r="T44" s="55"/>
      <c r="U44" s="55" t="s">
        <v>7</v>
      </c>
      <c r="V44" s="55"/>
      <c r="W44" s="55"/>
      <c r="X44" s="57" t="str">
        <f t="shared" si="2"/>
        <v>--037-26-04</v>
      </c>
      <c r="Y44" s="58" t="str">
        <f t="shared" ref="Y44:AC44" si="42">TRIM(SUBSTITUTE(SUBSTITUTE(OFFSET($Q44,0,COLUMN()-COLUMN($AL$1)),CHAR(160)," "),_xludf.UNICHAR(8239)," "))</f>
        <v>#NAME?</v>
      </c>
      <c r="Z44" s="58" t="str">
        <f t="shared" si="42"/>
        <v>#NAME?</v>
      </c>
      <c r="AA44" s="58" t="str">
        <f t="shared" si="42"/>
        <v>#NAME?</v>
      </c>
      <c r="AB44" s="58" t="str">
        <f t="shared" si="42"/>
        <v>#NAME?</v>
      </c>
      <c r="AC44" s="58" t="str">
        <f t="shared" si="42"/>
        <v>#NAME?</v>
      </c>
      <c r="AD44" s="57">
        <f t="shared" si="4"/>
        <v>1</v>
      </c>
      <c r="AE44" s="57" t="str">
        <f t="shared" si="5"/>
        <v>2026-04</v>
      </c>
      <c r="AF44" s="57">
        <f t="shared" si="6"/>
        <v>1</v>
      </c>
      <c r="AG44" s="59">
        <f t="shared" si="7"/>
        <v>1</v>
      </c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</row>
    <row r="45" ht="24.0" customHeight="1">
      <c r="A45" s="53">
        <v>38.0</v>
      </c>
      <c r="B45" s="54" t="s">
        <v>237</v>
      </c>
      <c r="C45" s="55" t="s">
        <v>82</v>
      </c>
      <c r="D45" s="55"/>
      <c r="E45" s="55" t="s">
        <v>238</v>
      </c>
      <c r="F45" s="55" t="s">
        <v>239</v>
      </c>
      <c r="G45" s="55">
        <v>54.0</v>
      </c>
      <c r="H45" s="55" t="s">
        <v>85</v>
      </c>
      <c r="I45" s="55" t="s">
        <v>86</v>
      </c>
      <c r="J45" s="56" t="s">
        <v>87</v>
      </c>
      <c r="K45" s="55" t="s">
        <v>240</v>
      </c>
      <c r="L45" s="55"/>
      <c r="M45" s="55" t="s">
        <v>89</v>
      </c>
      <c r="N45" s="55" t="s">
        <v>90</v>
      </c>
      <c r="O45" s="55"/>
      <c r="P45" s="55" t="s">
        <v>91</v>
      </c>
      <c r="Q45" s="55" t="s">
        <v>16</v>
      </c>
      <c r="R45" s="55"/>
      <c r="S45" s="55"/>
      <c r="T45" s="55"/>
      <c r="U45" s="55"/>
      <c r="V45" s="55"/>
      <c r="W45" s="55"/>
      <c r="X45" s="57" t="str">
        <f t="shared" si="2"/>
        <v>--038-26-04</v>
      </c>
      <c r="Y45" s="58" t="str">
        <f t="shared" ref="Y45:AC45" si="43">TRIM(SUBSTITUTE(SUBSTITUTE(OFFSET($Q45,0,COLUMN()-COLUMN($AL$1)),CHAR(160)," "),_xludf.UNICHAR(8239)," "))</f>
        <v>#NAME?</v>
      </c>
      <c r="Z45" s="58" t="str">
        <f t="shared" si="43"/>
        <v>#NAME?</v>
      </c>
      <c r="AA45" s="58" t="str">
        <f t="shared" si="43"/>
        <v>#NAME?</v>
      </c>
      <c r="AB45" s="58" t="str">
        <f t="shared" si="43"/>
        <v>#NAME?</v>
      </c>
      <c r="AC45" s="58" t="str">
        <f t="shared" si="43"/>
        <v>#NAME?</v>
      </c>
      <c r="AD45" s="57">
        <f t="shared" si="4"/>
        <v>1</v>
      </c>
      <c r="AE45" s="57" t="str">
        <f t="shared" si="5"/>
        <v>2026-04</v>
      </c>
      <c r="AF45" s="57">
        <f t="shared" si="6"/>
        <v>1</v>
      </c>
      <c r="AG45" s="59">
        <f t="shared" si="7"/>
        <v>1</v>
      </c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</row>
    <row r="46" ht="24.0" customHeight="1">
      <c r="A46" s="53">
        <v>39.0</v>
      </c>
      <c r="B46" s="54" t="s">
        <v>241</v>
      </c>
      <c r="C46" s="55" t="s">
        <v>82</v>
      </c>
      <c r="D46" s="55"/>
      <c r="E46" s="55" t="s">
        <v>242</v>
      </c>
      <c r="F46" s="55" t="s">
        <v>243</v>
      </c>
      <c r="G46" s="55">
        <v>29.0</v>
      </c>
      <c r="H46" s="55" t="s">
        <v>85</v>
      </c>
      <c r="I46" s="55" t="s">
        <v>86</v>
      </c>
      <c r="J46" s="56" t="s">
        <v>87</v>
      </c>
      <c r="K46" s="55" t="s">
        <v>244</v>
      </c>
      <c r="L46" s="55" t="s">
        <v>34</v>
      </c>
      <c r="M46" s="55" t="s">
        <v>89</v>
      </c>
      <c r="N46" s="55" t="s">
        <v>90</v>
      </c>
      <c r="O46" s="55"/>
      <c r="P46" s="55" t="s">
        <v>91</v>
      </c>
      <c r="Q46" s="55"/>
      <c r="R46" s="55" t="s">
        <v>5</v>
      </c>
      <c r="S46" s="55"/>
      <c r="T46" s="55"/>
      <c r="U46" s="55" t="s">
        <v>7</v>
      </c>
      <c r="V46" s="55"/>
      <c r="W46" s="55"/>
      <c r="X46" s="57" t="str">
        <f t="shared" si="2"/>
        <v>--039-26-04</v>
      </c>
      <c r="Y46" s="58" t="str">
        <f t="shared" ref="Y46:AC46" si="44">TRIM(SUBSTITUTE(SUBSTITUTE(OFFSET($Q46,0,COLUMN()-COLUMN($AL$1)),CHAR(160)," "),_xludf.UNICHAR(8239)," "))</f>
        <v>#NAME?</v>
      </c>
      <c r="Z46" s="58" t="str">
        <f t="shared" si="44"/>
        <v>#NAME?</v>
      </c>
      <c r="AA46" s="58" t="str">
        <f t="shared" si="44"/>
        <v>#NAME?</v>
      </c>
      <c r="AB46" s="58" t="str">
        <f t="shared" si="44"/>
        <v>#NAME?</v>
      </c>
      <c r="AC46" s="58" t="str">
        <f t="shared" si="44"/>
        <v>#NAME?</v>
      </c>
      <c r="AD46" s="57">
        <f t="shared" si="4"/>
        <v>1</v>
      </c>
      <c r="AE46" s="57" t="str">
        <f t="shared" si="5"/>
        <v>2026-04</v>
      </c>
      <c r="AF46" s="57">
        <f t="shared" si="6"/>
        <v>1</v>
      </c>
      <c r="AG46" s="59">
        <f t="shared" si="7"/>
        <v>1</v>
      </c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</row>
    <row r="47" ht="24.0" customHeight="1">
      <c r="A47" s="53">
        <v>40.0</v>
      </c>
      <c r="B47" s="54" t="s">
        <v>245</v>
      </c>
      <c r="C47" s="55" t="s">
        <v>82</v>
      </c>
      <c r="D47" s="55"/>
      <c r="E47" s="55" t="s">
        <v>246</v>
      </c>
      <c r="F47" s="55" t="s">
        <v>247</v>
      </c>
      <c r="G47" s="55">
        <v>34.0</v>
      </c>
      <c r="H47" s="55" t="s">
        <v>85</v>
      </c>
      <c r="I47" s="55" t="s">
        <v>86</v>
      </c>
      <c r="J47" s="56" t="s">
        <v>87</v>
      </c>
      <c r="K47" s="55" t="s">
        <v>248</v>
      </c>
      <c r="L47" s="55" t="s">
        <v>34</v>
      </c>
      <c r="M47" s="55" t="s">
        <v>89</v>
      </c>
      <c r="N47" s="55" t="s">
        <v>90</v>
      </c>
      <c r="O47" s="55"/>
      <c r="P47" s="55" t="s">
        <v>91</v>
      </c>
      <c r="Q47" s="55"/>
      <c r="R47" s="55" t="s">
        <v>27</v>
      </c>
      <c r="S47" s="55"/>
      <c r="T47" s="55"/>
      <c r="U47" s="55"/>
      <c r="V47" s="55"/>
      <c r="W47" s="55"/>
      <c r="X47" s="57" t="str">
        <f t="shared" si="2"/>
        <v>--040-26-04</v>
      </c>
      <c r="Y47" s="58" t="str">
        <f t="shared" ref="Y47:AC47" si="45">TRIM(SUBSTITUTE(SUBSTITUTE(OFFSET($Q47,0,COLUMN()-COLUMN($AL$1)),CHAR(160)," "),_xludf.UNICHAR(8239)," "))</f>
        <v>#NAME?</v>
      </c>
      <c r="Z47" s="58" t="str">
        <f t="shared" si="45"/>
        <v>#NAME?</v>
      </c>
      <c r="AA47" s="58" t="str">
        <f t="shared" si="45"/>
        <v>#NAME?</v>
      </c>
      <c r="AB47" s="58" t="str">
        <f t="shared" si="45"/>
        <v>#NAME?</v>
      </c>
      <c r="AC47" s="58" t="str">
        <f t="shared" si="45"/>
        <v>#NAME?</v>
      </c>
      <c r="AD47" s="57">
        <f t="shared" si="4"/>
        <v>1</v>
      </c>
      <c r="AE47" s="57" t="str">
        <f t="shared" si="5"/>
        <v>2026-04</v>
      </c>
      <c r="AF47" s="57">
        <f t="shared" si="6"/>
        <v>1</v>
      </c>
      <c r="AG47" s="59">
        <f t="shared" si="7"/>
        <v>1</v>
      </c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</row>
    <row r="48" ht="24.0" customHeight="1">
      <c r="A48" s="53">
        <v>41.0</v>
      </c>
      <c r="B48" s="54" t="s">
        <v>249</v>
      </c>
      <c r="C48" s="55" t="s">
        <v>82</v>
      </c>
      <c r="D48" s="55"/>
      <c r="E48" s="55" t="s">
        <v>250</v>
      </c>
      <c r="F48" s="55" t="s">
        <v>251</v>
      </c>
      <c r="G48" s="55">
        <v>24.0</v>
      </c>
      <c r="H48" s="55" t="s">
        <v>85</v>
      </c>
      <c r="I48" s="55" t="s">
        <v>86</v>
      </c>
      <c r="J48" s="56" t="s">
        <v>87</v>
      </c>
      <c r="K48" s="55" t="s">
        <v>252</v>
      </c>
      <c r="L48" s="55" t="s">
        <v>34</v>
      </c>
      <c r="M48" s="55" t="s">
        <v>115</v>
      </c>
      <c r="N48" s="55" t="s">
        <v>90</v>
      </c>
      <c r="O48" s="55"/>
      <c r="P48" s="55" t="s">
        <v>91</v>
      </c>
      <c r="Q48" s="55" t="s">
        <v>16</v>
      </c>
      <c r="R48" s="55"/>
      <c r="S48" s="55" t="s">
        <v>6</v>
      </c>
      <c r="T48" s="55"/>
      <c r="U48" s="55"/>
      <c r="V48" s="55"/>
      <c r="W48" s="55"/>
      <c r="X48" s="57" t="str">
        <f t="shared" si="2"/>
        <v>--041-26-04</v>
      </c>
      <c r="Y48" s="58" t="str">
        <f t="shared" ref="Y48:AC48" si="46">TRIM(SUBSTITUTE(SUBSTITUTE(OFFSET($Q48,0,COLUMN()-COLUMN($AL$1)),CHAR(160)," "),_xludf.UNICHAR(8239)," "))</f>
        <v>#NAME?</v>
      </c>
      <c r="Z48" s="58" t="str">
        <f t="shared" si="46"/>
        <v>#NAME?</v>
      </c>
      <c r="AA48" s="58" t="str">
        <f t="shared" si="46"/>
        <v>#NAME?</v>
      </c>
      <c r="AB48" s="58" t="str">
        <f t="shared" si="46"/>
        <v>#NAME?</v>
      </c>
      <c r="AC48" s="58" t="str">
        <f t="shared" si="46"/>
        <v>#NAME?</v>
      </c>
      <c r="AD48" s="57">
        <f t="shared" si="4"/>
        <v>1</v>
      </c>
      <c r="AE48" s="57" t="str">
        <f t="shared" si="5"/>
        <v>2026-04</v>
      </c>
      <c r="AF48" s="57">
        <f t="shared" si="6"/>
        <v>1</v>
      </c>
      <c r="AG48" s="59">
        <f t="shared" si="7"/>
        <v>1</v>
      </c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</row>
    <row r="49" ht="24.0" customHeight="1">
      <c r="A49" s="53">
        <v>42.0</v>
      </c>
      <c r="B49" s="54" t="s">
        <v>253</v>
      </c>
      <c r="C49" s="55" t="s">
        <v>82</v>
      </c>
      <c r="D49" s="55"/>
      <c r="E49" s="55" t="s">
        <v>254</v>
      </c>
      <c r="F49" s="55" t="s">
        <v>255</v>
      </c>
      <c r="G49" s="55">
        <v>43.0</v>
      </c>
      <c r="H49" s="55" t="s">
        <v>85</v>
      </c>
      <c r="I49" s="55" t="s">
        <v>112</v>
      </c>
      <c r="J49" s="56" t="s">
        <v>113</v>
      </c>
      <c r="K49" s="55" t="s">
        <v>256</v>
      </c>
      <c r="L49" s="55" t="s">
        <v>34</v>
      </c>
      <c r="M49" s="55" t="s">
        <v>89</v>
      </c>
      <c r="N49" s="55" t="s">
        <v>90</v>
      </c>
      <c r="O49" s="55"/>
      <c r="P49" s="55" t="s">
        <v>91</v>
      </c>
      <c r="Q49" s="55" t="s">
        <v>16</v>
      </c>
      <c r="R49" s="55"/>
      <c r="S49" s="55"/>
      <c r="T49" s="55"/>
      <c r="U49" s="55"/>
      <c r="V49" s="55"/>
      <c r="W49" s="55"/>
      <c r="X49" s="57" t="str">
        <f t="shared" si="2"/>
        <v>--042-26-04</v>
      </c>
      <c r="Y49" s="58" t="str">
        <f t="shared" ref="Y49:AC49" si="47">TRIM(SUBSTITUTE(SUBSTITUTE(OFFSET($Q49,0,COLUMN()-COLUMN($AL$1)),CHAR(160)," "),_xludf.UNICHAR(8239)," "))</f>
        <v>#NAME?</v>
      </c>
      <c r="Z49" s="58" t="str">
        <f t="shared" si="47"/>
        <v>#NAME?</v>
      </c>
      <c r="AA49" s="58" t="str">
        <f t="shared" si="47"/>
        <v>#NAME?</v>
      </c>
      <c r="AB49" s="58" t="str">
        <f t="shared" si="47"/>
        <v>#NAME?</v>
      </c>
      <c r="AC49" s="58" t="str">
        <f t="shared" si="47"/>
        <v>#NAME?</v>
      </c>
      <c r="AD49" s="57">
        <f t="shared" si="4"/>
        <v>1</v>
      </c>
      <c r="AE49" s="57" t="str">
        <f t="shared" si="5"/>
        <v>2026-04</v>
      </c>
      <c r="AF49" s="57">
        <f t="shared" si="6"/>
        <v>1</v>
      </c>
      <c r="AG49" s="59">
        <f t="shared" si="7"/>
        <v>1</v>
      </c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</row>
    <row r="50" ht="24.0" customHeight="1">
      <c r="A50" s="53">
        <v>43.0</v>
      </c>
      <c r="B50" s="54" t="s">
        <v>257</v>
      </c>
      <c r="C50" s="55" t="s">
        <v>82</v>
      </c>
      <c r="D50" s="55"/>
      <c r="E50" s="55" t="s">
        <v>258</v>
      </c>
      <c r="F50" s="55" t="s">
        <v>259</v>
      </c>
      <c r="G50" s="55">
        <v>62.0</v>
      </c>
      <c r="H50" s="55" t="s">
        <v>260</v>
      </c>
      <c r="I50" s="55" t="s">
        <v>112</v>
      </c>
      <c r="J50" s="56" t="s">
        <v>113</v>
      </c>
      <c r="K50" s="55" t="s">
        <v>261</v>
      </c>
      <c r="L50" s="55" t="s">
        <v>34</v>
      </c>
      <c r="M50" s="55" t="s">
        <v>89</v>
      </c>
      <c r="N50" s="55" t="s">
        <v>90</v>
      </c>
      <c r="O50" s="55"/>
      <c r="P50" s="55" t="s">
        <v>91</v>
      </c>
      <c r="Q50" s="55" t="s">
        <v>16</v>
      </c>
      <c r="R50" s="55"/>
      <c r="S50" s="55"/>
      <c r="T50" s="55"/>
      <c r="U50" s="55"/>
      <c r="V50" s="55"/>
      <c r="W50" s="55"/>
      <c r="X50" s="57" t="str">
        <f t="shared" si="2"/>
        <v>--043-26-04</v>
      </c>
      <c r="Y50" s="58" t="str">
        <f t="shared" ref="Y50:AC50" si="48">TRIM(SUBSTITUTE(SUBSTITUTE(OFFSET($Q50,0,COLUMN()-COLUMN($AL$1)),CHAR(160)," "),_xludf.UNICHAR(8239)," "))</f>
        <v>#NAME?</v>
      </c>
      <c r="Z50" s="58" t="str">
        <f t="shared" si="48"/>
        <v>#NAME?</v>
      </c>
      <c r="AA50" s="58" t="str">
        <f t="shared" si="48"/>
        <v>#NAME?</v>
      </c>
      <c r="AB50" s="58" t="str">
        <f t="shared" si="48"/>
        <v>#NAME?</v>
      </c>
      <c r="AC50" s="58" t="str">
        <f t="shared" si="48"/>
        <v>#NAME?</v>
      </c>
      <c r="AD50" s="57">
        <f t="shared" si="4"/>
        <v>1</v>
      </c>
      <c r="AE50" s="57" t="str">
        <f t="shared" si="5"/>
        <v>2026-04</v>
      </c>
      <c r="AF50" s="57">
        <f t="shared" si="6"/>
        <v>1</v>
      </c>
      <c r="AG50" s="59">
        <f t="shared" si="7"/>
        <v>1</v>
      </c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</row>
    <row r="51" ht="24.0" customHeight="1">
      <c r="A51" s="53">
        <v>44.0</v>
      </c>
      <c r="B51" s="54" t="s">
        <v>262</v>
      </c>
      <c r="C51" s="55" t="s">
        <v>82</v>
      </c>
      <c r="D51" s="55"/>
      <c r="E51" s="55" t="s">
        <v>263</v>
      </c>
      <c r="F51" s="55" t="s">
        <v>264</v>
      </c>
      <c r="G51" s="55">
        <v>29.0</v>
      </c>
      <c r="H51" s="55" t="s">
        <v>85</v>
      </c>
      <c r="I51" s="55" t="s">
        <v>86</v>
      </c>
      <c r="J51" s="56" t="s">
        <v>87</v>
      </c>
      <c r="K51" s="55" t="s">
        <v>265</v>
      </c>
      <c r="L51" s="55" t="s">
        <v>34</v>
      </c>
      <c r="M51" s="55" t="s">
        <v>89</v>
      </c>
      <c r="N51" s="55" t="s">
        <v>90</v>
      </c>
      <c r="O51" s="55"/>
      <c r="P51" s="55" t="s">
        <v>91</v>
      </c>
      <c r="Q51" s="55" t="s">
        <v>16</v>
      </c>
      <c r="R51" s="55"/>
      <c r="S51" s="55"/>
      <c r="T51" s="55"/>
      <c r="U51" s="55"/>
      <c r="V51" s="55"/>
      <c r="W51" s="55"/>
      <c r="X51" s="57" t="str">
        <f t="shared" si="2"/>
        <v>--044-26-04</v>
      </c>
      <c r="Y51" s="58" t="str">
        <f t="shared" ref="Y51:AC51" si="49">TRIM(SUBSTITUTE(SUBSTITUTE(OFFSET($Q51,0,COLUMN()-COLUMN($AL$1)),CHAR(160)," "),_xludf.UNICHAR(8239)," "))</f>
        <v>#NAME?</v>
      </c>
      <c r="Z51" s="58" t="str">
        <f t="shared" si="49"/>
        <v>#NAME?</v>
      </c>
      <c r="AA51" s="58" t="str">
        <f t="shared" si="49"/>
        <v>#NAME?</v>
      </c>
      <c r="AB51" s="58" t="str">
        <f t="shared" si="49"/>
        <v>#NAME?</v>
      </c>
      <c r="AC51" s="58" t="str">
        <f t="shared" si="49"/>
        <v>#NAME?</v>
      </c>
      <c r="AD51" s="57">
        <f t="shared" si="4"/>
        <v>1</v>
      </c>
      <c r="AE51" s="57" t="str">
        <f t="shared" si="5"/>
        <v>2026-04</v>
      </c>
      <c r="AF51" s="57">
        <f t="shared" si="6"/>
        <v>1</v>
      </c>
      <c r="AG51" s="59">
        <f t="shared" si="7"/>
        <v>1</v>
      </c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</row>
    <row r="52" ht="24.0" customHeight="1">
      <c r="A52" s="53">
        <v>45.0</v>
      </c>
      <c r="B52" s="54" t="s">
        <v>266</v>
      </c>
      <c r="C52" s="55" t="s">
        <v>82</v>
      </c>
      <c r="D52" s="55"/>
      <c r="E52" s="55" t="s">
        <v>267</v>
      </c>
      <c r="F52" s="55" t="s">
        <v>268</v>
      </c>
      <c r="G52" s="55">
        <v>65.0</v>
      </c>
      <c r="H52" s="55" t="s">
        <v>260</v>
      </c>
      <c r="I52" s="55" t="s">
        <v>112</v>
      </c>
      <c r="J52" s="56" t="s">
        <v>113</v>
      </c>
      <c r="K52" s="55" t="s">
        <v>269</v>
      </c>
      <c r="L52" s="55" t="s">
        <v>34</v>
      </c>
      <c r="M52" s="55" t="s">
        <v>89</v>
      </c>
      <c r="N52" s="55" t="s">
        <v>90</v>
      </c>
      <c r="O52" s="55"/>
      <c r="P52" s="55" t="s">
        <v>91</v>
      </c>
      <c r="Q52" s="55" t="s">
        <v>4</v>
      </c>
      <c r="R52" s="55"/>
      <c r="S52" s="55"/>
      <c r="T52" s="55"/>
      <c r="U52" s="55"/>
      <c r="V52" s="55"/>
      <c r="W52" s="55"/>
      <c r="X52" s="57" t="str">
        <f t="shared" si="2"/>
        <v>--045-26-04</v>
      </c>
      <c r="Y52" s="58" t="str">
        <f t="shared" ref="Y52:AC52" si="50">TRIM(SUBSTITUTE(SUBSTITUTE(OFFSET($Q52,0,COLUMN()-COLUMN($AL$1)),CHAR(160)," "),_xludf.UNICHAR(8239)," "))</f>
        <v>#NAME?</v>
      </c>
      <c r="Z52" s="58" t="str">
        <f t="shared" si="50"/>
        <v>#NAME?</v>
      </c>
      <c r="AA52" s="58" t="str">
        <f t="shared" si="50"/>
        <v>#NAME?</v>
      </c>
      <c r="AB52" s="58" t="str">
        <f t="shared" si="50"/>
        <v>#NAME?</v>
      </c>
      <c r="AC52" s="58" t="str">
        <f t="shared" si="50"/>
        <v>#NAME?</v>
      </c>
      <c r="AD52" s="57">
        <f t="shared" si="4"/>
        <v>1</v>
      </c>
      <c r="AE52" s="57" t="str">
        <f t="shared" si="5"/>
        <v>2026-04</v>
      </c>
      <c r="AF52" s="57">
        <f t="shared" si="6"/>
        <v>1</v>
      </c>
      <c r="AG52" s="59">
        <f t="shared" si="7"/>
        <v>1</v>
      </c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</row>
    <row r="53" ht="24.0" customHeight="1">
      <c r="A53" s="53">
        <v>46.0</v>
      </c>
      <c r="B53" s="54" t="s">
        <v>270</v>
      </c>
      <c r="C53" s="55" t="s">
        <v>82</v>
      </c>
      <c r="D53" s="55"/>
      <c r="E53" s="55" t="s">
        <v>271</v>
      </c>
      <c r="F53" s="55" t="s">
        <v>272</v>
      </c>
      <c r="G53" s="55">
        <v>33.0</v>
      </c>
      <c r="H53" s="55" t="s">
        <v>85</v>
      </c>
      <c r="I53" s="55" t="s">
        <v>86</v>
      </c>
      <c r="J53" s="56" t="s">
        <v>87</v>
      </c>
      <c r="K53" s="55" t="s">
        <v>273</v>
      </c>
      <c r="L53" s="55" t="s">
        <v>34</v>
      </c>
      <c r="M53" s="55" t="s">
        <v>89</v>
      </c>
      <c r="N53" s="55" t="s">
        <v>90</v>
      </c>
      <c r="O53" s="55"/>
      <c r="P53" s="55" t="s">
        <v>91</v>
      </c>
      <c r="Q53" s="55"/>
      <c r="R53" s="55" t="s">
        <v>5</v>
      </c>
      <c r="S53" s="55"/>
      <c r="T53" s="55"/>
      <c r="U53" s="55" t="s">
        <v>7</v>
      </c>
      <c r="V53" s="55"/>
      <c r="W53" s="55"/>
      <c r="X53" s="57" t="str">
        <f t="shared" si="2"/>
        <v>--046-26-04</v>
      </c>
      <c r="Y53" s="58" t="str">
        <f t="shared" ref="Y53:AC53" si="51">TRIM(SUBSTITUTE(SUBSTITUTE(OFFSET($Q53,0,COLUMN()-COLUMN($AL$1)),CHAR(160)," "),_xludf.UNICHAR(8239)," "))</f>
        <v>#NAME?</v>
      </c>
      <c r="Z53" s="58" t="str">
        <f t="shared" si="51"/>
        <v>#NAME?</v>
      </c>
      <c r="AA53" s="58" t="str">
        <f t="shared" si="51"/>
        <v>#NAME?</v>
      </c>
      <c r="AB53" s="58" t="str">
        <f t="shared" si="51"/>
        <v>#NAME?</v>
      </c>
      <c r="AC53" s="58" t="str">
        <f t="shared" si="51"/>
        <v>#NAME?</v>
      </c>
      <c r="AD53" s="57">
        <f t="shared" si="4"/>
        <v>1</v>
      </c>
      <c r="AE53" s="57" t="str">
        <f t="shared" si="5"/>
        <v>2026-04</v>
      </c>
      <c r="AF53" s="57">
        <f t="shared" si="6"/>
        <v>1</v>
      </c>
      <c r="AG53" s="59">
        <f t="shared" si="7"/>
        <v>1</v>
      </c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</row>
    <row r="54" ht="24.0" customHeight="1">
      <c r="A54" s="53">
        <v>47.0</v>
      </c>
      <c r="B54" s="54" t="s">
        <v>274</v>
      </c>
      <c r="C54" s="55" t="s">
        <v>82</v>
      </c>
      <c r="D54" s="55"/>
      <c r="E54" s="55" t="s">
        <v>275</v>
      </c>
      <c r="F54" s="55" t="s">
        <v>276</v>
      </c>
      <c r="G54" s="55">
        <v>1.0</v>
      </c>
      <c r="H54" s="55" t="s">
        <v>119</v>
      </c>
      <c r="I54" s="55" t="s">
        <v>86</v>
      </c>
      <c r="J54" s="56" t="s">
        <v>87</v>
      </c>
      <c r="K54" s="55" t="s">
        <v>277</v>
      </c>
      <c r="L54" s="55" t="s">
        <v>34</v>
      </c>
      <c r="M54" s="55" t="s">
        <v>89</v>
      </c>
      <c r="N54" s="55" t="s">
        <v>90</v>
      </c>
      <c r="O54" s="55"/>
      <c r="P54" s="55" t="s">
        <v>91</v>
      </c>
      <c r="Q54" s="55" t="s">
        <v>4</v>
      </c>
      <c r="R54" s="55"/>
      <c r="S54" s="55"/>
      <c r="T54" s="55"/>
      <c r="U54" s="55"/>
      <c r="V54" s="55"/>
      <c r="W54" s="55"/>
      <c r="X54" s="57" t="str">
        <f t="shared" si="2"/>
        <v>--047-26-04</v>
      </c>
      <c r="Y54" s="58" t="str">
        <f t="shared" ref="Y54:AC54" si="52">TRIM(SUBSTITUTE(SUBSTITUTE(OFFSET($Q54,0,COLUMN()-COLUMN($AL$1)),CHAR(160)," "),_xludf.UNICHAR(8239)," "))</f>
        <v>#NAME?</v>
      </c>
      <c r="Z54" s="58" t="str">
        <f t="shared" si="52"/>
        <v>#NAME?</v>
      </c>
      <c r="AA54" s="58" t="str">
        <f t="shared" si="52"/>
        <v>#NAME?</v>
      </c>
      <c r="AB54" s="58" t="str">
        <f t="shared" si="52"/>
        <v>#NAME?</v>
      </c>
      <c r="AC54" s="58" t="str">
        <f t="shared" si="52"/>
        <v>#NAME?</v>
      </c>
      <c r="AD54" s="57">
        <f t="shared" si="4"/>
        <v>1</v>
      </c>
      <c r="AE54" s="57" t="str">
        <f t="shared" si="5"/>
        <v>2026-04</v>
      </c>
      <c r="AF54" s="57">
        <f t="shared" si="6"/>
        <v>1</v>
      </c>
      <c r="AG54" s="59">
        <f t="shared" si="7"/>
        <v>1</v>
      </c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</row>
    <row r="55" ht="24.0" customHeight="1">
      <c r="A55" s="53">
        <v>48.0</v>
      </c>
      <c r="B55" s="54" t="s">
        <v>278</v>
      </c>
      <c r="C55" s="55" t="s">
        <v>82</v>
      </c>
      <c r="D55" s="55"/>
      <c r="E55" s="55" t="s">
        <v>279</v>
      </c>
      <c r="F55" s="55" t="s">
        <v>280</v>
      </c>
      <c r="G55" s="55">
        <v>32.0</v>
      </c>
      <c r="H55" s="55" t="s">
        <v>85</v>
      </c>
      <c r="I55" s="55" t="s">
        <v>86</v>
      </c>
      <c r="J55" s="56" t="s">
        <v>87</v>
      </c>
      <c r="K55" s="55" t="s">
        <v>281</v>
      </c>
      <c r="L55" s="55" t="s">
        <v>34</v>
      </c>
      <c r="M55" s="55" t="s">
        <v>89</v>
      </c>
      <c r="N55" s="55" t="s">
        <v>90</v>
      </c>
      <c r="O55" s="55"/>
      <c r="P55" s="55" t="s">
        <v>91</v>
      </c>
      <c r="Q55" s="55"/>
      <c r="R55" s="55" t="s">
        <v>5</v>
      </c>
      <c r="S55" s="55"/>
      <c r="T55" s="55"/>
      <c r="U55" s="55" t="s">
        <v>7</v>
      </c>
      <c r="V55" s="55"/>
      <c r="W55" s="55"/>
      <c r="X55" s="57" t="str">
        <f t="shared" si="2"/>
        <v>--048-26-04</v>
      </c>
      <c r="Y55" s="58" t="str">
        <f t="shared" ref="Y55:AC55" si="53">TRIM(SUBSTITUTE(SUBSTITUTE(OFFSET($Q55,0,COLUMN()-COLUMN($AL$1)),CHAR(160)," "),_xludf.UNICHAR(8239)," "))</f>
        <v>#NAME?</v>
      </c>
      <c r="Z55" s="58" t="str">
        <f t="shared" si="53"/>
        <v>#NAME?</v>
      </c>
      <c r="AA55" s="58" t="str">
        <f t="shared" si="53"/>
        <v>#NAME?</v>
      </c>
      <c r="AB55" s="58" t="str">
        <f t="shared" si="53"/>
        <v>#NAME?</v>
      </c>
      <c r="AC55" s="58" t="str">
        <f t="shared" si="53"/>
        <v>#NAME?</v>
      </c>
      <c r="AD55" s="57">
        <f t="shared" si="4"/>
        <v>1</v>
      </c>
      <c r="AE55" s="57" t="str">
        <f t="shared" si="5"/>
        <v>2026-04</v>
      </c>
      <c r="AF55" s="57">
        <f t="shared" si="6"/>
        <v>1</v>
      </c>
      <c r="AG55" s="59">
        <f t="shared" si="7"/>
        <v>1</v>
      </c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</row>
    <row r="56" ht="24.0" customHeight="1">
      <c r="A56" s="53">
        <v>49.0</v>
      </c>
      <c r="B56" s="54" t="s">
        <v>282</v>
      </c>
      <c r="C56" s="55" t="s">
        <v>82</v>
      </c>
      <c r="D56" s="55"/>
      <c r="E56" s="55" t="s">
        <v>283</v>
      </c>
      <c r="F56" s="55" t="s">
        <v>284</v>
      </c>
      <c r="G56" s="55">
        <v>66.0</v>
      </c>
      <c r="H56" s="55" t="s">
        <v>260</v>
      </c>
      <c r="I56" s="55" t="s">
        <v>112</v>
      </c>
      <c r="J56" s="56" t="s">
        <v>113</v>
      </c>
      <c r="K56" s="55" t="s">
        <v>285</v>
      </c>
      <c r="L56" s="55" t="s">
        <v>34</v>
      </c>
      <c r="M56" s="55" t="s">
        <v>89</v>
      </c>
      <c r="N56" s="55" t="s">
        <v>90</v>
      </c>
      <c r="O56" s="55"/>
      <c r="P56" s="55" t="s">
        <v>91</v>
      </c>
      <c r="Q56" s="55" t="s">
        <v>4</v>
      </c>
      <c r="R56" s="55"/>
      <c r="S56" s="55"/>
      <c r="T56" s="55"/>
      <c r="U56" s="55"/>
      <c r="V56" s="55"/>
      <c r="W56" s="55"/>
      <c r="X56" s="57" t="str">
        <f t="shared" si="2"/>
        <v>--049-26-04</v>
      </c>
      <c r="Y56" s="58" t="str">
        <f t="shared" ref="Y56:AC56" si="54">TRIM(SUBSTITUTE(SUBSTITUTE(OFFSET($Q56,0,COLUMN()-COLUMN($AL$1)),CHAR(160)," "),_xludf.UNICHAR(8239)," "))</f>
        <v>#NAME?</v>
      </c>
      <c r="Z56" s="58" t="str">
        <f t="shared" si="54"/>
        <v>#NAME?</v>
      </c>
      <c r="AA56" s="58" t="str">
        <f t="shared" si="54"/>
        <v>#NAME?</v>
      </c>
      <c r="AB56" s="58" t="str">
        <f t="shared" si="54"/>
        <v>#NAME?</v>
      </c>
      <c r="AC56" s="58" t="str">
        <f t="shared" si="54"/>
        <v>#NAME?</v>
      </c>
      <c r="AD56" s="57">
        <f t="shared" si="4"/>
        <v>1</v>
      </c>
      <c r="AE56" s="57" t="str">
        <f t="shared" si="5"/>
        <v>2026-04</v>
      </c>
      <c r="AF56" s="57">
        <f t="shared" si="6"/>
        <v>1</v>
      </c>
      <c r="AG56" s="59">
        <f t="shared" si="7"/>
        <v>1</v>
      </c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</row>
    <row r="57" ht="24.0" customHeight="1">
      <c r="A57" s="53">
        <v>50.0</v>
      </c>
      <c r="B57" s="54" t="s">
        <v>286</v>
      </c>
      <c r="C57" s="55" t="s">
        <v>82</v>
      </c>
      <c r="D57" s="55"/>
      <c r="E57" s="55" t="s">
        <v>287</v>
      </c>
      <c r="F57" s="55" t="s">
        <v>288</v>
      </c>
      <c r="G57" s="55">
        <v>43.0</v>
      </c>
      <c r="H57" s="55" t="s">
        <v>85</v>
      </c>
      <c r="I57" s="55" t="s">
        <v>86</v>
      </c>
      <c r="J57" s="56" t="s">
        <v>87</v>
      </c>
      <c r="K57" s="55" t="s">
        <v>289</v>
      </c>
      <c r="L57" s="55" t="s">
        <v>34</v>
      </c>
      <c r="M57" s="55" t="s">
        <v>89</v>
      </c>
      <c r="N57" s="55" t="s">
        <v>90</v>
      </c>
      <c r="O57" s="55"/>
      <c r="P57" s="55" t="s">
        <v>91</v>
      </c>
      <c r="Q57" s="55" t="s">
        <v>16</v>
      </c>
      <c r="R57" s="55"/>
      <c r="S57" s="55"/>
      <c r="T57" s="55"/>
      <c r="U57" s="55"/>
      <c r="V57" s="55"/>
      <c r="W57" s="55"/>
      <c r="X57" s="57" t="str">
        <f t="shared" si="2"/>
        <v>--050-26-04</v>
      </c>
      <c r="Y57" s="58" t="str">
        <f t="shared" ref="Y57:AC57" si="55">TRIM(SUBSTITUTE(SUBSTITUTE(OFFSET($Q57,0,COLUMN()-COLUMN($AL$1)),CHAR(160)," "),_xludf.UNICHAR(8239)," "))</f>
        <v>#NAME?</v>
      </c>
      <c r="Z57" s="58" t="str">
        <f t="shared" si="55"/>
        <v>#NAME?</v>
      </c>
      <c r="AA57" s="58" t="str">
        <f t="shared" si="55"/>
        <v>#NAME?</v>
      </c>
      <c r="AB57" s="58" t="str">
        <f t="shared" si="55"/>
        <v>#NAME?</v>
      </c>
      <c r="AC57" s="58" t="str">
        <f t="shared" si="55"/>
        <v>#NAME?</v>
      </c>
      <c r="AD57" s="57">
        <f t="shared" si="4"/>
        <v>1</v>
      </c>
      <c r="AE57" s="57" t="str">
        <f t="shared" si="5"/>
        <v>2026-04</v>
      </c>
      <c r="AF57" s="57">
        <f t="shared" si="6"/>
        <v>1</v>
      </c>
      <c r="AG57" s="59">
        <f t="shared" si="7"/>
        <v>1</v>
      </c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</row>
    <row r="58" ht="24.0" customHeight="1">
      <c r="A58" s="53">
        <v>51.0</v>
      </c>
      <c r="B58" s="54" t="s">
        <v>290</v>
      </c>
      <c r="C58" s="55" t="s">
        <v>82</v>
      </c>
      <c r="D58" s="55"/>
      <c r="E58" s="55" t="s">
        <v>291</v>
      </c>
      <c r="F58" s="55" t="s">
        <v>292</v>
      </c>
      <c r="G58" s="55">
        <v>47.0</v>
      </c>
      <c r="H58" s="55" t="s">
        <v>85</v>
      </c>
      <c r="I58" s="55" t="s">
        <v>86</v>
      </c>
      <c r="J58" s="56" t="s">
        <v>87</v>
      </c>
      <c r="K58" s="55" t="s">
        <v>293</v>
      </c>
      <c r="L58" s="55" t="s">
        <v>34</v>
      </c>
      <c r="M58" s="55" t="s">
        <v>89</v>
      </c>
      <c r="N58" s="55" t="s">
        <v>90</v>
      </c>
      <c r="O58" s="55"/>
      <c r="P58" s="55" t="s">
        <v>91</v>
      </c>
      <c r="Q58" s="55" t="s">
        <v>4</v>
      </c>
      <c r="R58" s="55"/>
      <c r="S58" s="55"/>
      <c r="T58" s="55"/>
      <c r="U58" s="55"/>
      <c r="V58" s="55"/>
      <c r="W58" s="55"/>
      <c r="X58" s="57" t="str">
        <f t="shared" si="2"/>
        <v>--051-26-04</v>
      </c>
      <c r="Y58" s="58" t="str">
        <f t="shared" ref="Y58:AC58" si="56">TRIM(SUBSTITUTE(SUBSTITUTE(OFFSET($Q58,0,COLUMN()-COLUMN($AL$1)),CHAR(160)," "),_xludf.UNICHAR(8239)," "))</f>
        <v>#NAME?</v>
      </c>
      <c r="Z58" s="58" t="str">
        <f t="shared" si="56"/>
        <v>#NAME?</v>
      </c>
      <c r="AA58" s="58" t="str">
        <f t="shared" si="56"/>
        <v>#NAME?</v>
      </c>
      <c r="AB58" s="58" t="str">
        <f t="shared" si="56"/>
        <v>#NAME?</v>
      </c>
      <c r="AC58" s="58" t="str">
        <f t="shared" si="56"/>
        <v>#NAME?</v>
      </c>
      <c r="AD58" s="57">
        <f t="shared" si="4"/>
        <v>1</v>
      </c>
      <c r="AE58" s="57" t="str">
        <f t="shared" si="5"/>
        <v>2026-04</v>
      </c>
      <c r="AF58" s="57">
        <f t="shared" si="6"/>
        <v>1</v>
      </c>
      <c r="AG58" s="59">
        <f t="shared" si="7"/>
        <v>1</v>
      </c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</row>
    <row r="59" ht="24.0" customHeight="1">
      <c r="A59" s="53">
        <v>52.0</v>
      </c>
      <c r="B59" s="54" t="s">
        <v>294</v>
      </c>
      <c r="C59" s="55" t="s">
        <v>82</v>
      </c>
      <c r="D59" s="55"/>
      <c r="E59" s="55" t="s">
        <v>295</v>
      </c>
      <c r="F59" s="55" t="s">
        <v>296</v>
      </c>
      <c r="G59" s="55">
        <v>47.0</v>
      </c>
      <c r="H59" s="55" t="s">
        <v>85</v>
      </c>
      <c r="I59" s="55" t="s">
        <v>86</v>
      </c>
      <c r="J59" s="56" t="s">
        <v>87</v>
      </c>
      <c r="K59" s="55" t="s">
        <v>297</v>
      </c>
      <c r="L59" s="55" t="s">
        <v>34</v>
      </c>
      <c r="M59" s="55" t="s">
        <v>89</v>
      </c>
      <c r="N59" s="55" t="s">
        <v>90</v>
      </c>
      <c r="O59" s="55"/>
      <c r="P59" s="55" t="s">
        <v>91</v>
      </c>
      <c r="Q59" s="55" t="s">
        <v>4</v>
      </c>
      <c r="R59" s="55"/>
      <c r="S59" s="55"/>
      <c r="T59" s="55"/>
      <c r="U59" s="55"/>
      <c r="V59" s="55"/>
      <c r="W59" s="55"/>
      <c r="X59" s="57" t="str">
        <f t="shared" si="2"/>
        <v>--052-26-04</v>
      </c>
      <c r="Y59" s="58" t="str">
        <f t="shared" ref="Y59:AC59" si="57">TRIM(SUBSTITUTE(SUBSTITUTE(OFFSET($Q59,0,COLUMN()-COLUMN($AL$1)),CHAR(160)," "),_xludf.UNICHAR(8239)," "))</f>
        <v>#NAME?</v>
      </c>
      <c r="Z59" s="58" t="str">
        <f t="shared" si="57"/>
        <v>#NAME?</v>
      </c>
      <c r="AA59" s="58" t="str">
        <f t="shared" si="57"/>
        <v>#NAME?</v>
      </c>
      <c r="AB59" s="58" t="str">
        <f t="shared" si="57"/>
        <v>#NAME?</v>
      </c>
      <c r="AC59" s="58" t="str">
        <f t="shared" si="57"/>
        <v>#NAME?</v>
      </c>
      <c r="AD59" s="57">
        <f t="shared" si="4"/>
        <v>1</v>
      </c>
      <c r="AE59" s="57" t="str">
        <f t="shared" si="5"/>
        <v>2026-04</v>
      </c>
      <c r="AF59" s="57">
        <f t="shared" si="6"/>
        <v>1</v>
      </c>
      <c r="AG59" s="59">
        <f t="shared" si="7"/>
        <v>1</v>
      </c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</row>
    <row r="60" ht="24.0" customHeight="1">
      <c r="A60" s="53">
        <v>53.0</v>
      </c>
      <c r="B60" s="54" t="s">
        <v>298</v>
      </c>
      <c r="C60" s="55" t="s">
        <v>82</v>
      </c>
      <c r="D60" s="55"/>
      <c r="E60" s="55" t="s">
        <v>299</v>
      </c>
      <c r="F60" s="55" t="s">
        <v>300</v>
      </c>
      <c r="G60" s="55">
        <v>3.0</v>
      </c>
      <c r="H60" s="55" t="s">
        <v>119</v>
      </c>
      <c r="I60" s="55" t="s">
        <v>86</v>
      </c>
      <c r="J60" s="56" t="s">
        <v>87</v>
      </c>
      <c r="K60" s="55" t="s">
        <v>297</v>
      </c>
      <c r="L60" s="55" t="s">
        <v>34</v>
      </c>
      <c r="M60" s="55" t="s">
        <v>115</v>
      </c>
      <c r="N60" s="55" t="s">
        <v>90</v>
      </c>
      <c r="O60" s="55"/>
      <c r="P60" s="55" t="s">
        <v>91</v>
      </c>
      <c r="Q60" s="55" t="s">
        <v>4</v>
      </c>
      <c r="R60" s="55"/>
      <c r="S60" s="55"/>
      <c r="T60" s="55"/>
      <c r="U60" s="55"/>
      <c r="V60" s="55"/>
      <c r="W60" s="55"/>
      <c r="X60" s="57" t="str">
        <f t="shared" si="2"/>
        <v>--053-26-04</v>
      </c>
      <c r="Y60" s="58" t="str">
        <f t="shared" ref="Y60:AC60" si="58">TRIM(SUBSTITUTE(SUBSTITUTE(OFFSET($Q60,0,COLUMN()-COLUMN($AL$1)),CHAR(160)," "),_xludf.UNICHAR(8239)," "))</f>
        <v>#NAME?</v>
      </c>
      <c r="Z60" s="58" t="str">
        <f t="shared" si="58"/>
        <v>#NAME?</v>
      </c>
      <c r="AA60" s="58" t="str">
        <f t="shared" si="58"/>
        <v>#NAME?</v>
      </c>
      <c r="AB60" s="58" t="str">
        <f t="shared" si="58"/>
        <v>#NAME?</v>
      </c>
      <c r="AC60" s="58" t="str">
        <f t="shared" si="58"/>
        <v>#NAME?</v>
      </c>
      <c r="AD60" s="57">
        <f t="shared" si="4"/>
        <v>1</v>
      </c>
      <c r="AE60" s="57" t="str">
        <f t="shared" si="5"/>
        <v>2026-04</v>
      </c>
      <c r="AF60" s="57">
        <f t="shared" si="6"/>
        <v>1</v>
      </c>
      <c r="AG60" s="59">
        <f t="shared" si="7"/>
        <v>1</v>
      </c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</row>
    <row r="61" ht="24.0" customHeight="1">
      <c r="A61" s="53">
        <v>54.0</v>
      </c>
      <c r="B61" s="54" t="s">
        <v>301</v>
      </c>
      <c r="C61" s="55" t="s">
        <v>82</v>
      </c>
      <c r="D61" s="55"/>
      <c r="E61" s="55" t="s">
        <v>302</v>
      </c>
      <c r="F61" s="55" t="s">
        <v>303</v>
      </c>
      <c r="G61" s="55">
        <v>24.0</v>
      </c>
      <c r="H61" s="55" t="s">
        <v>85</v>
      </c>
      <c r="I61" s="55" t="s">
        <v>86</v>
      </c>
      <c r="J61" s="56" t="s">
        <v>87</v>
      </c>
      <c r="K61" s="55" t="s">
        <v>304</v>
      </c>
      <c r="L61" s="55" t="s">
        <v>34</v>
      </c>
      <c r="M61" s="55" t="s">
        <v>89</v>
      </c>
      <c r="N61" s="55" t="s">
        <v>90</v>
      </c>
      <c r="O61" s="55"/>
      <c r="P61" s="55" t="s">
        <v>91</v>
      </c>
      <c r="Q61" s="55"/>
      <c r="R61" s="55" t="s">
        <v>36</v>
      </c>
      <c r="S61" s="55"/>
      <c r="T61" s="55"/>
      <c r="U61" s="55"/>
      <c r="V61" s="55"/>
      <c r="W61" s="55"/>
      <c r="X61" s="57" t="str">
        <f t="shared" si="2"/>
        <v>--054-26-04</v>
      </c>
      <c r="Y61" s="58" t="str">
        <f t="shared" ref="Y61:AC61" si="59">TRIM(SUBSTITUTE(SUBSTITUTE(OFFSET($Q61,0,COLUMN()-COLUMN($AL$1)),CHAR(160)," "),_xludf.UNICHAR(8239)," "))</f>
        <v>#NAME?</v>
      </c>
      <c r="Z61" s="58" t="str">
        <f t="shared" si="59"/>
        <v>#NAME?</v>
      </c>
      <c r="AA61" s="58" t="str">
        <f t="shared" si="59"/>
        <v>#NAME?</v>
      </c>
      <c r="AB61" s="58" t="str">
        <f t="shared" si="59"/>
        <v>#NAME?</v>
      </c>
      <c r="AC61" s="58" t="str">
        <f t="shared" si="59"/>
        <v>#NAME?</v>
      </c>
      <c r="AD61" s="57">
        <f t="shared" si="4"/>
        <v>1</v>
      </c>
      <c r="AE61" s="57" t="str">
        <f t="shared" si="5"/>
        <v>2026-04</v>
      </c>
      <c r="AF61" s="57">
        <f t="shared" si="6"/>
        <v>1</v>
      </c>
      <c r="AG61" s="59">
        <f t="shared" si="7"/>
        <v>1</v>
      </c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</row>
    <row r="62" ht="24.0" customHeight="1">
      <c r="A62" s="53">
        <v>55.0</v>
      </c>
      <c r="B62" s="54" t="s">
        <v>305</v>
      </c>
      <c r="C62" s="55" t="s">
        <v>82</v>
      </c>
      <c r="D62" s="55"/>
      <c r="E62" s="55" t="s">
        <v>306</v>
      </c>
      <c r="F62" s="55" t="s">
        <v>307</v>
      </c>
      <c r="G62" s="55">
        <v>20.0</v>
      </c>
      <c r="H62" s="55" t="s">
        <v>85</v>
      </c>
      <c r="I62" s="55" t="s">
        <v>86</v>
      </c>
      <c r="J62" s="56" t="s">
        <v>87</v>
      </c>
      <c r="K62" s="55" t="s">
        <v>308</v>
      </c>
      <c r="L62" s="55"/>
      <c r="M62" s="55" t="s">
        <v>133</v>
      </c>
      <c r="N62" s="55" t="s">
        <v>90</v>
      </c>
      <c r="O62" s="55"/>
      <c r="P62" s="55" t="s">
        <v>91</v>
      </c>
      <c r="Q62" s="55" t="s">
        <v>16</v>
      </c>
      <c r="R62" s="55"/>
      <c r="S62" s="55"/>
      <c r="T62" s="55"/>
      <c r="U62" s="55"/>
      <c r="V62" s="55"/>
      <c r="W62" s="55"/>
      <c r="X62" s="57" t="str">
        <f t="shared" si="2"/>
        <v>--055-26-04</v>
      </c>
      <c r="Y62" s="58" t="str">
        <f t="shared" ref="Y62:AC62" si="60">TRIM(SUBSTITUTE(SUBSTITUTE(OFFSET($Q62,0,COLUMN()-COLUMN($AL$1)),CHAR(160)," "),_xludf.UNICHAR(8239)," "))</f>
        <v>#NAME?</v>
      </c>
      <c r="Z62" s="58" t="str">
        <f t="shared" si="60"/>
        <v>#NAME?</v>
      </c>
      <c r="AA62" s="58" t="str">
        <f t="shared" si="60"/>
        <v>#NAME?</v>
      </c>
      <c r="AB62" s="58" t="str">
        <f t="shared" si="60"/>
        <v>#NAME?</v>
      </c>
      <c r="AC62" s="58" t="str">
        <f t="shared" si="60"/>
        <v>#NAME?</v>
      </c>
      <c r="AD62" s="57">
        <f t="shared" si="4"/>
        <v>1</v>
      </c>
      <c r="AE62" s="57" t="str">
        <f t="shared" si="5"/>
        <v>2026-04</v>
      </c>
      <c r="AF62" s="57">
        <f t="shared" si="6"/>
        <v>1</v>
      </c>
      <c r="AG62" s="59">
        <f t="shared" si="7"/>
        <v>1</v>
      </c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</row>
    <row r="63" ht="24.0" customHeight="1">
      <c r="A63" s="53">
        <v>56.0</v>
      </c>
      <c r="B63" s="54" t="s">
        <v>309</v>
      </c>
      <c r="C63" s="55" t="s">
        <v>82</v>
      </c>
      <c r="D63" s="55"/>
      <c r="E63" s="55" t="s">
        <v>310</v>
      </c>
      <c r="F63" s="55" t="s">
        <v>311</v>
      </c>
      <c r="G63" s="55">
        <v>1.0</v>
      </c>
      <c r="H63" s="55" t="s">
        <v>119</v>
      </c>
      <c r="I63" s="55" t="s">
        <v>86</v>
      </c>
      <c r="J63" s="56" t="s">
        <v>87</v>
      </c>
      <c r="K63" s="55" t="s">
        <v>312</v>
      </c>
      <c r="L63" s="55" t="s">
        <v>34</v>
      </c>
      <c r="M63" s="55" t="s">
        <v>115</v>
      </c>
      <c r="N63" s="55" t="s">
        <v>90</v>
      </c>
      <c r="O63" s="55"/>
      <c r="P63" s="55" t="s">
        <v>91</v>
      </c>
      <c r="Q63" s="55" t="s">
        <v>16</v>
      </c>
      <c r="R63" s="55"/>
      <c r="S63" s="55"/>
      <c r="T63" s="55"/>
      <c r="U63" s="55"/>
      <c r="V63" s="55"/>
      <c r="W63" s="55"/>
      <c r="X63" s="57" t="str">
        <f t="shared" si="2"/>
        <v>--056-26-04</v>
      </c>
      <c r="Y63" s="58" t="str">
        <f t="shared" ref="Y63:AC63" si="61">TRIM(SUBSTITUTE(SUBSTITUTE(OFFSET($Q63,0,COLUMN()-COLUMN($AL$1)),CHAR(160)," "),_xludf.UNICHAR(8239)," "))</f>
        <v>#NAME?</v>
      </c>
      <c r="Z63" s="58" t="str">
        <f t="shared" si="61"/>
        <v>#NAME?</v>
      </c>
      <c r="AA63" s="58" t="str">
        <f t="shared" si="61"/>
        <v>#NAME?</v>
      </c>
      <c r="AB63" s="58" t="str">
        <f t="shared" si="61"/>
        <v>#NAME?</v>
      </c>
      <c r="AC63" s="58" t="str">
        <f t="shared" si="61"/>
        <v>#NAME?</v>
      </c>
      <c r="AD63" s="57">
        <f t="shared" si="4"/>
        <v>1</v>
      </c>
      <c r="AE63" s="57" t="str">
        <f t="shared" si="5"/>
        <v>2026-04</v>
      </c>
      <c r="AF63" s="57">
        <f t="shared" si="6"/>
        <v>1</v>
      </c>
      <c r="AG63" s="59">
        <f t="shared" si="7"/>
        <v>1</v>
      </c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</row>
    <row r="64" ht="24.0" customHeight="1">
      <c r="A64" s="53">
        <v>57.0</v>
      </c>
      <c r="B64" s="54" t="s">
        <v>313</v>
      </c>
      <c r="C64" s="55" t="s">
        <v>82</v>
      </c>
      <c r="D64" s="55"/>
      <c r="E64" s="55" t="s">
        <v>314</v>
      </c>
      <c r="F64" s="55" t="s">
        <v>315</v>
      </c>
      <c r="G64" s="55">
        <v>34.0</v>
      </c>
      <c r="H64" s="55" t="s">
        <v>85</v>
      </c>
      <c r="I64" s="55" t="s">
        <v>86</v>
      </c>
      <c r="J64" s="56" t="s">
        <v>87</v>
      </c>
      <c r="K64" s="55" t="s">
        <v>316</v>
      </c>
      <c r="L64" s="55" t="s">
        <v>34</v>
      </c>
      <c r="M64" s="55" t="s">
        <v>89</v>
      </c>
      <c r="N64" s="55" t="s">
        <v>90</v>
      </c>
      <c r="O64" s="55"/>
      <c r="P64" s="55" t="s">
        <v>91</v>
      </c>
      <c r="Q64" s="55"/>
      <c r="R64" s="55" t="s">
        <v>27</v>
      </c>
      <c r="S64" s="55"/>
      <c r="T64" s="55"/>
      <c r="U64" s="55"/>
      <c r="V64" s="55"/>
      <c r="W64" s="55"/>
      <c r="X64" s="57" t="str">
        <f t="shared" si="2"/>
        <v>--057-26-04</v>
      </c>
      <c r="Y64" s="58" t="str">
        <f t="shared" ref="Y64:AC64" si="62">TRIM(SUBSTITUTE(SUBSTITUTE(OFFSET($Q64,0,COLUMN()-COLUMN($AL$1)),CHAR(160)," "),_xludf.UNICHAR(8239)," "))</f>
        <v>#NAME?</v>
      </c>
      <c r="Z64" s="58" t="str">
        <f t="shared" si="62"/>
        <v>#NAME?</v>
      </c>
      <c r="AA64" s="58" t="str">
        <f t="shared" si="62"/>
        <v>#NAME?</v>
      </c>
      <c r="AB64" s="58" t="str">
        <f t="shared" si="62"/>
        <v>#NAME?</v>
      </c>
      <c r="AC64" s="58" t="str">
        <f t="shared" si="62"/>
        <v>#NAME?</v>
      </c>
      <c r="AD64" s="57">
        <f t="shared" si="4"/>
        <v>1</v>
      </c>
      <c r="AE64" s="57" t="str">
        <f t="shared" si="5"/>
        <v>2026-04</v>
      </c>
      <c r="AF64" s="57">
        <f t="shared" si="6"/>
        <v>1</v>
      </c>
      <c r="AG64" s="59">
        <f t="shared" si="7"/>
        <v>1</v>
      </c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</row>
    <row r="65" ht="24.0" customHeight="1">
      <c r="A65" s="53">
        <v>58.0</v>
      </c>
      <c r="B65" s="54" t="s">
        <v>317</v>
      </c>
      <c r="C65" s="55" t="s">
        <v>82</v>
      </c>
      <c r="D65" s="55"/>
      <c r="E65" s="55" t="s">
        <v>318</v>
      </c>
      <c r="F65" s="55" t="s">
        <v>319</v>
      </c>
      <c r="G65" s="55">
        <v>32.0</v>
      </c>
      <c r="H65" s="55" t="s">
        <v>85</v>
      </c>
      <c r="I65" s="55" t="s">
        <v>86</v>
      </c>
      <c r="J65" s="56" t="s">
        <v>87</v>
      </c>
      <c r="K65" s="55" t="s">
        <v>320</v>
      </c>
      <c r="L65" s="55" t="s">
        <v>34</v>
      </c>
      <c r="M65" s="55" t="s">
        <v>89</v>
      </c>
      <c r="N65" s="55" t="s">
        <v>90</v>
      </c>
      <c r="O65" s="55"/>
      <c r="P65" s="55" t="s">
        <v>91</v>
      </c>
      <c r="Q65" s="55"/>
      <c r="R65" s="55" t="s">
        <v>27</v>
      </c>
      <c r="S65" s="55"/>
      <c r="T65" s="55"/>
      <c r="U65" s="55"/>
      <c r="V65" s="55"/>
      <c r="W65" s="55"/>
      <c r="X65" s="57" t="str">
        <f t="shared" si="2"/>
        <v>--058-26-04</v>
      </c>
      <c r="Y65" s="58" t="str">
        <f t="shared" ref="Y65:AC65" si="63">TRIM(SUBSTITUTE(SUBSTITUTE(OFFSET($Q65,0,COLUMN()-COLUMN($AL$1)),CHAR(160)," "),_xludf.UNICHAR(8239)," "))</f>
        <v>#NAME?</v>
      </c>
      <c r="Z65" s="58" t="str">
        <f t="shared" si="63"/>
        <v>#NAME?</v>
      </c>
      <c r="AA65" s="58" t="str">
        <f t="shared" si="63"/>
        <v>#NAME?</v>
      </c>
      <c r="AB65" s="58" t="str">
        <f t="shared" si="63"/>
        <v>#NAME?</v>
      </c>
      <c r="AC65" s="58" t="str">
        <f t="shared" si="63"/>
        <v>#NAME?</v>
      </c>
      <c r="AD65" s="57">
        <f t="shared" si="4"/>
        <v>1</v>
      </c>
      <c r="AE65" s="57" t="str">
        <f t="shared" si="5"/>
        <v>2026-04</v>
      </c>
      <c r="AF65" s="57">
        <f t="shared" si="6"/>
        <v>1</v>
      </c>
      <c r="AG65" s="59">
        <f t="shared" si="7"/>
        <v>1</v>
      </c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</row>
    <row r="66" ht="24.0" customHeight="1">
      <c r="A66" s="53">
        <v>59.0</v>
      </c>
      <c r="B66" s="54" t="s">
        <v>321</v>
      </c>
      <c r="C66" s="55" t="s">
        <v>82</v>
      </c>
      <c r="D66" s="55"/>
      <c r="E66" s="55" t="s">
        <v>322</v>
      </c>
      <c r="F66" s="55" t="s">
        <v>323</v>
      </c>
      <c r="G66" s="55">
        <v>27.0</v>
      </c>
      <c r="H66" s="55" t="s">
        <v>85</v>
      </c>
      <c r="I66" s="55" t="s">
        <v>86</v>
      </c>
      <c r="J66" s="56" t="s">
        <v>87</v>
      </c>
      <c r="K66" s="55" t="s">
        <v>324</v>
      </c>
      <c r="L66" s="55" t="s">
        <v>34</v>
      </c>
      <c r="M66" s="55" t="s">
        <v>89</v>
      </c>
      <c r="N66" s="55" t="s">
        <v>90</v>
      </c>
      <c r="O66" s="55"/>
      <c r="P66" s="55" t="s">
        <v>91</v>
      </c>
      <c r="Q66" s="55"/>
      <c r="R66" s="55" t="s">
        <v>36</v>
      </c>
      <c r="S66" s="55"/>
      <c r="T66" s="55"/>
      <c r="U66" s="55"/>
      <c r="V66" s="55"/>
      <c r="W66" s="55"/>
      <c r="X66" s="57" t="str">
        <f t="shared" si="2"/>
        <v>--059-26-04</v>
      </c>
      <c r="Y66" s="58" t="str">
        <f t="shared" ref="Y66:AC66" si="64">TRIM(SUBSTITUTE(SUBSTITUTE(OFFSET($Q66,0,COLUMN()-COLUMN($AL$1)),CHAR(160)," "),_xludf.UNICHAR(8239)," "))</f>
        <v>#NAME?</v>
      </c>
      <c r="Z66" s="58" t="str">
        <f t="shared" si="64"/>
        <v>#NAME?</v>
      </c>
      <c r="AA66" s="58" t="str">
        <f t="shared" si="64"/>
        <v>#NAME?</v>
      </c>
      <c r="AB66" s="58" t="str">
        <f t="shared" si="64"/>
        <v>#NAME?</v>
      </c>
      <c r="AC66" s="58" t="str">
        <f t="shared" si="64"/>
        <v>#NAME?</v>
      </c>
      <c r="AD66" s="57">
        <f t="shared" si="4"/>
        <v>1</v>
      </c>
      <c r="AE66" s="57" t="str">
        <f t="shared" si="5"/>
        <v>2026-04</v>
      </c>
      <c r="AF66" s="57">
        <f t="shared" si="6"/>
        <v>1</v>
      </c>
      <c r="AG66" s="59">
        <f t="shared" si="7"/>
        <v>1</v>
      </c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</row>
    <row r="67" ht="24.0" customHeight="1">
      <c r="A67" s="53">
        <v>60.0</v>
      </c>
      <c r="B67" s="54" t="s">
        <v>325</v>
      </c>
      <c r="C67" s="55" t="s">
        <v>82</v>
      </c>
      <c r="D67" s="55"/>
      <c r="E67" s="55" t="s">
        <v>326</v>
      </c>
      <c r="F67" s="55" t="s">
        <v>327</v>
      </c>
      <c r="G67" s="55">
        <v>1.0</v>
      </c>
      <c r="H67" s="55" t="s">
        <v>119</v>
      </c>
      <c r="I67" s="55" t="s">
        <v>112</v>
      </c>
      <c r="J67" s="56" t="s">
        <v>113</v>
      </c>
      <c r="K67" s="55" t="s">
        <v>328</v>
      </c>
      <c r="L67" s="55" t="s">
        <v>34</v>
      </c>
      <c r="M67" s="55" t="s">
        <v>115</v>
      </c>
      <c r="N67" s="55" t="s">
        <v>90</v>
      </c>
      <c r="O67" s="55"/>
      <c r="P67" s="55" t="s">
        <v>91</v>
      </c>
      <c r="Q67" s="55" t="s">
        <v>16</v>
      </c>
      <c r="R67" s="55"/>
      <c r="S67" s="55"/>
      <c r="T67" s="55"/>
      <c r="U67" s="55"/>
      <c r="V67" s="55"/>
      <c r="W67" s="55"/>
      <c r="X67" s="57" t="str">
        <f t="shared" si="2"/>
        <v>--060-26-04</v>
      </c>
      <c r="Y67" s="58" t="str">
        <f t="shared" ref="Y67:AC67" si="65">TRIM(SUBSTITUTE(SUBSTITUTE(OFFSET($Q67,0,COLUMN()-COLUMN($AL$1)),CHAR(160)," "),_xludf.UNICHAR(8239)," "))</f>
        <v>#NAME?</v>
      </c>
      <c r="Z67" s="58" t="str">
        <f t="shared" si="65"/>
        <v>#NAME?</v>
      </c>
      <c r="AA67" s="58" t="str">
        <f t="shared" si="65"/>
        <v>#NAME?</v>
      </c>
      <c r="AB67" s="58" t="str">
        <f t="shared" si="65"/>
        <v>#NAME?</v>
      </c>
      <c r="AC67" s="58" t="str">
        <f t="shared" si="65"/>
        <v>#NAME?</v>
      </c>
      <c r="AD67" s="57">
        <f t="shared" si="4"/>
        <v>1</v>
      </c>
      <c r="AE67" s="57" t="str">
        <f t="shared" si="5"/>
        <v>2026-04</v>
      </c>
      <c r="AF67" s="57">
        <f t="shared" si="6"/>
        <v>1</v>
      </c>
      <c r="AG67" s="59">
        <f t="shared" si="7"/>
        <v>1</v>
      </c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</row>
    <row r="68" ht="24.0" customHeight="1">
      <c r="A68" s="53">
        <v>61.0</v>
      </c>
      <c r="B68" s="54" t="s">
        <v>329</v>
      </c>
      <c r="C68" s="55" t="s">
        <v>82</v>
      </c>
      <c r="D68" s="55"/>
      <c r="E68" s="55" t="s">
        <v>330</v>
      </c>
      <c r="F68" s="55" t="s">
        <v>331</v>
      </c>
      <c r="G68" s="55">
        <v>15.0</v>
      </c>
      <c r="H68" s="55" t="s">
        <v>111</v>
      </c>
      <c r="I68" s="55" t="s">
        <v>86</v>
      </c>
      <c r="J68" s="56" t="s">
        <v>87</v>
      </c>
      <c r="K68" s="55" t="s">
        <v>332</v>
      </c>
      <c r="L68" s="55" t="s">
        <v>34</v>
      </c>
      <c r="M68" s="55" t="s">
        <v>133</v>
      </c>
      <c r="N68" s="55" t="s">
        <v>90</v>
      </c>
      <c r="O68" s="55"/>
      <c r="P68" s="55" t="s">
        <v>91</v>
      </c>
      <c r="Q68" s="55" t="s">
        <v>16</v>
      </c>
      <c r="R68" s="55"/>
      <c r="S68" s="55"/>
      <c r="T68" s="55"/>
      <c r="U68" s="55"/>
      <c r="V68" s="55"/>
      <c r="W68" s="55"/>
      <c r="X68" s="57" t="str">
        <f t="shared" si="2"/>
        <v>--061-26-04</v>
      </c>
      <c r="Y68" s="58" t="str">
        <f t="shared" ref="Y68:AC68" si="66">TRIM(SUBSTITUTE(SUBSTITUTE(OFFSET($Q68,0,COLUMN()-COLUMN($AL$1)),CHAR(160)," "),_xludf.UNICHAR(8239)," "))</f>
        <v>#NAME?</v>
      </c>
      <c r="Z68" s="58" t="str">
        <f t="shared" si="66"/>
        <v>#NAME?</v>
      </c>
      <c r="AA68" s="58" t="str">
        <f t="shared" si="66"/>
        <v>#NAME?</v>
      </c>
      <c r="AB68" s="58" t="str">
        <f t="shared" si="66"/>
        <v>#NAME?</v>
      </c>
      <c r="AC68" s="58" t="str">
        <f t="shared" si="66"/>
        <v>#NAME?</v>
      </c>
      <c r="AD68" s="57">
        <f t="shared" si="4"/>
        <v>1</v>
      </c>
      <c r="AE68" s="57" t="str">
        <f t="shared" si="5"/>
        <v>2026-04</v>
      </c>
      <c r="AF68" s="57">
        <f t="shared" si="6"/>
        <v>1</v>
      </c>
      <c r="AG68" s="59">
        <f t="shared" si="7"/>
        <v>1</v>
      </c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</row>
    <row r="69" ht="24.0" customHeight="1">
      <c r="A69" s="53">
        <v>62.0</v>
      </c>
      <c r="B69" s="54" t="s">
        <v>333</v>
      </c>
      <c r="C69" s="55" t="s">
        <v>82</v>
      </c>
      <c r="D69" s="55"/>
      <c r="E69" s="55" t="s">
        <v>334</v>
      </c>
      <c r="F69" s="55" t="s">
        <v>335</v>
      </c>
      <c r="G69" s="55">
        <v>50.0</v>
      </c>
      <c r="H69" s="55" t="s">
        <v>85</v>
      </c>
      <c r="I69" s="55" t="s">
        <v>86</v>
      </c>
      <c r="J69" s="56" t="s">
        <v>87</v>
      </c>
      <c r="K69" s="55" t="s">
        <v>336</v>
      </c>
      <c r="L69" s="55" t="s">
        <v>34</v>
      </c>
      <c r="M69" s="55" t="s">
        <v>89</v>
      </c>
      <c r="N69" s="55" t="s">
        <v>90</v>
      </c>
      <c r="O69" s="55"/>
      <c r="P69" s="55" t="s">
        <v>91</v>
      </c>
      <c r="Q69" s="55" t="s">
        <v>4</v>
      </c>
      <c r="R69" s="55"/>
      <c r="S69" s="55"/>
      <c r="T69" s="55"/>
      <c r="U69" s="55"/>
      <c r="V69" s="55"/>
      <c r="W69" s="55"/>
      <c r="X69" s="57" t="str">
        <f t="shared" si="2"/>
        <v>--062-26-04</v>
      </c>
      <c r="Y69" s="58" t="str">
        <f t="shared" ref="Y69:AC69" si="67">TRIM(SUBSTITUTE(SUBSTITUTE(OFFSET($Q69,0,COLUMN()-COLUMN($AL$1)),CHAR(160)," "),_xludf.UNICHAR(8239)," "))</f>
        <v>#NAME?</v>
      </c>
      <c r="Z69" s="58" t="str">
        <f t="shared" si="67"/>
        <v>#NAME?</v>
      </c>
      <c r="AA69" s="58" t="str">
        <f t="shared" si="67"/>
        <v>#NAME?</v>
      </c>
      <c r="AB69" s="58" t="str">
        <f t="shared" si="67"/>
        <v>#NAME?</v>
      </c>
      <c r="AC69" s="58" t="str">
        <f t="shared" si="67"/>
        <v>#NAME?</v>
      </c>
      <c r="AD69" s="57">
        <f t="shared" si="4"/>
        <v>1</v>
      </c>
      <c r="AE69" s="57" t="str">
        <f t="shared" si="5"/>
        <v>2026-04</v>
      </c>
      <c r="AF69" s="57">
        <f t="shared" si="6"/>
        <v>1</v>
      </c>
      <c r="AG69" s="59">
        <f t="shared" si="7"/>
        <v>1</v>
      </c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</row>
    <row r="70" ht="24.0" customHeight="1">
      <c r="A70" s="53">
        <v>63.0</v>
      </c>
      <c r="B70" s="54" t="s">
        <v>337</v>
      </c>
      <c r="C70" s="55" t="s">
        <v>82</v>
      </c>
      <c r="D70" s="55"/>
      <c r="E70" s="55" t="s">
        <v>338</v>
      </c>
      <c r="F70" s="55" t="s">
        <v>339</v>
      </c>
      <c r="G70" s="55">
        <v>38.0</v>
      </c>
      <c r="H70" s="55" t="s">
        <v>85</v>
      </c>
      <c r="I70" s="55" t="s">
        <v>86</v>
      </c>
      <c r="J70" s="56" t="s">
        <v>87</v>
      </c>
      <c r="K70" s="55" t="s">
        <v>340</v>
      </c>
      <c r="L70" s="55" t="s">
        <v>34</v>
      </c>
      <c r="M70" s="55" t="s">
        <v>89</v>
      </c>
      <c r="N70" s="55" t="s">
        <v>90</v>
      </c>
      <c r="O70" s="55"/>
      <c r="P70" s="55" t="s">
        <v>91</v>
      </c>
      <c r="Q70" s="55" t="s">
        <v>4</v>
      </c>
      <c r="R70" s="55"/>
      <c r="S70" s="55"/>
      <c r="T70" s="55"/>
      <c r="U70" s="55"/>
      <c r="V70" s="55"/>
      <c r="W70" s="55"/>
      <c r="X70" s="57" t="str">
        <f t="shared" si="2"/>
        <v>--063-26-04</v>
      </c>
      <c r="Y70" s="58" t="str">
        <f t="shared" ref="Y70:AC70" si="68">TRIM(SUBSTITUTE(SUBSTITUTE(OFFSET($Q70,0,COLUMN()-COLUMN($AL$1)),CHAR(160)," "),_xludf.UNICHAR(8239)," "))</f>
        <v>#NAME?</v>
      </c>
      <c r="Z70" s="58" t="str">
        <f t="shared" si="68"/>
        <v>#NAME?</v>
      </c>
      <c r="AA70" s="58" t="str">
        <f t="shared" si="68"/>
        <v>#NAME?</v>
      </c>
      <c r="AB70" s="58" t="str">
        <f t="shared" si="68"/>
        <v>#NAME?</v>
      </c>
      <c r="AC70" s="58" t="str">
        <f t="shared" si="68"/>
        <v>#NAME?</v>
      </c>
      <c r="AD70" s="57">
        <f t="shared" si="4"/>
        <v>1</v>
      </c>
      <c r="AE70" s="57" t="str">
        <f t="shared" si="5"/>
        <v>2026-04</v>
      </c>
      <c r="AF70" s="57">
        <f t="shared" si="6"/>
        <v>1</v>
      </c>
      <c r="AG70" s="59">
        <f t="shared" si="7"/>
        <v>1</v>
      </c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</row>
    <row r="71" ht="24.0" customHeight="1">
      <c r="A71" s="53">
        <v>64.0</v>
      </c>
      <c r="B71" s="54" t="s">
        <v>341</v>
      </c>
      <c r="C71" s="55" t="s">
        <v>82</v>
      </c>
      <c r="D71" s="55"/>
      <c r="E71" s="55" t="s">
        <v>342</v>
      </c>
      <c r="F71" s="55" t="s">
        <v>343</v>
      </c>
      <c r="G71" s="55">
        <v>13.0</v>
      </c>
      <c r="H71" s="55" t="s">
        <v>111</v>
      </c>
      <c r="I71" s="55" t="s">
        <v>86</v>
      </c>
      <c r="J71" s="56" t="s">
        <v>87</v>
      </c>
      <c r="K71" s="55" t="s">
        <v>344</v>
      </c>
      <c r="L71" s="55" t="s">
        <v>34</v>
      </c>
      <c r="M71" s="55" t="s">
        <v>133</v>
      </c>
      <c r="N71" s="55" t="s">
        <v>90</v>
      </c>
      <c r="O71" s="55"/>
      <c r="P71" s="55" t="s">
        <v>91</v>
      </c>
      <c r="Q71" s="55" t="s">
        <v>16</v>
      </c>
      <c r="R71" s="55"/>
      <c r="S71" s="55"/>
      <c r="T71" s="55"/>
      <c r="U71" s="55"/>
      <c r="V71" s="55"/>
      <c r="W71" s="55"/>
      <c r="X71" s="57" t="str">
        <f t="shared" si="2"/>
        <v>--064-26-04</v>
      </c>
      <c r="Y71" s="58" t="str">
        <f t="shared" ref="Y71:AC71" si="69">TRIM(SUBSTITUTE(SUBSTITUTE(OFFSET($Q71,0,COLUMN()-COLUMN($AL$1)),CHAR(160)," "),_xludf.UNICHAR(8239)," "))</f>
        <v>#NAME?</v>
      </c>
      <c r="Z71" s="58" t="str">
        <f t="shared" si="69"/>
        <v>#NAME?</v>
      </c>
      <c r="AA71" s="58" t="str">
        <f t="shared" si="69"/>
        <v>#NAME?</v>
      </c>
      <c r="AB71" s="58" t="str">
        <f t="shared" si="69"/>
        <v>#NAME?</v>
      </c>
      <c r="AC71" s="58" t="str">
        <f t="shared" si="69"/>
        <v>#NAME?</v>
      </c>
      <c r="AD71" s="57">
        <f t="shared" si="4"/>
        <v>1</v>
      </c>
      <c r="AE71" s="57" t="str">
        <f t="shared" si="5"/>
        <v>2026-04</v>
      </c>
      <c r="AF71" s="57">
        <f t="shared" si="6"/>
        <v>1</v>
      </c>
      <c r="AG71" s="59">
        <f t="shared" si="7"/>
        <v>1</v>
      </c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</row>
    <row r="72" ht="24.0" customHeight="1">
      <c r="A72" s="53">
        <v>65.0</v>
      </c>
      <c r="B72" s="54" t="s">
        <v>345</v>
      </c>
      <c r="C72" s="55" t="s">
        <v>82</v>
      </c>
      <c r="D72" s="55"/>
      <c r="E72" s="55" t="s">
        <v>346</v>
      </c>
      <c r="F72" s="55" t="s">
        <v>347</v>
      </c>
      <c r="G72" s="55">
        <v>43.0</v>
      </c>
      <c r="H72" s="55" t="s">
        <v>85</v>
      </c>
      <c r="I72" s="55" t="s">
        <v>112</v>
      </c>
      <c r="J72" s="56" t="s">
        <v>113</v>
      </c>
      <c r="K72" s="55" t="s">
        <v>348</v>
      </c>
      <c r="L72" s="55" t="s">
        <v>34</v>
      </c>
      <c r="M72" s="55" t="s">
        <v>89</v>
      </c>
      <c r="N72" s="55" t="s">
        <v>90</v>
      </c>
      <c r="O72" s="55"/>
      <c r="P72" s="55" t="s">
        <v>91</v>
      </c>
      <c r="Q72" s="55" t="s">
        <v>16</v>
      </c>
      <c r="R72" s="55"/>
      <c r="S72" s="55"/>
      <c r="T72" s="55"/>
      <c r="U72" s="55"/>
      <c r="V72" s="55"/>
      <c r="W72" s="55"/>
      <c r="X72" s="57" t="str">
        <f t="shared" si="2"/>
        <v>--065-26-04</v>
      </c>
      <c r="Y72" s="58" t="str">
        <f t="shared" ref="Y72:AC72" si="70">TRIM(SUBSTITUTE(SUBSTITUTE(OFFSET($Q72,0,COLUMN()-COLUMN($AL$1)),CHAR(160)," "),_xludf.UNICHAR(8239)," "))</f>
        <v>#NAME?</v>
      </c>
      <c r="Z72" s="58" t="str">
        <f t="shared" si="70"/>
        <v>#NAME?</v>
      </c>
      <c r="AA72" s="58" t="str">
        <f t="shared" si="70"/>
        <v>#NAME?</v>
      </c>
      <c r="AB72" s="58" t="str">
        <f t="shared" si="70"/>
        <v>#NAME?</v>
      </c>
      <c r="AC72" s="58" t="str">
        <f t="shared" si="70"/>
        <v>#NAME?</v>
      </c>
      <c r="AD72" s="57">
        <f t="shared" si="4"/>
        <v>1</v>
      </c>
      <c r="AE72" s="57" t="str">
        <f t="shared" si="5"/>
        <v>2026-04</v>
      </c>
      <c r="AF72" s="57">
        <f t="shared" si="6"/>
        <v>1</v>
      </c>
      <c r="AG72" s="59">
        <f t="shared" si="7"/>
        <v>1</v>
      </c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</row>
    <row r="73" ht="24.0" customHeight="1">
      <c r="A73" s="53">
        <v>66.0</v>
      </c>
      <c r="B73" s="54" t="s">
        <v>349</v>
      </c>
      <c r="C73" s="55" t="s">
        <v>82</v>
      </c>
      <c r="D73" s="55"/>
      <c r="E73" s="55" t="s">
        <v>350</v>
      </c>
      <c r="F73" s="55" t="s">
        <v>351</v>
      </c>
      <c r="G73" s="55">
        <v>33.0</v>
      </c>
      <c r="H73" s="55" t="s">
        <v>85</v>
      </c>
      <c r="I73" s="55" t="s">
        <v>86</v>
      </c>
      <c r="J73" s="56" t="s">
        <v>87</v>
      </c>
      <c r="K73" s="55" t="s">
        <v>352</v>
      </c>
      <c r="L73" s="55" t="s">
        <v>34</v>
      </c>
      <c r="M73" s="55" t="s">
        <v>89</v>
      </c>
      <c r="N73" s="55" t="s">
        <v>90</v>
      </c>
      <c r="O73" s="55"/>
      <c r="P73" s="55" t="s">
        <v>91</v>
      </c>
      <c r="Q73" s="55" t="s">
        <v>4</v>
      </c>
      <c r="R73" s="55"/>
      <c r="S73" s="55" t="s">
        <v>6</v>
      </c>
      <c r="T73" s="55"/>
      <c r="U73" s="55"/>
      <c r="V73" s="55"/>
      <c r="W73" s="55"/>
      <c r="X73" s="57" t="str">
        <f t="shared" si="2"/>
        <v>--066-26-04</v>
      </c>
      <c r="Y73" s="58" t="str">
        <f t="shared" ref="Y73:AC73" si="71">TRIM(SUBSTITUTE(SUBSTITUTE(OFFSET($Q73,0,COLUMN()-COLUMN($AL$1)),CHAR(160)," "),_xludf.UNICHAR(8239)," "))</f>
        <v>#NAME?</v>
      </c>
      <c r="Z73" s="58" t="str">
        <f t="shared" si="71"/>
        <v>#NAME?</v>
      </c>
      <c r="AA73" s="58" t="str">
        <f t="shared" si="71"/>
        <v>#NAME?</v>
      </c>
      <c r="AB73" s="58" t="str">
        <f t="shared" si="71"/>
        <v>#NAME?</v>
      </c>
      <c r="AC73" s="58" t="str">
        <f t="shared" si="71"/>
        <v>#NAME?</v>
      </c>
      <c r="AD73" s="57">
        <f t="shared" si="4"/>
        <v>1</v>
      </c>
      <c r="AE73" s="57" t="str">
        <f t="shared" si="5"/>
        <v>2026-04</v>
      </c>
      <c r="AF73" s="57">
        <f t="shared" si="6"/>
        <v>1</v>
      </c>
      <c r="AG73" s="59">
        <f t="shared" si="7"/>
        <v>1</v>
      </c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</row>
    <row r="74" ht="24.0" customHeight="1">
      <c r="A74" s="53">
        <v>67.0</v>
      </c>
      <c r="B74" s="54" t="s">
        <v>353</v>
      </c>
      <c r="C74" s="55" t="s">
        <v>82</v>
      </c>
      <c r="D74" s="55"/>
      <c r="E74" s="55" t="s">
        <v>354</v>
      </c>
      <c r="F74" s="55" t="s">
        <v>355</v>
      </c>
      <c r="G74" s="55">
        <v>48.0</v>
      </c>
      <c r="H74" s="55" t="s">
        <v>85</v>
      </c>
      <c r="I74" s="55" t="s">
        <v>112</v>
      </c>
      <c r="J74" s="56" t="s">
        <v>113</v>
      </c>
      <c r="K74" s="55" t="s">
        <v>356</v>
      </c>
      <c r="L74" s="55" t="s">
        <v>34</v>
      </c>
      <c r="M74" s="55" t="s">
        <v>89</v>
      </c>
      <c r="N74" s="55" t="s">
        <v>90</v>
      </c>
      <c r="O74" s="55"/>
      <c r="P74" s="55" t="s">
        <v>91</v>
      </c>
      <c r="Q74" s="55" t="s">
        <v>16</v>
      </c>
      <c r="R74" s="55"/>
      <c r="S74" s="55"/>
      <c r="T74" s="55"/>
      <c r="U74" s="55"/>
      <c r="V74" s="55"/>
      <c r="W74" s="55"/>
      <c r="X74" s="57" t="str">
        <f t="shared" si="2"/>
        <v>--067-26-04</v>
      </c>
      <c r="Y74" s="58" t="str">
        <f t="shared" ref="Y74:AC74" si="72">TRIM(SUBSTITUTE(SUBSTITUTE(OFFSET($Q74,0,COLUMN()-COLUMN($AL$1)),CHAR(160)," "),_xludf.UNICHAR(8239)," "))</f>
        <v>#NAME?</v>
      </c>
      <c r="Z74" s="58" t="str">
        <f t="shared" si="72"/>
        <v>#NAME?</v>
      </c>
      <c r="AA74" s="58" t="str">
        <f t="shared" si="72"/>
        <v>#NAME?</v>
      </c>
      <c r="AB74" s="58" t="str">
        <f t="shared" si="72"/>
        <v>#NAME?</v>
      </c>
      <c r="AC74" s="58" t="str">
        <f t="shared" si="72"/>
        <v>#NAME?</v>
      </c>
      <c r="AD74" s="57">
        <f t="shared" si="4"/>
        <v>1</v>
      </c>
      <c r="AE74" s="57" t="str">
        <f t="shared" si="5"/>
        <v>2026-04</v>
      </c>
      <c r="AF74" s="57">
        <f t="shared" si="6"/>
        <v>1</v>
      </c>
      <c r="AG74" s="59">
        <f t="shared" si="7"/>
        <v>1</v>
      </c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</row>
    <row r="75" ht="24.0" customHeight="1">
      <c r="A75" s="53">
        <v>68.0</v>
      </c>
      <c r="B75" s="54" t="s">
        <v>357</v>
      </c>
      <c r="C75" s="55" t="s">
        <v>82</v>
      </c>
      <c r="D75" s="55"/>
      <c r="E75" s="55" t="s">
        <v>358</v>
      </c>
      <c r="F75" s="55" t="s">
        <v>359</v>
      </c>
      <c r="G75" s="55">
        <v>25.0</v>
      </c>
      <c r="H75" s="55" t="s">
        <v>85</v>
      </c>
      <c r="I75" s="55" t="s">
        <v>86</v>
      </c>
      <c r="J75" s="56" t="s">
        <v>87</v>
      </c>
      <c r="K75" s="55" t="s">
        <v>360</v>
      </c>
      <c r="L75" s="55" t="s">
        <v>34</v>
      </c>
      <c r="M75" s="55" t="s">
        <v>89</v>
      </c>
      <c r="N75" s="55" t="s">
        <v>90</v>
      </c>
      <c r="O75" s="55"/>
      <c r="P75" s="55" t="s">
        <v>91</v>
      </c>
      <c r="Q75" s="55" t="s">
        <v>16</v>
      </c>
      <c r="R75" s="55"/>
      <c r="S75" s="55"/>
      <c r="T75" s="55"/>
      <c r="U75" s="55"/>
      <c r="V75" s="55"/>
      <c r="W75" s="55"/>
      <c r="X75" s="57" t="str">
        <f t="shared" si="2"/>
        <v>--068-26-04</v>
      </c>
      <c r="Y75" s="58" t="str">
        <f t="shared" ref="Y75:AC75" si="73">TRIM(SUBSTITUTE(SUBSTITUTE(OFFSET($Q75,0,COLUMN()-COLUMN($AL$1)),CHAR(160)," "),_xludf.UNICHAR(8239)," "))</f>
        <v>#NAME?</v>
      </c>
      <c r="Z75" s="58" t="str">
        <f t="shared" si="73"/>
        <v>#NAME?</v>
      </c>
      <c r="AA75" s="58" t="str">
        <f t="shared" si="73"/>
        <v>#NAME?</v>
      </c>
      <c r="AB75" s="58" t="str">
        <f t="shared" si="73"/>
        <v>#NAME?</v>
      </c>
      <c r="AC75" s="58" t="str">
        <f t="shared" si="73"/>
        <v>#NAME?</v>
      </c>
      <c r="AD75" s="57">
        <f t="shared" si="4"/>
        <v>1</v>
      </c>
      <c r="AE75" s="57" t="str">
        <f t="shared" si="5"/>
        <v>2026-04</v>
      </c>
      <c r="AF75" s="57">
        <f t="shared" si="6"/>
        <v>1</v>
      </c>
      <c r="AG75" s="59">
        <f t="shared" si="7"/>
        <v>1</v>
      </c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</row>
    <row r="76" ht="24.0" customHeight="1">
      <c r="A76" s="53">
        <v>69.0</v>
      </c>
      <c r="B76" s="54" t="s">
        <v>361</v>
      </c>
      <c r="C76" s="55" t="s">
        <v>82</v>
      </c>
      <c r="D76" s="55"/>
      <c r="E76" s="55" t="s">
        <v>362</v>
      </c>
      <c r="F76" s="55" t="s">
        <v>363</v>
      </c>
      <c r="G76" s="55">
        <v>8.0</v>
      </c>
      <c r="H76" s="55" t="s">
        <v>111</v>
      </c>
      <c r="I76" s="55" t="s">
        <v>86</v>
      </c>
      <c r="J76" s="56" t="s">
        <v>87</v>
      </c>
      <c r="K76" s="55" t="s">
        <v>360</v>
      </c>
      <c r="L76" s="55" t="s">
        <v>34</v>
      </c>
      <c r="M76" s="55" t="s">
        <v>115</v>
      </c>
      <c r="N76" s="55" t="s">
        <v>90</v>
      </c>
      <c r="O76" s="55"/>
      <c r="P76" s="55" t="s">
        <v>91</v>
      </c>
      <c r="Q76" s="55" t="s">
        <v>16</v>
      </c>
      <c r="R76" s="55"/>
      <c r="S76" s="55"/>
      <c r="T76" s="55"/>
      <c r="U76" s="55"/>
      <c r="V76" s="55"/>
      <c r="W76" s="55"/>
      <c r="X76" s="57" t="str">
        <f t="shared" si="2"/>
        <v>--069-26-04</v>
      </c>
      <c r="Y76" s="58" t="str">
        <f t="shared" ref="Y76:AC76" si="74">TRIM(SUBSTITUTE(SUBSTITUTE(OFFSET($Q76,0,COLUMN()-COLUMN($AL$1)),CHAR(160)," "),_xludf.UNICHAR(8239)," "))</f>
        <v>#NAME?</v>
      </c>
      <c r="Z76" s="58" t="str">
        <f t="shared" si="74"/>
        <v>#NAME?</v>
      </c>
      <c r="AA76" s="58" t="str">
        <f t="shared" si="74"/>
        <v>#NAME?</v>
      </c>
      <c r="AB76" s="58" t="str">
        <f t="shared" si="74"/>
        <v>#NAME?</v>
      </c>
      <c r="AC76" s="58" t="str">
        <f t="shared" si="74"/>
        <v>#NAME?</v>
      </c>
      <c r="AD76" s="57">
        <f t="shared" si="4"/>
        <v>1</v>
      </c>
      <c r="AE76" s="57" t="str">
        <f t="shared" si="5"/>
        <v>2026-04</v>
      </c>
      <c r="AF76" s="57">
        <f t="shared" si="6"/>
        <v>1</v>
      </c>
      <c r="AG76" s="59">
        <f t="shared" si="7"/>
        <v>1</v>
      </c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</row>
    <row r="77" ht="24.0" customHeight="1">
      <c r="A77" s="53">
        <v>70.0</v>
      </c>
      <c r="B77" s="54" t="s">
        <v>364</v>
      </c>
      <c r="C77" s="55" t="s">
        <v>82</v>
      </c>
      <c r="D77" s="55"/>
      <c r="E77" s="55" t="s">
        <v>365</v>
      </c>
      <c r="F77" s="55" t="s">
        <v>366</v>
      </c>
      <c r="G77" s="55">
        <v>56.0</v>
      </c>
      <c r="H77" s="55" t="s">
        <v>85</v>
      </c>
      <c r="I77" s="55" t="s">
        <v>86</v>
      </c>
      <c r="J77" s="56" t="s">
        <v>87</v>
      </c>
      <c r="K77" s="55" t="s">
        <v>367</v>
      </c>
      <c r="L77" s="55" t="s">
        <v>34</v>
      </c>
      <c r="M77" s="55" t="s">
        <v>89</v>
      </c>
      <c r="N77" s="55" t="s">
        <v>90</v>
      </c>
      <c r="O77" s="55"/>
      <c r="P77" s="55" t="s">
        <v>91</v>
      </c>
      <c r="Q77" s="55" t="s">
        <v>4</v>
      </c>
      <c r="R77" s="55"/>
      <c r="S77" s="55"/>
      <c r="T77" s="55"/>
      <c r="U77" s="55"/>
      <c r="V77" s="55"/>
      <c r="W77" s="55"/>
      <c r="X77" s="57" t="str">
        <f t="shared" si="2"/>
        <v>--070-26-04</v>
      </c>
      <c r="Y77" s="58" t="str">
        <f t="shared" ref="Y77:AC77" si="75">TRIM(SUBSTITUTE(SUBSTITUTE(OFFSET($Q77,0,COLUMN()-COLUMN($AL$1)),CHAR(160)," "),_xludf.UNICHAR(8239)," "))</f>
        <v>#NAME?</v>
      </c>
      <c r="Z77" s="58" t="str">
        <f t="shared" si="75"/>
        <v>#NAME?</v>
      </c>
      <c r="AA77" s="58" t="str">
        <f t="shared" si="75"/>
        <v>#NAME?</v>
      </c>
      <c r="AB77" s="58" t="str">
        <f t="shared" si="75"/>
        <v>#NAME?</v>
      </c>
      <c r="AC77" s="58" t="str">
        <f t="shared" si="75"/>
        <v>#NAME?</v>
      </c>
      <c r="AD77" s="57">
        <f t="shared" si="4"/>
        <v>1</v>
      </c>
      <c r="AE77" s="57" t="str">
        <f t="shared" si="5"/>
        <v>2026-04</v>
      </c>
      <c r="AF77" s="57">
        <f t="shared" si="6"/>
        <v>1</v>
      </c>
      <c r="AG77" s="59">
        <f t="shared" si="7"/>
        <v>1</v>
      </c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</row>
    <row r="78" ht="24.0" customHeight="1">
      <c r="A78" s="53">
        <v>71.0</v>
      </c>
      <c r="B78" s="54" t="s">
        <v>368</v>
      </c>
      <c r="C78" s="55" t="s">
        <v>82</v>
      </c>
      <c r="D78" s="55"/>
      <c r="E78" s="55" t="s">
        <v>369</v>
      </c>
      <c r="F78" s="55" t="s">
        <v>370</v>
      </c>
      <c r="G78" s="55">
        <v>18.0</v>
      </c>
      <c r="H78" s="55" t="s">
        <v>111</v>
      </c>
      <c r="I78" s="55" t="s">
        <v>86</v>
      </c>
      <c r="J78" s="56" t="s">
        <v>87</v>
      </c>
      <c r="K78" s="55" t="s">
        <v>371</v>
      </c>
      <c r="L78" s="55" t="s">
        <v>34</v>
      </c>
      <c r="M78" s="55" t="s">
        <v>89</v>
      </c>
      <c r="N78" s="55" t="s">
        <v>90</v>
      </c>
      <c r="O78" s="55"/>
      <c r="P78" s="55" t="s">
        <v>91</v>
      </c>
      <c r="Q78" s="55"/>
      <c r="R78" s="55" t="s">
        <v>5</v>
      </c>
      <c r="S78" s="55"/>
      <c r="T78" s="55"/>
      <c r="U78" s="55" t="s">
        <v>7</v>
      </c>
      <c r="V78" s="55"/>
      <c r="W78" s="55"/>
      <c r="X78" s="57" t="str">
        <f t="shared" si="2"/>
        <v>--071-26-04</v>
      </c>
      <c r="Y78" s="58" t="str">
        <f t="shared" ref="Y78:AC78" si="76">TRIM(SUBSTITUTE(SUBSTITUTE(OFFSET($Q78,0,COLUMN()-COLUMN($AL$1)),CHAR(160)," "),_xludf.UNICHAR(8239)," "))</f>
        <v>#NAME?</v>
      </c>
      <c r="Z78" s="58" t="str">
        <f t="shared" si="76"/>
        <v>#NAME?</v>
      </c>
      <c r="AA78" s="58" t="str">
        <f t="shared" si="76"/>
        <v>#NAME?</v>
      </c>
      <c r="AB78" s="58" t="str">
        <f t="shared" si="76"/>
        <v>#NAME?</v>
      </c>
      <c r="AC78" s="58" t="str">
        <f t="shared" si="76"/>
        <v>#NAME?</v>
      </c>
      <c r="AD78" s="57">
        <f t="shared" si="4"/>
        <v>1</v>
      </c>
      <c r="AE78" s="57" t="str">
        <f t="shared" si="5"/>
        <v>2026-04</v>
      </c>
      <c r="AF78" s="57">
        <f t="shared" si="6"/>
        <v>1</v>
      </c>
      <c r="AG78" s="59">
        <f t="shared" si="7"/>
        <v>1</v>
      </c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</row>
    <row r="79" ht="24.0" customHeight="1">
      <c r="A79" s="53">
        <v>72.0</v>
      </c>
      <c r="B79" s="54" t="s">
        <v>372</v>
      </c>
      <c r="C79" s="55" t="s">
        <v>82</v>
      </c>
      <c r="D79" s="55"/>
      <c r="E79" s="55" t="s">
        <v>373</v>
      </c>
      <c r="F79" s="55" t="s">
        <v>374</v>
      </c>
      <c r="G79" s="55">
        <v>21.0</v>
      </c>
      <c r="H79" s="55" t="s">
        <v>85</v>
      </c>
      <c r="I79" s="55" t="s">
        <v>86</v>
      </c>
      <c r="J79" s="56" t="s">
        <v>87</v>
      </c>
      <c r="K79" s="55" t="s">
        <v>375</v>
      </c>
      <c r="L79" s="55" t="s">
        <v>34</v>
      </c>
      <c r="M79" s="55" t="s">
        <v>133</v>
      </c>
      <c r="N79" s="55" t="s">
        <v>90</v>
      </c>
      <c r="O79" s="55"/>
      <c r="P79" s="55" t="s">
        <v>91</v>
      </c>
      <c r="Q79" s="55"/>
      <c r="R79" s="55" t="s">
        <v>36</v>
      </c>
      <c r="S79" s="55"/>
      <c r="T79" s="55"/>
      <c r="U79" s="55"/>
      <c r="V79" s="55"/>
      <c r="W79" s="55"/>
      <c r="X79" s="57" t="str">
        <f t="shared" si="2"/>
        <v>--072-26-04</v>
      </c>
      <c r="Y79" s="58" t="str">
        <f t="shared" ref="Y79:AC79" si="77">TRIM(SUBSTITUTE(SUBSTITUTE(OFFSET($Q79,0,COLUMN()-COLUMN($AL$1)),CHAR(160)," "),_xludf.UNICHAR(8239)," "))</f>
        <v>#NAME?</v>
      </c>
      <c r="Z79" s="58" t="str">
        <f t="shared" si="77"/>
        <v>#NAME?</v>
      </c>
      <c r="AA79" s="58" t="str">
        <f t="shared" si="77"/>
        <v>#NAME?</v>
      </c>
      <c r="AB79" s="58" t="str">
        <f t="shared" si="77"/>
        <v>#NAME?</v>
      </c>
      <c r="AC79" s="58" t="str">
        <f t="shared" si="77"/>
        <v>#NAME?</v>
      </c>
      <c r="AD79" s="57">
        <f t="shared" si="4"/>
        <v>1</v>
      </c>
      <c r="AE79" s="57" t="str">
        <f t="shared" si="5"/>
        <v>2026-04</v>
      </c>
      <c r="AF79" s="57">
        <f t="shared" si="6"/>
        <v>1</v>
      </c>
      <c r="AG79" s="59">
        <f t="shared" si="7"/>
        <v>1</v>
      </c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</row>
    <row r="80" ht="24.0" customHeight="1">
      <c r="A80" s="53">
        <v>73.0</v>
      </c>
      <c r="B80" s="54" t="s">
        <v>376</v>
      </c>
      <c r="C80" s="55" t="s">
        <v>82</v>
      </c>
      <c r="D80" s="55"/>
      <c r="E80" s="55" t="s">
        <v>377</v>
      </c>
      <c r="F80" s="55" t="s">
        <v>378</v>
      </c>
      <c r="G80" s="55">
        <v>4.0</v>
      </c>
      <c r="H80" s="55" t="s">
        <v>119</v>
      </c>
      <c r="I80" s="55" t="s">
        <v>112</v>
      </c>
      <c r="J80" s="56" t="s">
        <v>113</v>
      </c>
      <c r="K80" s="55" t="s">
        <v>379</v>
      </c>
      <c r="L80" s="55" t="s">
        <v>34</v>
      </c>
      <c r="M80" s="55" t="s">
        <v>115</v>
      </c>
      <c r="N80" s="55" t="s">
        <v>90</v>
      </c>
      <c r="O80" s="55"/>
      <c r="P80" s="55" t="s">
        <v>91</v>
      </c>
      <c r="Q80" s="55" t="s">
        <v>16</v>
      </c>
      <c r="R80" s="55"/>
      <c r="S80" s="55"/>
      <c r="T80" s="55"/>
      <c r="U80" s="55"/>
      <c r="V80" s="55"/>
      <c r="W80" s="55"/>
      <c r="X80" s="57" t="str">
        <f t="shared" si="2"/>
        <v>--073-26-04</v>
      </c>
      <c r="Y80" s="58" t="str">
        <f t="shared" ref="Y80:AC80" si="78">TRIM(SUBSTITUTE(SUBSTITUTE(OFFSET($Q80,0,COLUMN()-COLUMN($AL$1)),CHAR(160)," "),_xludf.UNICHAR(8239)," "))</f>
        <v>#NAME?</v>
      </c>
      <c r="Z80" s="58" t="str">
        <f t="shared" si="78"/>
        <v>#NAME?</v>
      </c>
      <c r="AA80" s="58" t="str">
        <f t="shared" si="78"/>
        <v>#NAME?</v>
      </c>
      <c r="AB80" s="58" t="str">
        <f t="shared" si="78"/>
        <v>#NAME?</v>
      </c>
      <c r="AC80" s="58" t="str">
        <f t="shared" si="78"/>
        <v>#NAME?</v>
      </c>
      <c r="AD80" s="57">
        <f t="shared" si="4"/>
        <v>1</v>
      </c>
      <c r="AE80" s="57" t="str">
        <f t="shared" si="5"/>
        <v>2026-04</v>
      </c>
      <c r="AF80" s="57">
        <f t="shared" si="6"/>
        <v>1</v>
      </c>
      <c r="AG80" s="59">
        <f t="shared" si="7"/>
        <v>1</v>
      </c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</row>
    <row r="81" ht="24.0" customHeight="1">
      <c r="A81" s="53">
        <v>74.0</v>
      </c>
      <c r="B81" s="54" t="s">
        <v>380</v>
      </c>
      <c r="C81" s="55" t="s">
        <v>82</v>
      </c>
      <c r="D81" s="55"/>
      <c r="E81" s="55" t="s">
        <v>381</v>
      </c>
      <c r="F81" s="55" t="s">
        <v>382</v>
      </c>
      <c r="G81" s="55">
        <v>1.0</v>
      </c>
      <c r="H81" s="55" t="s">
        <v>119</v>
      </c>
      <c r="I81" s="55" t="s">
        <v>86</v>
      </c>
      <c r="J81" s="56" t="s">
        <v>87</v>
      </c>
      <c r="K81" s="55" t="s">
        <v>383</v>
      </c>
      <c r="L81" s="55" t="s">
        <v>34</v>
      </c>
      <c r="M81" s="55" t="s">
        <v>115</v>
      </c>
      <c r="N81" s="55" t="s">
        <v>90</v>
      </c>
      <c r="O81" s="55"/>
      <c r="P81" s="55" t="s">
        <v>91</v>
      </c>
      <c r="Q81" s="55" t="s">
        <v>16</v>
      </c>
      <c r="R81" s="55"/>
      <c r="S81" s="55"/>
      <c r="T81" s="55"/>
      <c r="U81" s="55"/>
      <c r="V81" s="55"/>
      <c r="W81" s="55"/>
      <c r="X81" s="57" t="str">
        <f t="shared" si="2"/>
        <v>--074-26-04</v>
      </c>
      <c r="Y81" s="58" t="str">
        <f t="shared" ref="Y81:AC81" si="79">TRIM(SUBSTITUTE(SUBSTITUTE(OFFSET($Q81,0,COLUMN()-COLUMN($AL$1)),CHAR(160)," "),_xludf.UNICHAR(8239)," "))</f>
        <v>#NAME?</v>
      </c>
      <c r="Z81" s="58" t="str">
        <f t="shared" si="79"/>
        <v>#NAME?</v>
      </c>
      <c r="AA81" s="58" t="str">
        <f t="shared" si="79"/>
        <v>#NAME?</v>
      </c>
      <c r="AB81" s="58" t="str">
        <f t="shared" si="79"/>
        <v>#NAME?</v>
      </c>
      <c r="AC81" s="58" t="str">
        <f t="shared" si="79"/>
        <v>#NAME?</v>
      </c>
      <c r="AD81" s="57">
        <f t="shared" si="4"/>
        <v>1</v>
      </c>
      <c r="AE81" s="57" t="str">
        <f t="shared" si="5"/>
        <v>2026-04</v>
      </c>
      <c r="AF81" s="57">
        <f t="shared" si="6"/>
        <v>1</v>
      </c>
      <c r="AG81" s="59">
        <f t="shared" si="7"/>
        <v>1</v>
      </c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</row>
    <row r="82" ht="24.0" customHeight="1">
      <c r="A82" s="53">
        <v>75.0</v>
      </c>
      <c r="B82" s="54" t="s">
        <v>384</v>
      </c>
      <c r="C82" s="55" t="s">
        <v>82</v>
      </c>
      <c r="D82" s="55"/>
      <c r="E82" s="55" t="s">
        <v>385</v>
      </c>
      <c r="F82" s="55" t="s">
        <v>386</v>
      </c>
      <c r="G82" s="55">
        <v>2.0</v>
      </c>
      <c r="H82" s="55" t="s">
        <v>119</v>
      </c>
      <c r="I82" s="55" t="s">
        <v>86</v>
      </c>
      <c r="J82" s="56" t="s">
        <v>87</v>
      </c>
      <c r="K82" s="55" t="s">
        <v>383</v>
      </c>
      <c r="L82" s="55" t="s">
        <v>34</v>
      </c>
      <c r="M82" s="55" t="s">
        <v>115</v>
      </c>
      <c r="N82" s="55" t="s">
        <v>90</v>
      </c>
      <c r="O82" s="55"/>
      <c r="P82" s="55" t="s">
        <v>91</v>
      </c>
      <c r="Q82" s="55" t="s">
        <v>16</v>
      </c>
      <c r="R82" s="55"/>
      <c r="S82" s="55"/>
      <c r="T82" s="55"/>
      <c r="U82" s="55"/>
      <c r="V82" s="55"/>
      <c r="W82" s="55"/>
      <c r="X82" s="57" t="str">
        <f t="shared" si="2"/>
        <v>--075-26-04</v>
      </c>
      <c r="Y82" s="58" t="str">
        <f t="shared" ref="Y82:AC82" si="80">TRIM(SUBSTITUTE(SUBSTITUTE(OFFSET($Q82,0,COLUMN()-COLUMN($AL$1)),CHAR(160)," "),_xludf.UNICHAR(8239)," "))</f>
        <v>#NAME?</v>
      </c>
      <c r="Z82" s="58" t="str">
        <f t="shared" si="80"/>
        <v>#NAME?</v>
      </c>
      <c r="AA82" s="58" t="str">
        <f t="shared" si="80"/>
        <v>#NAME?</v>
      </c>
      <c r="AB82" s="58" t="str">
        <f t="shared" si="80"/>
        <v>#NAME?</v>
      </c>
      <c r="AC82" s="58" t="str">
        <f t="shared" si="80"/>
        <v>#NAME?</v>
      </c>
      <c r="AD82" s="57">
        <f t="shared" si="4"/>
        <v>1</v>
      </c>
      <c r="AE82" s="57" t="str">
        <f t="shared" si="5"/>
        <v>2026-04</v>
      </c>
      <c r="AF82" s="57">
        <f t="shared" si="6"/>
        <v>1</v>
      </c>
      <c r="AG82" s="59">
        <f t="shared" si="7"/>
        <v>1</v>
      </c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</row>
    <row r="83" ht="24.0" customHeight="1">
      <c r="A83" s="53">
        <v>76.0</v>
      </c>
      <c r="B83" s="54" t="s">
        <v>387</v>
      </c>
      <c r="C83" s="55" t="s">
        <v>82</v>
      </c>
      <c r="D83" s="55"/>
      <c r="E83" s="55" t="s">
        <v>388</v>
      </c>
      <c r="F83" s="55" t="s">
        <v>389</v>
      </c>
      <c r="G83" s="55">
        <v>39.0</v>
      </c>
      <c r="H83" s="55" t="s">
        <v>85</v>
      </c>
      <c r="I83" s="55" t="s">
        <v>86</v>
      </c>
      <c r="J83" s="56" t="s">
        <v>87</v>
      </c>
      <c r="K83" s="55" t="s">
        <v>390</v>
      </c>
      <c r="L83" s="55" t="s">
        <v>34</v>
      </c>
      <c r="M83" s="55" t="s">
        <v>89</v>
      </c>
      <c r="N83" s="55" t="s">
        <v>90</v>
      </c>
      <c r="O83" s="55"/>
      <c r="P83" s="55" t="s">
        <v>91</v>
      </c>
      <c r="Q83" s="55"/>
      <c r="R83" s="55" t="s">
        <v>5</v>
      </c>
      <c r="S83" s="55"/>
      <c r="T83" s="55"/>
      <c r="U83" s="55" t="s">
        <v>7</v>
      </c>
      <c r="V83" s="55"/>
      <c r="W83" s="55"/>
      <c r="X83" s="57" t="str">
        <f t="shared" si="2"/>
        <v>--076-26-04</v>
      </c>
      <c r="Y83" s="58" t="str">
        <f t="shared" ref="Y83:AC83" si="81">TRIM(SUBSTITUTE(SUBSTITUTE(OFFSET($Q83,0,COLUMN()-COLUMN($AL$1)),CHAR(160)," "),_xludf.UNICHAR(8239)," "))</f>
        <v>#NAME?</v>
      </c>
      <c r="Z83" s="58" t="str">
        <f t="shared" si="81"/>
        <v>#NAME?</v>
      </c>
      <c r="AA83" s="58" t="str">
        <f t="shared" si="81"/>
        <v>#NAME?</v>
      </c>
      <c r="AB83" s="58" t="str">
        <f t="shared" si="81"/>
        <v>#NAME?</v>
      </c>
      <c r="AC83" s="58" t="str">
        <f t="shared" si="81"/>
        <v>#NAME?</v>
      </c>
      <c r="AD83" s="57">
        <f t="shared" si="4"/>
        <v>1</v>
      </c>
      <c r="AE83" s="57" t="str">
        <f t="shared" si="5"/>
        <v>2026-04</v>
      </c>
      <c r="AF83" s="57">
        <f t="shared" si="6"/>
        <v>1</v>
      </c>
      <c r="AG83" s="59">
        <f t="shared" si="7"/>
        <v>1</v>
      </c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</row>
    <row r="84" ht="24.0" customHeight="1">
      <c r="A84" s="53">
        <v>77.0</v>
      </c>
      <c r="B84" s="54" t="s">
        <v>391</v>
      </c>
      <c r="C84" s="55" t="s">
        <v>82</v>
      </c>
      <c r="D84" s="55"/>
      <c r="E84" s="55" t="s">
        <v>392</v>
      </c>
      <c r="F84" s="55"/>
      <c r="G84" s="55"/>
      <c r="H84" s="55"/>
      <c r="I84" s="55" t="s">
        <v>112</v>
      </c>
      <c r="J84" s="56" t="s">
        <v>113</v>
      </c>
      <c r="K84" s="55" t="s">
        <v>393</v>
      </c>
      <c r="L84" s="55" t="s">
        <v>34</v>
      </c>
      <c r="M84" s="55" t="s">
        <v>89</v>
      </c>
      <c r="N84" s="55" t="s">
        <v>90</v>
      </c>
      <c r="O84" s="55"/>
      <c r="P84" s="55" t="s">
        <v>91</v>
      </c>
      <c r="Q84" s="55" t="s">
        <v>16</v>
      </c>
      <c r="R84" s="55"/>
      <c r="S84" s="55"/>
      <c r="T84" s="55"/>
      <c r="U84" s="55"/>
      <c r="V84" s="55"/>
      <c r="W84" s="55"/>
      <c r="X84" s="57" t="str">
        <f t="shared" si="2"/>
        <v>--077-26-04</v>
      </c>
      <c r="Y84" s="58" t="str">
        <f t="shared" ref="Y84:AC84" si="82">TRIM(SUBSTITUTE(SUBSTITUTE(OFFSET($Q84,0,COLUMN()-COLUMN($AL$1)),CHAR(160)," "),_xludf.UNICHAR(8239)," "))</f>
        <v>#NAME?</v>
      </c>
      <c r="Z84" s="58" t="str">
        <f t="shared" si="82"/>
        <v>#NAME?</v>
      </c>
      <c r="AA84" s="58" t="str">
        <f t="shared" si="82"/>
        <v>#NAME?</v>
      </c>
      <c r="AB84" s="58" t="str">
        <f t="shared" si="82"/>
        <v>#NAME?</v>
      </c>
      <c r="AC84" s="58" t="str">
        <f t="shared" si="82"/>
        <v>#NAME?</v>
      </c>
      <c r="AD84" s="57">
        <f t="shared" si="4"/>
        <v>1</v>
      </c>
      <c r="AE84" s="57" t="str">
        <f t="shared" si="5"/>
        <v>2026-04</v>
      </c>
      <c r="AF84" s="57">
        <f t="shared" si="6"/>
        <v>1</v>
      </c>
      <c r="AG84" s="59">
        <f t="shared" si="7"/>
        <v>1</v>
      </c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</row>
    <row r="85" ht="24.0" customHeight="1">
      <c r="A85" s="53">
        <v>78.0</v>
      </c>
      <c r="B85" s="54" t="s">
        <v>394</v>
      </c>
      <c r="C85" s="55" t="s">
        <v>82</v>
      </c>
      <c r="D85" s="55"/>
      <c r="E85" s="55" t="s">
        <v>395</v>
      </c>
      <c r="F85" s="55" t="s">
        <v>396</v>
      </c>
      <c r="G85" s="55">
        <v>33.0</v>
      </c>
      <c r="H85" s="55" t="s">
        <v>85</v>
      </c>
      <c r="I85" s="55" t="s">
        <v>86</v>
      </c>
      <c r="J85" s="56" t="s">
        <v>87</v>
      </c>
      <c r="K85" s="55" t="s">
        <v>397</v>
      </c>
      <c r="L85" s="55" t="s">
        <v>34</v>
      </c>
      <c r="M85" s="55" t="s">
        <v>398</v>
      </c>
      <c r="N85" s="55" t="s">
        <v>90</v>
      </c>
      <c r="O85" s="55"/>
      <c r="P85" s="55" t="s">
        <v>91</v>
      </c>
      <c r="Q85" s="55" t="s">
        <v>16</v>
      </c>
      <c r="R85" s="55"/>
      <c r="S85" s="55"/>
      <c r="T85" s="55"/>
      <c r="U85" s="55"/>
      <c r="V85" s="55"/>
      <c r="W85" s="55"/>
      <c r="X85" s="57" t="str">
        <f t="shared" si="2"/>
        <v>--078-26-04</v>
      </c>
      <c r="Y85" s="58" t="str">
        <f t="shared" ref="Y85:AC85" si="83">TRIM(SUBSTITUTE(SUBSTITUTE(OFFSET($Q85,0,COLUMN()-COLUMN($AL$1)),CHAR(160)," "),_xludf.UNICHAR(8239)," "))</f>
        <v>#NAME?</v>
      </c>
      <c r="Z85" s="58" t="str">
        <f t="shared" si="83"/>
        <v>#NAME?</v>
      </c>
      <c r="AA85" s="58" t="str">
        <f t="shared" si="83"/>
        <v>#NAME?</v>
      </c>
      <c r="AB85" s="58" t="str">
        <f t="shared" si="83"/>
        <v>#NAME?</v>
      </c>
      <c r="AC85" s="58" t="str">
        <f t="shared" si="83"/>
        <v>#NAME?</v>
      </c>
      <c r="AD85" s="57">
        <f t="shared" si="4"/>
        <v>1</v>
      </c>
      <c r="AE85" s="57" t="str">
        <f t="shared" si="5"/>
        <v>2026-04</v>
      </c>
      <c r="AF85" s="57">
        <f t="shared" si="6"/>
        <v>1</v>
      </c>
      <c r="AG85" s="59">
        <f t="shared" si="7"/>
        <v>1</v>
      </c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</row>
    <row r="86" ht="24.0" customHeight="1">
      <c r="A86" s="53">
        <v>79.0</v>
      </c>
      <c r="B86" s="54" t="s">
        <v>399</v>
      </c>
      <c r="C86" s="55" t="s">
        <v>82</v>
      </c>
      <c r="D86" s="55"/>
      <c r="E86" s="55" t="s">
        <v>400</v>
      </c>
      <c r="F86" s="55" t="s">
        <v>401</v>
      </c>
      <c r="G86" s="55">
        <v>21.0</v>
      </c>
      <c r="H86" s="55" t="s">
        <v>85</v>
      </c>
      <c r="I86" s="55" t="s">
        <v>86</v>
      </c>
      <c r="J86" s="56" t="s">
        <v>87</v>
      </c>
      <c r="K86" s="55" t="s">
        <v>348</v>
      </c>
      <c r="L86" s="55" t="s">
        <v>34</v>
      </c>
      <c r="M86" s="55" t="s">
        <v>133</v>
      </c>
      <c r="N86" s="55" t="s">
        <v>90</v>
      </c>
      <c r="O86" s="55"/>
      <c r="P86" s="55" t="s">
        <v>91</v>
      </c>
      <c r="Q86" s="55" t="s">
        <v>4</v>
      </c>
      <c r="R86" s="55"/>
      <c r="S86" s="55"/>
      <c r="T86" s="55"/>
      <c r="U86" s="55"/>
      <c r="V86" s="55"/>
      <c r="W86" s="55"/>
      <c r="X86" s="57" t="str">
        <f t="shared" si="2"/>
        <v>--079-26-04</v>
      </c>
      <c r="Y86" s="58" t="str">
        <f t="shared" ref="Y86:AC86" si="84">TRIM(SUBSTITUTE(SUBSTITUTE(OFFSET($Q86,0,COLUMN()-COLUMN($AL$1)),CHAR(160)," "),_xludf.UNICHAR(8239)," "))</f>
        <v>#NAME?</v>
      </c>
      <c r="Z86" s="58" t="str">
        <f t="shared" si="84"/>
        <v>#NAME?</v>
      </c>
      <c r="AA86" s="58" t="str">
        <f t="shared" si="84"/>
        <v>#NAME?</v>
      </c>
      <c r="AB86" s="58" t="str">
        <f t="shared" si="84"/>
        <v>#NAME?</v>
      </c>
      <c r="AC86" s="58" t="str">
        <f t="shared" si="84"/>
        <v>#NAME?</v>
      </c>
      <c r="AD86" s="57">
        <f t="shared" si="4"/>
        <v>1</v>
      </c>
      <c r="AE86" s="57" t="str">
        <f t="shared" si="5"/>
        <v>2026-04</v>
      </c>
      <c r="AF86" s="57">
        <f t="shared" si="6"/>
        <v>1</v>
      </c>
      <c r="AG86" s="59">
        <f t="shared" si="7"/>
        <v>1</v>
      </c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</row>
    <row r="87" ht="24.0" customHeight="1">
      <c r="A87" s="53">
        <v>80.0</v>
      </c>
      <c r="B87" s="54" t="s">
        <v>402</v>
      </c>
      <c r="C87" s="55" t="s">
        <v>82</v>
      </c>
      <c r="D87" s="55"/>
      <c r="E87" s="55" t="s">
        <v>403</v>
      </c>
      <c r="F87" s="55" t="s">
        <v>404</v>
      </c>
      <c r="G87" s="55">
        <v>57.0</v>
      </c>
      <c r="H87" s="55" t="s">
        <v>85</v>
      </c>
      <c r="I87" s="55" t="s">
        <v>112</v>
      </c>
      <c r="J87" s="56" t="s">
        <v>113</v>
      </c>
      <c r="K87" s="55" t="s">
        <v>405</v>
      </c>
      <c r="L87" s="55" t="s">
        <v>34</v>
      </c>
      <c r="M87" s="55" t="s">
        <v>89</v>
      </c>
      <c r="N87" s="55" t="s">
        <v>90</v>
      </c>
      <c r="O87" s="55"/>
      <c r="P87" s="55" t="s">
        <v>91</v>
      </c>
      <c r="Q87" s="55" t="s">
        <v>4</v>
      </c>
      <c r="R87" s="55"/>
      <c r="S87" s="55"/>
      <c r="T87" s="55"/>
      <c r="U87" s="55"/>
      <c r="V87" s="55"/>
      <c r="W87" s="55"/>
      <c r="X87" s="57" t="str">
        <f t="shared" si="2"/>
        <v>--080-26-04</v>
      </c>
      <c r="Y87" s="58" t="str">
        <f t="shared" ref="Y87:AC87" si="85">TRIM(SUBSTITUTE(SUBSTITUTE(OFFSET($Q87,0,COLUMN()-COLUMN($AL$1)),CHAR(160)," "),_xludf.UNICHAR(8239)," "))</f>
        <v>#NAME?</v>
      </c>
      <c r="Z87" s="58" t="str">
        <f t="shared" si="85"/>
        <v>#NAME?</v>
      </c>
      <c r="AA87" s="58" t="str">
        <f t="shared" si="85"/>
        <v>#NAME?</v>
      </c>
      <c r="AB87" s="58" t="str">
        <f t="shared" si="85"/>
        <v>#NAME?</v>
      </c>
      <c r="AC87" s="58" t="str">
        <f t="shared" si="85"/>
        <v>#NAME?</v>
      </c>
      <c r="AD87" s="57">
        <f t="shared" si="4"/>
        <v>1</v>
      </c>
      <c r="AE87" s="57" t="str">
        <f t="shared" si="5"/>
        <v>2026-04</v>
      </c>
      <c r="AF87" s="57">
        <f t="shared" si="6"/>
        <v>1</v>
      </c>
      <c r="AG87" s="59">
        <f t="shared" si="7"/>
        <v>1</v>
      </c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</row>
    <row r="88" ht="24.0" customHeight="1">
      <c r="A88" s="53">
        <v>81.0</v>
      </c>
      <c r="B88" s="54" t="s">
        <v>406</v>
      </c>
      <c r="C88" s="55" t="s">
        <v>82</v>
      </c>
      <c r="D88" s="55"/>
      <c r="E88" s="55" t="s">
        <v>407</v>
      </c>
      <c r="F88" s="55" t="s">
        <v>408</v>
      </c>
      <c r="G88" s="55">
        <v>39.0</v>
      </c>
      <c r="H88" s="55" t="s">
        <v>85</v>
      </c>
      <c r="I88" s="55" t="s">
        <v>86</v>
      </c>
      <c r="J88" s="56" t="s">
        <v>87</v>
      </c>
      <c r="K88" s="55" t="s">
        <v>409</v>
      </c>
      <c r="L88" s="55" t="s">
        <v>34</v>
      </c>
      <c r="M88" s="55" t="s">
        <v>115</v>
      </c>
      <c r="N88" s="55" t="s">
        <v>90</v>
      </c>
      <c r="O88" s="55"/>
      <c r="P88" s="55" t="s">
        <v>91</v>
      </c>
      <c r="Q88" s="55"/>
      <c r="R88" s="55"/>
      <c r="S88" s="55"/>
      <c r="T88" s="55"/>
      <c r="U88" s="55"/>
      <c r="V88" s="55"/>
      <c r="W88" s="55"/>
      <c r="X88" s="57" t="str">
        <f t="shared" si="2"/>
        <v>--081-26-04</v>
      </c>
      <c r="Y88" s="58" t="str">
        <f t="shared" ref="Y88:AC88" si="86">TRIM(SUBSTITUTE(SUBSTITUTE(OFFSET($Q88,0,COLUMN()-COLUMN($AL$1)),CHAR(160)," "),_xludf.UNICHAR(8239)," "))</f>
        <v>#NAME?</v>
      </c>
      <c r="Z88" s="58" t="str">
        <f t="shared" si="86"/>
        <v>#NAME?</v>
      </c>
      <c r="AA88" s="58" t="str">
        <f t="shared" si="86"/>
        <v>#NAME?</v>
      </c>
      <c r="AB88" s="58" t="str">
        <f t="shared" si="86"/>
        <v>#NAME?</v>
      </c>
      <c r="AC88" s="58" t="str">
        <f t="shared" si="86"/>
        <v>#NAME?</v>
      </c>
      <c r="AD88" s="57">
        <f t="shared" si="4"/>
        <v>1</v>
      </c>
      <c r="AE88" s="57" t="str">
        <f t="shared" si="5"/>
        <v>2026-04</v>
      </c>
      <c r="AF88" s="57">
        <f t="shared" si="6"/>
        <v>1</v>
      </c>
      <c r="AG88" s="59">
        <f t="shared" si="7"/>
        <v>1</v>
      </c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</row>
    <row r="89" ht="24.0" customHeight="1">
      <c r="A89" s="53">
        <v>82.0</v>
      </c>
      <c r="B89" s="54" t="s">
        <v>410</v>
      </c>
      <c r="C89" s="55" t="s">
        <v>82</v>
      </c>
      <c r="D89" s="55"/>
      <c r="E89" s="55" t="s">
        <v>411</v>
      </c>
      <c r="F89" s="55" t="s">
        <v>412</v>
      </c>
      <c r="G89" s="55">
        <v>16.0</v>
      </c>
      <c r="H89" s="55" t="s">
        <v>111</v>
      </c>
      <c r="I89" s="55" t="s">
        <v>112</v>
      </c>
      <c r="J89" s="56" t="s">
        <v>113</v>
      </c>
      <c r="K89" s="55" t="s">
        <v>413</v>
      </c>
      <c r="L89" s="55" t="s">
        <v>34</v>
      </c>
      <c r="M89" s="55" t="s">
        <v>133</v>
      </c>
      <c r="N89" s="55" t="s">
        <v>90</v>
      </c>
      <c r="O89" s="55"/>
      <c r="P89" s="55" t="s">
        <v>91</v>
      </c>
      <c r="Q89" s="55" t="s">
        <v>16</v>
      </c>
      <c r="R89" s="55"/>
      <c r="S89" s="55"/>
      <c r="T89" s="55"/>
      <c r="U89" s="55"/>
      <c r="V89" s="55"/>
      <c r="W89" s="55"/>
      <c r="X89" s="57" t="str">
        <f t="shared" si="2"/>
        <v>--082-26-04</v>
      </c>
      <c r="Y89" s="58" t="str">
        <f t="shared" ref="Y89:AC89" si="87">TRIM(SUBSTITUTE(SUBSTITUTE(OFFSET($Q89,0,COLUMN()-COLUMN($AL$1)),CHAR(160)," "),_xludf.UNICHAR(8239)," "))</f>
        <v>#NAME?</v>
      </c>
      <c r="Z89" s="58" t="str">
        <f t="shared" si="87"/>
        <v>#NAME?</v>
      </c>
      <c r="AA89" s="58" t="str">
        <f t="shared" si="87"/>
        <v>#NAME?</v>
      </c>
      <c r="AB89" s="58" t="str">
        <f t="shared" si="87"/>
        <v>#NAME?</v>
      </c>
      <c r="AC89" s="58" t="str">
        <f t="shared" si="87"/>
        <v>#NAME?</v>
      </c>
      <c r="AD89" s="57">
        <f t="shared" si="4"/>
        <v>1</v>
      </c>
      <c r="AE89" s="57" t="str">
        <f t="shared" si="5"/>
        <v>2026-04</v>
      </c>
      <c r="AF89" s="57">
        <f t="shared" si="6"/>
        <v>1</v>
      </c>
      <c r="AG89" s="59">
        <f t="shared" si="7"/>
        <v>1</v>
      </c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</row>
    <row r="90" ht="24.0" customHeight="1">
      <c r="A90" s="53">
        <v>83.0</v>
      </c>
      <c r="B90" s="54" t="s">
        <v>414</v>
      </c>
      <c r="C90" s="55" t="s">
        <v>82</v>
      </c>
      <c r="D90" s="55"/>
      <c r="E90" s="55" t="s">
        <v>415</v>
      </c>
      <c r="F90" s="55" t="s">
        <v>416</v>
      </c>
      <c r="G90" s="55">
        <v>55.0</v>
      </c>
      <c r="H90" s="55" t="s">
        <v>85</v>
      </c>
      <c r="I90" s="55" t="s">
        <v>112</v>
      </c>
      <c r="J90" s="56" t="s">
        <v>113</v>
      </c>
      <c r="K90" s="55" t="s">
        <v>417</v>
      </c>
      <c r="L90" s="55" t="s">
        <v>34</v>
      </c>
      <c r="M90" s="55" t="s">
        <v>89</v>
      </c>
      <c r="N90" s="55" t="s">
        <v>90</v>
      </c>
      <c r="O90" s="55"/>
      <c r="P90" s="55" t="s">
        <v>91</v>
      </c>
      <c r="Q90" s="55" t="s">
        <v>4</v>
      </c>
      <c r="R90" s="55"/>
      <c r="S90" s="55"/>
      <c r="T90" s="55"/>
      <c r="U90" s="55"/>
      <c r="V90" s="55"/>
      <c r="W90" s="55"/>
      <c r="X90" s="57" t="str">
        <f t="shared" si="2"/>
        <v>--083-26-04</v>
      </c>
      <c r="Y90" s="58" t="str">
        <f t="shared" ref="Y90:AC90" si="88">TRIM(SUBSTITUTE(SUBSTITUTE(OFFSET($Q90,0,COLUMN()-COLUMN($AL$1)),CHAR(160)," "),_xludf.UNICHAR(8239)," "))</f>
        <v>#NAME?</v>
      </c>
      <c r="Z90" s="58" t="str">
        <f t="shared" si="88"/>
        <v>#NAME?</v>
      </c>
      <c r="AA90" s="58" t="str">
        <f t="shared" si="88"/>
        <v>#NAME?</v>
      </c>
      <c r="AB90" s="58" t="str">
        <f t="shared" si="88"/>
        <v>#NAME?</v>
      </c>
      <c r="AC90" s="58" t="str">
        <f t="shared" si="88"/>
        <v>#NAME?</v>
      </c>
      <c r="AD90" s="57">
        <f t="shared" si="4"/>
        <v>1</v>
      </c>
      <c r="AE90" s="57" t="str">
        <f t="shared" si="5"/>
        <v>2026-04</v>
      </c>
      <c r="AF90" s="57">
        <f t="shared" si="6"/>
        <v>1</v>
      </c>
      <c r="AG90" s="59">
        <f t="shared" si="7"/>
        <v>1</v>
      </c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</row>
    <row r="91" ht="24.0" customHeight="1">
      <c r="A91" s="53">
        <v>84.0</v>
      </c>
      <c r="B91" s="54" t="s">
        <v>418</v>
      </c>
      <c r="C91" s="55" t="s">
        <v>82</v>
      </c>
      <c r="D91" s="55"/>
      <c r="E91" s="55" t="s">
        <v>419</v>
      </c>
      <c r="F91" s="55" t="s">
        <v>420</v>
      </c>
      <c r="G91" s="55">
        <v>33.0</v>
      </c>
      <c r="H91" s="55" t="s">
        <v>85</v>
      </c>
      <c r="I91" s="55" t="s">
        <v>86</v>
      </c>
      <c r="J91" s="56" t="s">
        <v>87</v>
      </c>
      <c r="K91" s="55" t="s">
        <v>421</v>
      </c>
      <c r="L91" s="55" t="s">
        <v>34</v>
      </c>
      <c r="M91" s="55" t="s">
        <v>89</v>
      </c>
      <c r="N91" s="55" t="s">
        <v>90</v>
      </c>
      <c r="O91" s="55"/>
      <c r="P91" s="55" t="s">
        <v>91</v>
      </c>
      <c r="Q91" s="55" t="s">
        <v>16</v>
      </c>
      <c r="R91" s="55"/>
      <c r="S91" s="55"/>
      <c r="T91" s="55"/>
      <c r="U91" s="55"/>
      <c r="V91" s="55"/>
      <c r="W91" s="55"/>
      <c r="X91" s="57" t="str">
        <f t="shared" si="2"/>
        <v>--084-26-04</v>
      </c>
      <c r="Y91" s="58" t="str">
        <f t="shared" ref="Y91:AC91" si="89">TRIM(SUBSTITUTE(SUBSTITUTE(OFFSET($Q91,0,COLUMN()-COLUMN($AL$1)),CHAR(160)," "),_xludf.UNICHAR(8239)," "))</f>
        <v>#NAME?</v>
      </c>
      <c r="Z91" s="58" t="str">
        <f t="shared" si="89"/>
        <v>#NAME?</v>
      </c>
      <c r="AA91" s="58" t="str">
        <f t="shared" si="89"/>
        <v>#NAME?</v>
      </c>
      <c r="AB91" s="58" t="str">
        <f t="shared" si="89"/>
        <v>#NAME?</v>
      </c>
      <c r="AC91" s="58" t="str">
        <f t="shared" si="89"/>
        <v>#NAME?</v>
      </c>
      <c r="AD91" s="57">
        <f t="shared" si="4"/>
        <v>1</v>
      </c>
      <c r="AE91" s="57" t="str">
        <f t="shared" si="5"/>
        <v>2026-04</v>
      </c>
      <c r="AF91" s="57">
        <f t="shared" si="6"/>
        <v>1</v>
      </c>
      <c r="AG91" s="59">
        <f t="shared" si="7"/>
        <v>1</v>
      </c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</row>
    <row r="92" ht="24.0" customHeight="1">
      <c r="A92" s="53">
        <v>85.0</v>
      </c>
      <c r="B92" s="54" t="s">
        <v>422</v>
      </c>
      <c r="C92" s="55" t="s">
        <v>82</v>
      </c>
      <c r="D92" s="55"/>
      <c r="E92" s="55" t="s">
        <v>423</v>
      </c>
      <c r="F92" s="55" t="s">
        <v>424</v>
      </c>
      <c r="G92" s="55">
        <v>30.0</v>
      </c>
      <c r="H92" s="55" t="s">
        <v>85</v>
      </c>
      <c r="I92" s="55" t="s">
        <v>112</v>
      </c>
      <c r="J92" s="56" t="s">
        <v>113</v>
      </c>
      <c r="K92" s="55" t="s">
        <v>425</v>
      </c>
      <c r="L92" s="55" t="s">
        <v>34</v>
      </c>
      <c r="M92" s="55" t="s">
        <v>89</v>
      </c>
      <c r="N92" s="55" t="s">
        <v>90</v>
      </c>
      <c r="O92" s="55"/>
      <c r="P92" s="55" t="s">
        <v>91</v>
      </c>
      <c r="Q92" s="55" t="s">
        <v>16</v>
      </c>
      <c r="R92" s="55"/>
      <c r="S92" s="55" t="s">
        <v>6</v>
      </c>
      <c r="T92" s="55"/>
      <c r="U92" s="55"/>
      <c r="V92" s="55"/>
      <c r="W92" s="55"/>
      <c r="X92" s="57" t="str">
        <f t="shared" si="2"/>
        <v>--085-26-04</v>
      </c>
      <c r="Y92" s="58" t="str">
        <f t="shared" ref="Y92:AC92" si="90">TRIM(SUBSTITUTE(SUBSTITUTE(OFFSET($Q92,0,COLUMN()-COLUMN($AL$1)),CHAR(160)," "),_xludf.UNICHAR(8239)," "))</f>
        <v>#NAME?</v>
      </c>
      <c r="Z92" s="58" t="str">
        <f t="shared" si="90"/>
        <v>#NAME?</v>
      </c>
      <c r="AA92" s="58" t="str">
        <f t="shared" si="90"/>
        <v>#NAME?</v>
      </c>
      <c r="AB92" s="58" t="str">
        <f t="shared" si="90"/>
        <v>#NAME?</v>
      </c>
      <c r="AC92" s="58" t="str">
        <f t="shared" si="90"/>
        <v>#NAME?</v>
      </c>
      <c r="AD92" s="57">
        <f t="shared" si="4"/>
        <v>1</v>
      </c>
      <c r="AE92" s="57" t="str">
        <f t="shared" si="5"/>
        <v>2026-04</v>
      </c>
      <c r="AF92" s="57">
        <f t="shared" si="6"/>
        <v>1</v>
      </c>
      <c r="AG92" s="59">
        <f t="shared" si="7"/>
        <v>1</v>
      </c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</row>
    <row r="93" ht="24.0" customHeight="1">
      <c r="A93" s="53">
        <v>86.0</v>
      </c>
      <c r="B93" s="54" t="s">
        <v>426</v>
      </c>
      <c r="C93" s="55" t="s">
        <v>82</v>
      </c>
      <c r="D93" s="55"/>
      <c r="E93" s="55" t="s">
        <v>427</v>
      </c>
      <c r="F93" s="55" t="s">
        <v>428</v>
      </c>
      <c r="G93" s="55">
        <v>22.0</v>
      </c>
      <c r="H93" s="55" t="s">
        <v>85</v>
      </c>
      <c r="I93" s="55" t="s">
        <v>112</v>
      </c>
      <c r="J93" s="56" t="s">
        <v>113</v>
      </c>
      <c r="K93" s="55" t="s">
        <v>429</v>
      </c>
      <c r="L93" s="55" t="s">
        <v>34</v>
      </c>
      <c r="M93" s="55" t="s">
        <v>133</v>
      </c>
      <c r="N93" s="55" t="s">
        <v>90</v>
      </c>
      <c r="O93" s="55"/>
      <c r="P93" s="55" t="s">
        <v>91</v>
      </c>
      <c r="Q93" s="55" t="s">
        <v>16</v>
      </c>
      <c r="R93" s="55"/>
      <c r="S93" s="55"/>
      <c r="T93" s="55"/>
      <c r="U93" s="55"/>
      <c r="V93" s="55"/>
      <c r="W93" s="55"/>
      <c r="X93" s="57" t="str">
        <f t="shared" si="2"/>
        <v>--086-26-04</v>
      </c>
      <c r="Y93" s="58" t="str">
        <f t="shared" ref="Y93:AC93" si="91">TRIM(SUBSTITUTE(SUBSTITUTE(OFFSET($Q93,0,COLUMN()-COLUMN($AL$1)),CHAR(160)," "),_xludf.UNICHAR(8239)," "))</f>
        <v>#NAME?</v>
      </c>
      <c r="Z93" s="58" t="str">
        <f t="shared" si="91"/>
        <v>#NAME?</v>
      </c>
      <c r="AA93" s="58" t="str">
        <f t="shared" si="91"/>
        <v>#NAME?</v>
      </c>
      <c r="AB93" s="58" t="str">
        <f t="shared" si="91"/>
        <v>#NAME?</v>
      </c>
      <c r="AC93" s="58" t="str">
        <f t="shared" si="91"/>
        <v>#NAME?</v>
      </c>
      <c r="AD93" s="57">
        <f t="shared" si="4"/>
        <v>1</v>
      </c>
      <c r="AE93" s="57" t="str">
        <f t="shared" si="5"/>
        <v>2026-04</v>
      </c>
      <c r="AF93" s="57">
        <f t="shared" si="6"/>
        <v>1</v>
      </c>
      <c r="AG93" s="59">
        <f t="shared" si="7"/>
        <v>1</v>
      </c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</row>
    <row r="94" ht="24.0" customHeight="1">
      <c r="A94" s="53">
        <v>87.0</v>
      </c>
      <c r="B94" s="54" t="s">
        <v>430</v>
      </c>
      <c r="C94" s="55" t="s">
        <v>82</v>
      </c>
      <c r="D94" s="55"/>
      <c r="E94" s="55" t="s">
        <v>431</v>
      </c>
      <c r="F94" s="55" t="s">
        <v>432</v>
      </c>
      <c r="G94" s="55">
        <v>38.0</v>
      </c>
      <c r="H94" s="55" t="s">
        <v>85</v>
      </c>
      <c r="I94" s="55" t="s">
        <v>112</v>
      </c>
      <c r="J94" s="56" t="s">
        <v>113</v>
      </c>
      <c r="K94" s="55" t="s">
        <v>433</v>
      </c>
      <c r="L94" s="55" t="s">
        <v>34</v>
      </c>
      <c r="M94" s="55" t="s">
        <v>89</v>
      </c>
      <c r="N94" s="55" t="s">
        <v>90</v>
      </c>
      <c r="O94" s="55"/>
      <c r="P94" s="55" t="s">
        <v>91</v>
      </c>
      <c r="Q94" s="55" t="s">
        <v>16</v>
      </c>
      <c r="R94" s="55"/>
      <c r="S94" s="55"/>
      <c r="T94" s="55"/>
      <c r="U94" s="55"/>
      <c r="V94" s="55"/>
      <c r="W94" s="55"/>
      <c r="X94" s="57" t="str">
        <f t="shared" si="2"/>
        <v>--087-26-04</v>
      </c>
      <c r="Y94" s="58" t="str">
        <f t="shared" ref="Y94:AC94" si="92">TRIM(SUBSTITUTE(SUBSTITUTE(OFFSET($Q94,0,COLUMN()-COLUMN($AL$1)),CHAR(160)," "),_xludf.UNICHAR(8239)," "))</f>
        <v>#NAME?</v>
      </c>
      <c r="Z94" s="58" t="str">
        <f t="shared" si="92"/>
        <v>#NAME?</v>
      </c>
      <c r="AA94" s="58" t="str">
        <f t="shared" si="92"/>
        <v>#NAME?</v>
      </c>
      <c r="AB94" s="58" t="str">
        <f t="shared" si="92"/>
        <v>#NAME?</v>
      </c>
      <c r="AC94" s="58" t="str">
        <f t="shared" si="92"/>
        <v>#NAME?</v>
      </c>
      <c r="AD94" s="57">
        <f t="shared" si="4"/>
        <v>1</v>
      </c>
      <c r="AE94" s="57" t="str">
        <f t="shared" si="5"/>
        <v>2026-04</v>
      </c>
      <c r="AF94" s="57">
        <f t="shared" si="6"/>
        <v>1</v>
      </c>
      <c r="AG94" s="59">
        <f t="shared" si="7"/>
        <v>1</v>
      </c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</row>
    <row r="95" ht="24.0" customHeight="1">
      <c r="A95" s="53">
        <v>88.0</v>
      </c>
      <c r="B95" s="54" t="s">
        <v>434</v>
      </c>
      <c r="C95" s="55" t="s">
        <v>82</v>
      </c>
      <c r="D95" s="55"/>
      <c r="E95" s="55" t="s">
        <v>435</v>
      </c>
      <c r="F95" s="55" t="s">
        <v>436</v>
      </c>
      <c r="G95" s="55">
        <v>47.0</v>
      </c>
      <c r="H95" s="55" t="s">
        <v>85</v>
      </c>
      <c r="I95" s="55" t="s">
        <v>112</v>
      </c>
      <c r="J95" s="56" t="s">
        <v>113</v>
      </c>
      <c r="K95" s="55" t="s">
        <v>437</v>
      </c>
      <c r="L95" s="55" t="s">
        <v>34</v>
      </c>
      <c r="M95" s="55" t="s">
        <v>89</v>
      </c>
      <c r="N95" s="55" t="s">
        <v>90</v>
      </c>
      <c r="O95" s="55"/>
      <c r="P95" s="55" t="s">
        <v>91</v>
      </c>
      <c r="Q95" s="55" t="s">
        <v>4</v>
      </c>
      <c r="R95" s="55"/>
      <c r="S95" s="55"/>
      <c r="T95" s="55"/>
      <c r="U95" s="55"/>
      <c r="V95" s="55"/>
      <c r="W95" s="55"/>
      <c r="X95" s="57" t="str">
        <f t="shared" si="2"/>
        <v>--088-26-04</v>
      </c>
      <c r="Y95" s="58" t="str">
        <f t="shared" ref="Y95:AC95" si="93">TRIM(SUBSTITUTE(SUBSTITUTE(OFFSET($Q95,0,COLUMN()-COLUMN($AL$1)),CHAR(160)," "),_xludf.UNICHAR(8239)," "))</f>
        <v>#NAME?</v>
      </c>
      <c r="Z95" s="58" t="str">
        <f t="shared" si="93"/>
        <v>#NAME?</v>
      </c>
      <c r="AA95" s="58" t="str">
        <f t="shared" si="93"/>
        <v>#NAME?</v>
      </c>
      <c r="AB95" s="58" t="str">
        <f t="shared" si="93"/>
        <v>#NAME?</v>
      </c>
      <c r="AC95" s="58" t="str">
        <f t="shared" si="93"/>
        <v>#NAME?</v>
      </c>
      <c r="AD95" s="57">
        <f t="shared" si="4"/>
        <v>1</v>
      </c>
      <c r="AE95" s="57" t="str">
        <f t="shared" si="5"/>
        <v>2026-04</v>
      </c>
      <c r="AF95" s="57">
        <f t="shared" si="6"/>
        <v>1</v>
      </c>
      <c r="AG95" s="59">
        <f t="shared" si="7"/>
        <v>1</v>
      </c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</row>
    <row r="96" ht="24.0" customHeight="1">
      <c r="A96" s="53">
        <v>89.0</v>
      </c>
      <c r="B96" s="54" t="s">
        <v>438</v>
      </c>
      <c r="C96" s="55" t="s">
        <v>82</v>
      </c>
      <c r="D96" s="55"/>
      <c r="E96" s="55" t="s">
        <v>439</v>
      </c>
      <c r="F96" s="55" t="s">
        <v>440</v>
      </c>
      <c r="G96" s="55">
        <v>51.0</v>
      </c>
      <c r="H96" s="55" t="s">
        <v>85</v>
      </c>
      <c r="I96" s="55" t="s">
        <v>112</v>
      </c>
      <c r="J96" s="56" t="s">
        <v>113</v>
      </c>
      <c r="K96" s="55" t="s">
        <v>441</v>
      </c>
      <c r="L96" s="55" t="s">
        <v>34</v>
      </c>
      <c r="M96" s="55" t="s">
        <v>89</v>
      </c>
      <c r="N96" s="55" t="s">
        <v>90</v>
      </c>
      <c r="O96" s="55"/>
      <c r="P96" s="55" t="s">
        <v>91</v>
      </c>
      <c r="Q96" s="55" t="s">
        <v>16</v>
      </c>
      <c r="R96" s="55"/>
      <c r="S96" s="55"/>
      <c r="T96" s="55"/>
      <c r="U96" s="55"/>
      <c r="V96" s="55"/>
      <c r="W96" s="55"/>
      <c r="X96" s="57" t="str">
        <f t="shared" si="2"/>
        <v>--089-26-04</v>
      </c>
      <c r="Y96" s="58" t="str">
        <f t="shared" ref="Y96:AC96" si="94">TRIM(SUBSTITUTE(SUBSTITUTE(OFFSET($Q96,0,COLUMN()-COLUMN($AL$1)),CHAR(160)," "),_xludf.UNICHAR(8239)," "))</f>
        <v>#NAME?</v>
      </c>
      <c r="Z96" s="58" t="str">
        <f t="shared" si="94"/>
        <v>#NAME?</v>
      </c>
      <c r="AA96" s="58" t="str">
        <f t="shared" si="94"/>
        <v>#NAME?</v>
      </c>
      <c r="AB96" s="58" t="str">
        <f t="shared" si="94"/>
        <v>#NAME?</v>
      </c>
      <c r="AC96" s="58" t="str">
        <f t="shared" si="94"/>
        <v>#NAME?</v>
      </c>
      <c r="AD96" s="57">
        <f t="shared" si="4"/>
        <v>1</v>
      </c>
      <c r="AE96" s="57" t="str">
        <f t="shared" si="5"/>
        <v>2026-04</v>
      </c>
      <c r="AF96" s="57">
        <f t="shared" si="6"/>
        <v>1</v>
      </c>
      <c r="AG96" s="59">
        <f t="shared" si="7"/>
        <v>1</v>
      </c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</row>
    <row r="97" ht="24.0" customHeight="1">
      <c r="A97" s="53">
        <v>90.0</v>
      </c>
      <c r="B97" s="54" t="s">
        <v>442</v>
      </c>
      <c r="C97" s="55" t="s">
        <v>82</v>
      </c>
      <c r="D97" s="55"/>
      <c r="E97" s="55" t="s">
        <v>443</v>
      </c>
      <c r="F97" s="55" t="s">
        <v>444</v>
      </c>
      <c r="G97" s="55">
        <v>46.0</v>
      </c>
      <c r="H97" s="55" t="s">
        <v>85</v>
      </c>
      <c r="I97" s="55" t="s">
        <v>86</v>
      </c>
      <c r="J97" s="56" t="s">
        <v>87</v>
      </c>
      <c r="K97" s="55" t="s">
        <v>441</v>
      </c>
      <c r="L97" s="55" t="s">
        <v>12</v>
      </c>
      <c r="M97" s="55" t="s">
        <v>89</v>
      </c>
      <c r="N97" s="55" t="s">
        <v>90</v>
      </c>
      <c r="O97" s="55"/>
      <c r="P97" s="55" t="s">
        <v>91</v>
      </c>
      <c r="Q97" s="55" t="s">
        <v>4</v>
      </c>
      <c r="R97" s="55"/>
      <c r="S97" s="55"/>
      <c r="T97" s="55"/>
      <c r="U97" s="55"/>
      <c r="V97" s="55"/>
      <c r="W97" s="55"/>
      <c r="X97" s="57" t="str">
        <f t="shared" si="2"/>
        <v>--090-26-04</v>
      </c>
      <c r="Y97" s="58" t="str">
        <f t="shared" ref="Y97:AC97" si="95">TRIM(SUBSTITUTE(SUBSTITUTE(OFFSET($Q97,0,COLUMN()-COLUMN($AL$1)),CHAR(160)," "),_xludf.UNICHAR(8239)," "))</f>
        <v>#NAME?</v>
      </c>
      <c r="Z97" s="58" t="str">
        <f t="shared" si="95"/>
        <v>#NAME?</v>
      </c>
      <c r="AA97" s="58" t="str">
        <f t="shared" si="95"/>
        <v>#NAME?</v>
      </c>
      <c r="AB97" s="58" t="str">
        <f t="shared" si="95"/>
        <v>#NAME?</v>
      </c>
      <c r="AC97" s="58" t="str">
        <f t="shared" si="95"/>
        <v>#NAME?</v>
      </c>
      <c r="AD97" s="57">
        <f t="shared" si="4"/>
        <v>1</v>
      </c>
      <c r="AE97" s="57" t="str">
        <f t="shared" si="5"/>
        <v>2026-04</v>
      </c>
      <c r="AF97" s="57">
        <f t="shared" si="6"/>
        <v>1</v>
      </c>
      <c r="AG97" s="59">
        <f t="shared" si="7"/>
        <v>1</v>
      </c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</row>
    <row r="98" ht="24.0" customHeight="1">
      <c r="A98" s="53">
        <v>91.0</v>
      </c>
      <c r="B98" s="54" t="s">
        <v>445</v>
      </c>
      <c r="C98" s="55" t="s">
        <v>82</v>
      </c>
      <c r="D98" s="55"/>
      <c r="E98" s="55" t="s">
        <v>446</v>
      </c>
      <c r="F98" s="55" t="s">
        <v>447</v>
      </c>
      <c r="G98" s="55">
        <v>17.0</v>
      </c>
      <c r="H98" s="55" t="s">
        <v>111</v>
      </c>
      <c r="I98" s="55" t="s">
        <v>112</v>
      </c>
      <c r="J98" s="56" t="s">
        <v>113</v>
      </c>
      <c r="K98" s="55" t="s">
        <v>448</v>
      </c>
      <c r="L98" s="55" t="s">
        <v>34</v>
      </c>
      <c r="M98" s="55" t="s">
        <v>133</v>
      </c>
      <c r="N98" s="55" t="s">
        <v>90</v>
      </c>
      <c r="O98" s="55"/>
      <c r="P98" s="55" t="s">
        <v>91</v>
      </c>
      <c r="Q98" s="55" t="s">
        <v>16</v>
      </c>
      <c r="R98" s="55"/>
      <c r="S98" s="55"/>
      <c r="T98" s="55"/>
      <c r="U98" s="55"/>
      <c r="V98" s="55"/>
      <c r="W98" s="55"/>
      <c r="X98" s="57" t="str">
        <f t="shared" si="2"/>
        <v>--091-26-04</v>
      </c>
      <c r="Y98" s="58" t="str">
        <f t="shared" ref="Y98:AC98" si="96">TRIM(SUBSTITUTE(SUBSTITUTE(OFFSET($Q98,0,COLUMN()-COLUMN($AL$1)),CHAR(160)," "),_xludf.UNICHAR(8239)," "))</f>
        <v>#NAME?</v>
      </c>
      <c r="Z98" s="58" t="str">
        <f t="shared" si="96"/>
        <v>#NAME?</v>
      </c>
      <c r="AA98" s="58" t="str">
        <f t="shared" si="96"/>
        <v>#NAME?</v>
      </c>
      <c r="AB98" s="58" t="str">
        <f t="shared" si="96"/>
        <v>#NAME?</v>
      </c>
      <c r="AC98" s="58" t="str">
        <f t="shared" si="96"/>
        <v>#NAME?</v>
      </c>
      <c r="AD98" s="57">
        <f t="shared" si="4"/>
        <v>1</v>
      </c>
      <c r="AE98" s="57" t="str">
        <f t="shared" si="5"/>
        <v>2026-04</v>
      </c>
      <c r="AF98" s="57">
        <f t="shared" si="6"/>
        <v>1</v>
      </c>
      <c r="AG98" s="59">
        <f t="shared" si="7"/>
        <v>1</v>
      </c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</row>
    <row r="99" ht="24.0" customHeight="1">
      <c r="A99" s="53">
        <v>92.0</v>
      </c>
      <c r="B99" s="54" t="s">
        <v>449</v>
      </c>
      <c r="C99" s="55" t="s">
        <v>82</v>
      </c>
      <c r="D99" s="55"/>
      <c r="E99" s="55" t="s">
        <v>450</v>
      </c>
      <c r="F99" s="55" t="s">
        <v>451</v>
      </c>
      <c r="G99" s="55">
        <v>43.0</v>
      </c>
      <c r="H99" s="55" t="s">
        <v>85</v>
      </c>
      <c r="I99" s="55" t="s">
        <v>112</v>
      </c>
      <c r="J99" s="56" t="s">
        <v>113</v>
      </c>
      <c r="K99" s="55" t="s">
        <v>448</v>
      </c>
      <c r="L99" s="55" t="s">
        <v>34</v>
      </c>
      <c r="M99" s="55" t="s">
        <v>89</v>
      </c>
      <c r="N99" s="55" t="s">
        <v>90</v>
      </c>
      <c r="O99" s="55"/>
      <c r="P99" s="55" t="s">
        <v>91</v>
      </c>
      <c r="Q99" s="55" t="s">
        <v>4</v>
      </c>
      <c r="R99" s="55"/>
      <c r="S99" s="55"/>
      <c r="T99" s="55"/>
      <c r="U99" s="55"/>
      <c r="V99" s="55"/>
      <c r="W99" s="55"/>
      <c r="X99" s="57" t="str">
        <f t="shared" si="2"/>
        <v>--092-26-04</v>
      </c>
      <c r="Y99" s="58" t="str">
        <f t="shared" ref="Y99:AC99" si="97">TRIM(SUBSTITUTE(SUBSTITUTE(OFFSET($Q99,0,COLUMN()-COLUMN($AL$1)),CHAR(160)," "),_xludf.UNICHAR(8239)," "))</f>
        <v>#NAME?</v>
      </c>
      <c r="Z99" s="58" t="str">
        <f t="shared" si="97"/>
        <v>#NAME?</v>
      </c>
      <c r="AA99" s="58" t="str">
        <f t="shared" si="97"/>
        <v>#NAME?</v>
      </c>
      <c r="AB99" s="58" t="str">
        <f t="shared" si="97"/>
        <v>#NAME?</v>
      </c>
      <c r="AC99" s="58" t="str">
        <f t="shared" si="97"/>
        <v>#NAME?</v>
      </c>
      <c r="AD99" s="57">
        <f t="shared" si="4"/>
        <v>1</v>
      </c>
      <c r="AE99" s="57" t="str">
        <f t="shared" si="5"/>
        <v>2026-04</v>
      </c>
      <c r="AF99" s="57">
        <f t="shared" si="6"/>
        <v>1</v>
      </c>
      <c r="AG99" s="59">
        <f t="shared" si="7"/>
        <v>1</v>
      </c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</row>
    <row r="100" ht="24.0" customHeight="1">
      <c r="A100" s="53">
        <v>93.0</v>
      </c>
      <c r="B100" s="54" t="s">
        <v>452</v>
      </c>
      <c r="C100" s="55" t="s">
        <v>82</v>
      </c>
      <c r="D100" s="55"/>
      <c r="E100" s="55" t="s">
        <v>453</v>
      </c>
      <c r="F100" s="55" t="s">
        <v>454</v>
      </c>
      <c r="G100" s="55">
        <v>43.0</v>
      </c>
      <c r="H100" s="55" t="s">
        <v>85</v>
      </c>
      <c r="I100" s="55" t="s">
        <v>86</v>
      </c>
      <c r="J100" s="56" t="s">
        <v>87</v>
      </c>
      <c r="K100" s="55" t="s">
        <v>455</v>
      </c>
      <c r="L100" s="55" t="s">
        <v>34</v>
      </c>
      <c r="M100" s="55" t="s">
        <v>89</v>
      </c>
      <c r="N100" s="55" t="s">
        <v>90</v>
      </c>
      <c r="O100" s="55"/>
      <c r="P100" s="55" t="s">
        <v>91</v>
      </c>
      <c r="Q100" s="55" t="s">
        <v>4</v>
      </c>
      <c r="R100" s="55"/>
      <c r="S100" s="55"/>
      <c r="T100" s="55"/>
      <c r="U100" s="55"/>
      <c r="V100" s="55"/>
      <c r="W100" s="55"/>
      <c r="X100" s="57" t="str">
        <f t="shared" si="2"/>
        <v>--093-26-04</v>
      </c>
      <c r="Y100" s="58" t="str">
        <f t="shared" ref="Y100:AC100" si="98">TRIM(SUBSTITUTE(SUBSTITUTE(OFFSET($Q100,0,COLUMN()-COLUMN($AL$1)),CHAR(160)," "),_xludf.UNICHAR(8239)," "))</f>
        <v>#NAME?</v>
      </c>
      <c r="Z100" s="58" t="str">
        <f t="shared" si="98"/>
        <v>#NAME?</v>
      </c>
      <c r="AA100" s="58" t="str">
        <f t="shared" si="98"/>
        <v>#NAME?</v>
      </c>
      <c r="AB100" s="58" t="str">
        <f t="shared" si="98"/>
        <v>#NAME?</v>
      </c>
      <c r="AC100" s="58" t="str">
        <f t="shared" si="98"/>
        <v>#NAME?</v>
      </c>
      <c r="AD100" s="57">
        <f t="shared" si="4"/>
        <v>1</v>
      </c>
      <c r="AE100" s="57" t="str">
        <f t="shared" si="5"/>
        <v>2026-04</v>
      </c>
      <c r="AF100" s="57">
        <f t="shared" si="6"/>
        <v>1</v>
      </c>
      <c r="AG100" s="59">
        <f t="shared" si="7"/>
        <v>1</v>
      </c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</row>
    <row r="101" ht="24.0" customHeight="1">
      <c r="A101" s="53">
        <v>94.0</v>
      </c>
      <c r="B101" s="54" t="s">
        <v>456</v>
      </c>
      <c r="C101" s="55" t="s">
        <v>82</v>
      </c>
      <c r="D101" s="55"/>
      <c r="E101" s="55" t="s">
        <v>457</v>
      </c>
      <c r="F101" s="55" t="s">
        <v>458</v>
      </c>
      <c r="G101" s="55">
        <v>45.0</v>
      </c>
      <c r="H101" s="55" t="s">
        <v>85</v>
      </c>
      <c r="I101" s="55" t="s">
        <v>86</v>
      </c>
      <c r="J101" s="56" t="s">
        <v>87</v>
      </c>
      <c r="K101" s="55" t="s">
        <v>459</v>
      </c>
      <c r="L101" s="55" t="s">
        <v>34</v>
      </c>
      <c r="M101" s="55" t="s">
        <v>89</v>
      </c>
      <c r="N101" s="55" t="s">
        <v>90</v>
      </c>
      <c r="O101" s="55"/>
      <c r="P101" s="55" t="s">
        <v>91</v>
      </c>
      <c r="Q101" s="55" t="s">
        <v>4</v>
      </c>
      <c r="R101" s="55"/>
      <c r="S101" s="55"/>
      <c r="T101" s="55"/>
      <c r="U101" s="55"/>
      <c r="V101" s="55"/>
      <c r="W101" s="55"/>
      <c r="X101" s="57" t="str">
        <f t="shared" si="2"/>
        <v>--094-26-04</v>
      </c>
      <c r="Y101" s="58" t="str">
        <f t="shared" ref="Y101:AC101" si="99">TRIM(SUBSTITUTE(SUBSTITUTE(OFFSET($Q101,0,COLUMN()-COLUMN($AL$1)),CHAR(160)," "),_xludf.UNICHAR(8239)," "))</f>
        <v>#NAME?</v>
      </c>
      <c r="Z101" s="58" t="str">
        <f t="shared" si="99"/>
        <v>#NAME?</v>
      </c>
      <c r="AA101" s="58" t="str">
        <f t="shared" si="99"/>
        <v>#NAME?</v>
      </c>
      <c r="AB101" s="58" t="str">
        <f t="shared" si="99"/>
        <v>#NAME?</v>
      </c>
      <c r="AC101" s="58" t="str">
        <f t="shared" si="99"/>
        <v>#NAME?</v>
      </c>
      <c r="AD101" s="57">
        <f t="shared" si="4"/>
        <v>1</v>
      </c>
      <c r="AE101" s="57" t="str">
        <f t="shared" si="5"/>
        <v>2026-04</v>
      </c>
      <c r="AF101" s="57">
        <f t="shared" si="6"/>
        <v>1</v>
      </c>
      <c r="AG101" s="59">
        <f t="shared" si="7"/>
        <v>1</v>
      </c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</row>
    <row r="102" ht="24.0" customHeight="1">
      <c r="A102" s="53">
        <v>95.0</v>
      </c>
      <c r="B102" s="54" t="s">
        <v>460</v>
      </c>
      <c r="C102" s="55" t="s">
        <v>82</v>
      </c>
      <c r="D102" s="55"/>
      <c r="E102" s="55" t="s">
        <v>461</v>
      </c>
      <c r="F102" s="55" t="s">
        <v>462</v>
      </c>
      <c r="G102" s="55">
        <v>3.0</v>
      </c>
      <c r="H102" s="55" t="s">
        <v>119</v>
      </c>
      <c r="I102" s="55" t="s">
        <v>112</v>
      </c>
      <c r="J102" s="56" t="s">
        <v>113</v>
      </c>
      <c r="K102" s="55" t="s">
        <v>463</v>
      </c>
      <c r="L102" s="55"/>
      <c r="M102" s="55" t="s">
        <v>115</v>
      </c>
      <c r="N102" s="55" t="s">
        <v>90</v>
      </c>
      <c r="O102" s="55"/>
      <c r="P102" s="55" t="s">
        <v>91</v>
      </c>
      <c r="Q102" s="55" t="s">
        <v>16</v>
      </c>
      <c r="R102" s="55"/>
      <c r="S102" s="55"/>
      <c r="T102" s="55"/>
      <c r="U102" s="55"/>
      <c r="V102" s="55"/>
      <c r="W102" s="55"/>
      <c r="X102" s="57" t="str">
        <f t="shared" si="2"/>
        <v>--095-26-04</v>
      </c>
      <c r="Y102" s="58" t="str">
        <f t="shared" ref="Y102:AC102" si="100">TRIM(SUBSTITUTE(SUBSTITUTE(OFFSET($Q102,0,COLUMN()-COLUMN($AL$1)),CHAR(160)," "),_xludf.UNICHAR(8239)," "))</f>
        <v>#NAME?</v>
      </c>
      <c r="Z102" s="58" t="str">
        <f t="shared" si="100"/>
        <v>#NAME?</v>
      </c>
      <c r="AA102" s="58" t="str">
        <f t="shared" si="100"/>
        <v>#NAME?</v>
      </c>
      <c r="AB102" s="58" t="str">
        <f t="shared" si="100"/>
        <v>#NAME?</v>
      </c>
      <c r="AC102" s="58" t="str">
        <f t="shared" si="100"/>
        <v>#NAME?</v>
      </c>
      <c r="AD102" s="57">
        <f t="shared" si="4"/>
        <v>1</v>
      </c>
      <c r="AE102" s="57" t="str">
        <f t="shared" si="5"/>
        <v>2026-04</v>
      </c>
      <c r="AF102" s="57">
        <f t="shared" si="6"/>
        <v>1</v>
      </c>
      <c r="AG102" s="59">
        <f t="shared" si="7"/>
        <v>1</v>
      </c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</row>
    <row r="103" ht="24.0" customHeight="1">
      <c r="A103" s="53">
        <v>96.0</v>
      </c>
      <c r="B103" s="54" t="s">
        <v>464</v>
      </c>
      <c r="C103" s="55" t="s">
        <v>82</v>
      </c>
      <c r="D103" s="55"/>
      <c r="E103" s="55" t="s">
        <v>465</v>
      </c>
      <c r="F103" s="55" t="s">
        <v>466</v>
      </c>
      <c r="G103" s="55">
        <v>26.0</v>
      </c>
      <c r="H103" s="55" t="s">
        <v>85</v>
      </c>
      <c r="I103" s="55" t="s">
        <v>112</v>
      </c>
      <c r="J103" s="56" t="s">
        <v>113</v>
      </c>
      <c r="K103" s="55" t="s">
        <v>467</v>
      </c>
      <c r="L103" s="55"/>
      <c r="M103" s="55" t="s">
        <v>89</v>
      </c>
      <c r="N103" s="55" t="s">
        <v>90</v>
      </c>
      <c r="O103" s="55"/>
      <c r="P103" s="55" t="s">
        <v>91</v>
      </c>
      <c r="Q103" s="55" t="s">
        <v>4</v>
      </c>
      <c r="R103" s="55"/>
      <c r="S103" s="55"/>
      <c r="T103" s="55"/>
      <c r="U103" s="55"/>
      <c r="V103" s="55"/>
      <c r="W103" s="55"/>
      <c r="X103" s="57" t="str">
        <f t="shared" si="2"/>
        <v>--096-26-04</v>
      </c>
      <c r="Y103" s="58" t="str">
        <f t="shared" ref="Y103:AC103" si="101">TRIM(SUBSTITUTE(SUBSTITUTE(OFFSET($Q103,0,COLUMN()-COLUMN($AL$1)),CHAR(160)," "),_xludf.UNICHAR(8239)," "))</f>
        <v>#NAME?</v>
      </c>
      <c r="Z103" s="58" t="str">
        <f t="shared" si="101"/>
        <v>#NAME?</v>
      </c>
      <c r="AA103" s="58" t="str">
        <f t="shared" si="101"/>
        <v>#NAME?</v>
      </c>
      <c r="AB103" s="58" t="str">
        <f t="shared" si="101"/>
        <v>#NAME?</v>
      </c>
      <c r="AC103" s="58" t="str">
        <f t="shared" si="101"/>
        <v>#NAME?</v>
      </c>
      <c r="AD103" s="57">
        <f t="shared" si="4"/>
        <v>1</v>
      </c>
      <c r="AE103" s="57" t="str">
        <f t="shared" si="5"/>
        <v>2026-04</v>
      </c>
      <c r="AF103" s="57">
        <f t="shared" si="6"/>
        <v>1</v>
      </c>
      <c r="AG103" s="59">
        <f t="shared" si="7"/>
        <v>1</v>
      </c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</row>
    <row r="104" ht="24.0" customHeight="1">
      <c r="A104" s="53">
        <v>97.0</v>
      </c>
      <c r="B104" s="54" t="s">
        <v>438</v>
      </c>
      <c r="C104" s="55" t="s">
        <v>82</v>
      </c>
      <c r="D104" s="60">
        <v>46138.0</v>
      </c>
      <c r="E104" s="55" t="s">
        <v>439</v>
      </c>
      <c r="F104" s="55" t="s">
        <v>440</v>
      </c>
      <c r="G104" s="55">
        <v>51.0</v>
      </c>
      <c r="H104" s="55" t="s">
        <v>85</v>
      </c>
      <c r="I104" s="55" t="s">
        <v>112</v>
      </c>
      <c r="J104" s="56" t="s">
        <v>113</v>
      </c>
      <c r="K104" s="55" t="s">
        <v>441</v>
      </c>
      <c r="L104" s="55" t="s">
        <v>34</v>
      </c>
      <c r="M104" s="55" t="s">
        <v>133</v>
      </c>
      <c r="N104" s="55" t="s">
        <v>90</v>
      </c>
      <c r="O104" s="55"/>
      <c r="P104" s="55" t="s">
        <v>91</v>
      </c>
      <c r="Q104" s="55"/>
      <c r="R104" s="55"/>
      <c r="S104" s="55"/>
      <c r="T104" s="55"/>
      <c r="U104" s="55"/>
      <c r="V104" s="55"/>
      <c r="W104" s="55"/>
      <c r="X104" s="57" t="str">
        <f t="shared" si="2"/>
        <v>--097-26-04</v>
      </c>
      <c r="Y104" s="58" t="str">
        <f t="shared" ref="Y104:AC104" si="102">TRIM(SUBSTITUTE(SUBSTITUTE(OFFSET($Q104,0,COLUMN()-COLUMN($AL$1)),CHAR(160)," "),_xludf.UNICHAR(8239)," "))</f>
        <v>#NAME?</v>
      </c>
      <c r="Z104" s="58" t="str">
        <f t="shared" si="102"/>
        <v>#NAME?</v>
      </c>
      <c r="AA104" s="58" t="str">
        <f t="shared" si="102"/>
        <v>#NAME?</v>
      </c>
      <c r="AB104" s="58" t="str">
        <f t="shared" si="102"/>
        <v>#NAME?</v>
      </c>
      <c r="AC104" s="58" t="str">
        <f t="shared" si="102"/>
        <v>#NAME?</v>
      </c>
      <c r="AD104" s="57">
        <f t="shared" si="4"/>
        <v>0</v>
      </c>
      <c r="AE104" s="57" t="str">
        <f t="shared" si="5"/>
        <v>2026-04</v>
      </c>
      <c r="AF104" s="57">
        <f t="shared" si="6"/>
        <v>0</v>
      </c>
      <c r="AG104" s="59">
        <f t="shared" si="7"/>
        <v>0</v>
      </c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</row>
    <row r="105" ht="24.0" customHeight="1">
      <c r="A105" s="53">
        <v>1.0</v>
      </c>
      <c r="B105" s="54" t="s">
        <v>468</v>
      </c>
      <c r="C105" s="55" t="s">
        <v>469</v>
      </c>
      <c r="D105" s="55"/>
      <c r="E105" s="55" t="s">
        <v>470</v>
      </c>
      <c r="F105" s="55" t="s">
        <v>471</v>
      </c>
      <c r="G105" s="55">
        <v>37.0</v>
      </c>
      <c r="H105" s="55" t="s">
        <v>85</v>
      </c>
      <c r="I105" s="55" t="s">
        <v>86</v>
      </c>
      <c r="J105" s="56" t="s">
        <v>87</v>
      </c>
      <c r="K105" s="55" t="s">
        <v>472</v>
      </c>
      <c r="L105" s="55" t="s">
        <v>41</v>
      </c>
      <c r="M105" s="55" t="s">
        <v>89</v>
      </c>
      <c r="N105" s="55" t="s">
        <v>90</v>
      </c>
      <c r="O105" s="55"/>
      <c r="P105" s="55" t="s">
        <v>91</v>
      </c>
      <c r="Q105" s="55"/>
      <c r="R105" s="55" t="s">
        <v>27</v>
      </c>
      <c r="S105" s="55"/>
      <c r="T105" s="55"/>
      <c r="U105" s="55"/>
      <c r="V105" s="55"/>
      <c r="W105" s="55"/>
      <c r="X105" s="57" t="str">
        <f t="shared" si="2"/>
        <v>--098-27-04</v>
      </c>
      <c r="Y105" s="58" t="str">
        <f t="shared" ref="Y105:AC105" si="103">TRIM(SUBSTITUTE(SUBSTITUTE(OFFSET($Q105,0,COLUMN()-COLUMN($AL$1)),CHAR(160)," "),_xludf.UNICHAR(8239)," "))</f>
        <v>#NAME?</v>
      </c>
      <c r="Z105" s="58" t="str">
        <f t="shared" si="103"/>
        <v>#NAME?</v>
      </c>
      <c r="AA105" s="58" t="str">
        <f t="shared" si="103"/>
        <v>#NAME?</v>
      </c>
      <c r="AB105" s="58" t="str">
        <f t="shared" si="103"/>
        <v>#NAME?</v>
      </c>
      <c r="AC105" s="58" t="str">
        <f t="shared" si="103"/>
        <v>#NAME?</v>
      </c>
      <c r="AD105" s="57">
        <f t="shared" si="4"/>
        <v>1</v>
      </c>
      <c r="AE105" s="57" t="str">
        <f t="shared" si="5"/>
        <v>2026-04</v>
      </c>
      <c r="AF105" s="57">
        <f t="shared" si="6"/>
        <v>1</v>
      </c>
      <c r="AG105" s="59">
        <f t="shared" si="7"/>
        <v>1</v>
      </c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</row>
    <row r="106" ht="24.0" customHeight="1">
      <c r="A106" s="53">
        <v>2.0</v>
      </c>
      <c r="B106" s="54" t="s">
        <v>473</v>
      </c>
      <c r="C106" s="55" t="s">
        <v>469</v>
      </c>
      <c r="D106" s="55"/>
      <c r="E106" s="55" t="s">
        <v>474</v>
      </c>
      <c r="F106" s="55" t="s">
        <v>475</v>
      </c>
      <c r="G106" s="55">
        <v>33.0</v>
      </c>
      <c r="H106" s="55" t="s">
        <v>85</v>
      </c>
      <c r="I106" s="55" t="s">
        <v>86</v>
      </c>
      <c r="J106" s="56" t="s">
        <v>87</v>
      </c>
      <c r="K106" s="55" t="s">
        <v>476</v>
      </c>
      <c r="L106" s="55" t="s">
        <v>34</v>
      </c>
      <c r="M106" s="55" t="s">
        <v>89</v>
      </c>
      <c r="N106" s="55" t="s">
        <v>90</v>
      </c>
      <c r="O106" s="55"/>
      <c r="P106" s="55" t="s">
        <v>91</v>
      </c>
      <c r="Q106" s="55"/>
      <c r="R106" s="55" t="s">
        <v>5</v>
      </c>
      <c r="S106" s="55"/>
      <c r="T106" s="55"/>
      <c r="U106" s="55" t="s">
        <v>7</v>
      </c>
      <c r="V106" s="55"/>
      <c r="W106" s="55"/>
      <c r="X106" s="57" t="str">
        <f t="shared" si="2"/>
        <v>--099-27-04</v>
      </c>
      <c r="Y106" s="58" t="str">
        <f t="shared" ref="Y106:AC106" si="104">TRIM(SUBSTITUTE(SUBSTITUTE(OFFSET($Q106,0,COLUMN()-COLUMN($AL$1)),CHAR(160)," "),_xludf.UNICHAR(8239)," "))</f>
        <v>#NAME?</v>
      </c>
      <c r="Z106" s="58" t="str">
        <f t="shared" si="104"/>
        <v>#NAME?</v>
      </c>
      <c r="AA106" s="58" t="str">
        <f t="shared" si="104"/>
        <v>#NAME?</v>
      </c>
      <c r="AB106" s="58" t="str">
        <f t="shared" si="104"/>
        <v>#NAME?</v>
      </c>
      <c r="AC106" s="58" t="str">
        <f t="shared" si="104"/>
        <v>#NAME?</v>
      </c>
      <c r="AD106" s="57">
        <f t="shared" si="4"/>
        <v>1</v>
      </c>
      <c r="AE106" s="57" t="str">
        <f t="shared" si="5"/>
        <v>2026-04</v>
      </c>
      <c r="AF106" s="57">
        <f t="shared" si="6"/>
        <v>1</v>
      </c>
      <c r="AG106" s="59">
        <f t="shared" si="7"/>
        <v>1</v>
      </c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</row>
    <row r="107" ht="24.0" customHeight="1">
      <c r="A107" s="53">
        <v>3.0</v>
      </c>
      <c r="B107" s="54" t="s">
        <v>477</v>
      </c>
      <c r="C107" s="55" t="s">
        <v>469</v>
      </c>
      <c r="D107" s="55"/>
      <c r="E107" s="55" t="s">
        <v>478</v>
      </c>
      <c r="F107" s="55" t="s">
        <v>479</v>
      </c>
      <c r="G107" s="55">
        <v>42.0</v>
      </c>
      <c r="H107" s="55" t="s">
        <v>85</v>
      </c>
      <c r="I107" s="55" t="s">
        <v>86</v>
      </c>
      <c r="J107" s="56" t="s">
        <v>87</v>
      </c>
      <c r="K107" s="55" t="s">
        <v>480</v>
      </c>
      <c r="L107" s="55" t="s">
        <v>12</v>
      </c>
      <c r="M107" s="55" t="s">
        <v>89</v>
      </c>
      <c r="N107" s="55" t="s">
        <v>90</v>
      </c>
      <c r="O107" s="55"/>
      <c r="P107" s="55" t="s">
        <v>91</v>
      </c>
      <c r="Q107" s="55"/>
      <c r="R107" s="55" t="s">
        <v>36</v>
      </c>
      <c r="S107" s="55"/>
      <c r="T107" s="55"/>
      <c r="U107" s="55"/>
      <c r="V107" s="55"/>
      <c r="W107" s="55"/>
      <c r="X107" s="57" t="str">
        <f t="shared" si="2"/>
        <v>--100-27-04</v>
      </c>
      <c r="Y107" s="58" t="str">
        <f t="shared" ref="Y107:AC107" si="105">TRIM(SUBSTITUTE(SUBSTITUTE(OFFSET($Q107,0,COLUMN()-COLUMN($AL$1)),CHAR(160)," "),_xludf.UNICHAR(8239)," "))</f>
        <v>#NAME?</v>
      </c>
      <c r="Z107" s="58" t="str">
        <f t="shared" si="105"/>
        <v>#NAME?</v>
      </c>
      <c r="AA107" s="58" t="str">
        <f t="shared" si="105"/>
        <v>#NAME?</v>
      </c>
      <c r="AB107" s="58" t="str">
        <f t="shared" si="105"/>
        <v>#NAME?</v>
      </c>
      <c r="AC107" s="58" t="str">
        <f t="shared" si="105"/>
        <v>#NAME?</v>
      </c>
      <c r="AD107" s="57">
        <f t="shared" si="4"/>
        <v>1</v>
      </c>
      <c r="AE107" s="57" t="str">
        <f t="shared" si="5"/>
        <v>2026-04</v>
      </c>
      <c r="AF107" s="57">
        <f t="shared" si="6"/>
        <v>1</v>
      </c>
      <c r="AG107" s="59">
        <f t="shared" si="7"/>
        <v>1</v>
      </c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</row>
    <row r="108" ht="24.0" customHeight="1">
      <c r="A108" s="53">
        <v>4.0</v>
      </c>
      <c r="B108" s="54" t="s">
        <v>481</v>
      </c>
      <c r="C108" s="55" t="s">
        <v>469</v>
      </c>
      <c r="D108" s="55"/>
      <c r="E108" s="55" t="s">
        <v>482</v>
      </c>
      <c r="F108" s="55" t="s">
        <v>483</v>
      </c>
      <c r="G108" s="55">
        <v>72.0</v>
      </c>
      <c r="H108" s="55" t="s">
        <v>260</v>
      </c>
      <c r="I108" s="55" t="s">
        <v>112</v>
      </c>
      <c r="J108" s="56" t="s">
        <v>113</v>
      </c>
      <c r="K108" s="55" t="s">
        <v>484</v>
      </c>
      <c r="L108" s="55"/>
      <c r="M108" s="55" t="s">
        <v>89</v>
      </c>
      <c r="N108" s="55" t="s">
        <v>90</v>
      </c>
      <c r="O108" s="55"/>
      <c r="P108" s="55" t="s">
        <v>91</v>
      </c>
      <c r="Q108" s="55" t="s">
        <v>4</v>
      </c>
      <c r="R108" s="55"/>
      <c r="S108" s="55"/>
      <c r="T108" s="55"/>
      <c r="U108" s="55"/>
      <c r="V108" s="55"/>
      <c r="W108" s="55"/>
      <c r="X108" s="57" t="str">
        <f t="shared" si="2"/>
        <v>--101-27-04</v>
      </c>
      <c r="Y108" s="58" t="str">
        <f t="shared" ref="Y108:AC108" si="106">TRIM(SUBSTITUTE(SUBSTITUTE(OFFSET($Q108,0,COLUMN()-COLUMN($AL$1)),CHAR(160)," "),_xludf.UNICHAR(8239)," "))</f>
        <v>#NAME?</v>
      </c>
      <c r="Z108" s="58" t="str">
        <f t="shared" si="106"/>
        <v>#NAME?</v>
      </c>
      <c r="AA108" s="58" t="str">
        <f t="shared" si="106"/>
        <v>#NAME?</v>
      </c>
      <c r="AB108" s="58" t="str">
        <f t="shared" si="106"/>
        <v>#NAME?</v>
      </c>
      <c r="AC108" s="58" t="str">
        <f t="shared" si="106"/>
        <v>#NAME?</v>
      </c>
      <c r="AD108" s="57">
        <f t="shared" si="4"/>
        <v>1</v>
      </c>
      <c r="AE108" s="57" t="str">
        <f t="shared" si="5"/>
        <v>2026-04</v>
      </c>
      <c r="AF108" s="57">
        <f t="shared" si="6"/>
        <v>1</v>
      </c>
      <c r="AG108" s="59">
        <f t="shared" si="7"/>
        <v>1</v>
      </c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</row>
    <row r="109" ht="24.0" customHeight="1">
      <c r="A109" s="53">
        <v>5.0</v>
      </c>
      <c r="B109" s="54" t="s">
        <v>485</v>
      </c>
      <c r="C109" s="55" t="s">
        <v>469</v>
      </c>
      <c r="D109" s="55"/>
      <c r="E109" s="55" t="s">
        <v>486</v>
      </c>
      <c r="F109" s="55" t="s">
        <v>487</v>
      </c>
      <c r="G109" s="55">
        <v>66.0</v>
      </c>
      <c r="H109" s="55" t="s">
        <v>260</v>
      </c>
      <c r="I109" s="55" t="s">
        <v>86</v>
      </c>
      <c r="J109" s="56" t="s">
        <v>87</v>
      </c>
      <c r="K109" s="55">
        <v>5.9996235E8</v>
      </c>
      <c r="L109" s="55" t="s">
        <v>34</v>
      </c>
      <c r="M109" s="55" t="s">
        <v>89</v>
      </c>
      <c r="N109" s="55" t="s">
        <v>90</v>
      </c>
      <c r="O109" s="55"/>
      <c r="P109" s="55" t="s">
        <v>91</v>
      </c>
      <c r="Q109" s="55" t="s">
        <v>4</v>
      </c>
      <c r="R109" s="55"/>
      <c r="S109" s="55"/>
      <c r="T109" s="55"/>
      <c r="U109" s="55"/>
      <c r="V109" s="55"/>
      <c r="W109" s="55"/>
      <c r="X109" s="57" t="str">
        <f t="shared" si="2"/>
        <v>--102-27-04</v>
      </c>
      <c r="Y109" s="58" t="str">
        <f t="shared" ref="Y109:AC109" si="107">TRIM(SUBSTITUTE(SUBSTITUTE(OFFSET($Q109,0,COLUMN()-COLUMN($AL$1)),CHAR(160)," "),_xludf.UNICHAR(8239)," "))</f>
        <v>#NAME?</v>
      </c>
      <c r="Z109" s="58" t="str">
        <f t="shared" si="107"/>
        <v>#NAME?</v>
      </c>
      <c r="AA109" s="58" t="str">
        <f t="shared" si="107"/>
        <v>#NAME?</v>
      </c>
      <c r="AB109" s="58" t="str">
        <f t="shared" si="107"/>
        <v>#NAME?</v>
      </c>
      <c r="AC109" s="58" t="str">
        <f t="shared" si="107"/>
        <v>#NAME?</v>
      </c>
      <c r="AD109" s="57">
        <f t="shared" si="4"/>
        <v>1</v>
      </c>
      <c r="AE109" s="57" t="str">
        <f t="shared" si="5"/>
        <v>2026-04</v>
      </c>
      <c r="AF109" s="57">
        <f t="shared" si="6"/>
        <v>1</v>
      </c>
      <c r="AG109" s="59">
        <f t="shared" si="7"/>
        <v>1</v>
      </c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</row>
    <row r="110" ht="24.0" customHeight="1">
      <c r="A110" s="53">
        <v>6.0</v>
      </c>
      <c r="B110" s="54" t="s">
        <v>488</v>
      </c>
      <c r="C110" s="55" t="s">
        <v>469</v>
      </c>
      <c r="D110" s="55"/>
      <c r="E110" s="55" t="s">
        <v>489</v>
      </c>
      <c r="F110" s="55" t="s">
        <v>490</v>
      </c>
      <c r="G110" s="55">
        <v>7.0</v>
      </c>
      <c r="H110" s="55" t="s">
        <v>111</v>
      </c>
      <c r="I110" s="55" t="s">
        <v>112</v>
      </c>
      <c r="J110" s="56" t="s">
        <v>113</v>
      </c>
      <c r="K110" s="55" t="s">
        <v>491</v>
      </c>
      <c r="L110" s="55" t="s">
        <v>34</v>
      </c>
      <c r="M110" s="55" t="s">
        <v>115</v>
      </c>
      <c r="N110" s="55" t="s">
        <v>90</v>
      </c>
      <c r="O110" s="55"/>
      <c r="P110" s="55" t="s">
        <v>91</v>
      </c>
      <c r="Q110" s="55" t="s">
        <v>16</v>
      </c>
      <c r="R110" s="55"/>
      <c r="S110" s="55"/>
      <c r="T110" s="55"/>
      <c r="U110" s="55"/>
      <c r="V110" s="55"/>
      <c r="W110" s="55"/>
      <c r="X110" s="57" t="str">
        <f t="shared" si="2"/>
        <v>--103-27-04</v>
      </c>
      <c r="Y110" s="58" t="str">
        <f t="shared" ref="Y110:AC110" si="108">TRIM(SUBSTITUTE(SUBSTITUTE(OFFSET($Q110,0,COLUMN()-COLUMN($AL$1)),CHAR(160)," "),_xludf.UNICHAR(8239)," "))</f>
        <v>#NAME?</v>
      </c>
      <c r="Z110" s="58" t="str">
        <f t="shared" si="108"/>
        <v>#NAME?</v>
      </c>
      <c r="AA110" s="58" t="str">
        <f t="shared" si="108"/>
        <v>#NAME?</v>
      </c>
      <c r="AB110" s="58" t="str">
        <f t="shared" si="108"/>
        <v>#NAME?</v>
      </c>
      <c r="AC110" s="58" t="str">
        <f t="shared" si="108"/>
        <v>#NAME?</v>
      </c>
      <c r="AD110" s="57">
        <f t="shared" si="4"/>
        <v>1</v>
      </c>
      <c r="AE110" s="57" t="str">
        <f t="shared" si="5"/>
        <v>2026-04</v>
      </c>
      <c r="AF110" s="57">
        <f t="shared" si="6"/>
        <v>1</v>
      </c>
      <c r="AG110" s="59">
        <f t="shared" si="7"/>
        <v>1</v>
      </c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</row>
    <row r="111" ht="24.0" customHeight="1">
      <c r="A111" s="53">
        <v>7.0</v>
      </c>
      <c r="B111" s="54" t="s">
        <v>402</v>
      </c>
      <c r="C111" s="55" t="s">
        <v>469</v>
      </c>
      <c r="D111" s="60">
        <v>46138.0</v>
      </c>
      <c r="E111" s="55" t="s">
        <v>403</v>
      </c>
      <c r="F111" s="55" t="s">
        <v>404</v>
      </c>
      <c r="G111" s="55">
        <v>57.0</v>
      </c>
      <c r="H111" s="55" t="s">
        <v>85</v>
      </c>
      <c r="I111" s="55" t="s">
        <v>112</v>
      </c>
      <c r="J111" s="56" t="s">
        <v>113</v>
      </c>
      <c r="K111" s="55" t="s">
        <v>405</v>
      </c>
      <c r="L111" s="55" t="s">
        <v>34</v>
      </c>
      <c r="M111" s="55" t="s">
        <v>89</v>
      </c>
      <c r="N111" s="55" t="s">
        <v>90</v>
      </c>
      <c r="O111" s="55"/>
      <c r="P111" s="55" t="s">
        <v>91</v>
      </c>
      <c r="Q111" s="55" t="s">
        <v>4</v>
      </c>
      <c r="R111" s="55"/>
      <c r="S111" s="55"/>
      <c r="T111" s="55"/>
      <c r="U111" s="55"/>
      <c r="V111" s="55"/>
      <c r="W111" s="55"/>
      <c r="X111" s="57" t="str">
        <f t="shared" si="2"/>
        <v>--104-27-04</v>
      </c>
      <c r="Y111" s="58" t="str">
        <f t="shared" ref="Y111:AC111" si="109">TRIM(SUBSTITUTE(SUBSTITUTE(OFFSET($Q111,0,COLUMN()-COLUMN($AL$1)),CHAR(160)," "),_xludf.UNICHAR(8239)," "))</f>
        <v>#NAME?</v>
      </c>
      <c r="Z111" s="58" t="str">
        <f t="shared" si="109"/>
        <v>#NAME?</v>
      </c>
      <c r="AA111" s="58" t="str">
        <f t="shared" si="109"/>
        <v>#NAME?</v>
      </c>
      <c r="AB111" s="58" t="str">
        <f t="shared" si="109"/>
        <v>#NAME?</v>
      </c>
      <c r="AC111" s="58" t="str">
        <f t="shared" si="109"/>
        <v>#NAME?</v>
      </c>
      <c r="AD111" s="57">
        <f t="shared" si="4"/>
        <v>1</v>
      </c>
      <c r="AE111" s="57" t="str">
        <f t="shared" si="5"/>
        <v>2026-04</v>
      </c>
      <c r="AF111" s="57">
        <f t="shared" si="6"/>
        <v>0</v>
      </c>
      <c r="AG111" s="59">
        <f t="shared" si="7"/>
        <v>0</v>
      </c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</row>
    <row r="112" ht="24.0" customHeight="1">
      <c r="A112" s="53">
        <v>8.0</v>
      </c>
      <c r="B112" s="54" t="s">
        <v>492</v>
      </c>
      <c r="C112" s="55" t="s">
        <v>469</v>
      </c>
      <c r="D112" s="55"/>
      <c r="E112" s="55" t="s">
        <v>493</v>
      </c>
      <c r="F112" s="55" t="s">
        <v>494</v>
      </c>
      <c r="G112" s="55">
        <v>47.0</v>
      </c>
      <c r="H112" s="55" t="s">
        <v>85</v>
      </c>
      <c r="I112" s="55" t="s">
        <v>86</v>
      </c>
      <c r="J112" s="56" t="s">
        <v>87</v>
      </c>
      <c r="K112" s="55" t="s">
        <v>495</v>
      </c>
      <c r="L112" s="55" t="s">
        <v>34</v>
      </c>
      <c r="M112" s="55" t="s">
        <v>89</v>
      </c>
      <c r="N112" s="55" t="s">
        <v>90</v>
      </c>
      <c r="O112" s="55"/>
      <c r="P112" s="55" t="s">
        <v>91</v>
      </c>
      <c r="Q112" s="55" t="s">
        <v>4</v>
      </c>
      <c r="R112" s="55"/>
      <c r="S112" s="55"/>
      <c r="T112" s="55"/>
      <c r="U112" s="55"/>
      <c r="V112" s="55"/>
      <c r="W112" s="55"/>
      <c r="X112" s="57" t="str">
        <f t="shared" si="2"/>
        <v>--105-27-04</v>
      </c>
      <c r="Y112" s="58" t="str">
        <f t="shared" ref="Y112:AC112" si="110">TRIM(SUBSTITUTE(SUBSTITUTE(OFFSET($Q112,0,COLUMN()-COLUMN($AL$1)),CHAR(160)," "),_xludf.UNICHAR(8239)," "))</f>
        <v>#NAME?</v>
      </c>
      <c r="Z112" s="58" t="str">
        <f t="shared" si="110"/>
        <v>#NAME?</v>
      </c>
      <c r="AA112" s="58" t="str">
        <f t="shared" si="110"/>
        <v>#NAME?</v>
      </c>
      <c r="AB112" s="58" t="str">
        <f t="shared" si="110"/>
        <v>#NAME?</v>
      </c>
      <c r="AC112" s="58" t="str">
        <f t="shared" si="110"/>
        <v>#NAME?</v>
      </c>
      <c r="AD112" s="57">
        <f t="shared" si="4"/>
        <v>1</v>
      </c>
      <c r="AE112" s="57" t="str">
        <f t="shared" si="5"/>
        <v>2026-04</v>
      </c>
      <c r="AF112" s="57">
        <f t="shared" si="6"/>
        <v>1</v>
      </c>
      <c r="AG112" s="59">
        <f t="shared" si="7"/>
        <v>1</v>
      </c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</row>
    <row r="113" ht="24.0" customHeight="1">
      <c r="A113" s="53">
        <v>9.0</v>
      </c>
      <c r="B113" s="54" t="s">
        <v>496</v>
      </c>
      <c r="C113" s="55" t="s">
        <v>469</v>
      </c>
      <c r="D113" s="55"/>
      <c r="E113" s="55" t="s">
        <v>497</v>
      </c>
      <c r="F113" s="55" t="s">
        <v>498</v>
      </c>
      <c r="G113" s="55">
        <v>35.0</v>
      </c>
      <c r="H113" s="55" t="s">
        <v>85</v>
      </c>
      <c r="I113" s="55" t="s">
        <v>86</v>
      </c>
      <c r="J113" s="56" t="s">
        <v>87</v>
      </c>
      <c r="K113" s="55" t="s">
        <v>499</v>
      </c>
      <c r="L113" s="55" t="s">
        <v>41</v>
      </c>
      <c r="M113" s="55" t="s">
        <v>89</v>
      </c>
      <c r="N113" s="55" t="s">
        <v>90</v>
      </c>
      <c r="O113" s="55"/>
      <c r="P113" s="55" t="s">
        <v>91</v>
      </c>
      <c r="Q113" s="55" t="s">
        <v>4</v>
      </c>
      <c r="R113" s="55" t="s">
        <v>27</v>
      </c>
      <c r="S113" s="55"/>
      <c r="T113" s="55"/>
      <c r="U113" s="55"/>
      <c r="V113" s="55"/>
      <c r="W113" s="55"/>
      <c r="X113" s="57" t="str">
        <f t="shared" si="2"/>
        <v>--106-27-04</v>
      </c>
      <c r="Y113" s="58" t="str">
        <f t="shared" ref="Y113:AC113" si="111">TRIM(SUBSTITUTE(SUBSTITUTE(OFFSET($Q113,0,COLUMN()-COLUMN($AL$1)),CHAR(160)," "),_xludf.UNICHAR(8239)," "))</f>
        <v>#NAME?</v>
      </c>
      <c r="Z113" s="58" t="str">
        <f t="shared" si="111"/>
        <v>#NAME?</v>
      </c>
      <c r="AA113" s="58" t="str">
        <f t="shared" si="111"/>
        <v>#NAME?</v>
      </c>
      <c r="AB113" s="58" t="str">
        <f t="shared" si="111"/>
        <v>#NAME?</v>
      </c>
      <c r="AC113" s="58" t="str">
        <f t="shared" si="111"/>
        <v>#NAME?</v>
      </c>
      <c r="AD113" s="57">
        <f t="shared" si="4"/>
        <v>1</v>
      </c>
      <c r="AE113" s="57" t="str">
        <f t="shared" si="5"/>
        <v>2026-04</v>
      </c>
      <c r="AF113" s="57">
        <f t="shared" si="6"/>
        <v>1</v>
      </c>
      <c r="AG113" s="59">
        <f t="shared" si="7"/>
        <v>1</v>
      </c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</row>
    <row r="114" ht="24.0" customHeight="1">
      <c r="A114" s="53">
        <v>10.0</v>
      </c>
      <c r="B114" s="54" t="s">
        <v>500</v>
      </c>
      <c r="C114" s="55" t="s">
        <v>469</v>
      </c>
      <c r="D114" s="55"/>
      <c r="E114" s="55" t="s">
        <v>501</v>
      </c>
      <c r="F114" s="55" t="s">
        <v>502</v>
      </c>
      <c r="G114" s="55">
        <v>38.0</v>
      </c>
      <c r="H114" s="55" t="s">
        <v>85</v>
      </c>
      <c r="I114" s="55" t="s">
        <v>86</v>
      </c>
      <c r="J114" s="56" t="s">
        <v>87</v>
      </c>
      <c r="K114" s="55" t="s">
        <v>503</v>
      </c>
      <c r="L114" s="55" t="s">
        <v>34</v>
      </c>
      <c r="M114" s="55" t="s">
        <v>89</v>
      </c>
      <c r="N114" s="55" t="s">
        <v>90</v>
      </c>
      <c r="O114" s="55"/>
      <c r="P114" s="55" t="s">
        <v>91</v>
      </c>
      <c r="Q114" s="55"/>
      <c r="R114" s="55" t="s">
        <v>5</v>
      </c>
      <c r="S114" s="55"/>
      <c r="T114" s="55"/>
      <c r="U114" s="55" t="s">
        <v>7</v>
      </c>
      <c r="V114" s="55"/>
      <c r="W114" s="55"/>
      <c r="X114" s="57" t="str">
        <f t="shared" si="2"/>
        <v>--107-27-04</v>
      </c>
      <c r="Y114" s="58" t="str">
        <f t="shared" ref="Y114:AC114" si="112">TRIM(SUBSTITUTE(SUBSTITUTE(OFFSET($Q114,0,COLUMN()-COLUMN($AL$1)),CHAR(160)," "),_xludf.UNICHAR(8239)," "))</f>
        <v>#NAME?</v>
      </c>
      <c r="Z114" s="58" t="str">
        <f t="shared" si="112"/>
        <v>#NAME?</v>
      </c>
      <c r="AA114" s="58" t="str">
        <f t="shared" si="112"/>
        <v>#NAME?</v>
      </c>
      <c r="AB114" s="58" t="str">
        <f t="shared" si="112"/>
        <v>#NAME?</v>
      </c>
      <c r="AC114" s="58" t="str">
        <f t="shared" si="112"/>
        <v>#NAME?</v>
      </c>
      <c r="AD114" s="57">
        <f t="shared" si="4"/>
        <v>1</v>
      </c>
      <c r="AE114" s="57" t="str">
        <f t="shared" si="5"/>
        <v>2026-04</v>
      </c>
      <c r="AF114" s="57">
        <f t="shared" si="6"/>
        <v>1</v>
      </c>
      <c r="AG114" s="59">
        <f t="shared" si="7"/>
        <v>1</v>
      </c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</row>
    <row r="115" ht="24.0" customHeight="1">
      <c r="A115" s="53">
        <v>11.0</v>
      </c>
      <c r="B115" s="54" t="s">
        <v>504</v>
      </c>
      <c r="C115" s="55" t="s">
        <v>469</v>
      </c>
      <c r="D115" s="55"/>
      <c r="E115" s="55" t="s">
        <v>505</v>
      </c>
      <c r="F115" s="55" t="s">
        <v>506</v>
      </c>
      <c r="G115" s="55">
        <v>38.0</v>
      </c>
      <c r="H115" s="55" t="s">
        <v>85</v>
      </c>
      <c r="I115" s="55" t="s">
        <v>112</v>
      </c>
      <c r="J115" s="56" t="s">
        <v>113</v>
      </c>
      <c r="K115" s="55" t="s">
        <v>507</v>
      </c>
      <c r="L115" s="55" t="s">
        <v>34</v>
      </c>
      <c r="M115" s="55" t="s">
        <v>89</v>
      </c>
      <c r="N115" s="55" t="s">
        <v>90</v>
      </c>
      <c r="O115" s="55"/>
      <c r="P115" s="55" t="s">
        <v>91</v>
      </c>
      <c r="Q115" s="55" t="s">
        <v>4</v>
      </c>
      <c r="R115" s="55"/>
      <c r="S115" s="55"/>
      <c r="T115" s="55"/>
      <c r="U115" s="55"/>
      <c r="V115" s="55"/>
      <c r="W115" s="55"/>
      <c r="X115" s="57" t="str">
        <f t="shared" si="2"/>
        <v>--108-27-04</v>
      </c>
      <c r="Y115" s="58" t="str">
        <f t="shared" ref="Y115:AC115" si="113">TRIM(SUBSTITUTE(SUBSTITUTE(OFFSET($Q115,0,COLUMN()-COLUMN($AL$1)),CHAR(160)," "),_xludf.UNICHAR(8239)," "))</f>
        <v>#NAME?</v>
      </c>
      <c r="Z115" s="58" t="str">
        <f t="shared" si="113"/>
        <v>#NAME?</v>
      </c>
      <c r="AA115" s="58" t="str">
        <f t="shared" si="113"/>
        <v>#NAME?</v>
      </c>
      <c r="AB115" s="58" t="str">
        <f t="shared" si="113"/>
        <v>#NAME?</v>
      </c>
      <c r="AC115" s="58" t="str">
        <f t="shared" si="113"/>
        <v>#NAME?</v>
      </c>
      <c r="AD115" s="57">
        <f t="shared" si="4"/>
        <v>1</v>
      </c>
      <c r="AE115" s="57" t="str">
        <f t="shared" si="5"/>
        <v>2026-04</v>
      </c>
      <c r="AF115" s="57">
        <f t="shared" si="6"/>
        <v>1</v>
      </c>
      <c r="AG115" s="59">
        <f t="shared" si="7"/>
        <v>1</v>
      </c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</row>
    <row r="116" ht="24.0" customHeight="1">
      <c r="A116" s="53">
        <v>12.0</v>
      </c>
      <c r="B116" s="54" t="s">
        <v>508</v>
      </c>
      <c r="C116" s="55" t="s">
        <v>469</v>
      </c>
      <c r="D116" s="55"/>
      <c r="E116" s="55" t="s">
        <v>509</v>
      </c>
      <c r="F116" s="55" t="s">
        <v>510</v>
      </c>
      <c r="G116" s="55">
        <v>32.0</v>
      </c>
      <c r="H116" s="55" t="s">
        <v>85</v>
      </c>
      <c r="I116" s="55" t="s">
        <v>86</v>
      </c>
      <c r="J116" s="56" t="s">
        <v>87</v>
      </c>
      <c r="K116" s="55" t="s">
        <v>507</v>
      </c>
      <c r="L116" s="55" t="s">
        <v>34</v>
      </c>
      <c r="M116" s="55" t="s">
        <v>89</v>
      </c>
      <c r="N116" s="55" t="s">
        <v>90</v>
      </c>
      <c r="O116" s="55"/>
      <c r="P116" s="55" t="s">
        <v>91</v>
      </c>
      <c r="Q116" s="55" t="s">
        <v>4</v>
      </c>
      <c r="R116" s="55"/>
      <c r="S116" s="55"/>
      <c r="T116" s="55"/>
      <c r="U116" s="55"/>
      <c r="V116" s="55"/>
      <c r="W116" s="55"/>
      <c r="X116" s="57" t="str">
        <f t="shared" si="2"/>
        <v>--109-27-04</v>
      </c>
      <c r="Y116" s="58" t="str">
        <f t="shared" ref="Y116:AC116" si="114">TRIM(SUBSTITUTE(SUBSTITUTE(OFFSET($Q116,0,COLUMN()-COLUMN($AL$1)),CHAR(160)," "),_xludf.UNICHAR(8239)," "))</f>
        <v>#NAME?</v>
      </c>
      <c r="Z116" s="58" t="str">
        <f t="shared" si="114"/>
        <v>#NAME?</v>
      </c>
      <c r="AA116" s="58" t="str">
        <f t="shared" si="114"/>
        <v>#NAME?</v>
      </c>
      <c r="AB116" s="58" t="str">
        <f t="shared" si="114"/>
        <v>#NAME?</v>
      </c>
      <c r="AC116" s="58" t="str">
        <f t="shared" si="114"/>
        <v>#NAME?</v>
      </c>
      <c r="AD116" s="57">
        <f t="shared" si="4"/>
        <v>1</v>
      </c>
      <c r="AE116" s="57" t="str">
        <f t="shared" si="5"/>
        <v>2026-04</v>
      </c>
      <c r="AF116" s="57">
        <f t="shared" si="6"/>
        <v>1</v>
      </c>
      <c r="AG116" s="59">
        <f t="shared" si="7"/>
        <v>1</v>
      </c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</row>
    <row r="117" ht="24.0" customHeight="1">
      <c r="A117" s="53">
        <v>13.0</v>
      </c>
      <c r="B117" s="54" t="s">
        <v>511</v>
      </c>
      <c r="C117" s="55" t="s">
        <v>469</v>
      </c>
      <c r="D117" s="55"/>
      <c r="E117" s="55" t="s">
        <v>512</v>
      </c>
      <c r="F117" s="55" t="s">
        <v>513</v>
      </c>
      <c r="G117" s="55">
        <v>25.0</v>
      </c>
      <c r="H117" s="55" t="s">
        <v>85</v>
      </c>
      <c r="I117" s="55" t="s">
        <v>86</v>
      </c>
      <c r="J117" s="56" t="s">
        <v>87</v>
      </c>
      <c r="K117" s="55" t="s">
        <v>514</v>
      </c>
      <c r="L117" s="55" t="s">
        <v>34</v>
      </c>
      <c r="M117" s="55" t="s">
        <v>89</v>
      </c>
      <c r="N117" s="55" t="s">
        <v>90</v>
      </c>
      <c r="O117" s="55"/>
      <c r="P117" s="55" t="s">
        <v>91</v>
      </c>
      <c r="Q117" s="55"/>
      <c r="R117" s="55" t="s">
        <v>5</v>
      </c>
      <c r="S117" s="55"/>
      <c r="T117" s="55"/>
      <c r="U117" s="55" t="s">
        <v>7</v>
      </c>
      <c r="V117" s="55"/>
      <c r="W117" s="55"/>
      <c r="X117" s="57" t="str">
        <f t="shared" si="2"/>
        <v>--110-27-04</v>
      </c>
      <c r="Y117" s="58" t="str">
        <f t="shared" ref="Y117:AC117" si="115">TRIM(SUBSTITUTE(SUBSTITUTE(OFFSET($Q117,0,COLUMN()-COLUMN($AL$1)),CHAR(160)," "),_xludf.UNICHAR(8239)," "))</f>
        <v>#NAME?</v>
      </c>
      <c r="Z117" s="58" t="str">
        <f t="shared" si="115"/>
        <v>#NAME?</v>
      </c>
      <c r="AA117" s="58" t="str">
        <f t="shared" si="115"/>
        <v>#NAME?</v>
      </c>
      <c r="AB117" s="58" t="str">
        <f t="shared" si="115"/>
        <v>#NAME?</v>
      </c>
      <c r="AC117" s="58" t="str">
        <f t="shared" si="115"/>
        <v>#NAME?</v>
      </c>
      <c r="AD117" s="57">
        <f t="shared" si="4"/>
        <v>1</v>
      </c>
      <c r="AE117" s="57" t="str">
        <f t="shared" si="5"/>
        <v>2026-04</v>
      </c>
      <c r="AF117" s="57">
        <f t="shared" si="6"/>
        <v>1</v>
      </c>
      <c r="AG117" s="59">
        <f t="shared" si="7"/>
        <v>1</v>
      </c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</row>
    <row r="118" ht="24.0" customHeight="1">
      <c r="A118" s="53">
        <v>14.0</v>
      </c>
      <c r="B118" s="54" t="s">
        <v>515</v>
      </c>
      <c r="C118" s="55" t="s">
        <v>469</v>
      </c>
      <c r="D118" s="55"/>
      <c r="E118" s="55" t="s">
        <v>516</v>
      </c>
      <c r="F118" s="55" t="s">
        <v>517</v>
      </c>
      <c r="G118" s="55">
        <v>20.0</v>
      </c>
      <c r="H118" s="55" t="s">
        <v>85</v>
      </c>
      <c r="I118" s="55" t="s">
        <v>86</v>
      </c>
      <c r="J118" s="56" t="s">
        <v>87</v>
      </c>
      <c r="K118" s="55" t="s">
        <v>518</v>
      </c>
      <c r="L118" s="55" t="s">
        <v>34</v>
      </c>
      <c r="M118" s="55" t="s">
        <v>89</v>
      </c>
      <c r="N118" s="55" t="s">
        <v>90</v>
      </c>
      <c r="O118" s="55"/>
      <c r="P118" s="55" t="s">
        <v>91</v>
      </c>
      <c r="Q118" s="55"/>
      <c r="R118" s="55" t="s">
        <v>5</v>
      </c>
      <c r="S118" s="55"/>
      <c r="T118" s="55"/>
      <c r="U118" s="55" t="s">
        <v>7</v>
      </c>
      <c r="V118" s="55"/>
      <c r="W118" s="55"/>
      <c r="X118" s="57" t="str">
        <f t="shared" si="2"/>
        <v>--111-27-04</v>
      </c>
      <c r="Y118" s="58" t="str">
        <f t="shared" ref="Y118:AC118" si="116">TRIM(SUBSTITUTE(SUBSTITUTE(OFFSET($Q118,0,COLUMN()-COLUMN($AL$1)),CHAR(160)," "),_xludf.UNICHAR(8239)," "))</f>
        <v>#NAME?</v>
      </c>
      <c r="Z118" s="58" t="str">
        <f t="shared" si="116"/>
        <v>#NAME?</v>
      </c>
      <c r="AA118" s="58" t="str">
        <f t="shared" si="116"/>
        <v>#NAME?</v>
      </c>
      <c r="AB118" s="58" t="str">
        <f t="shared" si="116"/>
        <v>#NAME?</v>
      </c>
      <c r="AC118" s="58" t="str">
        <f t="shared" si="116"/>
        <v>#NAME?</v>
      </c>
      <c r="AD118" s="57">
        <f t="shared" si="4"/>
        <v>1</v>
      </c>
      <c r="AE118" s="57" t="str">
        <f t="shared" si="5"/>
        <v>2026-04</v>
      </c>
      <c r="AF118" s="57">
        <f t="shared" si="6"/>
        <v>1</v>
      </c>
      <c r="AG118" s="59">
        <f t="shared" si="7"/>
        <v>1</v>
      </c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</row>
    <row r="119" ht="24.0" customHeight="1">
      <c r="A119" s="53">
        <v>15.0</v>
      </c>
      <c r="B119" s="54" t="s">
        <v>519</v>
      </c>
      <c r="C119" s="55" t="s">
        <v>469</v>
      </c>
      <c r="D119" s="55"/>
      <c r="E119" s="55" t="s">
        <v>520</v>
      </c>
      <c r="F119" s="55" t="s">
        <v>521</v>
      </c>
      <c r="G119" s="55">
        <v>22.0</v>
      </c>
      <c r="H119" s="55" t="s">
        <v>85</v>
      </c>
      <c r="I119" s="55" t="s">
        <v>86</v>
      </c>
      <c r="J119" s="56" t="s">
        <v>87</v>
      </c>
      <c r="K119" s="55" t="s">
        <v>522</v>
      </c>
      <c r="L119" s="55" t="s">
        <v>34</v>
      </c>
      <c r="M119" s="55" t="s">
        <v>89</v>
      </c>
      <c r="N119" s="55" t="s">
        <v>90</v>
      </c>
      <c r="O119" s="55"/>
      <c r="P119" s="55" t="s">
        <v>91</v>
      </c>
      <c r="Q119" s="55"/>
      <c r="R119" s="55" t="s">
        <v>27</v>
      </c>
      <c r="S119" s="55"/>
      <c r="T119" s="55"/>
      <c r="U119" s="55"/>
      <c r="V119" s="55"/>
      <c r="W119" s="55"/>
      <c r="X119" s="57" t="str">
        <f t="shared" si="2"/>
        <v>--112-27-04</v>
      </c>
      <c r="Y119" s="58" t="str">
        <f t="shared" ref="Y119:AC119" si="117">TRIM(SUBSTITUTE(SUBSTITUTE(OFFSET($Q119,0,COLUMN()-COLUMN($AL$1)),CHAR(160)," "),_xludf.UNICHAR(8239)," "))</f>
        <v>#NAME?</v>
      </c>
      <c r="Z119" s="58" t="str">
        <f t="shared" si="117"/>
        <v>#NAME?</v>
      </c>
      <c r="AA119" s="58" t="str">
        <f t="shared" si="117"/>
        <v>#NAME?</v>
      </c>
      <c r="AB119" s="58" t="str">
        <f t="shared" si="117"/>
        <v>#NAME?</v>
      </c>
      <c r="AC119" s="58" t="str">
        <f t="shared" si="117"/>
        <v>#NAME?</v>
      </c>
      <c r="AD119" s="57">
        <f t="shared" si="4"/>
        <v>1</v>
      </c>
      <c r="AE119" s="57" t="str">
        <f t="shared" si="5"/>
        <v>2026-04</v>
      </c>
      <c r="AF119" s="57">
        <f t="shared" si="6"/>
        <v>1</v>
      </c>
      <c r="AG119" s="59">
        <f t="shared" si="7"/>
        <v>1</v>
      </c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</row>
    <row r="120" ht="24.0" customHeight="1">
      <c r="A120" s="53">
        <v>16.0</v>
      </c>
      <c r="B120" s="54" t="s">
        <v>523</v>
      </c>
      <c r="C120" s="55" t="s">
        <v>469</v>
      </c>
      <c r="D120" s="55"/>
      <c r="E120" s="55" t="s">
        <v>524</v>
      </c>
      <c r="F120" s="55" t="s">
        <v>525</v>
      </c>
      <c r="G120" s="55">
        <v>41.0</v>
      </c>
      <c r="H120" s="55" t="s">
        <v>85</v>
      </c>
      <c r="I120" s="55" t="s">
        <v>86</v>
      </c>
      <c r="J120" s="56" t="s">
        <v>87</v>
      </c>
      <c r="K120" s="55" t="s">
        <v>526</v>
      </c>
      <c r="L120" s="55" t="s">
        <v>34</v>
      </c>
      <c r="M120" s="55" t="s">
        <v>89</v>
      </c>
      <c r="N120" s="55" t="s">
        <v>90</v>
      </c>
      <c r="O120" s="55"/>
      <c r="P120" s="55" t="s">
        <v>91</v>
      </c>
      <c r="Q120" s="55"/>
      <c r="R120" s="55" t="s">
        <v>36</v>
      </c>
      <c r="S120" s="55"/>
      <c r="T120" s="55"/>
      <c r="U120" s="55"/>
      <c r="V120" s="55"/>
      <c r="W120" s="55"/>
      <c r="X120" s="57" t="str">
        <f t="shared" si="2"/>
        <v>--113-27-04</v>
      </c>
      <c r="Y120" s="58" t="str">
        <f t="shared" ref="Y120:AC120" si="118">TRIM(SUBSTITUTE(SUBSTITUTE(OFFSET($Q120,0,COLUMN()-COLUMN($AL$1)),CHAR(160)," "),_xludf.UNICHAR(8239)," "))</f>
        <v>#NAME?</v>
      </c>
      <c r="Z120" s="58" t="str">
        <f t="shared" si="118"/>
        <v>#NAME?</v>
      </c>
      <c r="AA120" s="58" t="str">
        <f t="shared" si="118"/>
        <v>#NAME?</v>
      </c>
      <c r="AB120" s="58" t="str">
        <f t="shared" si="118"/>
        <v>#NAME?</v>
      </c>
      <c r="AC120" s="58" t="str">
        <f t="shared" si="118"/>
        <v>#NAME?</v>
      </c>
      <c r="AD120" s="57">
        <f t="shared" si="4"/>
        <v>1</v>
      </c>
      <c r="AE120" s="57" t="str">
        <f t="shared" si="5"/>
        <v>2026-04</v>
      </c>
      <c r="AF120" s="57">
        <f t="shared" si="6"/>
        <v>1</v>
      </c>
      <c r="AG120" s="59">
        <f t="shared" si="7"/>
        <v>1</v>
      </c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</row>
    <row r="121" ht="24.0" customHeight="1">
      <c r="A121" s="53">
        <v>17.0</v>
      </c>
      <c r="B121" s="54" t="s">
        <v>527</v>
      </c>
      <c r="C121" s="55" t="s">
        <v>469</v>
      </c>
      <c r="D121" s="55"/>
      <c r="E121" s="55" t="s">
        <v>528</v>
      </c>
      <c r="F121" s="55" t="s">
        <v>529</v>
      </c>
      <c r="G121" s="55">
        <v>32.0</v>
      </c>
      <c r="H121" s="55" t="s">
        <v>85</v>
      </c>
      <c r="I121" s="55" t="s">
        <v>86</v>
      </c>
      <c r="J121" s="56" t="s">
        <v>87</v>
      </c>
      <c r="K121" s="55" t="s">
        <v>530</v>
      </c>
      <c r="L121" s="55" t="s">
        <v>34</v>
      </c>
      <c r="M121" s="55" t="s">
        <v>89</v>
      </c>
      <c r="N121" s="55" t="s">
        <v>90</v>
      </c>
      <c r="O121" s="55"/>
      <c r="P121" s="55" t="s">
        <v>91</v>
      </c>
      <c r="Q121" s="55"/>
      <c r="R121" s="55" t="s">
        <v>5</v>
      </c>
      <c r="S121" s="55"/>
      <c r="T121" s="55"/>
      <c r="U121" s="55" t="s">
        <v>7</v>
      </c>
      <c r="V121" s="55"/>
      <c r="W121" s="55"/>
      <c r="X121" s="57" t="str">
        <f t="shared" si="2"/>
        <v>--114-27-04</v>
      </c>
      <c r="Y121" s="58" t="str">
        <f t="shared" ref="Y121:AC121" si="119">TRIM(SUBSTITUTE(SUBSTITUTE(OFFSET($Q121,0,COLUMN()-COLUMN($AL$1)),CHAR(160)," "),_xludf.UNICHAR(8239)," "))</f>
        <v>#NAME?</v>
      </c>
      <c r="Z121" s="58" t="str">
        <f t="shared" si="119"/>
        <v>#NAME?</v>
      </c>
      <c r="AA121" s="58" t="str">
        <f t="shared" si="119"/>
        <v>#NAME?</v>
      </c>
      <c r="AB121" s="58" t="str">
        <f t="shared" si="119"/>
        <v>#NAME?</v>
      </c>
      <c r="AC121" s="58" t="str">
        <f t="shared" si="119"/>
        <v>#NAME?</v>
      </c>
      <c r="AD121" s="57">
        <f t="shared" si="4"/>
        <v>1</v>
      </c>
      <c r="AE121" s="57" t="str">
        <f t="shared" si="5"/>
        <v>2026-04</v>
      </c>
      <c r="AF121" s="57">
        <f t="shared" si="6"/>
        <v>1</v>
      </c>
      <c r="AG121" s="59">
        <f t="shared" si="7"/>
        <v>1</v>
      </c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</row>
    <row r="122" ht="24.0" customHeight="1">
      <c r="A122" s="53">
        <v>18.0</v>
      </c>
      <c r="B122" s="54" t="s">
        <v>531</v>
      </c>
      <c r="C122" s="55" t="s">
        <v>469</v>
      </c>
      <c r="D122" s="55"/>
      <c r="E122" s="55" t="s">
        <v>532</v>
      </c>
      <c r="F122" s="55" t="s">
        <v>533</v>
      </c>
      <c r="G122" s="55">
        <v>12.0</v>
      </c>
      <c r="H122" s="55" t="s">
        <v>111</v>
      </c>
      <c r="I122" s="55" t="s">
        <v>86</v>
      </c>
      <c r="J122" s="56" t="s">
        <v>87</v>
      </c>
      <c r="K122" s="55" t="s">
        <v>534</v>
      </c>
      <c r="L122" s="55" t="s">
        <v>34</v>
      </c>
      <c r="M122" s="55" t="s">
        <v>115</v>
      </c>
      <c r="N122" s="55" t="s">
        <v>90</v>
      </c>
      <c r="O122" s="55"/>
      <c r="P122" s="55" t="s">
        <v>91</v>
      </c>
      <c r="Q122" s="55" t="s">
        <v>16</v>
      </c>
      <c r="R122" s="55"/>
      <c r="S122" s="55"/>
      <c r="T122" s="55"/>
      <c r="U122" s="55"/>
      <c r="V122" s="55"/>
      <c r="W122" s="55"/>
      <c r="X122" s="57" t="str">
        <f t="shared" si="2"/>
        <v>--115-27-04</v>
      </c>
      <c r="Y122" s="58" t="str">
        <f t="shared" ref="Y122:AC122" si="120">TRIM(SUBSTITUTE(SUBSTITUTE(OFFSET($Q122,0,COLUMN()-COLUMN($AL$1)),CHAR(160)," "),_xludf.UNICHAR(8239)," "))</f>
        <v>#NAME?</v>
      </c>
      <c r="Z122" s="58" t="str">
        <f t="shared" si="120"/>
        <v>#NAME?</v>
      </c>
      <c r="AA122" s="58" t="str">
        <f t="shared" si="120"/>
        <v>#NAME?</v>
      </c>
      <c r="AB122" s="58" t="str">
        <f t="shared" si="120"/>
        <v>#NAME?</v>
      </c>
      <c r="AC122" s="58" t="str">
        <f t="shared" si="120"/>
        <v>#NAME?</v>
      </c>
      <c r="AD122" s="57">
        <f t="shared" si="4"/>
        <v>1</v>
      </c>
      <c r="AE122" s="57" t="str">
        <f t="shared" si="5"/>
        <v>2026-04</v>
      </c>
      <c r="AF122" s="57">
        <f t="shared" si="6"/>
        <v>1</v>
      </c>
      <c r="AG122" s="59">
        <f t="shared" si="7"/>
        <v>1</v>
      </c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</row>
    <row r="123" ht="24.0" customHeight="1">
      <c r="A123" s="53">
        <v>19.0</v>
      </c>
      <c r="B123" s="54" t="s">
        <v>535</v>
      </c>
      <c r="C123" s="55" t="s">
        <v>469</v>
      </c>
      <c r="D123" s="55"/>
      <c r="E123" s="55" t="s">
        <v>536</v>
      </c>
      <c r="F123" s="55" t="s">
        <v>537</v>
      </c>
      <c r="G123" s="55">
        <v>32.0</v>
      </c>
      <c r="H123" s="55" t="s">
        <v>85</v>
      </c>
      <c r="I123" s="55" t="s">
        <v>112</v>
      </c>
      <c r="J123" s="56" t="s">
        <v>113</v>
      </c>
      <c r="K123" s="55" t="s">
        <v>538</v>
      </c>
      <c r="L123" s="55" t="s">
        <v>34</v>
      </c>
      <c r="M123" s="55" t="s">
        <v>133</v>
      </c>
      <c r="N123" s="55" t="s">
        <v>90</v>
      </c>
      <c r="O123" s="55"/>
      <c r="P123" s="55" t="s">
        <v>91</v>
      </c>
      <c r="Q123" s="55" t="s">
        <v>16</v>
      </c>
      <c r="R123" s="55"/>
      <c r="S123" s="55"/>
      <c r="T123" s="55"/>
      <c r="U123" s="55"/>
      <c r="V123" s="55"/>
      <c r="W123" s="55"/>
      <c r="X123" s="57" t="str">
        <f t="shared" si="2"/>
        <v>--116-27-04</v>
      </c>
      <c r="Y123" s="58" t="str">
        <f t="shared" ref="Y123:AC123" si="121">TRIM(SUBSTITUTE(SUBSTITUTE(OFFSET($Q123,0,COLUMN()-COLUMN($AL$1)),CHAR(160)," "),_xludf.UNICHAR(8239)," "))</f>
        <v>#NAME?</v>
      </c>
      <c r="Z123" s="58" t="str">
        <f t="shared" si="121"/>
        <v>#NAME?</v>
      </c>
      <c r="AA123" s="58" t="str">
        <f t="shared" si="121"/>
        <v>#NAME?</v>
      </c>
      <c r="AB123" s="58" t="str">
        <f t="shared" si="121"/>
        <v>#NAME?</v>
      </c>
      <c r="AC123" s="58" t="str">
        <f t="shared" si="121"/>
        <v>#NAME?</v>
      </c>
      <c r="AD123" s="57">
        <f t="shared" si="4"/>
        <v>1</v>
      </c>
      <c r="AE123" s="57" t="str">
        <f t="shared" si="5"/>
        <v>2026-04</v>
      </c>
      <c r="AF123" s="57">
        <f t="shared" si="6"/>
        <v>1</v>
      </c>
      <c r="AG123" s="59">
        <f t="shared" si="7"/>
        <v>1</v>
      </c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</row>
    <row r="124" ht="24.0" customHeight="1">
      <c r="A124" s="53">
        <v>20.0</v>
      </c>
      <c r="B124" s="54" t="s">
        <v>539</v>
      </c>
      <c r="C124" s="55" t="s">
        <v>469</v>
      </c>
      <c r="D124" s="55"/>
      <c r="E124" s="55" t="s">
        <v>540</v>
      </c>
      <c r="F124" s="55" t="s">
        <v>541</v>
      </c>
      <c r="G124" s="55">
        <v>49.0</v>
      </c>
      <c r="H124" s="55" t="s">
        <v>85</v>
      </c>
      <c r="I124" s="55" t="s">
        <v>86</v>
      </c>
      <c r="J124" s="56" t="s">
        <v>87</v>
      </c>
      <c r="K124" s="55" t="s">
        <v>542</v>
      </c>
      <c r="L124" s="55" t="s">
        <v>34</v>
      </c>
      <c r="M124" s="55" t="s">
        <v>89</v>
      </c>
      <c r="N124" s="55" t="s">
        <v>90</v>
      </c>
      <c r="O124" s="55"/>
      <c r="P124" s="55" t="s">
        <v>91</v>
      </c>
      <c r="Q124" s="55"/>
      <c r="R124" s="55" t="s">
        <v>36</v>
      </c>
      <c r="S124" s="55"/>
      <c r="T124" s="55"/>
      <c r="U124" s="55"/>
      <c r="V124" s="55"/>
      <c r="W124" s="55"/>
      <c r="X124" s="57" t="str">
        <f t="shared" si="2"/>
        <v>--117-27-04</v>
      </c>
      <c r="Y124" s="58" t="str">
        <f t="shared" ref="Y124:AC124" si="122">TRIM(SUBSTITUTE(SUBSTITUTE(OFFSET($Q124,0,COLUMN()-COLUMN($AL$1)),CHAR(160)," "),_xludf.UNICHAR(8239)," "))</f>
        <v>#NAME?</v>
      </c>
      <c r="Z124" s="58" t="str">
        <f t="shared" si="122"/>
        <v>#NAME?</v>
      </c>
      <c r="AA124" s="58" t="str">
        <f t="shared" si="122"/>
        <v>#NAME?</v>
      </c>
      <c r="AB124" s="58" t="str">
        <f t="shared" si="122"/>
        <v>#NAME?</v>
      </c>
      <c r="AC124" s="58" t="str">
        <f t="shared" si="122"/>
        <v>#NAME?</v>
      </c>
      <c r="AD124" s="57">
        <f t="shared" si="4"/>
        <v>1</v>
      </c>
      <c r="AE124" s="57" t="str">
        <f t="shared" si="5"/>
        <v>2026-04</v>
      </c>
      <c r="AF124" s="57">
        <f t="shared" si="6"/>
        <v>1</v>
      </c>
      <c r="AG124" s="59">
        <f t="shared" si="7"/>
        <v>1</v>
      </c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</row>
    <row r="125" ht="24.0" customHeight="1">
      <c r="A125" s="53">
        <v>21.0</v>
      </c>
      <c r="B125" s="54" t="s">
        <v>543</v>
      </c>
      <c r="C125" s="55" t="s">
        <v>469</v>
      </c>
      <c r="D125" s="55"/>
      <c r="E125" s="55" t="s">
        <v>544</v>
      </c>
      <c r="F125" s="55" t="s">
        <v>545</v>
      </c>
      <c r="G125" s="55">
        <v>35.0</v>
      </c>
      <c r="H125" s="55" t="s">
        <v>85</v>
      </c>
      <c r="I125" s="55" t="s">
        <v>86</v>
      </c>
      <c r="J125" s="56" t="s">
        <v>87</v>
      </c>
      <c r="K125" s="55" t="s">
        <v>546</v>
      </c>
      <c r="L125" s="55" t="s">
        <v>12</v>
      </c>
      <c r="M125" s="55" t="s">
        <v>89</v>
      </c>
      <c r="N125" s="55" t="s">
        <v>90</v>
      </c>
      <c r="O125" s="55"/>
      <c r="P125" s="55" t="s">
        <v>91</v>
      </c>
      <c r="Q125" s="55"/>
      <c r="R125" s="55" t="s">
        <v>27</v>
      </c>
      <c r="S125" s="55"/>
      <c r="T125" s="55"/>
      <c r="U125" s="55"/>
      <c r="V125" s="55"/>
      <c r="W125" s="55"/>
      <c r="X125" s="57" t="str">
        <f t="shared" si="2"/>
        <v>--118-27-04</v>
      </c>
      <c r="Y125" s="58" t="str">
        <f t="shared" ref="Y125:AC125" si="123">TRIM(SUBSTITUTE(SUBSTITUTE(OFFSET($Q125,0,COLUMN()-COLUMN($AL$1)),CHAR(160)," "),_xludf.UNICHAR(8239)," "))</f>
        <v>#NAME?</v>
      </c>
      <c r="Z125" s="58" t="str">
        <f t="shared" si="123"/>
        <v>#NAME?</v>
      </c>
      <c r="AA125" s="58" t="str">
        <f t="shared" si="123"/>
        <v>#NAME?</v>
      </c>
      <c r="AB125" s="58" t="str">
        <f t="shared" si="123"/>
        <v>#NAME?</v>
      </c>
      <c r="AC125" s="58" t="str">
        <f t="shared" si="123"/>
        <v>#NAME?</v>
      </c>
      <c r="AD125" s="57">
        <f t="shared" si="4"/>
        <v>1</v>
      </c>
      <c r="AE125" s="57" t="str">
        <f t="shared" si="5"/>
        <v>2026-04</v>
      </c>
      <c r="AF125" s="57">
        <f t="shared" si="6"/>
        <v>1</v>
      </c>
      <c r="AG125" s="59">
        <f t="shared" si="7"/>
        <v>1</v>
      </c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</row>
    <row r="126" ht="24.0" customHeight="1">
      <c r="A126" s="53">
        <v>22.0</v>
      </c>
      <c r="B126" s="54" t="s">
        <v>414</v>
      </c>
      <c r="C126" s="55" t="s">
        <v>469</v>
      </c>
      <c r="D126" s="60">
        <v>46138.0</v>
      </c>
      <c r="E126" s="55" t="s">
        <v>415</v>
      </c>
      <c r="F126" s="55" t="s">
        <v>416</v>
      </c>
      <c r="G126" s="55">
        <v>55.0</v>
      </c>
      <c r="H126" s="55" t="s">
        <v>85</v>
      </c>
      <c r="I126" s="55" t="s">
        <v>112</v>
      </c>
      <c r="J126" s="56" t="s">
        <v>113</v>
      </c>
      <c r="K126" s="55" t="s">
        <v>417</v>
      </c>
      <c r="L126" s="55" t="s">
        <v>34</v>
      </c>
      <c r="M126" s="55" t="s">
        <v>89</v>
      </c>
      <c r="N126" s="55" t="s">
        <v>90</v>
      </c>
      <c r="O126" s="55"/>
      <c r="P126" s="55" t="s">
        <v>91</v>
      </c>
      <c r="Q126" s="55" t="s">
        <v>16</v>
      </c>
      <c r="R126" s="55"/>
      <c r="S126" s="55" t="s">
        <v>6</v>
      </c>
      <c r="T126" s="55"/>
      <c r="U126" s="55"/>
      <c r="V126" s="55"/>
      <c r="W126" s="55"/>
      <c r="X126" s="57" t="str">
        <f t="shared" si="2"/>
        <v>--119-27-04</v>
      </c>
      <c r="Y126" s="58" t="str">
        <f t="shared" ref="Y126:AC126" si="124">TRIM(SUBSTITUTE(SUBSTITUTE(OFFSET($Q126,0,COLUMN()-COLUMN($AL$1)),CHAR(160)," "),_xludf.UNICHAR(8239)," "))</f>
        <v>#NAME?</v>
      </c>
      <c r="Z126" s="58" t="str">
        <f t="shared" si="124"/>
        <v>#NAME?</v>
      </c>
      <c r="AA126" s="58" t="str">
        <f t="shared" si="124"/>
        <v>#NAME?</v>
      </c>
      <c r="AB126" s="58" t="str">
        <f t="shared" si="124"/>
        <v>#NAME?</v>
      </c>
      <c r="AC126" s="58" t="str">
        <f t="shared" si="124"/>
        <v>#NAME?</v>
      </c>
      <c r="AD126" s="57">
        <f t="shared" si="4"/>
        <v>1</v>
      </c>
      <c r="AE126" s="57" t="str">
        <f t="shared" si="5"/>
        <v>2026-04</v>
      </c>
      <c r="AF126" s="57">
        <f t="shared" si="6"/>
        <v>0</v>
      </c>
      <c r="AG126" s="59">
        <f t="shared" si="7"/>
        <v>0</v>
      </c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</row>
    <row r="127" ht="24.0" customHeight="1">
      <c r="A127" s="53">
        <v>23.0</v>
      </c>
      <c r="B127" s="54" t="s">
        <v>547</v>
      </c>
      <c r="C127" s="55" t="s">
        <v>469</v>
      </c>
      <c r="D127" s="55"/>
      <c r="E127" s="55" t="s">
        <v>548</v>
      </c>
      <c r="F127" s="55" t="s">
        <v>549</v>
      </c>
      <c r="G127" s="55">
        <v>49.0</v>
      </c>
      <c r="H127" s="55" t="s">
        <v>85</v>
      </c>
      <c r="I127" s="55" t="s">
        <v>86</v>
      </c>
      <c r="J127" s="56" t="s">
        <v>87</v>
      </c>
      <c r="K127" s="55" t="s">
        <v>550</v>
      </c>
      <c r="L127" s="55"/>
      <c r="M127" s="55" t="s">
        <v>89</v>
      </c>
      <c r="N127" s="55" t="s">
        <v>90</v>
      </c>
      <c r="O127" s="55"/>
      <c r="P127" s="55" t="s">
        <v>91</v>
      </c>
      <c r="Q127" s="55" t="s">
        <v>4</v>
      </c>
      <c r="R127" s="55"/>
      <c r="S127" s="55"/>
      <c r="T127" s="55"/>
      <c r="U127" s="55"/>
      <c r="V127" s="55"/>
      <c r="W127" s="55"/>
      <c r="X127" s="57" t="str">
        <f t="shared" si="2"/>
        <v>--120-27-04</v>
      </c>
      <c r="Y127" s="58" t="str">
        <f t="shared" ref="Y127:AC127" si="125">TRIM(SUBSTITUTE(SUBSTITUTE(OFFSET($Q127,0,COLUMN()-COLUMN($AL$1)),CHAR(160)," "),_xludf.UNICHAR(8239)," "))</f>
        <v>#NAME?</v>
      </c>
      <c r="Z127" s="58" t="str">
        <f t="shared" si="125"/>
        <v>#NAME?</v>
      </c>
      <c r="AA127" s="58" t="str">
        <f t="shared" si="125"/>
        <v>#NAME?</v>
      </c>
      <c r="AB127" s="58" t="str">
        <f t="shared" si="125"/>
        <v>#NAME?</v>
      </c>
      <c r="AC127" s="58" t="str">
        <f t="shared" si="125"/>
        <v>#NAME?</v>
      </c>
      <c r="AD127" s="57">
        <f t="shared" si="4"/>
        <v>1</v>
      </c>
      <c r="AE127" s="57" t="str">
        <f t="shared" si="5"/>
        <v>2026-04</v>
      </c>
      <c r="AF127" s="57">
        <f t="shared" si="6"/>
        <v>1</v>
      </c>
      <c r="AG127" s="59">
        <f t="shared" si="7"/>
        <v>1</v>
      </c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</row>
    <row r="128" ht="24.0" customHeight="1">
      <c r="A128" s="53">
        <v>24.0</v>
      </c>
      <c r="B128" s="54" t="s">
        <v>551</v>
      </c>
      <c r="C128" s="55" t="s">
        <v>469</v>
      </c>
      <c r="D128" s="55"/>
      <c r="E128" s="55" t="s">
        <v>552</v>
      </c>
      <c r="F128" s="55" t="s">
        <v>553</v>
      </c>
      <c r="G128" s="55">
        <v>41.0</v>
      </c>
      <c r="H128" s="55" t="s">
        <v>85</v>
      </c>
      <c r="I128" s="55" t="s">
        <v>86</v>
      </c>
      <c r="J128" s="56" t="s">
        <v>87</v>
      </c>
      <c r="K128" s="55" t="s">
        <v>554</v>
      </c>
      <c r="L128" s="55" t="s">
        <v>34</v>
      </c>
      <c r="M128" s="55" t="s">
        <v>89</v>
      </c>
      <c r="N128" s="55" t="s">
        <v>90</v>
      </c>
      <c r="O128" s="55"/>
      <c r="P128" s="55" t="s">
        <v>91</v>
      </c>
      <c r="Q128" s="55" t="s">
        <v>16</v>
      </c>
      <c r="R128" s="55"/>
      <c r="S128" s="55"/>
      <c r="T128" s="55"/>
      <c r="U128" s="55"/>
      <c r="V128" s="55"/>
      <c r="W128" s="55"/>
      <c r="X128" s="57" t="str">
        <f t="shared" si="2"/>
        <v>--121-27-04</v>
      </c>
      <c r="Y128" s="58" t="str">
        <f t="shared" ref="Y128:AC128" si="126">TRIM(SUBSTITUTE(SUBSTITUTE(OFFSET($Q128,0,COLUMN()-COLUMN($AL$1)),CHAR(160)," "),_xludf.UNICHAR(8239)," "))</f>
        <v>#NAME?</v>
      </c>
      <c r="Z128" s="58" t="str">
        <f t="shared" si="126"/>
        <v>#NAME?</v>
      </c>
      <c r="AA128" s="58" t="str">
        <f t="shared" si="126"/>
        <v>#NAME?</v>
      </c>
      <c r="AB128" s="58" t="str">
        <f t="shared" si="126"/>
        <v>#NAME?</v>
      </c>
      <c r="AC128" s="58" t="str">
        <f t="shared" si="126"/>
        <v>#NAME?</v>
      </c>
      <c r="AD128" s="57">
        <f t="shared" si="4"/>
        <v>1</v>
      </c>
      <c r="AE128" s="57" t="str">
        <f t="shared" si="5"/>
        <v>2026-04</v>
      </c>
      <c r="AF128" s="57">
        <f t="shared" si="6"/>
        <v>1</v>
      </c>
      <c r="AG128" s="59">
        <f t="shared" si="7"/>
        <v>1</v>
      </c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</row>
    <row r="129" ht="24.0" customHeight="1">
      <c r="A129" s="53">
        <v>25.0</v>
      </c>
      <c r="B129" s="54" t="s">
        <v>555</v>
      </c>
      <c r="C129" s="55" t="s">
        <v>469</v>
      </c>
      <c r="D129" s="55"/>
      <c r="E129" s="55" t="s">
        <v>556</v>
      </c>
      <c r="F129" s="55" t="s">
        <v>557</v>
      </c>
      <c r="G129" s="55">
        <v>40.0</v>
      </c>
      <c r="H129" s="55" t="s">
        <v>85</v>
      </c>
      <c r="I129" s="55" t="s">
        <v>86</v>
      </c>
      <c r="J129" s="56" t="s">
        <v>87</v>
      </c>
      <c r="K129" s="55" t="s">
        <v>558</v>
      </c>
      <c r="L129" s="55" t="s">
        <v>41</v>
      </c>
      <c r="M129" s="55" t="s">
        <v>89</v>
      </c>
      <c r="N129" s="55" t="s">
        <v>90</v>
      </c>
      <c r="O129" s="55"/>
      <c r="P129" s="55" t="s">
        <v>91</v>
      </c>
      <c r="Q129" s="55" t="s">
        <v>16</v>
      </c>
      <c r="R129" s="55"/>
      <c r="S129" s="55"/>
      <c r="T129" s="55"/>
      <c r="U129" s="55"/>
      <c r="V129" s="55"/>
      <c r="W129" s="55"/>
      <c r="X129" s="57" t="str">
        <f t="shared" si="2"/>
        <v>--122-27-04</v>
      </c>
      <c r="Y129" s="58" t="str">
        <f t="shared" ref="Y129:AC129" si="127">TRIM(SUBSTITUTE(SUBSTITUTE(OFFSET($Q129,0,COLUMN()-COLUMN($AL$1)),CHAR(160)," "),_xludf.UNICHAR(8239)," "))</f>
        <v>#NAME?</v>
      </c>
      <c r="Z129" s="58" t="str">
        <f t="shared" si="127"/>
        <v>#NAME?</v>
      </c>
      <c r="AA129" s="58" t="str">
        <f t="shared" si="127"/>
        <v>#NAME?</v>
      </c>
      <c r="AB129" s="58" t="str">
        <f t="shared" si="127"/>
        <v>#NAME?</v>
      </c>
      <c r="AC129" s="58" t="str">
        <f t="shared" si="127"/>
        <v>#NAME?</v>
      </c>
      <c r="AD129" s="57">
        <f t="shared" si="4"/>
        <v>1</v>
      </c>
      <c r="AE129" s="57" t="str">
        <f t="shared" si="5"/>
        <v>2026-04</v>
      </c>
      <c r="AF129" s="57">
        <f t="shared" si="6"/>
        <v>1</v>
      </c>
      <c r="AG129" s="59">
        <f t="shared" si="7"/>
        <v>1</v>
      </c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</row>
    <row r="130" ht="24.0" customHeight="1">
      <c r="A130" s="53">
        <v>26.0</v>
      </c>
      <c r="B130" s="54" t="s">
        <v>559</v>
      </c>
      <c r="C130" s="55" t="s">
        <v>469</v>
      </c>
      <c r="D130" s="55"/>
      <c r="E130" s="55" t="s">
        <v>560</v>
      </c>
      <c r="F130" s="55" t="s">
        <v>561</v>
      </c>
      <c r="G130" s="55">
        <v>70.0</v>
      </c>
      <c r="H130" s="55" t="s">
        <v>260</v>
      </c>
      <c r="I130" s="55" t="s">
        <v>86</v>
      </c>
      <c r="J130" s="56" t="s">
        <v>87</v>
      </c>
      <c r="K130" s="55" t="s">
        <v>562</v>
      </c>
      <c r="L130" s="55" t="s">
        <v>34</v>
      </c>
      <c r="M130" s="55" t="s">
        <v>89</v>
      </c>
      <c r="N130" s="55" t="s">
        <v>90</v>
      </c>
      <c r="O130" s="55"/>
      <c r="P130" s="55" t="s">
        <v>91</v>
      </c>
      <c r="Q130" s="55" t="s">
        <v>4</v>
      </c>
      <c r="R130" s="55"/>
      <c r="S130" s="55"/>
      <c r="T130" s="55"/>
      <c r="U130" s="55"/>
      <c r="V130" s="55"/>
      <c r="W130" s="55"/>
      <c r="X130" s="57" t="str">
        <f t="shared" si="2"/>
        <v>--123-27-04</v>
      </c>
      <c r="Y130" s="58" t="str">
        <f t="shared" ref="Y130:AC130" si="128">TRIM(SUBSTITUTE(SUBSTITUTE(OFFSET($Q130,0,COLUMN()-COLUMN($AL$1)),CHAR(160)," "),_xludf.UNICHAR(8239)," "))</f>
        <v>#NAME?</v>
      </c>
      <c r="Z130" s="58" t="str">
        <f t="shared" si="128"/>
        <v>#NAME?</v>
      </c>
      <c r="AA130" s="58" t="str">
        <f t="shared" si="128"/>
        <v>#NAME?</v>
      </c>
      <c r="AB130" s="58" t="str">
        <f t="shared" si="128"/>
        <v>#NAME?</v>
      </c>
      <c r="AC130" s="58" t="str">
        <f t="shared" si="128"/>
        <v>#NAME?</v>
      </c>
      <c r="AD130" s="57">
        <f t="shared" si="4"/>
        <v>1</v>
      </c>
      <c r="AE130" s="57" t="str">
        <f t="shared" si="5"/>
        <v>2026-04</v>
      </c>
      <c r="AF130" s="57">
        <f t="shared" si="6"/>
        <v>1</v>
      </c>
      <c r="AG130" s="59">
        <f t="shared" si="7"/>
        <v>1</v>
      </c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</row>
    <row r="131" ht="24.0" customHeight="1">
      <c r="A131" s="53">
        <v>27.0</v>
      </c>
      <c r="B131" s="54" t="s">
        <v>563</v>
      </c>
      <c r="C131" s="55" t="s">
        <v>469</v>
      </c>
      <c r="D131" s="55"/>
      <c r="E131" s="55" t="s">
        <v>564</v>
      </c>
      <c r="F131" s="55" t="s">
        <v>565</v>
      </c>
      <c r="G131" s="55">
        <v>54.0</v>
      </c>
      <c r="H131" s="55" t="s">
        <v>85</v>
      </c>
      <c r="I131" s="55" t="s">
        <v>86</v>
      </c>
      <c r="J131" s="56" t="s">
        <v>87</v>
      </c>
      <c r="K131" s="55" t="s">
        <v>566</v>
      </c>
      <c r="L131" s="55" t="s">
        <v>34</v>
      </c>
      <c r="M131" s="55" t="s">
        <v>89</v>
      </c>
      <c r="N131" s="55" t="s">
        <v>90</v>
      </c>
      <c r="O131" s="55"/>
      <c r="P131" s="55" t="s">
        <v>91</v>
      </c>
      <c r="Q131" s="55" t="s">
        <v>4</v>
      </c>
      <c r="R131" s="55"/>
      <c r="S131" s="55"/>
      <c r="T131" s="55"/>
      <c r="U131" s="55"/>
      <c r="V131" s="55"/>
      <c r="W131" s="55"/>
      <c r="X131" s="57" t="str">
        <f t="shared" si="2"/>
        <v>--124-27-04</v>
      </c>
      <c r="Y131" s="58" t="str">
        <f t="shared" ref="Y131:AC131" si="129">TRIM(SUBSTITUTE(SUBSTITUTE(OFFSET($Q131,0,COLUMN()-COLUMN($AL$1)),CHAR(160)," "),_xludf.UNICHAR(8239)," "))</f>
        <v>#NAME?</v>
      </c>
      <c r="Z131" s="58" t="str">
        <f t="shared" si="129"/>
        <v>#NAME?</v>
      </c>
      <c r="AA131" s="58" t="str">
        <f t="shared" si="129"/>
        <v>#NAME?</v>
      </c>
      <c r="AB131" s="58" t="str">
        <f t="shared" si="129"/>
        <v>#NAME?</v>
      </c>
      <c r="AC131" s="58" t="str">
        <f t="shared" si="129"/>
        <v>#NAME?</v>
      </c>
      <c r="AD131" s="57">
        <f t="shared" si="4"/>
        <v>1</v>
      </c>
      <c r="AE131" s="57" t="str">
        <f t="shared" si="5"/>
        <v>2026-04</v>
      </c>
      <c r="AF131" s="57">
        <f t="shared" si="6"/>
        <v>1</v>
      </c>
      <c r="AG131" s="59">
        <f t="shared" si="7"/>
        <v>1</v>
      </c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</row>
    <row r="132" ht="24.0" customHeight="1">
      <c r="A132" s="53">
        <v>28.0</v>
      </c>
      <c r="B132" s="54" t="s">
        <v>567</v>
      </c>
      <c r="C132" s="55" t="s">
        <v>469</v>
      </c>
      <c r="D132" s="55"/>
      <c r="E132" s="55" t="s">
        <v>568</v>
      </c>
      <c r="F132" s="55" t="s">
        <v>569</v>
      </c>
      <c r="G132" s="55">
        <v>20.0</v>
      </c>
      <c r="H132" s="55" t="s">
        <v>85</v>
      </c>
      <c r="I132" s="55" t="s">
        <v>86</v>
      </c>
      <c r="J132" s="56" t="s">
        <v>87</v>
      </c>
      <c r="K132" s="55" t="s">
        <v>570</v>
      </c>
      <c r="L132" s="55" t="s">
        <v>34</v>
      </c>
      <c r="M132" s="55" t="s">
        <v>133</v>
      </c>
      <c r="N132" s="55" t="s">
        <v>90</v>
      </c>
      <c r="O132" s="55"/>
      <c r="P132" s="55" t="s">
        <v>91</v>
      </c>
      <c r="Q132" s="55" t="s">
        <v>16</v>
      </c>
      <c r="R132" s="55"/>
      <c r="S132" s="55"/>
      <c r="T132" s="55"/>
      <c r="U132" s="55"/>
      <c r="V132" s="55"/>
      <c r="W132" s="55"/>
      <c r="X132" s="57" t="str">
        <f t="shared" si="2"/>
        <v>--125-27-04</v>
      </c>
      <c r="Y132" s="58" t="str">
        <f t="shared" ref="Y132:AC132" si="130">TRIM(SUBSTITUTE(SUBSTITUTE(OFFSET($Q132,0,COLUMN()-COLUMN($AL$1)),CHAR(160)," "),_xludf.UNICHAR(8239)," "))</f>
        <v>#NAME?</v>
      </c>
      <c r="Z132" s="58" t="str">
        <f t="shared" si="130"/>
        <v>#NAME?</v>
      </c>
      <c r="AA132" s="58" t="str">
        <f t="shared" si="130"/>
        <v>#NAME?</v>
      </c>
      <c r="AB132" s="58" t="str">
        <f t="shared" si="130"/>
        <v>#NAME?</v>
      </c>
      <c r="AC132" s="58" t="str">
        <f t="shared" si="130"/>
        <v>#NAME?</v>
      </c>
      <c r="AD132" s="57">
        <f t="shared" si="4"/>
        <v>1</v>
      </c>
      <c r="AE132" s="57" t="str">
        <f t="shared" si="5"/>
        <v>2026-04</v>
      </c>
      <c r="AF132" s="57">
        <f t="shared" si="6"/>
        <v>1</v>
      </c>
      <c r="AG132" s="59">
        <f t="shared" si="7"/>
        <v>1</v>
      </c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</row>
    <row r="133" ht="24.0" customHeight="1">
      <c r="A133" s="53">
        <v>29.0</v>
      </c>
      <c r="B133" s="54" t="s">
        <v>571</v>
      </c>
      <c r="C133" s="55" t="s">
        <v>469</v>
      </c>
      <c r="D133" s="55"/>
      <c r="E133" s="55" t="s">
        <v>572</v>
      </c>
      <c r="F133" s="55" t="s">
        <v>573</v>
      </c>
      <c r="G133" s="55">
        <v>53.0</v>
      </c>
      <c r="H133" s="55" t="s">
        <v>85</v>
      </c>
      <c r="I133" s="55" t="s">
        <v>86</v>
      </c>
      <c r="J133" s="56" t="s">
        <v>87</v>
      </c>
      <c r="K133" s="55" t="s">
        <v>570</v>
      </c>
      <c r="L133" s="55" t="s">
        <v>34</v>
      </c>
      <c r="M133" s="55" t="s">
        <v>89</v>
      </c>
      <c r="N133" s="55" t="s">
        <v>90</v>
      </c>
      <c r="O133" s="55"/>
      <c r="P133" s="55" t="s">
        <v>91</v>
      </c>
      <c r="Q133" s="55" t="s">
        <v>16</v>
      </c>
      <c r="R133" s="55"/>
      <c r="S133" s="55"/>
      <c r="T133" s="55"/>
      <c r="U133" s="55"/>
      <c r="V133" s="55"/>
      <c r="W133" s="55"/>
      <c r="X133" s="57" t="str">
        <f t="shared" si="2"/>
        <v>--126-27-04</v>
      </c>
      <c r="Y133" s="58" t="str">
        <f t="shared" ref="Y133:AC133" si="131">TRIM(SUBSTITUTE(SUBSTITUTE(OFFSET($Q133,0,COLUMN()-COLUMN($AL$1)),CHAR(160)," "),_xludf.UNICHAR(8239)," "))</f>
        <v>#NAME?</v>
      </c>
      <c r="Z133" s="58" t="str">
        <f t="shared" si="131"/>
        <v>#NAME?</v>
      </c>
      <c r="AA133" s="58" t="str">
        <f t="shared" si="131"/>
        <v>#NAME?</v>
      </c>
      <c r="AB133" s="58" t="str">
        <f t="shared" si="131"/>
        <v>#NAME?</v>
      </c>
      <c r="AC133" s="58" t="str">
        <f t="shared" si="131"/>
        <v>#NAME?</v>
      </c>
      <c r="AD133" s="57">
        <f t="shared" si="4"/>
        <v>1</v>
      </c>
      <c r="AE133" s="57" t="str">
        <f t="shared" si="5"/>
        <v>2026-04</v>
      </c>
      <c r="AF133" s="57">
        <f t="shared" si="6"/>
        <v>1</v>
      </c>
      <c r="AG133" s="59">
        <f t="shared" si="7"/>
        <v>1</v>
      </c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</row>
    <row r="134" ht="24.0" customHeight="1">
      <c r="A134" s="53">
        <v>30.0</v>
      </c>
      <c r="B134" s="54" t="s">
        <v>574</v>
      </c>
      <c r="C134" s="55" t="s">
        <v>469</v>
      </c>
      <c r="D134" s="55"/>
      <c r="E134" s="55" t="s">
        <v>575</v>
      </c>
      <c r="F134" s="55" t="s">
        <v>576</v>
      </c>
      <c r="G134" s="55">
        <v>5.0</v>
      </c>
      <c r="H134" s="55" t="s">
        <v>119</v>
      </c>
      <c r="I134" s="55" t="s">
        <v>86</v>
      </c>
      <c r="J134" s="56" t="s">
        <v>87</v>
      </c>
      <c r="K134" s="55" t="s">
        <v>577</v>
      </c>
      <c r="L134" s="55" t="s">
        <v>34</v>
      </c>
      <c r="M134" s="55" t="s">
        <v>115</v>
      </c>
      <c r="N134" s="55" t="s">
        <v>90</v>
      </c>
      <c r="O134" s="55"/>
      <c r="P134" s="55" t="s">
        <v>91</v>
      </c>
      <c r="Q134" s="55" t="s">
        <v>4</v>
      </c>
      <c r="R134" s="55"/>
      <c r="S134" s="55"/>
      <c r="T134" s="55"/>
      <c r="U134" s="55"/>
      <c r="V134" s="55"/>
      <c r="W134" s="55"/>
      <c r="X134" s="57" t="str">
        <f t="shared" si="2"/>
        <v>--127-27-04</v>
      </c>
      <c r="Y134" s="58" t="str">
        <f t="shared" ref="Y134:AC134" si="132">TRIM(SUBSTITUTE(SUBSTITUTE(OFFSET($Q134,0,COLUMN()-COLUMN($AL$1)),CHAR(160)," "),_xludf.UNICHAR(8239)," "))</f>
        <v>#NAME?</v>
      </c>
      <c r="Z134" s="58" t="str">
        <f t="shared" si="132"/>
        <v>#NAME?</v>
      </c>
      <c r="AA134" s="58" t="str">
        <f t="shared" si="132"/>
        <v>#NAME?</v>
      </c>
      <c r="AB134" s="58" t="str">
        <f t="shared" si="132"/>
        <v>#NAME?</v>
      </c>
      <c r="AC134" s="58" t="str">
        <f t="shared" si="132"/>
        <v>#NAME?</v>
      </c>
      <c r="AD134" s="57">
        <f t="shared" si="4"/>
        <v>1</v>
      </c>
      <c r="AE134" s="57" t="str">
        <f t="shared" si="5"/>
        <v>2026-04</v>
      </c>
      <c r="AF134" s="57">
        <f t="shared" si="6"/>
        <v>1</v>
      </c>
      <c r="AG134" s="59">
        <f t="shared" si="7"/>
        <v>1</v>
      </c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</row>
    <row r="135" ht="24.0" customHeight="1">
      <c r="A135" s="53">
        <v>31.0</v>
      </c>
      <c r="B135" s="54" t="s">
        <v>578</v>
      </c>
      <c r="C135" s="55" t="s">
        <v>469</v>
      </c>
      <c r="D135" s="55"/>
      <c r="E135" s="55" t="s">
        <v>579</v>
      </c>
      <c r="F135" s="55" t="s">
        <v>580</v>
      </c>
      <c r="G135" s="55">
        <v>30.0</v>
      </c>
      <c r="H135" s="55" t="s">
        <v>85</v>
      </c>
      <c r="I135" s="55" t="s">
        <v>86</v>
      </c>
      <c r="J135" s="56" t="s">
        <v>87</v>
      </c>
      <c r="K135" s="55" t="s">
        <v>577</v>
      </c>
      <c r="L135" s="55" t="s">
        <v>34</v>
      </c>
      <c r="M135" s="55" t="s">
        <v>89</v>
      </c>
      <c r="N135" s="55" t="s">
        <v>90</v>
      </c>
      <c r="O135" s="55"/>
      <c r="P135" s="55" t="s">
        <v>91</v>
      </c>
      <c r="Q135" s="55" t="s">
        <v>16</v>
      </c>
      <c r="R135" s="55"/>
      <c r="S135" s="55"/>
      <c r="T135" s="55"/>
      <c r="U135" s="55"/>
      <c r="V135" s="55"/>
      <c r="W135" s="55"/>
      <c r="X135" s="57" t="str">
        <f t="shared" si="2"/>
        <v>--128-27-04</v>
      </c>
      <c r="Y135" s="58" t="str">
        <f t="shared" ref="Y135:AC135" si="133">TRIM(SUBSTITUTE(SUBSTITUTE(OFFSET($Q135,0,COLUMN()-COLUMN($AL$1)),CHAR(160)," "),_xludf.UNICHAR(8239)," "))</f>
        <v>#NAME?</v>
      </c>
      <c r="Z135" s="58" t="str">
        <f t="shared" si="133"/>
        <v>#NAME?</v>
      </c>
      <c r="AA135" s="58" t="str">
        <f t="shared" si="133"/>
        <v>#NAME?</v>
      </c>
      <c r="AB135" s="58" t="str">
        <f t="shared" si="133"/>
        <v>#NAME?</v>
      </c>
      <c r="AC135" s="58" t="str">
        <f t="shared" si="133"/>
        <v>#NAME?</v>
      </c>
      <c r="AD135" s="57">
        <f t="shared" si="4"/>
        <v>1</v>
      </c>
      <c r="AE135" s="57" t="str">
        <f t="shared" si="5"/>
        <v>2026-04</v>
      </c>
      <c r="AF135" s="57">
        <f t="shared" si="6"/>
        <v>1</v>
      </c>
      <c r="AG135" s="59">
        <f t="shared" si="7"/>
        <v>1</v>
      </c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</row>
    <row r="136" ht="24.0" customHeight="1">
      <c r="A136" s="53">
        <v>32.0</v>
      </c>
      <c r="B136" s="54" t="s">
        <v>581</v>
      </c>
      <c r="C136" s="55" t="s">
        <v>469</v>
      </c>
      <c r="D136" s="55"/>
      <c r="E136" s="55" t="s">
        <v>582</v>
      </c>
      <c r="F136" s="55" t="s">
        <v>583</v>
      </c>
      <c r="G136" s="55">
        <v>31.0</v>
      </c>
      <c r="H136" s="55" t="s">
        <v>85</v>
      </c>
      <c r="I136" s="55" t="s">
        <v>86</v>
      </c>
      <c r="J136" s="56" t="s">
        <v>87</v>
      </c>
      <c r="K136" s="55" t="s">
        <v>584</v>
      </c>
      <c r="L136" s="55" t="s">
        <v>34</v>
      </c>
      <c r="M136" s="55" t="s">
        <v>89</v>
      </c>
      <c r="N136" s="55" t="s">
        <v>90</v>
      </c>
      <c r="O136" s="55"/>
      <c r="P136" s="55" t="s">
        <v>91</v>
      </c>
      <c r="Q136" s="55"/>
      <c r="R136" s="55" t="s">
        <v>36</v>
      </c>
      <c r="S136" s="55"/>
      <c r="T136" s="55"/>
      <c r="U136" s="55"/>
      <c r="V136" s="55"/>
      <c r="W136" s="55"/>
      <c r="X136" s="57" t="str">
        <f t="shared" si="2"/>
        <v>--129-27-04</v>
      </c>
      <c r="Y136" s="58" t="str">
        <f t="shared" ref="Y136:AC136" si="134">TRIM(SUBSTITUTE(SUBSTITUTE(OFFSET($Q136,0,COLUMN()-COLUMN($AL$1)),CHAR(160)," "),_xludf.UNICHAR(8239)," "))</f>
        <v>#NAME?</v>
      </c>
      <c r="Z136" s="58" t="str">
        <f t="shared" si="134"/>
        <v>#NAME?</v>
      </c>
      <c r="AA136" s="58" t="str">
        <f t="shared" si="134"/>
        <v>#NAME?</v>
      </c>
      <c r="AB136" s="58" t="str">
        <f t="shared" si="134"/>
        <v>#NAME?</v>
      </c>
      <c r="AC136" s="58" t="str">
        <f t="shared" si="134"/>
        <v>#NAME?</v>
      </c>
      <c r="AD136" s="57">
        <f t="shared" si="4"/>
        <v>1</v>
      </c>
      <c r="AE136" s="57" t="str">
        <f t="shared" si="5"/>
        <v>2026-04</v>
      </c>
      <c r="AF136" s="57">
        <f t="shared" si="6"/>
        <v>1</v>
      </c>
      <c r="AG136" s="59">
        <f t="shared" si="7"/>
        <v>1</v>
      </c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</row>
    <row r="137" ht="24.0" customHeight="1">
      <c r="A137" s="53">
        <v>33.0</v>
      </c>
      <c r="B137" s="54" t="s">
        <v>585</v>
      </c>
      <c r="C137" s="55" t="s">
        <v>469</v>
      </c>
      <c r="D137" s="55"/>
      <c r="E137" s="55" t="s">
        <v>586</v>
      </c>
      <c r="F137" s="55" t="s">
        <v>587</v>
      </c>
      <c r="G137" s="55">
        <v>29.0</v>
      </c>
      <c r="H137" s="55" t="s">
        <v>85</v>
      </c>
      <c r="I137" s="55" t="s">
        <v>86</v>
      </c>
      <c r="J137" s="56" t="s">
        <v>87</v>
      </c>
      <c r="K137" s="55" t="s">
        <v>588</v>
      </c>
      <c r="L137" s="55" t="s">
        <v>34</v>
      </c>
      <c r="M137" s="55" t="s">
        <v>89</v>
      </c>
      <c r="N137" s="55" t="s">
        <v>90</v>
      </c>
      <c r="O137" s="55"/>
      <c r="P137" s="55" t="s">
        <v>91</v>
      </c>
      <c r="Q137" s="55"/>
      <c r="R137" s="55" t="s">
        <v>36</v>
      </c>
      <c r="S137" s="55"/>
      <c r="T137" s="55"/>
      <c r="U137" s="55"/>
      <c r="V137" s="55"/>
      <c r="W137" s="55"/>
      <c r="X137" s="57" t="str">
        <f t="shared" si="2"/>
        <v>--130-27-04</v>
      </c>
      <c r="Y137" s="58" t="str">
        <f t="shared" ref="Y137:AC137" si="135">TRIM(SUBSTITUTE(SUBSTITUTE(OFFSET($Q137,0,COLUMN()-COLUMN($AL$1)),CHAR(160)," "),_xludf.UNICHAR(8239)," "))</f>
        <v>#NAME?</v>
      </c>
      <c r="Z137" s="58" t="str">
        <f t="shared" si="135"/>
        <v>#NAME?</v>
      </c>
      <c r="AA137" s="58" t="str">
        <f t="shared" si="135"/>
        <v>#NAME?</v>
      </c>
      <c r="AB137" s="58" t="str">
        <f t="shared" si="135"/>
        <v>#NAME?</v>
      </c>
      <c r="AC137" s="58" t="str">
        <f t="shared" si="135"/>
        <v>#NAME?</v>
      </c>
      <c r="AD137" s="57">
        <f t="shared" si="4"/>
        <v>1</v>
      </c>
      <c r="AE137" s="57" t="str">
        <f t="shared" si="5"/>
        <v>2026-04</v>
      </c>
      <c r="AF137" s="57">
        <f t="shared" si="6"/>
        <v>1</v>
      </c>
      <c r="AG137" s="59">
        <f t="shared" si="7"/>
        <v>1</v>
      </c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</row>
    <row r="138" ht="24.0" customHeight="1">
      <c r="A138" s="53">
        <v>34.0</v>
      </c>
      <c r="B138" s="54" t="s">
        <v>589</v>
      </c>
      <c r="C138" s="55" t="s">
        <v>469</v>
      </c>
      <c r="D138" s="55"/>
      <c r="E138" s="55" t="s">
        <v>590</v>
      </c>
      <c r="F138" s="55" t="s">
        <v>591</v>
      </c>
      <c r="G138" s="55">
        <v>25.0</v>
      </c>
      <c r="H138" s="55" t="s">
        <v>85</v>
      </c>
      <c r="I138" s="55" t="s">
        <v>86</v>
      </c>
      <c r="J138" s="56" t="s">
        <v>87</v>
      </c>
      <c r="K138" s="55" t="s">
        <v>592</v>
      </c>
      <c r="L138" s="55" t="s">
        <v>44</v>
      </c>
      <c r="M138" s="55" t="s">
        <v>89</v>
      </c>
      <c r="N138" s="55" t="s">
        <v>90</v>
      </c>
      <c r="O138" s="55"/>
      <c r="P138" s="55" t="s">
        <v>91</v>
      </c>
      <c r="Q138" s="55" t="s">
        <v>16</v>
      </c>
      <c r="R138" s="55"/>
      <c r="S138" s="55"/>
      <c r="T138" s="55"/>
      <c r="U138" s="55"/>
      <c r="V138" s="55"/>
      <c r="W138" s="55"/>
      <c r="X138" s="57" t="str">
        <f t="shared" si="2"/>
        <v>--131-27-04</v>
      </c>
      <c r="Y138" s="58" t="str">
        <f t="shared" ref="Y138:AC138" si="136">TRIM(SUBSTITUTE(SUBSTITUTE(OFFSET($Q138,0,COLUMN()-COLUMN($AL$1)),CHAR(160)," "),_xludf.UNICHAR(8239)," "))</f>
        <v>#NAME?</v>
      </c>
      <c r="Z138" s="58" t="str">
        <f t="shared" si="136"/>
        <v>#NAME?</v>
      </c>
      <c r="AA138" s="58" t="str">
        <f t="shared" si="136"/>
        <v>#NAME?</v>
      </c>
      <c r="AB138" s="58" t="str">
        <f t="shared" si="136"/>
        <v>#NAME?</v>
      </c>
      <c r="AC138" s="58" t="str">
        <f t="shared" si="136"/>
        <v>#NAME?</v>
      </c>
      <c r="AD138" s="57">
        <f t="shared" si="4"/>
        <v>1</v>
      </c>
      <c r="AE138" s="57" t="str">
        <f t="shared" si="5"/>
        <v>2026-04</v>
      </c>
      <c r="AF138" s="57">
        <f t="shared" si="6"/>
        <v>1</v>
      </c>
      <c r="AG138" s="59">
        <f t="shared" si="7"/>
        <v>1</v>
      </c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</row>
    <row r="139" ht="24.0" customHeight="1">
      <c r="A139" s="53">
        <v>35.0</v>
      </c>
      <c r="B139" s="54" t="s">
        <v>593</v>
      </c>
      <c r="C139" s="55" t="s">
        <v>469</v>
      </c>
      <c r="D139" s="55"/>
      <c r="E139" s="55" t="s">
        <v>594</v>
      </c>
      <c r="F139" s="55" t="s">
        <v>595</v>
      </c>
      <c r="G139" s="55">
        <v>36.0</v>
      </c>
      <c r="H139" s="55" t="s">
        <v>85</v>
      </c>
      <c r="I139" s="55" t="s">
        <v>86</v>
      </c>
      <c r="J139" s="56" t="s">
        <v>87</v>
      </c>
      <c r="K139" s="55" t="s">
        <v>596</v>
      </c>
      <c r="L139" s="55" t="s">
        <v>34</v>
      </c>
      <c r="M139" s="55" t="s">
        <v>133</v>
      </c>
      <c r="N139" s="55" t="s">
        <v>90</v>
      </c>
      <c r="O139" s="55"/>
      <c r="P139" s="55" t="s">
        <v>91</v>
      </c>
      <c r="Q139" s="55" t="s">
        <v>4</v>
      </c>
      <c r="R139" s="55"/>
      <c r="S139" s="55"/>
      <c r="T139" s="55"/>
      <c r="U139" s="55"/>
      <c r="V139" s="55"/>
      <c r="W139" s="55"/>
      <c r="X139" s="57" t="str">
        <f t="shared" si="2"/>
        <v>--132-27-04</v>
      </c>
      <c r="Y139" s="58" t="str">
        <f t="shared" ref="Y139:AC139" si="137">TRIM(SUBSTITUTE(SUBSTITUTE(OFFSET($Q139,0,COLUMN()-COLUMN($AL$1)),CHAR(160)," "),_xludf.UNICHAR(8239)," "))</f>
        <v>#NAME?</v>
      </c>
      <c r="Z139" s="58" t="str">
        <f t="shared" si="137"/>
        <v>#NAME?</v>
      </c>
      <c r="AA139" s="58" t="str">
        <f t="shared" si="137"/>
        <v>#NAME?</v>
      </c>
      <c r="AB139" s="58" t="str">
        <f t="shared" si="137"/>
        <v>#NAME?</v>
      </c>
      <c r="AC139" s="58" t="str">
        <f t="shared" si="137"/>
        <v>#NAME?</v>
      </c>
      <c r="AD139" s="57">
        <f t="shared" si="4"/>
        <v>1</v>
      </c>
      <c r="AE139" s="57" t="str">
        <f t="shared" si="5"/>
        <v>2026-04</v>
      </c>
      <c r="AF139" s="57">
        <f t="shared" si="6"/>
        <v>1</v>
      </c>
      <c r="AG139" s="59">
        <f t="shared" si="7"/>
        <v>1</v>
      </c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</row>
    <row r="140" ht="24.0" customHeight="1">
      <c r="A140" s="53">
        <v>36.0</v>
      </c>
      <c r="B140" s="54" t="s">
        <v>597</v>
      </c>
      <c r="C140" s="55" t="s">
        <v>469</v>
      </c>
      <c r="D140" s="55"/>
      <c r="E140" s="55" t="s">
        <v>598</v>
      </c>
      <c r="F140" s="55" t="s">
        <v>599</v>
      </c>
      <c r="G140" s="55">
        <v>2.0</v>
      </c>
      <c r="H140" s="55" t="s">
        <v>119</v>
      </c>
      <c r="I140" s="55" t="s">
        <v>112</v>
      </c>
      <c r="J140" s="56" t="s">
        <v>113</v>
      </c>
      <c r="K140" s="55" t="s">
        <v>600</v>
      </c>
      <c r="L140" s="55" t="s">
        <v>34</v>
      </c>
      <c r="M140" s="55" t="s">
        <v>115</v>
      </c>
      <c r="N140" s="55" t="s">
        <v>90</v>
      </c>
      <c r="O140" s="55"/>
      <c r="P140" s="55" t="s">
        <v>91</v>
      </c>
      <c r="Q140" s="55" t="s">
        <v>16</v>
      </c>
      <c r="R140" s="55"/>
      <c r="S140" s="55"/>
      <c r="T140" s="55"/>
      <c r="U140" s="55"/>
      <c r="V140" s="55"/>
      <c r="W140" s="55"/>
      <c r="X140" s="57" t="str">
        <f t="shared" si="2"/>
        <v>--133-27-04</v>
      </c>
      <c r="Y140" s="58" t="str">
        <f t="shared" ref="Y140:AC140" si="138">TRIM(SUBSTITUTE(SUBSTITUTE(OFFSET($Q140,0,COLUMN()-COLUMN($AL$1)),CHAR(160)," "),_xludf.UNICHAR(8239)," "))</f>
        <v>#NAME?</v>
      </c>
      <c r="Z140" s="58" t="str">
        <f t="shared" si="138"/>
        <v>#NAME?</v>
      </c>
      <c r="AA140" s="58" t="str">
        <f t="shared" si="138"/>
        <v>#NAME?</v>
      </c>
      <c r="AB140" s="58" t="str">
        <f t="shared" si="138"/>
        <v>#NAME?</v>
      </c>
      <c r="AC140" s="58" t="str">
        <f t="shared" si="138"/>
        <v>#NAME?</v>
      </c>
      <c r="AD140" s="57">
        <f t="shared" si="4"/>
        <v>1</v>
      </c>
      <c r="AE140" s="57" t="str">
        <f t="shared" si="5"/>
        <v>2026-04</v>
      </c>
      <c r="AF140" s="57">
        <f t="shared" si="6"/>
        <v>1</v>
      </c>
      <c r="AG140" s="59">
        <f t="shared" si="7"/>
        <v>1</v>
      </c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</row>
    <row r="141" ht="24.0" customHeight="1">
      <c r="A141" s="53">
        <v>37.0</v>
      </c>
      <c r="B141" s="54" t="s">
        <v>601</v>
      </c>
      <c r="C141" s="55" t="s">
        <v>469</v>
      </c>
      <c r="D141" s="55"/>
      <c r="E141" s="55" t="s">
        <v>602</v>
      </c>
      <c r="F141" s="55" t="s">
        <v>603</v>
      </c>
      <c r="G141" s="55">
        <v>4.0</v>
      </c>
      <c r="H141" s="55" t="s">
        <v>119</v>
      </c>
      <c r="I141" s="55" t="s">
        <v>86</v>
      </c>
      <c r="J141" s="56" t="s">
        <v>87</v>
      </c>
      <c r="K141" s="55" t="s">
        <v>600</v>
      </c>
      <c r="L141" s="55" t="s">
        <v>34</v>
      </c>
      <c r="M141" s="55" t="s">
        <v>115</v>
      </c>
      <c r="N141" s="55" t="s">
        <v>90</v>
      </c>
      <c r="O141" s="55"/>
      <c r="P141" s="55" t="s">
        <v>91</v>
      </c>
      <c r="Q141" s="55" t="s">
        <v>16</v>
      </c>
      <c r="R141" s="55"/>
      <c r="S141" s="55"/>
      <c r="T141" s="55"/>
      <c r="U141" s="55"/>
      <c r="V141" s="55"/>
      <c r="W141" s="55"/>
      <c r="X141" s="57" t="str">
        <f t="shared" si="2"/>
        <v>--134-27-04</v>
      </c>
      <c r="Y141" s="58" t="str">
        <f t="shared" ref="Y141:AC141" si="139">TRIM(SUBSTITUTE(SUBSTITUTE(OFFSET($Q141,0,COLUMN()-COLUMN($AL$1)),CHAR(160)," "),_xludf.UNICHAR(8239)," "))</f>
        <v>#NAME?</v>
      </c>
      <c r="Z141" s="58" t="str">
        <f t="shared" si="139"/>
        <v>#NAME?</v>
      </c>
      <c r="AA141" s="58" t="str">
        <f t="shared" si="139"/>
        <v>#NAME?</v>
      </c>
      <c r="AB141" s="58" t="str">
        <f t="shared" si="139"/>
        <v>#NAME?</v>
      </c>
      <c r="AC141" s="58" t="str">
        <f t="shared" si="139"/>
        <v>#NAME?</v>
      </c>
      <c r="AD141" s="57">
        <f t="shared" si="4"/>
        <v>1</v>
      </c>
      <c r="AE141" s="57" t="str">
        <f t="shared" si="5"/>
        <v>2026-04</v>
      </c>
      <c r="AF141" s="57">
        <f t="shared" si="6"/>
        <v>1</v>
      </c>
      <c r="AG141" s="59">
        <f t="shared" si="7"/>
        <v>1</v>
      </c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</row>
    <row r="142" ht="24.0" customHeight="1">
      <c r="A142" s="53">
        <v>38.0</v>
      </c>
      <c r="B142" s="54" t="s">
        <v>604</v>
      </c>
      <c r="C142" s="55" t="s">
        <v>469</v>
      </c>
      <c r="D142" s="55"/>
      <c r="E142" s="55" t="s">
        <v>605</v>
      </c>
      <c r="F142" s="55" t="s">
        <v>606</v>
      </c>
      <c r="G142" s="55">
        <v>38.0</v>
      </c>
      <c r="H142" s="55" t="s">
        <v>85</v>
      </c>
      <c r="I142" s="55" t="s">
        <v>86</v>
      </c>
      <c r="J142" s="56" t="s">
        <v>87</v>
      </c>
      <c r="K142" s="55" t="s">
        <v>607</v>
      </c>
      <c r="L142" s="55" t="s">
        <v>34</v>
      </c>
      <c r="M142" s="55" t="s">
        <v>89</v>
      </c>
      <c r="N142" s="55" t="s">
        <v>90</v>
      </c>
      <c r="O142" s="55"/>
      <c r="P142" s="55" t="s">
        <v>91</v>
      </c>
      <c r="Q142" s="55" t="s">
        <v>4</v>
      </c>
      <c r="R142" s="55"/>
      <c r="S142" s="55"/>
      <c r="T142" s="55"/>
      <c r="U142" s="55"/>
      <c r="V142" s="55"/>
      <c r="W142" s="55"/>
      <c r="X142" s="57" t="str">
        <f t="shared" si="2"/>
        <v>--135-27-04</v>
      </c>
      <c r="Y142" s="58" t="str">
        <f t="shared" ref="Y142:AC142" si="140">TRIM(SUBSTITUTE(SUBSTITUTE(OFFSET($Q142,0,COLUMN()-COLUMN($AL$1)),CHAR(160)," "),_xludf.UNICHAR(8239)," "))</f>
        <v>#NAME?</v>
      </c>
      <c r="Z142" s="58" t="str">
        <f t="shared" si="140"/>
        <v>#NAME?</v>
      </c>
      <c r="AA142" s="58" t="str">
        <f t="shared" si="140"/>
        <v>#NAME?</v>
      </c>
      <c r="AB142" s="58" t="str">
        <f t="shared" si="140"/>
        <v>#NAME?</v>
      </c>
      <c r="AC142" s="58" t="str">
        <f t="shared" si="140"/>
        <v>#NAME?</v>
      </c>
      <c r="AD142" s="57">
        <f t="shared" si="4"/>
        <v>1</v>
      </c>
      <c r="AE142" s="57" t="str">
        <f t="shared" si="5"/>
        <v>2026-04</v>
      </c>
      <c r="AF142" s="57">
        <f t="shared" si="6"/>
        <v>1</v>
      </c>
      <c r="AG142" s="59">
        <f t="shared" si="7"/>
        <v>1</v>
      </c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</row>
    <row r="143" ht="24.0" customHeight="1">
      <c r="A143" s="53">
        <v>39.0</v>
      </c>
      <c r="B143" s="54" t="s">
        <v>608</v>
      </c>
      <c r="C143" s="55" t="s">
        <v>469</v>
      </c>
      <c r="D143" s="55"/>
      <c r="E143" s="55" t="s">
        <v>609</v>
      </c>
      <c r="F143" s="55" t="s">
        <v>610</v>
      </c>
      <c r="G143" s="55">
        <v>26.0</v>
      </c>
      <c r="H143" s="55" t="s">
        <v>85</v>
      </c>
      <c r="I143" s="55" t="s">
        <v>112</v>
      </c>
      <c r="J143" s="56" t="s">
        <v>113</v>
      </c>
      <c r="K143" s="55" t="s">
        <v>611</v>
      </c>
      <c r="L143" s="55" t="s">
        <v>34</v>
      </c>
      <c r="M143" s="55" t="s">
        <v>133</v>
      </c>
      <c r="N143" s="55" t="s">
        <v>90</v>
      </c>
      <c r="O143" s="55"/>
      <c r="P143" s="55" t="s">
        <v>91</v>
      </c>
      <c r="Q143" s="55" t="s">
        <v>16</v>
      </c>
      <c r="R143" s="55"/>
      <c r="S143" s="55"/>
      <c r="T143" s="55"/>
      <c r="U143" s="55"/>
      <c r="V143" s="55"/>
      <c r="W143" s="55"/>
      <c r="X143" s="57" t="str">
        <f t="shared" si="2"/>
        <v>--136-27-04</v>
      </c>
      <c r="Y143" s="58" t="str">
        <f t="shared" ref="Y143:AC143" si="141">TRIM(SUBSTITUTE(SUBSTITUTE(OFFSET($Q143,0,COLUMN()-COLUMN($AL$1)),CHAR(160)," "),_xludf.UNICHAR(8239)," "))</f>
        <v>#NAME?</v>
      </c>
      <c r="Z143" s="58" t="str">
        <f t="shared" si="141"/>
        <v>#NAME?</v>
      </c>
      <c r="AA143" s="58" t="str">
        <f t="shared" si="141"/>
        <v>#NAME?</v>
      </c>
      <c r="AB143" s="58" t="str">
        <f t="shared" si="141"/>
        <v>#NAME?</v>
      </c>
      <c r="AC143" s="58" t="str">
        <f t="shared" si="141"/>
        <v>#NAME?</v>
      </c>
      <c r="AD143" s="57">
        <f t="shared" si="4"/>
        <v>1</v>
      </c>
      <c r="AE143" s="57" t="str">
        <f t="shared" si="5"/>
        <v>2026-04</v>
      </c>
      <c r="AF143" s="57">
        <f t="shared" si="6"/>
        <v>1</v>
      </c>
      <c r="AG143" s="59">
        <f t="shared" si="7"/>
        <v>1</v>
      </c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</row>
    <row r="144" ht="24.0" customHeight="1">
      <c r="A144" s="53">
        <v>40.0</v>
      </c>
      <c r="B144" s="54" t="s">
        <v>612</v>
      </c>
      <c r="C144" s="55" t="s">
        <v>469</v>
      </c>
      <c r="D144" s="55"/>
      <c r="E144" s="55" t="s">
        <v>613</v>
      </c>
      <c r="F144" s="55" t="s">
        <v>614</v>
      </c>
      <c r="G144" s="55">
        <v>22.0</v>
      </c>
      <c r="H144" s="55" t="s">
        <v>85</v>
      </c>
      <c r="I144" s="55" t="s">
        <v>112</v>
      </c>
      <c r="J144" s="56" t="s">
        <v>113</v>
      </c>
      <c r="K144" s="55" t="s">
        <v>615</v>
      </c>
      <c r="L144" s="55" t="s">
        <v>34</v>
      </c>
      <c r="M144" s="55" t="s">
        <v>133</v>
      </c>
      <c r="N144" s="55" t="s">
        <v>90</v>
      </c>
      <c r="O144" s="55"/>
      <c r="P144" s="55" t="s">
        <v>91</v>
      </c>
      <c r="Q144" s="55" t="s">
        <v>16</v>
      </c>
      <c r="R144" s="55"/>
      <c r="S144" s="55"/>
      <c r="T144" s="55"/>
      <c r="U144" s="55"/>
      <c r="V144" s="55"/>
      <c r="W144" s="55"/>
      <c r="X144" s="57" t="str">
        <f t="shared" si="2"/>
        <v>--137-27-04</v>
      </c>
      <c r="Y144" s="58" t="str">
        <f t="shared" ref="Y144:AC144" si="142">TRIM(SUBSTITUTE(SUBSTITUTE(OFFSET($Q144,0,COLUMN()-COLUMN($AL$1)),CHAR(160)," "),_xludf.UNICHAR(8239)," "))</f>
        <v>#NAME?</v>
      </c>
      <c r="Z144" s="58" t="str">
        <f t="shared" si="142"/>
        <v>#NAME?</v>
      </c>
      <c r="AA144" s="58" t="str">
        <f t="shared" si="142"/>
        <v>#NAME?</v>
      </c>
      <c r="AB144" s="58" t="str">
        <f t="shared" si="142"/>
        <v>#NAME?</v>
      </c>
      <c r="AC144" s="58" t="str">
        <f t="shared" si="142"/>
        <v>#NAME?</v>
      </c>
      <c r="AD144" s="57">
        <f t="shared" si="4"/>
        <v>1</v>
      </c>
      <c r="AE144" s="57" t="str">
        <f t="shared" si="5"/>
        <v>2026-04</v>
      </c>
      <c r="AF144" s="57">
        <f t="shared" si="6"/>
        <v>1</v>
      </c>
      <c r="AG144" s="59">
        <f t="shared" si="7"/>
        <v>1</v>
      </c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</row>
    <row r="145" ht="24.0" customHeight="1">
      <c r="A145" s="53">
        <v>41.0</v>
      </c>
      <c r="B145" s="54" t="s">
        <v>616</v>
      </c>
      <c r="C145" s="55" t="s">
        <v>469</v>
      </c>
      <c r="D145" s="55"/>
      <c r="E145" s="55" t="s">
        <v>617</v>
      </c>
      <c r="F145" s="55" t="s">
        <v>618</v>
      </c>
      <c r="G145" s="55">
        <v>1.0</v>
      </c>
      <c r="H145" s="55" t="s">
        <v>119</v>
      </c>
      <c r="I145" s="55" t="s">
        <v>86</v>
      </c>
      <c r="J145" s="56" t="s">
        <v>87</v>
      </c>
      <c r="K145" s="55" t="s">
        <v>619</v>
      </c>
      <c r="L145" s="55" t="s">
        <v>34</v>
      </c>
      <c r="M145" s="55" t="s">
        <v>115</v>
      </c>
      <c r="N145" s="55" t="s">
        <v>90</v>
      </c>
      <c r="O145" s="55"/>
      <c r="P145" s="55" t="s">
        <v>91</v>
      </c>
      <c r="Q145" s="55" t="s">
        <v>16</v>
      </c>
      <c r="R145" s="55"/>
      <c r="S145" s="55"/>
      <c r="T145" s="55"/>
      <c r="U145" s="55"/>
      <c r="V145" s="55"/>
      <c r="W145" s="55"/>
      <c r="X145" s="57" t="str">
        <f t="shared" si="2"/>
        <v>--138-27-04</v>
      </c>
      <c r="Y145" s="58" t="str">
        <f t="shared" ref="Y145:AC145" si="143">TRIM(SUBSTITUTE(SUBSTITUTE(OFFSET($Q145,0,COLUMN()-COLUMN($AL$1)),CHAR(160)," "),_xludf.UNICHAR(8239)," "))</f>
        <v>#NAME?</v>
      </c>
      <c r="Z145" s="58" t="str">
        <f t="shared" si="143"/>
        <v>#NAME?</v>
      </c>
      <c r="AA145" s="58" t="str">
        <f t="shared" si="143"/>
        <v>#NAME?</v>
      </c>
      <c r="AB145" s="58" t="str">
        <f t="shared" si="143"/>
        <v>#NAME?</v>
      </c>
      <c r="AC145" s="58" t="str">
        <f t="shared" si="143"/>
        <v>#NAME?</v>
      </c>
      <c r="AD145" s="57">
        <f t="shared" si="4"/>
        <v>1</v>
      </c>
      <c r="AE145" s="57" t="str">
        <f t="shared" si="5"/>
        <v>2026-04</v>
      </c>
      <c r="AF145" s="57">
        <f t="shared" si="6"/>
        <v>1</v>
      </c>
      <c r="AG145" s="59">
        <f t="shared" si="7"/>
        <v>1</v>
      </c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</row>
    <row r="146" ht="24.0" customHeight="1">
      <c r="A146" s="53">
        <v>42.0</v>
      </c>
      <c r="B146" s="54" t="s">
        <v>620</v>
      </c>
      <c r="C146" s="55" t="s">
        <v>469</v>
      </c>
      <c r="D146" s="55"/>
      <c r="E146" s="55" t="s">
        <v>621</v>
      </c>
      <c r="F146" s="55" t="s">
        <v>622</v>
      </c>
      <c r="G146" s="55">
        <v>16.0</v>
      </c>
      <c r="H146" s="55" t="s">
        <v>111</v>
      </c>
      <c r="I146" s="55" t="s">
        <v>86</v>
      </c>
      <c r="J146" s="56" t="s">
        <v>87</v>
      </c>
      <c r="K146" s="55" t="s">
        <v>623</v>
      </c>
      <c r="L146" s="55" t="s">
        <v>34</v>
      </c>
      <c r="M146" s="55" t="s">
        <v>133</v>
      </c>
      <c r="N146" s="55" t="s">
        <v>90</v>
      </c>
      <c r="O146" s="55"/>
      <c r="P146" s="55" t="s">
        <v>91</v>
      </c>
      <c r="Q146" s="55" t="s">
        <v>16</v>
      </c>
      <c r="R146" s="55"/>
      <c r="S146" s="55"/>
      <c r="T146" s="55"/>
      <c r="U146" s="55"/>
      <c r="V146" s="55"/>
      <c r="W146" s="55"/>
      <c r="X146" s="57" t="str">
        <f t="shared" si="2"/>
        <v>--139-27-04</v>
      </c>
      <c r="Y146" s="58" t="str">
        <f t="shared" ref="Y146:AC146" si="144">TRIM(SUBSTITUTE(SUBSTITUTE(OFFSET($Q146,0,COLUMN()-COLUMN($AL$1)),CHAR(160)," "),_xludf.UNICHAR(8239)," "))</f>
        <v>#NAME?</v>
      </c>
      <c r="Z146" s="58" t="str">
        <f t="shared" si="144"/>
        <v>#NAME?</v>
      </c>
      <c r="AA146" s="58" t="str">
        <f t="shared" si="144"/>
        <v>#NAME?</v>
      </c>
      <c r="AB146" s="58" t="str">
        <f t="shared" si="144"/>
        <v>#NAME?</v>
      </c>
      <c r="AC146" s="58" t="str">
        <f t="shared" si="144"/>
        <v>#NAME?</v>
      </c>
      <c r="AD146" s="57">
        <f t="shared" si="4"/>
        <v>1</v>
      </c>
      <c r="AE146" s="57" t="str">
        <f t="shared" si="5"/>
        <v>2026-04</v>
      </c>
      <c r="AF146" s="57">
        <f t="shared" si="6"/>
        <v>1</v>
      </c>
      <c r="AG146" s="59">
        <f t="shared" si="7"/>
        <v>1</v>
      </c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</row>
    <row r="147" ht="24.0" customHeight="1">
      <c r="A147" s="53">
        <v>43.0</v>
      </c>
      <c r="B147" s="54" t="s">
        <v>624</v>
      </c>
      <c r="C147" s="55" t="s">
        <v>469</v>
      </c>
      <c r="D147" s="55"/>
      <c r="E147" s="55" t="s">
        <v>625</v>
      </c>
      <c r="F147" s="55" t="s">
        <v>626</v>
      </c>
      <c r="G147" s="55">
        <v>19.0</v>
      </c>
      <c r="H147" s="55" t="s">
        <v>85</v>
      </c>
      <c r="I147" s="55" t="s">
        <v>112</v>
      </c>
      <c r="J147" s="56" t="s">
        <v>113</v>
      </c>
      <c r="K147" s="55" t="s">
        <v>627</v>
      </c>
      <c r="L147" s="55" t="s">
        <v>34</v>
      </c>
      <c r="M147" s="55" t="s">
        <v>133</v>
      </c>
      <c r="N147" s="55" t="s">
        <v>90</v>
      </c>
      <c r="O147" s="55"/>
      <c r="P147" s="55" t="s">
        <v>91</v>
      </c>
      <c r="Q147" s="55" t="s">
        <v>4</v>
      </c>
      <c r="R147" s="55"/>
      <c r="S147" s="55"/>
      <c r="T147" s="55"/>
      <c r="U147" s="55"/>
      <c r="V147" s="55"/>
      <c r="W147" s="55"/>
      <c r="X147" s="57" t="str">
        <f t="shared" si="2"/>
        <v>--140-27-04</v>
      </c>
      <c r="Y147" s="58" t="str">
        <f t="shared" ref="Y147:AC147" si="145">TRIM(SUBSTITUTE(SUBSTITUTE(OFFSET($Q147,0,COLUMN()-COLUMN($AL$1)),CHAR(160)," "),_xludf.UNICHAR(8239)," "))</f>
        <v>#NAME?</v>
      </c>
      <c r="Z147" s="58" t="str">
        <f t="shared" si="145"/>
        <v>#NAME?</v>
      </c>
      <c r="AA147" s="58" t="str">
        <f t="shared" si="145"/>
        <v>#NAME?</v>
      </c>
      <c r="AB147" s="58" t="str">
        <f t="shared" si="145"/>
        <v>#NAME?</v>
      </c>
      <c r="AC147" s="58" t="str">
        <f t="shared" si="145"/>
        <v>#NAME?</v>
      </c>
      <c r="AD147" s="57">
        <f t="shared" si="4"/>
        <v>1</v>
      </c>
      <c r="AE147" s="57" t="str">
        <f t="shared" si="5"/>
        <v>2026-04</v>
      </c>
      <c r="AF147" s="57">
        <f t="shared" si="6"/>
        <v>1</v>
      </c>
      <c r="AG147" s="59">
        <f t="shared" si="7"/>
        <v>1</v>
      </c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</row>
    <row r="148" ht="24.0" customHeight="1">
      <c r="A148" s="53">
        <v>44.0</v>
      </c>
      <c r="B148" s="54" t="s">
        <v>628</v>
      </c>
      <c r="C148" s="55" t="s">
        <v>469</v>
      </c>
      <c r="D148" s="55"/>
      <c r="E148" s="55" t="s">
        <v>629</v>
      </c>
      <c r="F148" s="55" t="s">
        <v>630</v>
      </c>
      <c r="G148" s="55">
        <v>36.0</v>
      </c>
      <c r="H148" s="55" t="s">
        <v>85</v>
      </c>
      <c r="I148" s="55" t="s">
        <v>86</v>
      </c>
      <c r="J148" s="56" t="s">
        <v>87</v>
      </c>
      <c r="K148" s="55" t="s">
        <v>631</v>
      </c>
      <c r="L148" s="55" t="s">
        <v>34</v>
      </c>
      <c r="M148" s="55" t="s">
        <v>89</v>
      </c>
      <c r="N148" s="55" t="s">
        <v>90</v>
      </c>
      <c r="O148" s="55"/>
      <c r="P148" s="55" t="s">
        <v>91</v>
      </c>
      <c r="Q148" s="55" t="s">
        <v>4</v>
      </c>
      <c r="R148" s="55"/>
      <c r="S148" s="55"/>
      <c r="T148" s="55"/>
      <c r="U148" s="55"/>
      <c r="V148" s="55"/>
      <c r="W148" s="55"/>
      <c r="X148" s="57" t="str">
        <f t="shared" si="2"/>
        <v>--141-27-04</v>
      </c>
      <c r="Y148" s="58" t="str">
        <f t="shared" ref="Y148:AC148" si="146">TRIM(SUBSTITUTE(SUBSTITUTE(OFFSET($Q148,0,COLUMN()-COLUMN($AL$1)),CHAR(160)," "),_xludf.UNICHAR(8239)," "))</f>
        <v>#NAME?</v>
      </c>
      <c r="Z148" s="58" t="str">
        <f t="shared" si="146"/>
        <v>#NAME?</v>
      </c>
      <c r="AA148" s="58" t="str">
        <f t="shared" si="146"/>
        <v>#NAME?</v>
      </c>
      <c r="AB148" s="58" t="str">
        <f t="shared" si="146"/>
        <v>#NAME?</v>
      </c>
      <c r="AC148" s="58" t="str">
        <f t="shared" si="146"/>
        <v>#NAME?</v>
      </c>
      <c r="AD148" s="57">
        <f t="shared" si="4"/>
        <v>1</v>
      </c>
      <c r="AE148" s="57" t="str">
        <f t="shared" si="5"/>
        <v>2026-04</v>
      </c>
      <c r="AF148" s="57">
        <f t="shared" si="6"/>
        <v>1</v>
      </c>
      <c r="AG148" s="59">
        <f t="shared" si="7"/>
        <v>1</v>
      </c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</row>
    <row r="149" ht="24.0" customHeight="1">
      <c r="A149" s="53">
        <v>45.0</v>
      </c>
      <c r="B149" s="54" t="s">
        <v>632</v>
      </c>
      <c r="C149" s="55" t="s">
        <v>469</v>
      </c>
      <c r="D149" s="55"/>
      <c r="E149" s="55" t="s">
        <v>633</v>
      </c>
      <c r="F149" s="55" t="s">
        <v>634</v>
      </c>
      <c r="G149" s="55">
        <v>36.0</v>
      </c>
      <c r="H149" s="55" t="s">
        <v>85</v>
      </c>
      <c r="I149" s="55" t="s">
        <v>86</v>
      </c>
      <c r="J149" s="56" t="s">
        <v>87</v>
      </c>
      <c r="K149" s="55" t="s">
        <v>635</v>
      </c>
      <c r="L149" s="55" t="s">
        <v>34</v>
      </c>
      <c r="M149" s="55" t="s">
        <v>89</v>
      </c>
      <c r="N149" s="55" t="s">
        <v>90</v>
      </c>
      <c r="O149" s="55"/>
      <c r="P149" s="55" t="s">
        <v>91</v>
      </c>
      <c r="Q149" s="55"/>
      <c r="R149" s="55" t="s">
        <v>27</v>
      </c>
      <c r="S149" s="55"/>
      <c r="T149" s="55"/>
      <c r="U149" s="55"/>
      <c r="V149" s="55"/>
      <c r="W149" s="55"/>
      <c r="X149" s="57" t="str">
        <f t="shared" si="2"/>
        <v>--142-27-04</v>
      </c>
      <c r="Y149" s="58" t="str">
        <f t="shared" ref="Y149:AC149" si="147">TRIM(SUBSTITUTE(SUBSTITUTE(OFFSET($Q149,0,COLUMN()-COLUMN($AL$1)),CHAR(160)," "),_xludf.UNICHAR(8239)," "))</f>
        <v>#NAME?</v>
      </c>
      <c r="Z149" s="58" t="str">
        <f t="shared" si="147"/>
        <v>#NAME?</v>
      </c>
      <c r="AA149" s="58" t="str">
        <f t="shared" si="147"/>
        <v>#NAME?</v>
      </c>
      <c r="AB149" s="58" t="str">
        <f t="shared" si="147"/>
        <v>#NAME?</v>
      </c>
      <c r="AC149" s="58" t="str">
        <f t="shared" si="147"/>
        <v>#NAME?</v>
      </c>
      <c r="AD149" s="57">
        <f t="shared" si="4"/>
        <v>1</v>
      </c>
      <c r="AE149" s="57" t="str">
        <f t="shared" si="5"/>
        <v>2026-04</v>
      </c>
      <c r="AF149" s="57">
        <f t="shared" si="6"/>
        <v>1</v>
      </c>
      <c r="AG149" s="59">
        <f t="shared" si="7"/>
        <v>1</v>
      </c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</row>
    <row r="150" ht="24.0" customHeight="1">
      <c r="A150" s="53">
        <v>46.0</v>
      </c>
      <c r="B150" s="54" t="s">
        <v>636</v>
      </c>
      <c r="C150" s="55" t="s">
        <v>469</v>
      </c>
      <c r="D150" s="55"/>
      <c r="E150" s="55" t="s">
        <v>637</v>
      </c>
      <c r="F150" s="55" t="s">
        <v>638</v>
      </c>
      <c r="G150" s="55">
        <v>29.0</v>
      </c>
      <c r="H150" s="55" t="s">
        <v>85</v>
      </c>
      <c r="I150" s="55" t="s">
        <v>86</v>
      </c>
      <c r="J150" s="56" t="s">
        <v>87</v>
      </c>
      <c r="K150" s="55" t="s">
        <v>639</v>
      </c>
      <c r="L150" s="55" t="s">
        <v>34</v>
      </c>
      <c r="M150" s="55" t="s">
        <v>89</v>
      </c>
      <c r="N150" s="55" t="s">
        <v>90</v>
      </c>
      <c r="O150" s="55"/>
      <c r="P150" s="55" t="s">
        <v>91</v>
      </c>
      <c r="Q150" s="55"/>
      <c r="R150" s="55" t="s">
        <v>27</v>
      </c>
      <c r="S150" s="55"/>
      <c r="T150" s="55"/>
      <c r="U150" s="55"/>
      <c r="V150" s="55"/>
      <c r="W150" s="55"/>
      <c r="X150" s="57" t="str">
        <f t="shared" si="2"/>
        <v>--143-27-04</v>
      </c>
      <c r="Y150" s="58" t="str">
        <f t="shared" ref="Y150:AC150" si="148">TRIM(SUBSTITUTE(SUBSTITUTE(OFFSET($Q150,0,COLUMN()-COLUMN($AL$1)),CHAR(160)," "),_xludf.UNICHAR(8239)," "))</f>
        <v>#NAME?</v>
      </c>
      <c r="Z150" s="58" t="str">
        <f t="shared" si="148"/>
        <v>#NAME?</v>
      </c>
      <c r="AA150" s="58" t="str">
        <f t="shared" si="148"/>
        <v>#NAME?</v>
      </c>
      <c r="AB150" s="58" t="str">
        <f t="shared" si="148"/>
        <v>#NAME?</v>
      </c>
      <c r="AC150" s="58" t="str">
        <f t="shared" si="148"/>
        <v>#NAME?</v>
      </c>
      <c r="AD150" s="57">
        <f t="shared" si="4"/>
        <v>1</v>
      </c>
      <c r="AE150" s="57" t="str">
        <f t="shared" si="5"/>
        <v>2026-04</v>
      </c>
      <c r="AF150" s="57">
        <f t="shared" si="6"/>
        <v>1</v>
      </c>
      <c r="AG150" s="59">
        <f t="shared" si="7"/>
        <v>1</v>
      </c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</row>
    <row r="151" ht="24.0" customHeight="1">
      <c r="A151" s="53">
        <v>47.0</v>
      </c>
      <c r="B151" s="54" t="s">
        <v>640</v>
      </c>
      <c r="C151" s="55" t="s">
        <v>469</v>
      </c>
      <c r="D151" s="55"/>
      <c r="E151" s="55" t="s">
        <v>641</v>
      </c>
      <c r="F151" s="55" t="s">
        <v>642</v>
      </c>
      <c r="G151" s="55">
        <v>41.0</v>
      </c>
      <c r="H151" s="55" t="s">
        <v>85</v>
      </c>
      <c r="I151" s="55" t="s">
        <v>86</v>
      </c>
      <c r="J151" s="56" t="s">
        <v>87</v>
      </c>
      <c r="K151" s="55" t="s">
        <v>643</v>
      </c>
      <c r="L151" s="55"/>
      <c r="M151" s="55" t="s">
        <v>89</v>
      </c>
      <c r="N151" s="55" t="s">
        <v>90</v>
      </c>
      <c r="O151" s="55"/>
      <c r="P151" s="55" t="s">
        <v>91</v>
      </c>
      <c r="Q151" s="55"/>
      <c r="R151" s="55" t="s">
        <v>36</v>
      </c>
      <c r="S151" s="55"/>
      <c r="T151" s="55"/>
      <c r="U151" s="55"/>
      <c r="V151" s="55"/>
      <c r="W151" s="55"/>
      <c r="X151" s="57" t="str">
        <f t="shared" si="2"/>
        <v>--144-27-04</v>
      </c>
      <c r="Y151" s="58" t="str">
        <f t="shared" ref="Y151:AC151" si="149">TRIM(SUBSTITUTE(SUBSTITUTE(OFFSET($Q151,0,COLUMN()-COLUMN($AL$1)),CHAR(160)," "),_xludf.UNICHAR(8239)," "))</f>
        <v>#NAME?</v>
      </c>
      <c r="Z151" s="58" t="str">
        <f t="shared" si="149"/>
        <v>#NAME?</v>
      </c>
      <c r="AA151" s="58" t="str">
        <f t="shared" si="149"/>
        <v>#NAME?</v>
      </c>
      <c r="AB151" s="58" t="str">
        <f t="shared" si="149"/>
        <v>#NAME?</v>
      </c>
      <c r="AC151" s="58" t="str">
        <f t="shared" si="149"/>
        <v>#NAME?</v>
      </c>
      <c r="AD151" s="57">
        <f t="shared" si="4"/>
        <v>1</v>
      </c>
      <c r="AE151" s="57" t="str">
        <f t="shared" si="5"/>
        <v>2026-04</v>
      </c>
      <c r="AF151" s="57">
        <f t="shared" si="6"/>
        <v>1</v>
      </c>
      <c r="AG151" s="59">
        <f t="shared" si="7"/>
        <v>1</v>
      </c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</row>
    <row r="152" ht="24.0" customHeight="1">
      <c r="A152" s="53">
        <v>48.0</v>
      </c>
      <c r="B152" s="54" t="s">
        <v>644</v>
      </c>
      <c r="C152" s="55" t="s">
        <v>469</v>
      </c>
      <c r="D152" s="55"/>
      <c r="E152" s="55" t="s">
        <v>645</v>
      </c>
      <c r="F152" s="55" t="s">
        <v>646</v>
      </c>
      <c r="G152" s="55">
        <v>38.0</v>
      </c>
      <c r="H152" s="55" t="s">
        <v>85</v>
      </c>
      <c r="I152" s="55" t="s">
        <v>86</v>
      </c>
      <c r="J152" s="56" t="s">
        <v>87</v>
      </c>
      <c r="K152" s="55" t="s">
        <v>647</v>
      </c>
      <c r="L152" s="55"/>
      <c r="M152" s="55" t="s">
        <v>89</v>
      </c>
      <c r="N152" s="55" t="s">
        <v>90</v>
      </c>
      <c r="O152" s="55"/>
      <c r="P152" s="55" t="s">
        <v>91</v>
      </c>
      <c r="Q152" s="55"/>
      <c r="R152" s="55" t="s">
        <v>27</v>
      </c>
      <c r="S152" s="55"/>
      <c r="T152" s="55"/>
      <c r="U152" s="55"/>
      <c r="V152" s="55"/>
      <c r="W152" s="55"/>
      <c r="X152" s="57" t="str">
        <f t="shared" si="2"/>
        <v>--145-27-04</v>
      </c>
      <c r="Y152" s="58" t="str">
        <f t="shared" ref="Y152:AC152" si="150">TRIM(SUBSTITUTE(SUBSTITUTE(OFFSET($Q152,0,COLUMN()-COLUMN($AL$1)),CHAR(160)," "),_xludf.UNICHAR(8239)," "))</f>
        <v>#NAME?</v>
      </c>
      <c r="Z152" s="58" t="str">
        <f t="shared" si="150"/>
        <v>#NAME?</v>
      </c>
      <c r="AA152" s="58" t="str">
        <f t="shared" si="150"/>
        <v>#NAME?</v>
      </c>
      <c r="AB152" s="58" t="str">
        <f t="shared" si="150"/>
        <v>#NAME?</v>
      </c>
      <c r="AC152" s="58" t="str">
        <f t="shared" si="150"/>
        <v>#NAME?</v>
      </c>
      <c r="AD152" s="57">
        <f t="shared" si="4"/>
        <v>1</v>
      </c>
      <c r="AE152" s="57" t="str">
        <f t="shared" si="5"/>
        <v>2026-04</v>
      </c>
      <c r="AF152" s="57">
        <f t="shared" si="6"/>
        <v>1</v>
      </c>
      <c r="AG152" s="59">
        <f t="shared" si="7"/>
        <v>1</v>
      </c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</row>
    <row r="153" ht="24.0" customHeight="1">
      <c r="A153" s="53">
        <v>49.0</v>
      </c>
      <c r="B153" s="54" t="s">
        <v>648</v>
      </c>
      <c r="C153" s="55" t="s">
        <v>469</v>
      </c>
      <c r="D153" s="55"/>
      <c r="E153" s="55" t="s">
        <v>649</v>
      </c>
      <c r="F153" s="55" t="s">
        <v>650</v>
      </c>
      <c r="G153" s="55">
        <v>46.0</v>
      </c>
      <c r="H153" s="55" t="s">
        <v>85</v>
      </c>
      <c r="I153" s="55" t="s">
        <v>86</v>
      </c>
      <c r="J153" s="56" t="s">
        <v>87</v>
      </c>
      <c r="K153" s="55" t="s">
        <v>651</v>
      </c>
      <c r="L153" s="55" t="s">
        <v>34</v>
      </c>
      <c r="M153" s="55" t="s">
        <v>89</v>
      </c>
      <c r="N153" s="55" t="s">
        <v>90</v>
      </c>
      <c r="O153" s="55"/>
      <c r="P153" s="55" t="s">
        <v>91</v>
      </c>
      <c r="Q153" s="55"/>
      <c r="R153" s="55" t="s">
        <v>36</v>
      </c>
      <c r="S153" s="55"/>
      <c r="T153" s="55"/>
      <c r="U153" s="55"/>
      <c r="V153" s="55"/>
      <c r="W153" s="55"/>
      <c r="X153" s="57" t="str">
        <f t="shared" si="2"/>
        <v>--146-27-04</v>
      </c>
      <c r="Y153" s="58" t="str">
        <f t="shared" ref="Y153:AC153" si="151">TRIM(SUBSTITUTE(SUBSTITUTE(OFFSET($Q153,0,COLUMN()-COLUMN($AL$1)),CHAR(160)," "),_xludf.UNICHAR(8239)," "))</f>
        <v>#NAME?</v>
      </c>
      <c r="Z153" s="58" t="str">
        <f t="shared" si="151"/>
        <v>#NAME?</v>
      </c>
      <c r="AA153" s="58" t="str">
        <f t="shared" si="151"/>
        <v>#NAME?</v>
      </c>
      <c r="AB153" s="58" t="str">
        <f t="shared" si="151"/>
        <v>#NAME?</v>
      </c>
      <c r="AC153" s="58" t="str">
        <f t="shared" si="151"/>
        <v>#NAME?</v>
      </c>
      <c r="AD153" s="57">
        <f t="shared" si="4"/>
        <v>1</v>
      </c>
      <c r="AE153" s="57" t="str">
        <f t="shared" si="5"/>
        <v>2026-04</v>
      </c>
      <c r="AF153" s="57">
        <f t="shared" si="6"/>
        <v>1</v>
      </c>
      <c r="AG153" s="59">
        <f t="shared" si="7"/>
        <v>1</v>
      </c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</row>
    <row r="154" ht="24.0" customHeight="1">
      <c r="A154" s="53">
        <v>50.0</v>
      </c>
      <c r="B154" s="54" t="s">
        <v>652</v>
      </c>
      <c r="C154" s="55" t="s">
        <v>469</v>
      </c>
      <c r="D154" s="55"/>
      <c r="E154" s="55" t="s">
        <v>653</v>
      </c>
      <c r="F154" s="55" t="s">
        <v>654</v>
      </c>
      <c r="G154" s="55">
        <v>1.0</v>
      </c>
      <c r="H154" s="55" t="s">
        <v>119</v>
      </c>
      <c r="I154" s="55" t="s">
        <v>86</v>
      </c>
      <c r="J154" s="56" t="s">
        <v>87</v>
      </c>
      <c r="K154" s="55" t="s">
        <v>655</v>
      </c>
      <c r="L154" s="55" t="s">
        <v>34</v>
      </c>
      <c r="M154" s="55" t="s">
        <v>115</v>
      </c>
      <c r="N154" s="55" t="s">
        <v>90</v>
      </c>
      <c r="O154" s="55"/>
      <c r="P154" s="55" t="s">
        <v>91</v>
      </c>
      <c r="Q154" s="55" t="s">
        <v>16</v>
      </c>
      <c r="R154" s="55"/>
      <c r="S154" s="55"/>
      <c r="T154" s="55"/>
      <c r="U154" s="55"/>
      <c r="V154" s="55"/>
      <c r="W154" s="55"/>
      <c r="X154" s="57" t="str">
        <f t="shared" si="2"/>
        <v>--147-27-04</v>
      </c>
      <c r="Y154" s="58" t="str">
        <f t="shared" ref="Y154:AC154" si="152">TRIM(SUBSTITUTE(SUBSTITUTE(OFFSET($Q154,0,COLUMN()-COLUMN($AL$1)),CHAR(160)," "),_xludf.UNICHAR(8239)," "))</f>
        <v>#NAME?</v>
      </c>
      <c r="Z154" s="58" t="str">
        <f t="shared" si="152"/>
        <v>#NAME?</v>
      </c>
      <c r="AA154" s="58" t="str">
        <f t="shared" si="152"/>
        <v>#NAME?</v>
      </c>
      <c r="AB154" s="58" t="str">
        <f t="shared" si="152"/>
        <v>#NAME?</v>
      </c>
      <c r="AC154" s="58" t="str">
        <f t="shared" si="152"/>
        <v>#NAME?</v>
      </c>
      <c r="AD154" s="57">
        <f t="shared" si="4"/>
        <v>1</v>
      </c>
      <c r="AE154" s="57" t="str">
        <f t="shared" si="5"/>
        <v>2026-04</v>
      </c>
      <c r="AF154" s="57">
        <f t="shared" si="6"/>
        <v>1</v>
      </c>
      <c r="AG154" s="59">
        <f t="shared" si="7"/>
        <v>1</v>
      </c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</row>
    <row r="155" ht="24.0" customHeight="1">
      <c r="A155" s="53">
        <v>51.0</v>
      </c>
      <c r="B155" s="54" t="s">
        <v>656</v>
      </c>
      <c r="C155" s="55" t="s">
        <v>469</v>
      </c>
      <c r="D155" s="55"/>
      <c r="E155" s="55" t="s">
        <v>657</v>
      </c>
      <c r="F155" s="55" t="s">
        <v>658</v>
      </c>
      <c r="G155" s="55">
        <v>7.0</v>
      </c>
      <c r="H155" s="55" t="s">
        <v>111</v>
      </c>
      <c r="I155" s="55" t="s">
        <v>86</v>
      </c>
      <c r="J155" s="56" t="s">
        <v>87</v>
      </c>
      <c r="K155" s="55" t="s">
        <v>655</v>
      </c>
      <c r="L155" s="55" t="s">
        <v>34</v>
      </c>
      <c r="M155" s="55" t="s">
        <v>115</v>
      </c>
      <c r="N155" s="55" t="s">
        <v>90</v>
      </c>
      <c r="O155" s="55"/>
      <c r="P155" s="55" t="s">
        <v>91</v>
      </c>
      <c r="Q155" s="55" t="s">
        <v>16</v>
      </c>
      <c r="R155" s="55"/>
      <c r="S155" s="55"/>
      <c r="T155" s="55"/>
      <c r="U155" s="55"/>
      <c r="V155" s="55"/>
      <c r="W155" s="55"/>
      <c r="X155" s="57" t="str">
        <f t="shared" si="2"/>
        <v>--148-27-04</v>
      </c>
      <c r="Y155" s="58" t="str">
        <f t="shared" ref="Y155:AC155" si="153">TRIM(SUBSTITUTE(SUBSTITUTE(OFFSET($Q155,0,COLUMN()-COLUMN($AL$1)),CHAR(160)," "),_xludf.UNICHAR(8239)," "))</f>
        <v>#NAME?</v>
      </c>
      <c r="Z155" s="58" t="str">
        <f t="shared" si="153"/>
        <v>#NAME?</v>
      </c>
      <c r="AA155" s="58" t="str">
        <f t="shared" si="153"/>
        <v>#NAME?</v>
      </c>
      <c r="AB155" s="58" t="str">
        <f t="shared" si="153"/>
        <v>#NAME?</v>
      </c>
      <c r="AC155" s="58" t="str">
        <f t="shared" si="153"/>
        <v>#NAME?</v>
      </c>
      <c r="AD155" s="57">
        <f t="shared" si="4"/>
        <v>1</v>
      </c>
      <c r="AE155" s="57" t="str">
        <f t="shared" si="5"/>
        <v>2026-04</v>
      </c>
      <c r="AF155" s="57">
        <f t="shared" si="6"/>
        <v>1</v>
      </c>
      <c r="AG155" s="59">
        <f t="shared" si="7"/>
        <v>1</v>
      </c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</row>
    <row r="156" ht="24.0" customHeight="1">
      <c r="A156" s="53">
        <v>52.0</v>
      </c>
      <c r="B156" s="54" t="s">
        <v>659</v>
      </c>
      <c r="C156" s="55" t="s">
        <v>469</v>
      </c>
      <c r="D156" s="55"/>
      <c r="E156" s="55" t="s">
        <v>660</v>
      </c>
      <c r="F156" s="55" t="s">
        <v>661</v>
      </c>
      <c r="G156" s="55">
        <v>32.0</v>
      </c>
      <c r="H156" s="55" t="s">
        <v>85</v>
      </c>
      <c r="I156" s="55" t="s">
        <v>86</v>
      </c>
      <c r="J156" s="56" t="s">
        <v>87</v>
      </c>
      <c r="K156" s="55" t="s">
        <v>662</v>
      </c>
      <c r="L156" s="55" t="s">
        <v>34</v>
      </c>
      <c r="M156" s="55" t="s">
        <v>89</v>
      </c>
      <c r="N156" s="55" t="s">
        <v>90</v>
      </c>
      <c r="O156" s="55"/>
      <c r="P156" s="55" t="s">
        <v>91</v>
      </c>
      <c r="Q156" s="55" t="s">
        <v>4</v>
      </c>
      <c r="R156" s="55"/>
      <c r="S156" s="55"/>
      <c r="T156" s="55"/>
      <c r="U156" s="55"/>
      <c r="V156" s="55"/>
      <c r="W156" s="55"/>
      <c r="X156" s="57" t="str">
        <f t="shared" si="2"/>
        <v>--149-27-04</v>
      </c>
      <c r="Y156" s="58" t="str">
        <f t="shared" ref="Y156:AC156" si="154">TRIM(SUBSTITUTE(SUBSTITUTE(OFFSET($Q156,0,COLUMN()-COLUMN($AL$1)),CHAR(160)," "),_xludf.UNICHAR(8239)," "))</f>
        <v>#NAME?</v>
      </c>
      <c r="Z156" s="58" t="str">
        <f t="shared" si="154"/>
        <v>#NAME?</v>
      </c>
      <c r="AA156" s="58" t="str">
        <f t="shared" si="154"/>
        <v>#NAME?</v>
      </c>
      <c r="AB156" s="58" t="str">
        <f t="shared" si="154"/>
        <v>#NAME?</v>
      </c>
      <c r="AC156" s="58" t="str">
        <f t="shared" si="154"/>
        <v>#NAME?</v>
      </c>
      <c r="AD156" s="57">
        <f t="shared" si="4"/>
        <v>1</v>
      </c>
      <c r="AE156" s="57" t="str">
        <f t="shared" si="5"/>
        <v>2026-04</v>
      </c>
      <c r="AF156" s="57">
        <f t="shared" si="6"/>
        <v>1</v>
      </c>
      <c r="AG156" s="59">
        <f t="shared" si="7"/>
        <v>1</v>
      </c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</row>
    <row r="157" ht="24.0" customHeight="1">
      <c r="A157" s="53">
        <v>53.0</v>
      </c>
      <c r="B157" s="54" t="s">
        <v>663</v>
      </c>
      <c r="C157" s="55" t="s">
        <v>469</v>
      </c>
      <c r="D157" s="55"/>
      <c r="E157" s="55" t="s">
        <v>664</v>
      </c>
      <c r="F157" s="55" t="s">
        <v>665</v>
      </c>
      <c r="G157" s="55">
        <v>1.0</v>
      </c>
      <c r="H157" s="55" t="s">
        <v>119</v>
      </c>
      <c r="I157" s="55" t="s">
        <v>112</v>
      </c>
      <c r="J157" s="56" t="s">
        <v>113</v>
      </c>
      <c r="K157" s="55" t="s">
        <v>662</v>
      </c>
      <c r="L157" s="55" t="s">
        <v>41</v>
      </c>
      <c r="M157" s="55" t="s">
        <v>115</v>
      </c>
      <c r="N157" s="55" t="s">
        <v>90</v>
      </c>
      <c r="O157" s="55"/>
      <c r="P157" s="55" t="s">
        <v>91</v>
      </c>
      <c r="Q157" s="55" t="s">
        <v>16</v>
      </c>
      <c r="R157" s="55"/>
      <c r="S157" s="55"/>
      <c r="T157" s="55"/>
      <c r="U157" s="55"/>
      <c r="V157" s="55"/>
      <c r="W157" s="55"/>
      <c r="X157" s="57" t="str">
        <f t="shared" si="2"/>
        <v>--150-27-04</v>
      </c>
      <c r="Y157" s="58" t="str">
        <f t="shared" ref="Y157:AC157" si="155">TRIM(SUBSTITUTE(SUBSTITUTE(OFFSET($Q157,0,COLUMN()-COLUMN($AL$1)),CHAR(160)," "),_xludf.UNICHAR(8239)," "))</f>
        <v>#NAME?</v>
      </c>
      <c r="Z157" s="58" t="str">
        <f t="shared" si="155"/>
        <v>#NAME?</v>
      </c>
      <c r="AA157" s="58" t="str">
        <f t="shared" si="155"/>
        <v>#NAME?</v>
      </c>
      <c r="AB157" s="58" t="str">
        <f t="shared" si="155"/>
        <v>#NAME?</v>
      </c>
      <c r="AC157" s="58" t="str">
        <f t="shared" si="155"/>
        <v>#NAME?</v>
      </c>
      <c r="AD157" s="57">
        <f t="shared" si="4"/>
        <v>1</v>
      </c>
      <c r="AE157" s="57" t="str">
        <f t="shared" si="5"/>
        <v>2026-04</v>
      </c>
      <c r="AF157" s="57">
        <f t="shared" si="6"/>
        <v>1</v>
      </c>
      <c r="AG157" s="59">
        <f t="shared" si="7"/>
        <v>1</v>
      </c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</row>
    <row r="158" ht="24.0" customHeight="1">
      <c r="A158" s="53">
        <v>54.0</v>
      </c>
      <c r="B158" s="54" t="s">
        <v>666</v>
      </c>
      <c r="C158" s="55" t="s">
        <v>469</v>
      </c>
      <c r="D158" s="55"/>
      <c r="E158" s="55" t="s">
        <v>667</v>
      </c>
      <c r="F158" s="55" t="s">
        <v>668</v>
      </c>
      <c r="G158" s="55">
        <v>19.0</v>
      </c>
      <c r="H158" s="55" t="s">
        <v>85</v>
      </c>
      <c r="I158" s="55" t="s">
        <v>86</v>
      </c>
      <c r="J158" s="56" t="s">
        <v>87</v>
      </c>
      <c r="K158" s="55" t="s">
        <v>669</v>
      </c>
      <c r="L158" s="55" t="s">
        <v>34</v>
      </c>
      <c r="M158" s="55" t="s">
        <v>133</v>
      </c>
      <c r="N158" s="55" t="s">
        <v>90</v>
      </c>
      <c r="O158" s="55"/>
      <c r="P158" s="55" t="s">
        <v>91</v>
      </c>
      <c r="Q158" s="55" t="s">
        <v>16</v>
      </c>
      <c r="R158" s="55"/>
      <c r="S158" s="55"/>
      <c r="T158" s="55"/>
      <c r="U158" s="55"/>
      <c r="V158" s="55"/>
      <c r="W158" s="55"/>
      <c r="X158" s="57" t="str">
        <f t="shared" si="2"/>
        <v>--151-27-04</v>
      </c>
      <c r="Y158" s="58" t="str">
        <f t="shared" ref="Y158:AC158" si="156">TRIM(SUBSTITUTE(SUBSTITUTE(OFFSET($Q158,0,COLUMN()-COLUMN($AL$1)),CHAR(160)," "),_xludf.UNICHAR(8239)," "))</f>
        <v>#NAME?</v>
      </c>
      <c r="Z158" s="58" t="str">
        <f t="shared" si="156"/>
        <v>#NAME?</v>
      </c>
      <c r="AA158" s="58" t="str">
        <f t="shared" si="156"/>
        <v>#NAME?</v>
      </c>
      <c r="AB158" s="58" t="str">
        <f t="shared" si="156"/>
        <v>#NAME?</v>
      </c>
      <c r="AC158" s="58" t="str">
        <f t="shared" si="156"/>
        <v>#NAME?</v>
      </c>
      <c r="AD158" s="57">
        <f t="shared" si="4"/>
        <v>1</v>
      </c>
      <c r="AE158" s="57" t="str">
        <f t="shared" si="5"/>
        <v>2026-04</v>
      </c>
      <c r="AF158" s="57">
        <f t="shared" si="6"/>
        <v>1</v>
      </c>
      <c r="AG158" s="59">
        <f t="shared" si="7"/>
        <v>1</v>
      </c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</row>
    <row r="159" ht="24.0" customHeight="1">
      <c r="A159" s="53">
        <v>55.0</v>
      </c>
      <c r="B159" s="54" t="s">
        <v>670</v>
      </c>
      <c r="C159" s="55" t="s">
        <v>469</v>
      </c>
      <c r="D159" s="55"/>
      <c r="E159" s="55" t="s">
        <v>671</v>
      </c>
      <c r="F159" s="55" t="s">
        <v>672</v>
      </c>
      <c r="G159" s="55">
        <v>21.0</v>
      </c>
      <c r="H159" s="55" t="s">
        <v>85</v>
      </c>
      <c r="I159" s="55" t="s">
        <v>86</v>
      </c>
      <c r="J159" s="56" t="s">
        <v>87</v>
      </c>
      <c r="K159" s="55" t="s">
        <v>673</v>
      </c>
      <c r="L159" s="55"/>
      <c r="M159" s="55" t="s">
        <v>89</v>
      </c>
      <c r="N159" s="55" t="s">
        <v>90</v>
      </c>
      <c r="O159" s="55"/>
      <c r="P159" s="55" t="s">
        <v>91</v>
      </c>
      <c r="Q159" s="55" t="s">
        <v>4</v>
      </c>
      <c r="R159" s="55"/>
      <c r="S159" s="55"/>
      <c r="T159" s="55"/>
      <c r="U159" s="55"/>
      <c r="V159" s="55"/>
      <c r="W159" s="55"/>
      <c r="X159" s="57" t="str">
        <f t="shared" si="2"/>
        <v>--152-27-04</v>
      </c>
      <c r="Y159" s="58" t="str">
        <f t="shared" ref="Y159:AC159" si="157">TRIM(SUBSTITUTE(SUBSTITUTE(OFFSET($Q159,0,COLUMN()-COLUMN($AL$1)),CHAR(160)," "),_xludf.UNICHAR(8239)," "))</f>
        <v>#NAME?</v>
      </c>
      <c r="Z159" s="58" t="str">
        <f t="shared" si="157"/>
        <v>#NAME?</v>
      </c>
      <c r="AA159" s="58" t="str">
        <f t="shared" si="157"/>
        <v>#NAME?</v>
      </c>
      <c r="AB159" s="58" t="str">
        <f t="shared" si="157"/>
        <v>#NAME?</v>
      </c>
      <c r="AC159" s="58" t="str">
        <f t="shared" si="157"/>
        <v>#NAME?</v>
      </c>
      <c r="AD159" s="57">
        <f t="shared" si="4"/>
        <v>1</v>
      </c>
      <c r="AE159" s="57" t="str">
        <f t="shared" si="5"/>
        <v>2026-04</v>
      </c>
      <c r="AF159" s="57">
        <f t="shared" si="6"/>
        <v>1</v>
      </c>
      <c r="AG159" s="59">
        <f t="shared" si="7"/>
        <v>1</v>
      </c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</row>
    <row r="160" ht="24.0" customHeight="1">
      <c r="A160" s="53">
        <v>56.0</v>
      </c>
      <c r="B160" s="54" t="s">
        <v>674</v>
      </c>
      <c r="C160" s="55" t="s">
        <v>469</v>
      </c>
      <c r="D160" s="55"/>
      <c r="E160" s="55" t="s">
        <v>675</v>
      </c>
      <c r="F160" s="55" t="s">
        <v>676</v>
      </c>
      <c r="G160" s="55">
        <v>61.0</v>
      </c>
      <c r="H160" s="55" t="s">
        <v>260</v>
      </c>
      <c r="I160" s="55" t="s">
        <v>112</v>
      </c>
      <c r="J160" s="56" t="s">
        <v>113</v>
      </c>
      <c r="K160" s="55">
        <v>5.9996235E8</v>
      </c>
      <c r="L160" s="55" t="s">
        <v>34</v>
      </c>
      <c r="M160" s="55" t="s">
        <v>89</v>
      </c>
      <c r="N160" s="55" t="s">
        <v>90</v>
      </c>
      <c r="O160" s="55"/>
      <c r="P160" s="55" t="s">
        <v>91</v>
      </c>
      <c r="Q160" s="55" t="s">
        <v>4</v>
      </c>
      <c r="R160" s="55"/>
      <c r="S160" s="55"/>
      <c r="T160" s="55"/>
      <c r="U160" s="55"/>
      <c r="V160" s="55"/>
      <c r="W160" s="55"/>
      <c r="X160" s="57" t="str">
        <f t="shared" si="2"/>
        <v>--153-27-04</v>
      </c>
      <c r="Y160" s="58" t="str">
        <f t="shared" ref="Y160:AC160" si="158">TRIM(SUBSTITUTE(SUBSTITUTE(OFFSET($Q160,0,COLUMN()-COLUMN($AL$1)),CHAR(160)," "),_xludf.UNICHAR(8239)," "))</f>
        <v>#NAME?</v>
      </c>
      <c r="Z160" s="58" t="str">
        <f t="shared" si="158"/>
        <v>#NAME?</v>
      </c>
      <c r="AA160" s="58" t="str">
        <f t="shared" si="158"/>
        <v>#NAME?</v>
      </c>
      <c r="AB160" s="58" t="str">
        <f t="shared" si="158"/>
        <v>#NAME?</v>
      </c>
      <c r="AC160" s="58" t="str">
        <f t="shared" si="158"/>
        <v>#NAME?</v>
      </c>
      <c r="AD160" s="57">
        <f t="shared" si="4"/>
        <v>1</v>
      </c>
      <c r="AE160" s="57" t="str">
        <f t="shared" si="5"/>
        <v>2026-04</v>
      </c>
      <c r="AF160" s="57">
        <f t="shared" si="6"/>
        <v>1</v>
      </c>
      <c r="AG160" s="59">
        <f t="shared" si="7"/>
        <v>1</v>
      </c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</row>
    <row r="161" ht="24.0" customHeight="1">
      <c r="A161" s="53">
        <v>57.0</v>
      </c>
      <c r="B161" s="54" t="s">
        <v>249</v>
      </c>
      <c r="C161" s="55" t="s">
        <v>469</v>
      </c>
      <c r="D161" s="60">
        <v>46138.0</v>
      </c>
      <c r="E161" s="55" t="s">
        <v>250</v>
      </c>
      <c r="F161" s="55" t="s">
        <v>251</v>
      </c>
      <c r="G161" s="55">
        <v>24.0</v>
      </c>
      <c r="H161" s="55" t="s">
        <v>85</v>
      </c>
      <c r="I161" s="55" t="s">
        <v>86</v>
      </c>
      <c r="J161" s="56" t="s">
        <v>87</v>
      </c>
      <c r="K161" s="55" t="s">
        <v>252</v>
      </c>
      <c r="L161" s="55" t="s">
        <v>34</v>
      </c>
      <c r="M161" s="55" t="s">
        <v>115</v>
      </c>
      <c r="N161" s="55" t="s">
        <v>90</v>
      </c>
      <c r="O161" s="55"/>
      <c r="P161" s="55" t="s">
        <v>91</v>
      </c>
      <c r="Q161" s="55" t="s">
        <v>4</v>
      </c>
      <c r="R161" s="55"/>
      <c r="S161" s="55" t="s">
        <v>6</v>
      </c>
      <c r="T161" s="55"/>
      <c r="U161" s="55"/>
      <c r="V161" s="55"/>
      <c r="W161" s="55"/>
      <c r="X161" s="57" t="str">
        <f t="shared" si="2"/>
        <v>--154-27-04</v>
      </c>
      <c r="Y161" s="58" t="str">
        <f t="shared" ref="Y161:AC161" si="159">TRIM(SUBSTITUTE(SUBSTITUTE(OFFSET($Q161,0,COLUMN()-COLUMN($AL$1)),CHAR(160)," "),_xludf.UNICHAR(8239)," "))</f>
        <v>#NAME?</v>
      </c>
      <c r="Z161" s="58" t="str">
        <f t="shared" si="159"/>
        <v>#NAME?</v>
      </c>
      <c r="AA161" s="58" t="str">
        <f t="shared" si="159"/>
        <v>#NAME?</v>
      </c>
      <c r="AB161" s="58" t="str">
        <f t="shared" si="159"/>
        <v>#NAME?</v>
      </c>
      <c r="AC161" s="58" t="str">
        <f t="shared" si="159"/>
        <v>#NAME?</v>
      </c>
      <c r="AD161" s="57">
        <f t="shared" si="4"/>
        <v>1</v>
      </c>
      <c r="AE161" s="57" t="str">
        <f t="shared" si="5"/>
        <v>2026-04</v>
      </c>
      <c r="AF161" s="57">
        <f t="shared" si="6"/>
        <v>0</v>
      </c>
      <c r="AG161" s="59">
        <f t="shared" si="7"/>
        <v>0</v>
      </c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</row>
    <row r="162" ht="24.0" customHeight="1">
      <c r="A162" s="53">
        <v>58.0</v>
      </c>
      <c r="B162" s="54" t="s">
        <v>677</v>
      </c>
      <c r="C162" s="55" t="s">
        <v>469</v>
      </c>
      <c r="D162" s="55"/>
      <c r="E162" s="55" t="s">
        <v>678</v>
      </c>
      <c r="F162" s="55" t="s">
        <v>679</v>
      </c>
      <c r="G162" s="55">
        <v>38.0</v>
      </c>
      <c r="H162" s="55" t="s">
        <v>85</v>
      </c>
      <c r="I162" s="55" t="s">
        <v>86</v>
      </c>
      <c r="J162" s="56" t="s">
        <v>87</v>
      </c>
      <c r="K162" s="55" t="s">
        <v>680</v>
      </c>
      <c r="L162" s="55" t="s">
        <v>34</v>
      </c>
      <c r="M162" s="55" t="s">
        <v>89</v>
      </c>
      <c r="N162" s="55" t="s">
        <v>90</v>
      </c>
      <c r="O162" s="55"/>
      <c r="P162" s="55" t="s">
        <v>91</v>
      </c>
      <c r="Q162" s="55"/>
      <c r="R162" s="55" t="s">
        <v>5</v>
      </c>
      <c r="S162" s="55"/>
      <c r="T162" s="55"/>
      <c r="U162" s="55" t="s">
        <v>7</v>
      </c>
      <c r="V162" s="55"/>
      <c r="W162" s="55"/>
      <c r="X162" s="57" t="str">
        <f t="shared" si="2"/>
        <v>--155-27-04</v>
      </c>
      <c r="Y162" s="58" t="str">
        <f t="shared" ref="Y162:AC162" si="160">TRIM(SUBSTITUTE(SUBSTITUTE(OFFSET($Q162,0,COLUMN()-COLUMN($AL$1)),CHAR(160)," "),_xludf.UNICHAR(8239)," "))</f>
        <v>#NAME?</v>
      </c>
      <c r="Z162" s="58" t="str">
        <f t="shared" si="160"/>
        <v>#NAME?</v>
      </c>
      <c r="AA162" s="58" t="str">
        <f t="shared" si="160"/>
        <v>#NAME?</v>
      </c>
      <c r="AB162" s="58" t="str">
        <f t="shared" si="160"/>
        <v>#NAME?</v>
      </c>
      <c r="AC162" s="58" t="str">
        <f t="shared" si="160"/>
        <v>#NAME?</v>
      </c>
      <c r="AD162" s="57">
        <f t="shared" si="4"/>
        <v>1</v>
      </c>
      <c r="AE162" s="57" t="str">
        <f t="shared" si="5"/>
        <v>2026-04</v>
      </c>
      <c r="AF162" s="57">
        <f t="shared" si="6"/>
        <v>1</v>
      </c>
      <c r="AG162" s="59">
        <f t="shared" si="7"/>
        <v>1</v>
      </c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</row>
    <row r="163" ht="24.0" customHeight="1">
      <c r="A163" s="53">
        <v>59.0</v>
      </c>
      <c r="B163" s="54" t="s">
        <v>681</v>
      </c>
      <c r="C163" s="55" t="s">
        <v>469</v>
      </c>
      <c r="D163" s="55"/>
      <c r="E163" s="55" t="s">
        <v>682</v>
      </c>
      <c r="F163" s="55" t="s">
        <v>683</v>
      </c>
      <c r="G163" s="55">
        <v>32.0</v>
      </c>
      <c r="H163" s="55" t="s">
        <v>85</v>
      </c>
      <c r="I163" s="55" t="s">
        <v>86</v>
      </c>
      <c r="J163" s="56" t="s">
        <v>87</v>
      </c>
      <c r="K163" s="55" t="s">
        <v>684</v>
      </c>
      <c r="L163" s="55" t="s">
        <v>34</v>
      </c>
      <c r="M163" s="55" t="s">
        <v>89</v>
      </c>
      <c r="N163" s="55" t="s">
        <v>90</v>
      </c>
      <c r="O163" s="55"/>
      <c r="P163" s="55" t="s">
        <v>91</v>
      </c>
      <c r="Q163" s="55" t="s">
        <v>4</v>
      </c>
      <c r="R163" s="55"/>
      <c r="S163" s="55"/>
      <c r="T163" s="55"/>
      <c r="U163" s="55"/>
      <c r="V163" s="55"/>
      <c r="W163" s="55"/>
      <c r="X163" s="57" t="str">
        <f t="shared" si="2"/>
        <v>--156-27-04</v>
      </c>
      <c r="Y163" s="58" t="str">
        <f t="shared" ref="Y163:AC163" si="161">TRIM(SUBSTITUTE(SUBSTITUTE(OFFSET($Q163,0,COLUMN()-COLUMN($AL$1)),CHAR(160)," "),_xludf.UNICHAR(8239)," "))</f>
        <v>#NAME?</v>
      </c>
      <c r="Z163" s="58" t="str">
        <f t="shared" si="161"/>
        <v>#NAME?</v>
      </c>
      <c r="AA163" s="58" t="str">
        <f t="shared" si="161"/>
        <v>#NAME?</v>
      </c>
      <c r="AB163" s="58" t="str">
        <f t="shared" si="161"/>
        <v>#NAME?</v>
      </c>
      <c r="AC163" s="58" t="str">
        <f t="shared" si="161"/>
        <v>#NAME?</v>
      </c>
      <c r="AD163" s="57">
        <f t="shared" si="4"/>
        <v>1</v>
      </c>
      <c r="AE163" s="57" t="str">
        <f t="shared" si="5"/>
        <v>2026-04</v>
      </c>
      <c r="AF163" s="57">
        <f t="shared" si="6"/>
        <v>1</v>
      </c>
      <c r="AG163" s="59">
        <f t="shared" si="7"/>
        <v>1</v>
      </c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</row>
    <row r="164" ht="24.0" customHeight="1">
      <c r="A164" s="53">
        <v>60.0</v>
      </c>
      <c r="B164" s="54" t="s">
        <v>685</v>
      </c>
      <c r="C164" s="55" t="s">
        <v>469</v>
      </c>
      <c r="D164" s="55"/>
      <c r="E164" s="55">
        <v>4.78822831E8</v>
      </c>
      <c r="F164" s="55" t="s">
        <v>686</v>
      </c>
      <c r="G164" s="55">
        <v>1.0</v>
      </c>
      <c r="H164" s="55" t="s">
        <v>119</v>
      </c>
      <c r="I164" s="55" t="s">
        <v>86</v>
      </c>
      <c r="J164" s="56" t="s">
        <v>87</v>
      </c>
      <c r="K164" s="55" t="s">
        <v>684</v>
      </c>
      <c r="L164" s="55" t="s">
        <v>34</v>
      </c>
      <c r="M164" s="55" t="s">
        <v>115</v>
      </c>
      <c r="N164" s="55" t="s">
        <v>90</v>
      </c>
      <c r="O164" s="55"/>
      <c r="P164" s="55" t="s">
        <v>91</v>
      </c>
      <c r="Q164" s="55" t="s">
        <v>4</v>
      </c>
      <c r="R164" s="55"/>
      <c r="S164" s="55"/>
      <c r="T164" s="55"/>
      <c r="U164" s="55"/>
      <c r="V164" s="55"/>
      <c r="W164" s="55"/>
      <c r="X164" s="57" t="str">
        <f t="shared" si="2"/>
        <v>--157-27-04</v>
      </c>
      <c r="Y164" s="58" t="str">
        <f t="shared" ref="Y164:AC164" si="162">TRIM(SUBSTITUTE(SUBSTITUTE(OFFSET($Q164,0,COLUMN()-COLUMN($AL$1)),CHAR(160)," "),_xludf.UNICHAR(8239)," "))</f>
        <v>#NAME?</v>
      </c>
      <c r="Z164" s="58" t="str">
        <f t="shared" si="162"/>
        <v>#NAME?</v>
      </c>
      <c r="AA164" s="58" t="str">
        <f t="shared" si="162"/>
        <v>#NAME?</v>
      </c>
      <c r="AB164" s="58" t="str">
        <f t="shared" si="162"/>
        <v>#NAME?</v>
      </c>
      <c r="AC164" s="58" t="str">
        <f t="shared" si="162"/>
        <v>#NAME?</v>
      </c>
      <c r="AD164" s="57">
        <f t="shared" si="4"/>
        <v>1</v>
      </c>
      <c r="AE164" s="57" t="str">
        <f t="shared" si="5"/>
        <v>2026-04</v>
      </c>
      <c r="AF164" s="57">
        <f t="shared" si="6"/>
        <v>1</v>
      </c>
      <c r="AG164" s="59">
        <f t="shared" si="7"/>
        <v>1</v>
      </c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</row>
    <row r="165" ht="24.0" customHeight="1">
      <c r="A165" s="53">
        <v>61.0</v>
      </c>
      <c r="B165" s="54" t="s">
        <v>687</v>
      </c>
      <c r="C165" s="55" t="s">
        <v>469</v>
      </c>
      <c r="D165" s="55"/>
      <c r="E165" s="55" t="s">
        <v>688</v>
      </c>
      <c r="F165" s="55" t="s">
        <v>689</v>
      </c>
      <c r="G165" s="55">
        <v>46.0</v>
      </c>
      <c r="H165" s="55" t="s">
        <v>85</v>
      </c>
      <c r="I165" s="55" t="s">
        <v>112</v>
      </c>
      <c r="J165" s="56" t="s">
        <v>113</v>
      </c>
      <c r="K165" s="55" t="s">
        <v>690</v>
      </c>
      <c r="L165" s="55" t="s">
        <v>34</v>
      </c>
      <c r="M165" s="55" t="s">
        <v>89</v>
      </c>
      <c r="N165" s="55" t="s">
        <v>90</v>
      </c>
      <c r="O165" s="55"/>
      <c r="P165" s="55" t="s">
        <v>91</v>
      </c>
      <c r="Q165" s="55" t="s">
        <v>16</v>
      </c>
      <c r="R165" s="55"/>
      <c r="S165" s="55"/>
      <c r="T165" s="55"/>
      <c r="U165" s="55"/>
      <c r="V165" s="55"/>
      <c r="W165" s="55"/>
      <c r="X165" s="57" t="str">
        <f t="shared" si="2"/>
        <v>--158-27-04</v>
      </c>
      <c r="Y165" s="58" t="str">
        <f t="shared" ref="Y165:AC165" si="163">TRIM(SUBSTITUTE(SUBSTITUTE(OFFSET($Q165,0,COLUMN()-COLUMN($AL$1)),CHAR(160)," "),_xludf.UNICHAR(8239)," "))</f>
        <v>#NAME?</v>
      </c>
      <c r="Z165" s="58" t="str">
        <f t="shared" si="163"/>
        <v>#NAME?</v>
      </c>
      <c r="AA165" s="58" t="str">
        <f t="shared" si="163"/>
        <v>#NAME?</v>
      </c>
      <c r="AB165" s="58" t="str">
        <f t="shared" si="163"/>
        <v>#NAME?</v>
      </c>
      <c r="AC165" s="58" t="str">
        <f t="shared" si="163"/>
        <v>#NAME?</v>
      </c>
      <c r="AD165" s="57">
        <f t="shared" si="4"/>
        <v>1</v>
      </c>
      <c r="AE165" s="57" t="str">
        <f t="shared" si="5"/>
        <v>2026-04</v>
      </c>
      <c r="AF165" s="57">
        <f t="shared" si="6"/>
        <v>1</v>
      </c>
      <c r="AG165" s="59">
        <f t="shared" si="7"/>
        <v>1</v>
      </c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</row>
    <row r="166" ht="24.0" customHeight="1">
      <c r="A166" s="53">
        <v>62.0</v>
      </c>
      <c r="B166" s="54" t="s">
        <v>691</v>
      </c>
      <c r="C166" s="55" t="s">
        <v>469</v>
      </c>
      <c r="D166" s="55"/>
      <c r="E166" s="55" t="s">
        <v>692</v>
      </c>
      <c r="F166" s="55" t="s">
        <v>693</v>
      </c>
      <c r="G166" s="55">
        <v>37.0</v>
      </c>
      <c r="H166" s="55" t="s">
        <v>85</v>
      </c>
      <c r="I166" s="55" t="s">
        <v>86</v>
      </c>
      <c r="J166" s="56" t="s">
        <v>87</v>
      </c>
      <c r="K166" s="55" t="s">
        <v>694</v>
      </c>
      <c r="L166" s="55" t="s">
        <v>34</v>
      </c>
      <c r="M166" s="55" t="s">
        <v>89</v>
      </c>
      <c r="N166" s="55" t="s">
        <v>90</v>
      </c>
      <c r="O166" s="55"/>
      <c r="P166" s="55" t="s">
        <v>91</v>
      </c>
      <c r="Q166" s="55"/>
      <c r="R166" s="55" t="s">
        <v>5</v>
      </c>
      <c r="S166" s="55"/>
      <c r="T166" s="55"/>
      <c r="U166" s="55" t="s">
        <v>7</v>
      </c>
      <c r="V166" s="55"/>
      <c r="W166" s="55"/>
      <c r="X166" s="57" t="str">
        <f t="shared" si="2"/>
        <v>--159-27-04</v>
      </c>
      <c r="Y166" s="58" t="str">
        <f t="shared" ref="Y166:AC166" si="164">TRIM(SUBSTITUTE(SUBSTITUTE(OFFSET($Q166,0,COLUMN()-COLUMN($AL$1)),CHAR(160)," "),_xludf.UNICHAR(8239)," "))</f>
        <v>#NAME?</v>
      </c>
      <c r="Z166" s="58" t="str">
        <f t="shared" si="164"/>
        <v>#NAME?</v>
      </c>
      <c r="AA166" s="58" t="str">
        <f t="shared" si="164"/>
        <v>#NAME?</v>
      </c>
      <c r="AB166" s="58" t="str">
        <f t="shared" si="164"/>
        <v>#NAME?</v>
      </c>
      <c r="AC166" s="58" t="str">
        <f t="shared" si="164"/>
        <v>#NAME?</v>
      </c>
      <c r="AD166" s="57">
        <f t="shared" si="4"/>
        <v>1</v>
      </c>
      <c r="AE166" s="57" t="str">
        <f t="shared" si="5"/>
        <v>2026-04</v>
      </c>
      <c r="AF166" s="57">
        <f t="shared" si="6"/>
        <v>1</v>
      </c>
      <c r="AG166" s="59">
        <f t="shared" si="7"/>
        <v>1</v>
      </c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</row>
    <row r="167" ht="24.0" customHeight="1">
      <c r="A167" s="53">
        <v>63.0</v>
      </c>
      <c r="B167" s="54" t="s">
        <v>695</v>
      </c>
      <c r="C167" s="55" t="s">
        <v>469</v>
      </c>
      <c r="D167" s="55"/>
      <c r="E167" s="55" t="s">
        <v>696</v>
      </c>
      <c r="F167" s="55" t="s">
        <v>697</v>
      </c>
      <c r="G167" s="55">
        <v>30.0</v>
      </c>
      <c r="H167" s="55" t="s">
        <v>85</v>
      </c>
      <c r="I167" s="55" t="s">
        <v>86</v>
      </c>
      <c r="J167" s="56" t="s">
        <v>87</v>
      </c>
      <c r="K167" s="55" t="s">
        <v>698</v>
      </c>
      <c r="L167" s="55" t="s">
        <v>34</v>
      </c>
      <c r="M167" s="55" t="s">
        <v>89</v>
      </c>
      <c r="N167" s="55" t="s">
        <v>90</v>
      </c>
      <c r="O167" s="55"/>
      <c r="P167" s="55" t="s">
        <v>91</v>
      </c>
      <c r="Q167" s="55"/>
      <c r="R167" s="55" t="s">
        <v>36</v>
      </c>
      <c r="S167" s="55"/>
      <c r="T167" s="55"/>
      <c r="U167" s="55"/>
      <c r="V167" s="55"/>
      <c r="W167" s="55"/>
      <c r="X167" s="57" t="str">
        <f t="shared" si="2"/>
        <v>--160-27-04</v>
      </c>
      <c r="Y167" s="58" t="str">
        <f t="shared" ref="Y167:AC167" si="165">TRIM(SUBSTITUTE(SUBSTITUTE(OFFSET($Q167,0,COLUMN()-COLUMN($AL$1)),CHAR(160)," "),_xludf.UNICHAR(8239)," "))</f>
        <v>#NAME?</v>
      </c>
      <c r="Z167" s="58" t="str">
        <f t="shared" si="165"/>
        <v>#NAME?</v>
      </c>
      <c r="AA167" s="58" t="str">
        <f t="shared" si="165"/>
        <v>#NAME?</v>
      </c>
      <c r="AB167" s="58" t="str">
        <f t="shared" si="165"/>
        <v>#NAME?</v>
      </c>
      <c r="AC167" s="58" t="str">
        <f t="shared" si="165"/>
        <v>#NAME?</v>
      </c>
      <c r="AD167" s="57">
        <f t="shared" si="4"/>
        <v>1</v>
      </c>
      <c r="AE167" s="57" t="str">
        <f t="shared" si="5"/>
        <v>2026-04</v>
      </c>
      <c r="AF167" s="57">
        <f t="shared" si="6"/>
        <v>1</v>
      </c>
      <c r="AG167" s="59">
        <f t="shared" si="7"/>
        <v>1</v>
      </c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</row>
    <row r="168" ht="24.0" customHeight="1">
      <c r="A168" s="53">
        <v>64.0</v>
      </c>
      <c r="B168" s="54" t="s">
        <v>699</v>
      </c>
      <c r="C168" s="55" t="s">
        <v>469</v>
      </c>
      <c r="D168" s="55"/>
      <c r="E168" s="55" t="s">
        <v>700</v>
      </c>
      <c r="F168" s="55" t="s">
        <v>701</v>
      </c>
      <c r="G168" s="55">
        <v>29.0</v>
      </c>
      <c r="H168" s="55" t="s">
        <v>85</v>
      </c>
      <c r="I168" s="55" t="s">
        <v>86</v>
      </c>
      <c r="J168" s="56" t="s">
        <v>87</v>
      </c>
      <c r="K168" s="55" t="s">
        <v>702</v>
      </c>
      <c r="L168" s="55" t="s">
        <v>34</v>
      </c>
      <c r="M168" s="55" t="s">
        <v>89</v>
      </c>
      <c r="N168" s="55" t="s">
        <v>90</v>
      </c>
      <c r="O168" s="55"/>
      <c r="P168" s="55" t="s">
        <v>91</v>
      </c>
      <c r="Q168" s="55" t="s">
        <v>16</v>
      </c>
      <c r="R168" s="55"/>
      <c r="S168" s="55"/>
      <c r="T168" s="55"/>
      <c r="U168" s="55"/>
      <c r="V168" s="55"/>
      <c r="W168" s="55"/>
      <c r="X168" s="57" t="str">
        <f t="shared" si="2"/>
        <v>--161-27-04</v>
      </c>
      <c r="Y168" s="58" t="str">
        <f t="shared" ref="Y168:AC168" si="166">TRIM(SUBSTITUTE(SUBSTITUTE(OFFSET($Q168,0,COLUMN()-COLUMN($AL$1)),CHAR(160)," "),_xludf.UNICHAR(8239)," "))</f>
        <v>#NAME?</v>
      </c>
      <c r="Z168" s="58" t="str">
        <f t="shared" si="166"/>
        <v>#NAME?</v>
      </c>
      <c r="AA168" s="58" t="str">
        <f t="shared" si="166"/>
        <v>#NAME?</v>
      </c>
      <c r="AB168" s="58" t="str">
        <f t="shared" si="166"/>
        <v>#NAME?</v>
      </c>
      <c r="AC168" s="58" t="str">
        <f t="shared" si="166"/>
        <v>#NAME?</v>
      </c>
      <c r="AD168" s="57">
        <f t="shared" si="4"/>
        <v>1</v>
      </c>
      <c r="AE168" s="57" t="str">
        <f t="shared" si="5"/>
        <v>2026-04</v>
      </c>
      <c r="AF168" s="57">
        <f t="shared" si="6"/>
        <v>1</v>
      </c>
      <c r="AG168" s="59">
        <f t="shared" si="7"/>
        <v>1</v>
      </c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</row>
    <row r="169" ht="24.0" customHeight="1">
      <c r="A169" s="53">
        <v>65.0</v>
      </c>
      <c r="B169" s="54" t="s">
        <v>703</v>
      </c>
      <c r="C169" s="55" t="s">
        <v>469</v>
      </c>
      <c r="D169" s="55"/>
      <c r="E169" s="55" t="s">
        <v>704</v>
      </c>
      <c r="F169" s="55" t="s">
        <v>705</v>
      </c>
      <c r="G169" s="55">
        <v>36.0</v>
      </c>
      <c r="H169" s="55" t="s">
        <v>85</v>
      </c>
      <c r="I169" s="55" t="s">
        <v>86</v>
      </c>
      <c r="J169" s="56" t="s">
        <v>87</v>
      </c>
      <c r="K169" s="55" t="s">
        <v>706</v>
      </c>
      <c r="L169" s="55" t="s">
        <v>34</v>
      </c>
      <c r="M169" s="55" t="s">
        <v>133</v>
      </c>
      <c r="N169" s="55" t="s">
        <v>90</v>
      </c>
      <c r="O169" s="55"/>
      <c r="P169" s="55" t="s">
        <v>91</v>
      </c>
      <c r="Q169" s="55" t="s">
        <v>16</v>
      </c>
      <c r="R169" s="55"/>
      <c r="S169" s="55"/>
      <c r="T169" s="55"/>
      <c r="U169" s="55"/>
      <c r="V169" s="55"/>
      <c r="W169" s="55"/>
      <c r="X169" s="57" t="str">
        <f t="shared" si="2"/>
        <v>--162-27-04</v>
      </c>
      <c r="Y169" s="58" t="str">
        <f t="shared" ref="Y169:AC169" si="167">TRIM(SUBSTITUTE(SUBSTITUTE(OFFSET($Q169,0,COLUMN()-COLUMN($AL$1)),CHAR(160)," "),_xludf.UNICHAR(8239)," "))</f>
        <v>#NAME?</v>
      </c>
      <c r="Z169" s="58" t="str">
        <f t="shared" si="167"/>
        <v>#NAME?</v>
      </c>
      <c r="AA169" s="58" t="str">
        <f t="shared" si="167"/>
        <v>#NAME?</v>
      </c>
      <c r="AB169" s="58" t="str">
        <f t="shared" si="167"/>
        <v>#NAME?</v>
      </c>
      <c r="AC169" s="58" t="str">
        <f t="shared" si="167"/>
        <v>#NAME?</v>
      </c>
      <c r="AD169" s="57">
        <f t="shared" si="4"/>
        <v>1</v>
      </c>
      <c r="AE169" s="57" t="str">
        <f t="shared" si="5"/>
        <v>2026-04</v>
      </c>
      <c r="AF169" s="57">
        <f t="shared" si="6"/>
        <v>1</v>
      </c>
      <c r="AG169" s="59">
        <f t="shared" si="7"/>
        <v>1</v>
      </c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</row>
    <row r="170" ht="24.0" customHeight="1">
      <c r="A170" s="53">
        <v>66.0</v>
      </c>
      <c r="B170" s="54" t="s">
        <v>707</v>
      </c>
      <c r="C170" s="55" t="s">
        <v>469</v>
      </c>
      <c r="D170" s="55"/>
      <c r="E170" s="55" t="s">
        <v>708</v>
      </c>
      <c r="F170" s="55" t="s">
        <v>709</v>
      </c>
      <c r="G170" s="55">
        <v>61.0</v>
      </c>
      <c r="H170" s="55" t="s">
        <v>260</v>
      </c>
      <c r="I170" s="55" t="s">
        <v>86</v>
      </c>
      <c r="J170" s="56" t="s">
        <v>87</v>
      </c>
      <c r="K170" s="55" t="s">
        <v>706</v>
      </c>
      <c r="L170" s="55" t="s">
        <v>34</v>
      </c>
      <c r="M170" s="55" t="s">
        <v>89</v>
      </c>
      <c r="N170" s="55" t="s">
        <v>90</v>
      </c>
      <c r="O170" s="55"/>
      <c r="P170" s="55" t="s">
        <v>91</v>
      </c>
      <c r="Q170" s="55" t="s">
        <v>4</v>
      </c>
      <c r="R170" s="55"/>
      <c r="S170" s="55"/>
      <c r="T170" s="55"/>
      <c r="U170" s="55"/>
      <c r="V170" s="55"/>
      <c r="W170" s="55"/>
      <c r="X170" s="57" t="str">
        <f t="shared" si="2"/>
        <v>--163-27-04</v>
      </c>
      <c r="Y170" s="58" t="str">
        <f t="shared" ref="Y170:AC170" si="168">TRIM(SUBSTITUTE(SUBSTITUTE(OFFSET($Q170,0,COLUMN()-COLUMN($AL$1)),CHAR(160)," "),_xludf.UNICHAR(8239)," "))</f>
        <v>#NAME?</v>
      </c>
      <c r="Z170" s="58" t="str">
        <f t="shared" si="168"/>
        <v>#NAME?</v>
      </c>
      <c r="AA170" s="58" t="str">
        <f t="shared" si="168"/>
        <v>#NAME?</v>
      </c>
      <c r="AB170" s="58" t="str">
        <f t="shared" si="168"/>
        <v>#NAME?</v>
      </c>
      <c r="AC170" s="58" t="str">
        <f t="shared" si="168"/>
        <v>#NAME?</v>
      </c>
      <c r="AD170" s="57">
        <f t="shared" si="4"/>
        <v>1</v>
      </c>
      <c r="AE170" s="57" t="str">
        <f t="shared" si="5"/>
        <v>2026-04</v>
      </c>
      <c r="AF170" s="57">
        <f t="shared" si="6"/>
        <v>1</v>
      </c>
      <c r="AG170" s="59">
        <f t="shared" si="7"/>
        <v>1</v>
      </c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</row>
    <row r="171" ht="24.0" customHeight="1">
      <c r="A171" s="53">
        <v>67.0</v>
      </c>
      <c r="B171" s="54" t="s">
        <v>710</v>
      </c>
      <c r="C171" s="55" t="s">
        <v>469</v>
      </c>
      <c r="D171" s="55"/>
      <c r="E171" s="55" t="s">
        <v>711</v>
      </c>
      <c r="F171" s="55" t="s">
        <v>712</v>
      </c>
      <c r="G171" s="55">
        <v>49.0</v>
      </c>
      <c r="H171" s="55" t="s">
        <v>85</v>
      </c>
      <c r="I171" s="55" t="s">
        <v>86</v>
      </c>
      <c r="J171" s="56" t="s">
        <v>87</v>
      </c>
      <c r="K171" s="55" t="s">
        <v>713</v>
      </c>
      <c r="L171" s="55" t="s">
        <v>34</v>
      </c>
      <c r="M171" s="55" t="s">
        <v>89</v>
      </c>
      <c r="N171" s="55" t="s">
        <v>90</v>
      </c>
      <c r="O171" s="55"/>
      <c r="P171" s="55" t="s">
        <v>91</v>
      </c>
      <c r="Q171" s="55" t="s">
        <v>4</v>
      </c>
      <c r="R171" s="55"/>
      <c r="S171" s="55"/>
      <c r="T171" s="55"/>
      <c r="U171" s="55"/>
      <c r="V171" s="55"/>
      <c r="W171" s="55"/>
      <c r="X171" s="57" t="str">
        <f t="shared" si="2"/>
        <v>--164-27-04</v>
      </c>
      <c r="Y171" s="58" t="str">
        <f t="shared" ref="Y171:AC171" si="169">TRIM(SUBSTITUTE(SUBSTITUTE(OFFSET($Q171,0,COLUMN()-COLUMN($AL$1)),CHAR(160)," "),_xludf.UNICHAR(8239)," "))</f>
        <v>#NAME?</v>
      </c>
      <c r="Z171" s="58" t="str">
        <f t="shared" si="169"/>
        <v>#NAME?</v>
      </c>
      <c r="AA171" s="58" t="str">
        <f t="shared" si="169"/>
        <v>#NAME?</v>
      </c>
      <c r="AB171" s="58" t="str">
        <f t="shared" si="169"/>
        <v>#NAME?</v>
      </c>
      <c r="AC171" s="58" t="str">
        <f t="shared" si="169"/>
        <v>#NAME?</v>
      </c>
      <c r="AD171" s="57">
        <f t="shared" si="4"/>
        <v>1</v>
      </c>
      <c r="AE171" s="57" t="str">
        <f t="shared" si="5"/>
        <v>2026-04</v>
      </c>
      <c r="AF171" s="57">
        <f t="shared" si="6"/>
        <v>1</v>
      </c>
      <c r="AG171" s="59">
        <f t="shared" si="7"/>
        <v>1</v>
      </c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</row>
    <row r="172" ht="24.0" customHeight="1">
      <c r="A172" s="53">
        <v>68.0</v>
      </c>
      <c r="B172" s="54" t="s">
        <v>714</v>
      </c>
      <c r="C172" s="55" t="s">
        <v>469</v>
      </c>
      <c r="D172" s="55"/>
      <c r="E172" s="55" t="s">
        <v>715</v>
      </c>
      <c r="F172" s="55" t="s">
        <v>716</v>
      </c>
      <c r="G172" s="55">
        <v>12.0</v>
      </c>
      <c r="H172" s="55" t="s">
        <v>111</v>
      </c>
      <c r="I172" s="55" t="s">
        <v>86</v>
      </c>
      <c r="J172" s="56" t="s">
        <v>87</v>
      </c>
      <c r="K172" s="55" t="s">
        <v>713</v>
      </c>
      <c r="L172" s="55" t="s">
        <v>34</v>
      </c>
      <c r="M172" s="55" t="s">
        <v>115</v>
      </c>
      <c r="N172" s="55" t="s">
        <v>90</v>
      </c>
      <c r="O172" s="55"/>
      <c r="P172" s="55" t="s">
        <v>91</v>
      </c>
      <c r="Q172" s="55" t="s">
        <v>16</v>
      </c>
      <c r="R172" s="55"/>
      <c r="S172" s="55"/>
      <c r="T172" s="55"/>
      <c r="U172" s="55"/>
      <c r="V172" s="55"/>
      <c r="W172" s="55"/>
      <c r="X172" s="57" t="str">
        <f t="shared" si="2"/>
        <v>--165-27-04</v>
      </c>
      <c r="Y172" s="58" t="str">
        <f t="shared" ref="Y172:AC172" si="170">TRIM(SUBSTITUTE(SUBSTITUTE(OFFSET($Q172,0,COLUMN()-COLUMN($AL$1)),CHAR(160)," "),_xludf.UNICHAR(8239)," "))</f>
        <v>#NAME?</v>
      </c>
      <c r="Z172" s="58" t="str">
        <f t="shared" si="170"/>
        <v>#NAME?</v>
      </c>
      <c r="AA172" s="58" t="str">
        <f t="shared" si="170"/>
        <v>#NAME?</v>
      </c>
      <c r="AB172" s="58" t="str">
        <f t="shared" si="170"/>
        <v>#NAME?</v>
      </c>
      <c r="AC172" s="58" t="str">
        <f t="shared" si="170"/>
        <v>#NAME?</v>
      </c>
      <c r="AD172" s="57">
        <f t="shared" si="4"/>
        <v>1</v>
      </c>
      <c r="AE172" s="57" t="str">
        <f t="shared" si="5"/>
        <v>2026-04</v>
      </c>
      <c r="AF172" s="57">
        <f t="shared" si="6"/>
        <v>1</v>
      </c>
      <c r="AG172" s="59">
        <f t="shared" si="7"/>
        <v>1</v>
      </c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</row>
    <row r="173" ht="24.0" customHeight="1">
      <c r="A173" s="53">
        <v>69.0</v>
      </c>
      <c r="B173" s="54" t="s">
        <v>717</v>
      </c>
      <c r="C173" s="55" t="s">
        <v>469</v>
      </c>
      <c r="D173" s="55"/>
      <c r="E173" s="55" t="s">
        <v>718</v>
      </c>
      <c r="F173" s="55" t="s">
        <v>719</v>
      </c>
      <c r="G173" s="55">
        <v>31.0</v>
      </c>
      <c r="H173" s="55" t="s">
        <v>85</v>
      </c>
      <c r="I173" s="55" t="s">
        <v>86</v>
      </c>
      <c r="J173" s="56" t="s">
        <v>87</v>
      </c>
      <c r="K173" s="55" t="s">
        <v>720</v>
      </c>
      <c r="L173" s="55" t="s">
        <v>34</v>
      </c>
      <c r="M173" s="55" t="s">
        <v>89</v>
      </c>
      <c r="N173" s="55" t="s">
        <v>90</v>
      </c>
      <c r="O173" s="55"/>
      <c r="P173" s="55" t="s">
        <v>91</v>
      </c>
      <c r="Q173" s="55"/>
      <c r="R173" s="55" t="s">
        <v>27</v>
      </c>
      <c r="S173" s="55"/>
      <c r="T173" s="55"/>
      <c r="U173" s="55"/>
      <c r="V173" s="55"/>
      <c r="W173" s="55"/>
      <c r="X173" s="57" t="str">
        <f t="shared" si="2"/>
        <v>--166-27-04</v>
      </c>
      <c r="Y173" s="58" t="str">
        <f t="shared" ref="Y173:AC173" si="171">TRIM(SUBSTITUTE(SUBSTITUTE(OFFSET($Q173,0,COLUMN()-COLUMN($AL$1)),CHAR(160)," "),_xludf.UNICHAR(8239)," "))</f>
        <v>#NAME?</v>
      </c>
      <c r="Z173" s="58" t="str">
        <f t="shared" si="171"/>
        <v>#NAME?</v>
      </c>
      <c r="AA173" s="58" t="str">
        <f t="shared" si="171"/>
        <v>#NAME?</v>
      </c>
      <c r="AB173" s="58" t="str">
        <f t="shared" si="171"/>
        <v>#NAME?</v>
      </c>
      <c r="AC173" s="58" t="str">
        <f t="shared" si="171"/>
        <v>#NAME?</v>
      </c>
      <c r="AD173" s="57">
        <f t="shared" si="4"/>
        <v>1</v>
      </c>
      <c r="AE173" s="57" t="str">
        <f t="shared" si="5"/>
        <v>2026-04</v>
      </c>
      <c r="AF173" s="57">
        <f t="shared" si="6"/>
        <v>1</v>
      </c>
      <c r="AG173" s="59">
        <f t="shared" si="7"/>
        <v>1</v>
      </c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</row>
    <row r="174" ht="24.0" customHeight="1">
      <c r="A174" s="53">
        <v>70.0</v>
      </c>
      <c r="B174" s="54" t="s">
        <v>721</v>
      </c>
      <c r="C174" s="55" t="s">
        <v>469</v>
      </c>
      <c r="D174" s="55"/>
      <c r="E174" s="55" t="s">
        <v>722</v>
      </c>
      <c r="F174" s="55" t="s">
        <v>723</v>
      </c>
      <c r="G174" s="55">
        <v>26.0</v>
      </c>
      <c r="H174" s="55" t="s">
        <v>85</v>
      </c>
      <c r="I174" s="55" t="s">
        <v>86</v>
      </c>
      <c r="J174" s="56" t="s">
        <v>87</v>
      </c>
      <c r="K174" s="55" t="s">
        <v>724</v>
      </c>
      <c r="L174" s="55" t="s">
        <v>34</v>
      </c>
      <c r="M174" s="55" t="s">
        <v>89</v>
      </c>
      <c r="N174" s="55" t="s">
        <v>90</v>
      </c>
      <c r="O174" s="55"/>
      <c r="P174" s="55" t="s">
        <v>91</v>
      </c>
      <c r="Q174" s="55"/>
      <c r="R174" s="55" t="s">
        <v>27</v>
      </c>
      <c r="S174" s="55"/>
      <c r="T174" s="55"/>
      <c r="U174" s="55"/>
      <c r="V174" s="55"/>
      <c r="W174" s="55"/>
      <c r="X174" s="57" t="str">
        <f t="shared" si="2"/>
        <v>--167-27-04</v>
      </c>
      <c r="Y174" s="58" t="str">
        <f t="shared" ref="Y174:AC174" si="172">TRIM(SUBSTITUTE(SUBSTITUTE(OFFSET($Q174,0,COLUMN()-COLUMN($AL$1)),CHAR(160)," "),_xludf.UNICHAR(8239)," "))</f>
        <v>#NAME?</v>
      </c>
      <c r="Z174" s="58" t="str">
        <f t="shared" si="172"/>
        <v>#NAME?</v>
      </c>
      <c r="AA174" s="58" t="str">
        <f t="shared" si="172"/>
        <v>#NAME?</v>
      </c>
      <c r="AB174" s="58" t="str">
        <f t="shared" si="172"/>
        <v>#NAME?</v>
      </c>
      <c r="AC174" s="58" t="str">
        <f t="shared" si="172"/>
        <v>#NAME?</v>
      </c>
      <c r="AD174" s="57">
        <f t="shared" si="4"/>
        <v>1</v>
      </c>
      <c r="AE174" s="57" t="str">
        <f t="shared" si="5"/>
        <v>2026-04</v>
      </c>
      <c r="AF174" s="57">
        <f t="shared" si="6"/>
        <v>1</v>
      </c>
      <c r="AG174" s="59">
        <f t="shared" si="7"/>
        <v>1</v>
      </c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</row>
    <row r="175" ht="24.0" customHeight="1">
      <c r="A175" s="53">
        <v>71.0</v>
      </c>
      <c r="B175" s="54" t="s">
        <v>725</v>
      </c>
      <c r="C175" s="55" t="s">
        <v>469</v>
      </c>
      <c r="D175" s="55"/>
      <c r="E175" s="55" t="s">
        <v>726</v>
      </c>
      <c r="F175" s="55" t="s">
        <v>727</v>
      </c>
      <c r="G175" s="55">
        <v>70.0</v>
      </c>
      <c r="H175" s="55" t="s">
        <v>260</v>
      </c>
      <c r="I175" s="55" t="s">
        <v>86</v>
      </c>
      <c r="J175" s="56" t="s">
        <v>87</v>
      </c>
      <c r="K175" s="55"/>
      <c r="L175" s="55" t="s">
        <v>34</v>
      </c>
      <c r="M175" s="55" t="s">
        <v>89</v>
      </c>
      <c r="N175" s="55" t="s">
        <v>90</v>
      </c>
      <c r="O175" s="55"/>
      <c r="P175" s="55" t="s">
        <v>91</v>
      </c>
      <c r="Q175" s="55" t="s">
        <v>4</v>
      </c>
      <c r="R175" s="55"/>
      <c r="S175" s="55"/>
      <c r="T175" s="55"/>
      <c r="U175" s="55"/>
      <c r="V175" s="55"/>
      <c r="W175" s="55"/>
      <c r="X175" s="57" t="str">
        <f t="shared" si="2"/>
        <v>--168-27-04</v>
      </c>
      <c r="Y175" s="58" t="str">
        <f t="shared" ref="Y175:AC175" si="173">TRIM(SUBSTITUTE(SUBSTITUTE(OFFSET($Q175,0,COLUMN()-COLUMN($AL$1)),CHAR(160)," "),_xludf.UNICHAR(8239)," "))</f>
        <v>#NAME?</v>
      </c>
      <c r="Z175" s="58" t="str">
        <f t="shared" si="173"/>
        <v>#NAME?</v>
      </c>
      <c r="AA175" s="58" t="str">
        <f t="shared" si="173"/>
        <v>#NAME?</v>
      </c>
      <c r="AB175" s="58" t="str">
        <f t="shared" si="173"/>
        <v>#NAME?</v>
      </c>
      <c r="AC175" s="58" t="str">
        <f t="shared" si="173"/>
        <v>#NAME?</v>
      </c>
      <c r="AD175" s="57">
        <f t="shared" si="4"/>
        <v>1</v>
      </c>
      <c r="AE175" s="57" t="str">
        <f t="shared" si="5"/>
        <v>2026-04</v>
      </c>
      <c r="AF175" s="57">
        <f t="shared" si="6"/>
        <v>1</v>
      </c>
      <c r="AG175" s="59">
        <f t="shared" si="7"/>
        <v>1</v>
      </c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</row>
    <row r="176" ht="24.0" customHeight="1">
      <c r="A176" s="53">
        <v>72.0</v>
      </c>
      <c r="B176" s="54" t="s">
        <v>728</v>
      </c>
      <c r="C176" s="55" t="s">
        <v>469</v>
      </c>
      <c r="D176" s="55"/>
      <c r="E176" s="55" t="s">
        <v>729</v>
      </c>
      <c r="F176" s="55" t="s">
        <v>730</v>
      </c>
      <c r="G176" s="55">
        <v>32.0</v>
      </c>
      <c r="H176" s="55" t="s">
        <v>85</v>
      </c>
      <c r="I176" s="55" t="s">
        <v>112</v>
      </c>
      <c r="J176" s="56" t="s">
        <v>113</v>
      </c>
      <c r="K176" s="55" t="s">
        <v>731</v>
      </c>
      <c r="L176" s="55" t="s">
        <v>34</v>
      </c>
      <c r="M176" s="55" t="s">
        <v>89</v>
      </c>
      <c r="N176" s="55" t="s">
        <v>90</v>
      </c>
      <c r="O176" s="55"/>
      <c r="P176" s="55" t="s">
        <v>91</v>
      </c>
      <c r="Q176" s="55" t="s">
        <v>4</v>
      </c>
      <c r="R176" s="55"/>
      <c r="S176" s="55"/>
      <c r="T176" s="55"/>
      <c r="U176" s="55"/>
      <c r="V176" s="55"/>
      <c r="W176" s="55"/>
      <c r="X176" s="57" t="str">
        <f t="shared" si="2"/>
        <v>--169-27-04</v>
      </c>
      <c r="Y176" s="58" t="str">
        <f t="shared" ref="Y176:AC176" si="174">TRIM(SUBSTITUTE(SUBSTITUTE(OFFSET($Q176,0,COLUMN()-COLUMN($AL$1)),CHAR(160)," "),_xludf.UNICHAR(8239)," "))</f>
        <v>#NAME?</v>
      </c>
      <c r="Z176" s="58" t="str">
        <f t="shared" si="174"/>
        <v>#NAME?</v>
      </c>
      <c r="AA176" s="58" t="str">
        <f t="shared" si="174"/>
        <v>#NAME?</v>
      </c>
      <c r="AB176" s="58" t="str">
        <f t="shared" si="174"/>
        <v>#NAME?</v>
      </c>
      <c r="AC176" s="58" t="str">
        <f t="shared" si="174"/>
        <v>#NAME?</v>
      </c>
      <c r="AD176" s="57">
        <f t="shared" si="4"/>
        <v>1</v>
      </c>
      <c r="AE176" s="57" t="str">
        <f t="shared" si="5"/>
        <v>2026-04</v>
      </c>
      <c r="AF176" s="57">
        <f t="shared" si="6"/>
        <v>1</v>
      </c>
      <c r="AG176" s="59">
        <f t="shared" si="7"/>
        <v>1</v>
      </c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</row>
    <row r="177" ht="24.0" customHeight="1">
      <c r="A177" s="53">
        <v>73.0</v>
      </c>
      <c r="B177" s="54" t="s">
        <v>732</v>
      </c>
      <c r="C177" s="55" t="s">
        <v>469</v>
      </c>
      <c r="D177" s="55"/>
      <c r="E177" s="55" t="s">
        <v>733</v>
      </c>
      <c r="F177" s="55" t="s">
        <v>734</v>
      </c>
      <c r="G177" s="55">
        <v>25.0</v>
      </c>
      <c r="H177" s="55" t="s">
        <v>85</v>
      </c>
      <c r="I177" s="55" t="s">
        <v>112</v>
      </c>
      <c r="J177" s="56" t="s">
        <v>113</v>
      </c>
      <c r="K177" s="55" t="s">
        <v>735</v>
      </c>
      <c r="L177" s="55" t="s">
        <v>34</v>
      </c>
      <c r="M177" s="55" t="s">
        <v>89</v>
      </c>
      <c r="N177" s="55" t="s">
        <v>90</v>
      </c>
      <c r="O177" s="55"/>
      <c r="P177" s="55" t="s">
        <v>91</v>
      </c>
      <c r="Q177" s="55" t="s">
        <v>4</v>
      </c>
      <c r="R177" s="55"/>
      <c r="S177" s="55"/>
      <c r="T177" s="55"/>
      <c r="U177" s="55"/>
      <c r="V177" s="55"/>
      <c r="W177" s="55"/>
      <c r="X177" s="57" t="str">
        <f t="shared" si="2"/>
        <v>--170-27-04</v>
      </c>
      <c r="Y177" s="58" t="str">
        <f t="shared" ref="Y177:AC177" si="175">TRIM(SUBSTITUTE(SUBSTITUTE(OFFSET($Q177,0,COLUMN()-COLUMN($AL$1)),CHAR(160)," "),_xludf.UNICHAR(8239)," "))</f>
        <v>#NAME?</v>
      </c>
      <c r="Z177" s="58" t="str">
        <f t="shared" si="175"/>
        <v>#NAME?</v>
      </c>
      <c r="AA177" s="58" t="str">
        <f t="shared" si="175"/>
        <v>#NAME?</v>
      </c>
      <c r="AB177" s="58" t="str">
        <f t="shared" si="175"/>
        <v>#NAME?</v>
      </c>
      <c r="AC177" s="58" t="str">
        <f t="shared" si="175"/>
        <v>#NAME?</v>
      </c>
      <c r="AD177" s="57">
        <f t="shared" si="4"/>
        <v>1</v>
      </c>
      <c r="AE177" s="57" t="str">
        <f t="shared" si="5"/>
        <v>2026-04</v>
      </c>
      <c r="AF177" s="57">
        <f t="shared" si="6"/>
        <v>1</v>
      </c>
      <c r="AG177" s="59">
        <f t="shared" si="7"/>
        <v>1</v>
      </c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</row>
    <row r="178" ht="24.0" customHeight="1">
      <c r="A178" s="53">
        <v>74.0</v>
      </c>
      <c r="B178" s="54" t="s">
        <v>736</v>
      </c>
      <c r="C178" s="55" t="s">
        <v>469</v>
      </c>
      <c r="D178" s="55"/>
      <c r="E178" s="55" t="s">
        <v>737</v>
      </c>
      <c r="F178" s="55" t="s">
        <v>738</v>
      </c>
      <c r="G178" s="55">
        <v>66.0</v>
      </c>
      <c r="H178" s="55" t="s">
        <v>260</v>
      </c>
      <c r="I178" s="55" t="s">
        <v>86</v>
      </c>
      <c r="J178" s="56" t="s">
        <v>87</v>
      </c>
      <c r="K178" s="55" t="s">
        <v>739</v>
      </c>
      <c r="L178" s="55" t="s">
        <v>34</v>
      </c>
      <c r="M178" s="55" t="s">
        <v>115</v>
      </c>
      <c r="N178" s="55" t="s">
        <v>90</v>
      </c>
      <c r="O178" s="55"/>
      <c r="P178" s="55" t="s">
        <v>91</v>
      </c>
      <c r="Q178" s="55" t="s">
        <v>4</v>
      </c>
      <c r="R178" s="55"/>
      <c r="S178" s="55"/>
      <c r="T178" s="55"/>
      <c r="U178" s="55"/>
      <c r="V178" s="55"/>
      <c r="W178" s="55"/>
      <c r="X178" s="57" t="str">
        <f t="shared" si="2"/>
        <v>--171-27-04</v>
      </c>
      <c r="Y178" s="58" t="str">
        <f t="shared" ref="Y178:AC178" si="176">TRIM(SUBSTITUTE(SUBSTITUTE(OFFSET($Q178,0,COLUMN()-COLUMN($AL$1)),CHAR(160)," "),_xludf.UNICHAR(8239)," "))</f>
        <v>#NAME?</v>
      </c>
      <c r="Z178" s="58" t="str">
        <f t="shared" si="176"/>
        <v>#NAME?</v>
      </c>
      <c r="AA178" s="58" t="str">
        <f t="shared" si="176"/>
        <v>#NAME?</v>
      </c>
      <c r="AB178" s="58" t="str">
        <f t="shared" si="176"/>
        <v>#NAME?</v>
      </c>
      <c r="AC178" s="58" t="str">
        <f t="shared" si="176"/>
        <v>#NAME?</v>
      </c>
      <c r="AD178" s="57">
        <f t="shared" si="4"/>
        <v>1</v>
      </c>
      <c r="AE178" s="57" t="str">
        <f t="shared" si="5"/>
        <v>2026-04</v>
      </c>
      <c r="AF178" s="57">
        <f t="shared" si="6"/>
        <v>1</v>
      </c>
      <c r="AG178" s="59">
        <f t="shared" si="7"/>
        <v>1</v>
      </c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</row>
    <row r="179" ht="24.0" customHeight="1">
      <c r="A179" s="53">
        <v>75.0</v>
      </c>
      <c r="B179" s="54" t="s">
        <v>740</v>
      </c>
      <c r="C179" s="55" t="s">
        <v>469</v>
      </c>
      <c r="D179" s="55"/>
      <c r="E179" s="55" t="s">
        <v>741</v>
      </c>
      <c r="F179" s="55" t="s">
        <v>742</v>
      </c>
      <c r="G179" s="55">
        <v>19.0</v>
      </c>
      <c r="H179" s="55" t="s">
        <v>85</v>
      </c>
      <c r="I179" s="55" t="s">
        <v>112</v>
      </c>
      <c r="J179" s="56" t="s">
        <v>113</v>
      </c>
      <c r="K179" s="55" t="s">
        <v>743</v>
      </c>
      <c r="L179" s="55" t="s">
        <v>34</v>
      </c>
      <c r="M179" s="55" t="s">
        <v>133</v>
      </c>
      <c r="N179" s="55" t="s">
        <v>90</v>
      </c>
      <c r="O179" s="55"/>
      <c r="P179" s="55" t="s">
        <v>91</v>
      </c>
      <c r="Q179" s="55" t="s">
        <v>4</v>
      </c>
      <c r="R179" s="55"/>
      <c r="S179" s="55"/>
      <c r="T179" s="55"/>
      <c r="U179" s="55"/>
      <c r="V179" s="55"/>
      <c r="W179" s="55"/>
      <c r="X179" s="57" t="str">
        <f t="shared" si="2"/>
        <v>--172-27-04</v>
      </c>
      <c r="Y179" s="58" t="str">
        <f t="shared" ref="Y179:AC179" si="177">TRIM(SUBSTITUTE(SUBSTITUTE(OFFSET($Q179,0,COLUMN()-COLUMN($AL$1)),CHAR(160)," "),_xludf.UNICHAR(8239)," "))</f>
        <v>#NAME?</v>
      </c>
      <c r="Z179" s="58" t="str">
        <f t="shared" si="177"/>
        <v>#NAME?</v>
      </c>
      <c r="AA179" s="58" t="str">
        <f t="shared" si="177"/>
        <v>#NAME?</v>
      </c>
      <c r="AB179" s="58" t="str">
        <f t="shared" si="177"/>
        <v>#NAME?</v>
      </c>
      <c r="AC179" s="58" t="str">
        <f t="shared" si="177"/>
        <v>#NAME?</v>
      </c>
      <c r="AD179" s="57">
        <f t="shared" si="4"/>
        <v>1</v>
      </c>
      <c r="AE179" s="57" t="str">
        <f t="shared" si="5"/>
        <v>2026-04</v>
      </c>
      <c r="AF179" s="57">
        <f t="shared" si="6"/>
        <v>1</v>
      </c>
      <c r="AG179" s="59">
        <f t="shared" si="7"/>
        <v>1</v>
      </c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</row>
    <row r="180" ht="24.0" customHeight="1">
      <c r="A180" s="53">
        <v>76.0</v>
      </c>
      <c r="B180" s="54" t="s">
        <v>744</v>
      </c>
      <c r="C180" s="55" t="s">
        <v>469</v>
      </c>
      <c r="D180" s="55"/>
      <c r="E180" s="55" t="s">
        <v>745</v>
      </c>
      <c r="F180" s="55" t="s">
        <v>746</v>
      </c>
      <c r="G180" s="55">
        <v>55.0</v>
      </c>
      <c r="H180" s="55" t="s">
        <v>85</v>
      </c>
      <c r="I180" s="55" t="s">
        <v>112</v>
      </c>
      <c r="J180" s="56" t="s">
        <v>113</v>
      </c>
      <c r="K180" s="55" t="s">
        <v>747</v>
      </c>
      <c r="L180" s="55" t="s">
        <v>34</v>
      </c>
      <c r="M180" s="55" t="s">
        <v>89</v>
      </c>
      <c r="N180" s="55" t="s">
        <v>90</v>
      </c>
      <c r="O180" s="55"/>
      <c r="P180" s="55" t="s">
        <v>91</v>
      </c>
      <c r="Q180" s="55" t="s">
        <v>4</v>
      </c>
      <c r="R180" s="55"/>
      <c r="S180" s="55"/>
      <c r="T180" s="55"/>
      <c r="U180" s="55"/>
      <c r="V180" s="55"/>
      <c r="W180" s="55"/>
      <c r="X180" s="57" t="str">
        <f t="shared" si="2"/>
        <v>--173-27-04</v>
      </c>
      <c r="Y180" s="58" t="str">
        <f t="shared" ref="Y180:AC180" si="178">TRIM(SUBSTITUTE(SUBSTITUTE(OFFSET($Q180,0,COLUMN()-COLUMN($AL$1)),CHAR(160)," "),_xludf.UNICHAR(8239)," "))</f>
        <v>#NAME?</v>
      </c>
      <c r="Z180" s="58" t="str">
        <f t="shared" si="178"/>
        <v>#NAME?</v>
      </c>
      <c r="AA180" s="58" t="str">
        <f t="shared" si="178"/>
        <v>#NAME?</v>
      </c>
      <c r="AB180" s="58" t="str">
        <f t="shared" si="178"/>
        <v>#NAME?</v>
      </c>
      <c r="AC180" s="58" t="str">
        <f t="shared" si="178"/>
        <v>#NAME?</v>
      </c>
      <c r="AD180" s="57">
        <f t="shared" si="4"/>
        <v>1</v>
      </c>
      <c r="AE180" s="57" t="str">
        <f t="shared" si="5"/>
        <v>2026-04</v>
      </c>
      <c r="AF180" s="57">
        <f t="shared" si="6"/>
        <v>1</v>
      </c>
      <c r="AG180" s="59">
        <f t="shared" si="7"/>
        <v>1</v>
      </c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</row>
    <row r="181" ht="24.0" customHeight="1">
      <c r="A181" s="53">
        <v>77.0</v>
      </c>
      <c r="B181" s="54" t="s">
        <v>748</v>
      </c>
      <c r="C181" s="55" t="s">
        <v>469</v>
      </c>
      <c r="D181" s="55"/>
      <c r="E181" s="55" t="s">
        <v>749</v>
      </c>
      <c r="F181" s="55" t="s">
        <v>750</v>
      </c>
      <c r="G181" s="55">
        <v>9.0</v>
      </c>
      <c r="H181" s="55" t="s">
        <v>111</v>
      </c>
      <c r="I181" s="55" t="s">
        <v>112</v>
      </c>
      <c r="J181" s="56" t="s">
        <v>113</v>
      </c>
      <c r="K181" s="55" t="s">
        <v>751</v>
      </c>
      <c r="L181" s="55" t="s">
        <v>34</v>
      </c>
      <c r="M181" s="55" t="s">
        <v>115</v>
      </c>
      <c r="N181" s="55" t="s">
        <v>90</v>
      </c>
      <c r="O181" s="55"/>
      <c r="P181" s="55" t="s">
        <v>91</v>
      </c>
      <c r="Q181" s="55" t="s">
        <v>4</v>
      </c>
      <c r="R181" s="55"/>
      <c r="S181" s="55" t="s">
        <v>6</v>
      </c>
      <c r="T181" s="55"/>
      <c r="U181" s="55"/>
      <c r="V181" s="55"/>
      <c r="W181" s="55"/>
      <c r="X181" s="57" t="str">
        <f t="shared" si="2"/>
        <v>--174-27-04</v>
      </c>
      <c r="Y181" s="58" t="str">
        <f t="shared" ref="Y181:AC181" si="179">TRIM(SUBSTITUTE(SUBSTITUTE(OFFSET($Q181,0,COLUMN()-COLUMN($AL$1)),CHAR(160)," "),_xludf.UNICHAR(8239)," "))</f>
        <v>#NAME?</v>
      </c>
      <c r="Z181" s="58" t="str">
        <f t="shared" si="179"/>
        <v>#NAME?</v>
      </c>
      <c r="AA181" s="58" t="str">
        <f t="shared" si="179"/>
        <v>#NAME?</v>
      </c>
      <c r="AB181" s="58" t="str">
        <f t="shared" si="179"/>
        <v>#NAME?</v>
      </c>
      <c r="AC181" s="58" t="str">
        <f t="shared" si="179"/>
        <v>#NAME?</v>
      </c>
      <c r="AD181" s="57">
        <f t="shared" si="4"/>
        <v>1</v>
      </c>
      <c r="AE181" s="57" t="str">
        <f t="shared" si="5"/>
        <v>2026-04</v>
      </c>
      <c r="AF181" s="57">
        <f t="shared" si="6"/>
        <v>1</v>
      </c>
      <c r="AG181" s="59">
        <f t="shared" si="7"/>
        <v>1</v>
      </c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</row>
    <row r="182" ht="24.0" customHeight="1">
      <c r="A182" s="53">
        <v>78.0</v>
      </c>
      <c r="B182" s="54" t="s">
        <v>752</v>
      </c>
      <c r="C182" s="55" t="s">
        <v>469</v>
      </c>
      <c r="D182" s="55"/>
      <c r="E182" s="55" t="s">
        <v>753</v>
      </c>
      <c r="F182" s="55" t="s">
        <v>754</v>
      </c>
      <c r="G182" s="55">
        <v>35.0</v>
      </c>
      <c r="H182" s="55" t="s">
        <v>85</v>
      </c>
      <c r="I182" s="55" t="s">
        <v>86</v>
      </c>
      <c r="J182" s="56" t="s">
        <v>87</v>
      </c>
      <c r="K182" s="55" t="s">
        <v>755</v>
      </c>
      <c r="L182" s="55" t="s">
        <v>34</v>
      </c>
      <c r="M182" s="55" t="s">
        <v>115</v>
      </c>
      <c r="N182" s="55" t="s">
        <v>90</v>
      </c>
      <c r="O182" s="55"/>
      <c r="P182" s="55" t="s">
        <v>91</v>
      </c>
      <c r="Q182" s="55"/>
      <c r="R182" s="55" t="s">
        <v>27</v>
      </c>
      <c r="S182" s="55"/>
      <c r="T182" s="55"/>
      <c r="U182" s="55"/>
      <c r="V182" s="55"/>
      <c r="W182" s="55"/>
      <c r="X182" s="57" t="str">
        <f t="shared" si="2"/>
        <v>--175-27-04</v>
      </c>
      <c r="Y182" s="58" t="str">
        <f t="shared" ref="Y182:AC182" si="180">TRIM(SUBSTITUTE(SUBSTITUTE(OFFSET($Q182,0,COLUMN()-COLUMN($AL$1)),CHAR(160)," "),_xludf.UNICHAR(8239)," "))</f>
        <v>#NAME?</v>
      </c>
      <c r="Z182" s="58" t="str">
        <f t="shared" si="180"/>
        <v>#NAME?</v>
      </c>
      <c r="AA182" s="58" t="str">
        <f t="shared" si="180"/>
        <v>#NAME?</v>
      </c>
      <c r="AB182" s="58" t="str">
        <f t="shared" si="180"/>
        <v>#NAME?</v>
      </c>
      <c r="AC182" s="58" t="str">
        <f t="shared" si="180"/>
        <v>#NAME?</v>
      </c>
      <c r="AD182" s="57">
        <f t="shared" si="4"/>
        <v>1</v>
      </c>
      <c r="AE182" s="57" t="str">
        <f t="shared" si="5"/>
        <v>2026-04</v>
      </c>
      <c r="AF182" s="57">
        <f t="shared" si="6"/>
        <v>1</v>
      </c>
      <c r="AG182" s="59">
        <f t="shared" si="7"/>
        <v>1</v>
      </c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</row>
    <row r="183" ht="24.0" customHeight="1">
      <c r="A183" s="53">
        <v>1.0</v>
      </c>
      <c r="B183" s="54" t="s">
        <v>756</v>
      </c>
      <c r="C183" s="55" t="s">
        <v>757</v>
      </c>
      <c r="D183" s="55"/>
      <c r="E183" s="55" t="s">
        <v>758</v>
      </c>
      <c r="F183" s="55" t="s">
        <v>759</v>
      </c>
      <c r="G183" s="55">
        <v>37.0</v>
      </c>
      <c r="H183" s="55" t="s">
        <v>85</v>
      </c>
      <c r="I183" s="55" t="s">
        <v>86</v>
      </c>
      <c r="J183" s="56" t="s">
        <v>87</v>
      </c>
      <c r="K183" s="55" t="s">
        <v>760</v>
      </c>
      <c r="L183" s="55" t="s">
        <v>34</v>
      </c>
      <c r="M183" s="55" t="s">
        <v>89</v>
      </c>
      <c r="N183" s="55" t="s">
        <v>90</v>
      </c>
      <c r="O183" s="55"/>
      <c r="P183" s="55" t="s">
        <v>91</v>
      </c>
      <c r="Q183" s="55" t="s">
        <v>4</v>
      </c>
      <c r="R183" s="55"/>
      <c r="S183" s="55"/>
      <c r="T183" s="55"/>
      <c r="U183" s="55"/>
      <c r="V183" s="55"/>
      <c r="W183" s="55"/>
      <c r="X183" s="57" t="str">
        <f t="shared" si="2"/>
        <v>--176-28-04</v>
      </c>
      <c r="Y183" s="58" t="str">
        <f t="shared" ref="Y183:AC183" si="181">TRIM(SUBSTITUTE(SUBSTITUTE(OFFSET($Q183,0,COLUMN()-COLUMN($AL$1)),CHAR(160)," "),_xludf.UNICHAR(8239)," "))</f>
        <v>#NAME?</v>
      </c>
      <c r="Z183" s="58" t="str">
        <f t="shared" si="181"/>
        <v>#NAME?</v>
      </c>
      <c r="AA183" s="58" t="str">
        <f t="shared" si="181"/>
        <v>#NAME?</v>
      </c>
      <c r="AB183" s="58" t="str">
        <f t="shared" si="181"/>
        <v>#NAME?</v>
      </c>
      <c r="AC183" s="58" t="str">
        <f t="shared" si="181"/>
        <v>#NAME?</v>
      </c>
      <c r="AD183" s="57">
        <f t="shared" si="4"/>
        <v>1</v>
      </c>
      <c r="AE183" s="57" t="str">
        <f t="shared" si="5"/>
        <v>2026-04</v>
      </c>
      <c r="AF183" s="57">
        <f t="shared" si="6"/>
        <v>1</v>
      </c>
      <c r="AG183" s="59">
        <f t="shared" si="7"/>
        <v>1</v>
      </c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</row>
    <row r="184" ht="24.0" customHeight="1">
      <c r="A184" s="53">
        <v>2.0</v>
      </c>
      <c r="B184" s="54" t="s">
        <v>761</v>
      </c>
      <c r="C184" s="55" t="s">
        <v>757</v>
      </c>
      <c r="D184" s="55"/>
      <c r="E184" s="55" t="s">
        <v>762</v>
      </c>
      <c r="F184" s="55" t="s">
        <v>763</v>
      </c>
      <c r="G184" s="55">
        <v>51.0</v>
      </c>
      <c r="H184" s="55" t="s">
        <v>85</v>
      </c>
      <c r="I184" s="55" t="s">
        <v>112</v>
      </c>
      <c r="J184" s="56" t="s">
        <v>113</v>
      </c>
      <c r="K184" s="55" t="s">
        <v>764</v>
      </c>
      <c r="L184" s="55" t="s">
        <v>34</v>
      </c>
      <c r="M184" s="55" t="s">
        <v>89</v>
      </c>
      <c r="N184" s="55" t="s">
        <v>90</v>
      </c>
      <c r="O184" s="55"/>
      <c r="P184" s="55" t="s">
        <v>91</v>
      </c>
      <c r="Q184" s="55" t="s">
        <v>16</v>
      </c>
      <c r="R184" s="55"/>
      <c r="S184" s="55"/>
      <c r="T184" s="55"/>
      <c r="U184" s="55"/>
      <c r="V184" s="55"/>
      <c r="W184" s="55"/>
      <c r="X184" s="57" t="str">
        <f t="shared" si="2"/>
        <v>--177-28-04</v>
      </c>
      <c r="Y184" s="58" t="str">
        <f t="shared" ref="Y184:AC184" si="182">TRIM(SUBSTITUTE(SUBSTITUTE(OFFSET($Q184,0,COLUMN()-COLUMN($AL$1)),CHAR(160)," "),_xludf.UNICHAR(8239)," "))</f>
        <v>#NAME?</v>
      </c>
      <c r="Z184" s="58" t="str">
        <f t="shared" si="182"/>
        <v>#NAME?</v>
      </c>
      <c r="AA184" s="58" t="str">
        <f t="shared" si="182"/>
        <v>#NAME?</v>
      </c>
      <c r="AB184" s="58" t="str">
        <f t="shared" si="182"/>
        <v>#NAME?</v>
      </c>
      <c r="AC184" s="58" t="str">
        <f t="shared" si="182"/>
        <v>#NAME?</v>
      </c>
      <c r="AD184" s="57">
        <f t="shared" si="4"/>
        <v>1</v>
      </c>
      <c r="AE184" s="57" t="str">
        <f t="shared" si="5"/>
        <v>2026-04</v>
      </c>
      <c r="AF184" s="57">
        <f t="shared" si="6"/>
        <v>1</v>
      </c>
      <c r="AG184" s="59">
        <f t="shared" si="7"/>
        <v>1</v>
      </c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</row>
    <row r="185" ht="24.0" customHeight="1">
      <c r="A185" s="53">
        <v>3.0</v>
      </c>
      <c r="B185" s="54" t="s">
        <v>765</v>
      </c>
      <c r="C185" s="55" t="s">
        <v>757</v>
      </c>
      <c r="D185" s="55"/>
      <c r="E185" s="55" t="s">
        <v>766</v>
      </c>
      <c r="F185" s="55" t="s">
        <v>767</v>
      </c>
      <c r="G185" s="55">
        <v>45.0</v>
      </c>
      <c r="H185" s="55" t="s">
        <v>85</v>
      </c>
      <c r="I185" s="55" t="s">
        <v>86</v>
      </c>
      <c r="J185" s="56" t="s">
        <v>87</v>
      </c>
      <c r="K185" s="55" t="s">
        <v>768</v>
      </c>
      <c r="L185" s="55" t="s">
        <v>34</v>
      </c>
      <c r="M185" s="55" t="s">
        <v>89</v>
      </c>
      <c r="N185" s="55" t="s">
        <v>90</v>
      </c>
      <c r="O185" s="55"/>
      <c r="P185" s="55" t="s">
        <v>91</v>
      </c>
      <c r="Q185" s="55" t="s">
        <v>4</v>
      </c>
      <c r="R185" s="55"/>
      <c r="S185" s="55"/>
      <c r="T185" s="55"/>
      <c r="U185" s="55"/>
      <c r="V185" s="55"/>
      <c r="W185" s="55"/>
      <c r="X185" s="57" t="str">
        <f t="shared" si="2"/>
        <v>--178-28-04</v>
      </c>
      <c r="Y185" s="58" t="str">
        <f t="shared" ref="Y185:AC185" si="183">TRIM(SUBSTITUTE(SUBSTITUTE(OFFSET($Q185,0,COLUMN()-COLUMN($AL$1)),CHAR(160)," "),_xludf.UNICHAR(8239)," "))</f>
        <v>#NAME?</v>
      </c>
      <c r="Z185" s="58" t="str">
        <f t="shared" si="183"/>
        <v>#NAME?</v>
      </c>
      <c r="AA185" s="58" t="str">
        <f t="shared" si="183"/>
        <v>#NAME?</v>
      </c>
      <c r="AB185" s="58" t="str">
        <f t="shared" si="183"/>
        <v>#NAME?</v>
      </c>
      <c r="AC185" s="58" t="str">
        <f t="shared" si="183"/>
        <v>#NAME?</v>
      </c>
      <c r="AD185" s="57">
        <f t="shared" si="4"/>
        <v>1</v>
      </c>
      <c r="AE185" s="57" t="str">
        <f t="shared" si="5"/>
        <v>2026-04</v>
      </c>
      <c r="AF185" s="57">
        <f t="shared" si="6"/>
        <v>1</v>
      </c>
      <c r="AG185" s="59">
        <f t="shared" si="7"/>
        <v>1</v>
      </c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</row>
    <row r="186" ht="24.0" customHeight="1">
      <c r="A186" s="53">
        <v>4.0</v>
      </c>
      <c r="B186" s="54" t="s">
        <v>769</v>
      </c>
      <c r="C186" s="55" t="s">
        <v>757</v>
      </c>
      <c r="D186" s="55"/>
      <c r="E186" s="55" t="s">
        <v>770</v>
      </c>
      <c r="F186" s="55" t="s">
        <v>771</v>
      </c>
      <c r="G186" s="55">
        <v>24.0</v>
      </c>
      <c r="H186" s="55" t="s">
        <v>85</v>
      </c>
      <c r="I186" s="55" t="s">
        <v>86</v>
      </c>
      <c r="J186" s="56" t="s">
        <v>87</v>
      </c>
      <c r="K186" s="55" t="s">
        <v>148</v>
      </c>
      <c r="L186" s="55" t="s">
        <v>34</v>
      </c>
      <c r="M186" s="55" t="s">
        <v>89</v>
      </c>
      <c r="N186" s="55" t="s">
        <v>90</v>
      </c>
      <c r="O186" s="55"/>
      <c r="P186" s="55" t="s">
        <v>91</v>
      </c>
      <c r="Q186" s="55"/>
      <c r="R186" s="55" t="s">
        <v>36</v>
      </c>
      <c r="S186" s="55"/>
      <c r="T186" s="55"/>
      <c r="U186" s="55"/>
      <c r="V186" s="55"/>
      <c r="W186" s="55"/>
      <c r="X186" s="57" t="str">
        <f t="shared" si="2"/>
        <v>--179-28-04</v>
      </c>
      <c r="Y186" s="58" t="str">
        <f t="shared" ref="Y186:AC186" si="184">TRIM(SUBSTITUTE(SUBSTITUTE(OFFSET($Q186,0,COLUMN()-COLUMN($AL$1)),CHAR(160)," "),_xludf.UNICHAR(8239)," "))</f>
        <v>#NAME?</v>
      </c>
      <c r="Z186" s="58" t="str">
        <f t="shared" si="184"/>
        <v>#NAME?</v>
      </c>
      <c r="AA186" s="58" t="str">
        <f t="shared" si="184"/>
        <v>#NAME?</v>
      </c>
      <c r="AB186" s="58" t="str">
        <f t="shared" si="184"/>
        <v>#NAME?</v>
      </c>
      <c r="AC186" s="58" t="str">
        <f t="shared" si="184"/>
        <v>#NAME?</v>
      </c>
      <c r="AD186" s="57">
        <f t="shared" si="4"/>
        <v>1</v>
      </c>
      <c r="AE186" s="57" t="str">
        <f t="shared" si="5"/>
        <v>2026-04</v>
      </c>
      <c r="AF186" s="57">
        <f t="shared" si="6"/>
        <v>1</v>
      </c>
      <c r="AG186" s="59">
        <f t="shared" si="7"/>
        <v>1</v>
      </c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</row>
    <row r="187" ht="24.0" customHeight="1">
      <c r="A187" s="53">
        <v>5.0</v>
      </c>
      <c r="B187" s="54" t="s">
        <v>772</v>
      </c>
      <c r="C187" s="55" t="s">
        <v>757</v>
      </c>
      <c r="D187" s="55"/>
      <c r="E187" s="55" t="s">
        <v>773</v>
      </c>
      <c r="F187" s="55" t="s">
        <v>774</v>
      </c>
      <c r="G187" s="55">
        <v>34.0</v>
      </c>
      <c r="H187" s="55" t="s">
        <v>85</v>
      </c>
      <c r="I187" s="55" t="s">
        <v>86</v>
      </c>
      <c r="J187" s="56" t="s">
        <v>87</v>
      </c>
      <c r="K187" s="55" t="s">
        <v>775</v>
      </c>
      <c r="L187" s="55" t="s">
        <v>34</v>
      </c>
      <c r="M187" s="55" t="s">
        <v>89</v>
      </c>
      <c r="N187" s="55" t="s">
        <v>90</v>
      </c>
      <c r="O187" s="55"/>
      <c r="P187" s="55" t="s">
        <v>91</v>
      </c>
      <c r="Q187" s="55"/>
      <c r="R187" s="55" t="s">
        <v>5</v>
      </c>
      <c r="S187" s="55"/>
      <c r="T187" s="55"/>
      <c r="U187" s="55" t="s">
        <v>7</v>
      </c>
      <c r="V187" s="55"/>
      <c r="W187" s="55"/>
      <c r="X187" s="57" t="str">
        <f t="shared" si="2"/>
        <v>--180-28-04</v>
      </c>
      <c r="Y187" s="58" t="str">
        <f t="shared" ref="Y187:AC187" si="185">TRIM(SUBSTITUTE(SUBSTITUTE(OFFSET($Q187,0,COLUMN()-COLUMN($AL$1)),CHAR(160)," "),_xludf.UNICHAR(8239)," "))</f>
        <v>#NAME?</v>
      </c>
      <c r="Z187" s="58" t="str">
        <f t="shared" si="185"/>
        <v>#NAME?</v>
      </c>
      <c r="AA187" s="58" t="str">
        <f t="shared" si="185"/>
        <v>#NAME?</v>
      </c>
      <c r="AB187" s="58" t="str">
        <f t="shared" si="185"/>
        <v>#NAME?</v>
      </c>
      <c r="AC187" s="58" t="str">
        <f t="shared" si="185"/>
        <v>#NAME?</v>
      </c>
      <c r="AD187" s="57">
        <f t="shared" si="4"/>
        <v>1</v>
      </c>
      <c r="AE187" s="57" t="str">
        <f t="shared" si="5"/>
        <v>2026-04</v>
      </c>
      <c r="AF187" s="57">
        <f t="shared" si="6"/>
        <v>1</v>
      </c>
      <c r="AG187" s="59">
        <f t="shared" si="7"/>
        <v>1</v>
      </c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</row>
    <row r="188" ht="24.0" customHeight="1">
      <c r="A188" s="53">
        <v>6.0</v>
      </c>
      <c r="B188" s="54" t="s">
        <v>776</v>
      </c>
      <c r="C188" s="55" t="s">
        <v>757</v>
      </c>
      <c r="D188" s="55"/>
      <c r="E188" s="55" t="s">
        <v>777</v>
      </c>
      <c r="F188" s="55" t="s">
        <v>778</v>
      </c>
      <c r="G188" s="55">
        <v>54.0</v>
      </c>
      <c r="H188" s="55" t="s">
        <v>85</v>
      </c>
      <c r="I188" s="55" t="s">
        <v>86</v>
      </c>
      <c r="J188" s="56" t="s">
        <v>87</v>
      </c>
      <c r="K188" s="55" t="s">
        <v>779</v>
      </c>
      <c r="L188" s="55" t="s">
        <v>34</v>
      </c>
      <c r="M188" s="55" t="s">
        <v>89</v>
      </c>
      <c r="N188" s="55" t="s">
        <v>780</v>
      </c>
      <c r="O188" s="55"/>
      <c r="P188" s="55" t="s">
        <v>91</v>
      </c>
      <c r="Q188" s="55" t="s">
        <v>16</v>
      </c>
      <c r="R188" s="55"/>
      <c r="S188" s="55"/>
      <c r="T188" s="55"/>
      <c r="U188" s="55"/>
      <c r="V188" s="55"/>
      <c r="W188" s="55"/>
      <c r="X188" s="57" t="str">
        <f t="shared" si="2"/>
        <v>--181-28-04</v>
      </c>
      <c r="Y188" s="58" t="str">
        <f t="shared" ref="Y188:AC188" si="186">TRIM(SUBSTITUTE(SUBSTITUTE(OFFSET($Q188,0,COLUMN()-COLUMN($AL$1)),CHAR(160)," "),_xludf.UNICHAR(8239)," "))</f>
        <v>#NAME?</v>
      </c>
      <c r="Z188" s="58" t="str">
        <f t="shared" si="186"/>
        <v>#NAME?</v>
      </c>
      <c r="AA188" s="58" t="str">
        <f t="shared" si="186"/>
        <v>#NAME?</v>
      </c>
      <c r="AB188" s="58" t="str">
        <f t="shared" si="186"/>
        <v>#NAME?</v>
      </c>
      <c r="AC188" s="58" t="str">
        <f t="shared" si="186"/>
        <v>#NAME?</v>
      </c>
      <c r="AD188" s="57">
        <f t="shared" si="4"/>
        <v>1</v>
      </c>
      <c r="AE188" s="57" t="str">
        <f t="shared" si="5"/>
        <v>2026-04</v>
      </c>
      <c r="AF188" s="57">
        <f t="shared" si="6"/>
        <v>1</v>
      </c>
      <c r="AG188" s="59">
        <f t="shared" si="7"/>
        <v>1</v>
      </c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</row>
    <row r="189" ht="24.0" customHeight="1">
      <c r="A189" s="53">
        <v>7.0</v>
      </c>
      <c r="B189" s="54" t="s">
        <v>781</v>
      </c>
      <c r="C189" s="55" t="s">
        <v>757</v>
      </c>
      <c r="D189" s="55"/>
      <c r="E189" s="55" t="s">
        <v>782</v>
      </c>
      <c r="F189" s="55" t="s">
        <v>783</v>
      </c>
      <c r="G189" s="55">
        <v>17.0</v>
      </c>
      <c r="H189" s="55" t="s">
        <v>111</v>
      </c>
      <c r="I189" s="55" t="s">
        <v>112</v>
      </c>
      <c r="J189" s="56" t="s">
        <v>113</v>
      </c>
      <c r="K189" s="55" t="s">
        <v>784</v>
      </c>
      <c r="L189" s="55" t="s">
        <v>34</v>
      </c>
      <c r="M189" s="55" t="s">
        <v>133</v>
      </c>
      <c r="N189" s="55" t="s">
        <v>90</v>
      </c>
      <c r="O189" s="55"/>
      <c r="P189" s="55" t="s">
        <v>91</v>
      </c>
      <c r="Q189" s="55" t="s">
        <v>16</v>
      </c>
      <c r="R189" s="55"/>
      <c r="S189" s="55" t="s">
        <v>6</v>
      </c>
      <c r="T189" s="55"/>
      <c r="U189" s="55"/>
      <c r="V189" s="55"/>
      <c r="W189" s="55"/>
      <c r="X189" s="57" t="str">
        <f t="shared" si="2"/>
        <v>--182-28-04</v>
      </c>
      <c r="Y189" s="58" t="str">
        <f t="shared" ref="Y189:AC189" si="187">TRIM(SUBSTITUTE(SUBSTITUTE(OFFSET($Q189,0,COLUMN()-COLUMN($AL$1)),CHAR(160)," "),_xludf.UNICHAR(8239)," "))</f>
        <v>#NAME?</v>
      </c>
      <c r="Z189" s="58" t="str">
        <f t="shared" si="187"/>
        <v>#NAME?</v>
      </c>
      <c r="AA189" s="58" t="str">
        <f t="shared" si="187"/>
        <v>#NAME?</v>
      </c>
      <c r="AB189" s="58" t="str">
        <f t="shared" si="187"/>
        <v>#NAME?</v>
      </c>
      <c r="AC189" s="58" t="str">
        <f t="shared" si="187"/>
        <v>#NAME?</v>
      </c>
      <c r="AD189" s="57">
        <f t="shared" si="4"/>
        <v>1</v>
      </c>
      <c r="AE189" s="57" t="str">
        <f t="shared" si="5"/>
        <v>2026-04</v>
      </c>
      <c r="AF189" s="57">
        <f t="shared" si="6"/>
        <v>1</v>
      </c>
      <c r="AG189" s="59">
        <f t="shared" si="7"/>
        <v>1</v>
      </c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</row>
    <row r="190" ht="24.0" customHeight="1">
      <c r="A190" s="53">
        <v>8.0</v>
      </c>
      <c r="B190" s="54" t="s">
        <v>785</v>
      </c>
      <c r="C190" s="55" t="s">
        <v>757</v>
      </c>
      <c r="D190" s="55"/>
      <c r="E190" s="55" t="s">
        <v>786</v>
      </c>
      <c r="F190" s="55" t="s">
        <v>787</v>
      </c>
      <c r="G190" s="55">
        <v>44.0</v>
      </c>
      <c r="H190" s="55" t="s">
        <v>85</v>
      </c>
      <c r="I190" s="55" t="s">
        <v>86</v>
      </c>
      <c r="J190" s="56" t="s">
        <v>87</v>
      </c>
      <c r="K190" s="55" t="s">
        <v>788</v>
      </c>
      <c r="L190" s="55" t="s">
        <v>34</v>
      </c>
      <c r="M190" s="55" t="s">
        <v>89</v>
      </c>
      <c r="N190" s="55" t="s">
        <v>90</v>
      </c>
      <c r="O190" s="55"/>
      <c r="P190" s="55" t="s">
        <v>91</v>
      </c>
      <c r="Q190" s="55"/>
      <c r="R190" s="55" t="s">
        <v>27</v>
      </c>
      <c r="S190" s="55"/>
      <c r="T190" s="55"/>
      <c r="U190" s="55"/>
      <c r="V190" s="55"/>
      <c r="W190" s="55"/>
      <c r="X190" s="57" t="str">
        <f t="shared" si="2"/>
        <v>--183-28-04</v>
      </c>
      <c r="Y190" s="58" t="str">
        <f t="shared" ref="Y190:AC190" si="188">TRIM(SUBSTITUTE(SUBSTITUTE(OFFSET($Q190,0,COLUMN()-COLUMN($AL$1)),CHAR(160)," "),_xludf.UNICHAR(8239)," "))</f>
        <v>#NAME?</v>
      </c>
      <c r="Z190" s="58" t="str">
        <f t="shared" si="188"/>
        <v>#NAME?</v>
      </c>
      <c r="AA190" s="58" t="str">
        <f t="shared" si="188"/>
        <v>#NAME?</v>
      </c>
      <c r="AB190" s="58" t="str">
        <f t="shared" si="188"/>
        <v>#NAME?</v>
      </c>
      <c r="AC190" s="58" t="str">
        <f t="shared" si="188"/>
        <v>#NAME?</v>
      </c>
      <c r="AD190" s="57">
        <f t="shared" si="4"/>
        <v>1</v>
      </c>
      <c r="AE190" s="57" t="str">
        <f t="shared" si="5"/>
        <v>2026-04</v>
      </c>
      <c r="AF190" s="57">
        <f t="shared" si="6"/>
        <v>1</v>
      </c>
      <c r="AG190" s="59">
        <f t="shared" si="7"/>
        <v>1</v>
      </c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</row>
    <row r="191" ht="24.0" customHeight="1">
      <c r="A191" s="53">
        <v>9.0</v>
      </c>
      <c r="B191" s="54" t="s">
        <v>789</v>
      </c>
      <c r="C191" s="55" t="s">
        <v>757</v>
      </c>
      <c r="D191" s="55"/>
      <c r="E191" s="55" t="s">
        <v>790</v>
      </c>
      <c r="F191" s="55" t="s">
        <v>791</v>
      </c>
      <c r="G191" s="55">
        <v>52.0</v>
      </c>
      <c r="H191" s="55" t="s">
        <v>85</v>
      </c>
      <c r="I191" s="55" t="s">
        <v>86</v>
      </c>
      <c r="J191" s="56" t="s">
        <v>87</v>
      </c>
      <c r="K191" s="55" t="s">
        <v>792</v>
      </c>
      <c r="L191" s="55" t="s">
        <v>34</v>
      </c>
      <c r="M191" s="55" t="s">
        <v>89</v>
      </c>
      <c r="N191" s="55" t="s">
        <v>90</v>
      </c>
      <c r="O191" s="55"/>
      <c r="P191" s="55" t="s">
        <v>91</v>
      </c>
      <c r="Q191" s="55"/>
      <c r="R191" s="55" t="s">
        <v>36</v>
      </c>
      <c r="S191" s="55"/>
      <c r="T191" s="55"/>
      <c r="U191" s="55"/>
      <c r="V191" s="55"/>
      <c r="W191" s="55"/>
      <c r="X191" s="57" t="str">
        <f t="shared" si="2"/>
        <v>--184-28-04</v>
      </c>
      <c r="Y191" s="58" t="str">
        <f t="shared" ref="Y191:AC191" si="189">TRIM(SUBSTITUTE(SUBSTITUTE(OFFSET($Q191,0,COLUMN()-COLUMN($AL$1)),CHAR(160)," "),_xludf.UNICHAR(8239)," "))</f>
        <v>#NAME?</v>
      </c>
      <c r="Z191" s="58" t="str">
        <f t="shared" si="189"/>
        <v>#NAME?</v>
      </c>
      <c r="AA191" s="58" t="str">
        <f t="shared" si="189"/>
        <v>#NAME?</v>
      </c>
      <c r="AB191" s="58" t="str">
        <f t="shared" si="189"/>
        <v>#NAME?</v>
      </c>
      <c r="AC191" s="58" t="str">
        <f t="shared" si="189"/>
        <v>#NAME?</v>
      </c>
      <c r="AD191" s="57">
        <f t="shared" si="4"/>
        <v>1</v>
      </c>
      <c r="AE191" s="57" t="str">
        <f t="shared" si="5"/>
        <v>2026-04</v>
      </c>
      <c r="AF191" s="57">
        <f t="shared" si="6"/>
        <v>1</v>
      </c>
      <c r="AG191" s="59">
        <f t="shared" si="7"/>
        <v>1</v>
      </c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</row>
    <row r="192" ht="24.0" customHeight="1">
      <c r="A192" s="53">
        <v>10.0</v>
      </c>
      <c r="B192" s="54" t="s">
        <v>793</v>
      </c>
      <c r="C192" s="55" t="s">
        <v>757</v>
      </c>
      <c r="D192" s="55"/>
      <c r="E192" s="55" t="s">
        <v>794</v>
      </c>
      <c r="F192" s="55" t="s">
        <v>795</v>
      </c>
      <c r="G192" s="55">
        <v>40.0</v>
      </c>
      <c r="H192" s="55" t="s">
        <v>85</v>
      </c>
      <c r="I192" s="55" t="s">
        <v>112</v>
      </c>
      <c r="J192" s="56" t="s">
        <v>113</v>
      </c>
      <c r="K192" s="55" t="s">
        <v>775</v>
      </c>
      <c r="L192" s="55" t="s">
        <v>34</v>
      </c>
      <c r="M192" s="55" t="s">
        <v>89</v>
      </c>
      <c r="N192" s="55" t="s">
        <v>90</v>
      </c>
      <c r="O192" s="55"/>
      <c r="P192" s="55" t="s">
        <v>91</v>
      </c>
      <c r="Q192" s="55" t="s">
        <v>16</v>
      </c>
      <c r="R192" s="55"/>
      <c r="S192" s="55"/>
      <c r="T192" s="55"/>
      <c r="U192" s="55"/>
      <c r="V192" s="55"/>
      <c r="W192" s="55"/>
      <c r="X192" s="57" t="str">
        <f t="shared" si="2"/>
        <v>--185-28-04</v>
      </c>
      <c r="Y192" s="58" t="str">
        <f t="shared" ref="Y192:AC192" si="190">TRIM(SUBSTITUTE(SUBSTITUTE(OFFSET($Q192,0,COLUMN()-COLUMN($AL$1)),CHAR(160)," "),_xludf.UNICHAR(8239)," "))</f>
        <v>#NAME?</v>
      </c>
      <c r="Z192" s="58" t="str">
        <f t="shared" si="190"/>
        <v>#NAME?</v>
      </c>
      <c r="AA192" s="58" t="str">
        <f t="shared" si="190"/>
        <v>#NAME?</v>
      </c>
      <c r="AB192" s="58" t="str">
        <f t="shared" si="190"/>
        <v>#NAME?</v>
      </c>
      <c r="AC192" s="58" t="str">
        <f t="shared" si="190"/>
        <v>#NAME?</v>
      </c>
      <c r="AD192" s="57">
        <f t="shared" si="4"/>
        <v>1</v>
      </c>
      <c r="AE192" s="57" t="str">
        <f t="shared" si="5"/>
        <v>2026-04</v>
      </c>
      <c r="AF192" s="57">
        <f t="shared" si="6"/>
        <v>1</v>
      </c>
      <c r="AG192" s="59">
        <f t="shared" si="7"/>
        <v>1</v>
      </c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</row>
    <row r="193" ht="24.0" customHeight="1">
      <c r="A193" s="53">
        <v>11.0</v>
      </c>
      <c r="B193" s="54" t="s">
        <v>796</v>
      </c>
      <c r="C193" s="55" t="s">
        <v>757</v>
      </c>
      <c r="D193" s="55"/>
      <c r="E193" s="55" t="s">
        <v>797</v>
      </c>
      <c r="F193" s="55" t="s">
        <v>798</v>
      </c>
      <c r="G193" s="55">
        <v>17.0</v>
      </c>
      <c r="H193" s="55" t="s">
        <v>111</v>
      </c>
      <c r="I193" s="55" t="s">
        <v>112</v>
      </c>
      <c r="J193" s="56" t="s">
        <v>113</v>
      </c>
      <c r="K193" s="55" t="s">
        <v>799</v>
      </c>
      <c r="L193" s="55" t="s">
        <v>34</v>
      </c>
      <c r="M193" s="55" t="s">
        <v>133</v>
      </c>
      <c r="N193" s="55" t="s">
        <v>90</v>
      </c>
      <c r="O193" s="55"/>
      <c r="P193" s="55" t="s">
        <v>91</v>
      </c>
      <c r="Q193" s="55" t="s">
        <v>16</v>
      </c>
      <c r="R193" s="55"/>
      <c r="S193" s="55"/>
      <c r="T193" s="55"/>
      <c r="U193" s="55"/>
      <c r="V193" s="55"/>
      <c r="W193" s="55"/>
      <c r="X193" s="57" t="str">
        <f t="shared" si="2"/>
        <v>--186-28-04</v>
      </c>
      <c r="Y193" s="58" t="str">
        <f t="shared" ref="Y193:AC193" si="191">TRIM(SUBSTITUTE(SUBSTITUTE(OFFSET($Q193,0,COLUMN()-COLUMN($AL$1)),CHAR(160)," "),_xludf.UNICHAR(8239)," "))</f>
        <v>#NAME?</v>
      </c>
      <c r="Z193" s="58" t="str">
        <f t="shared" si="191"/>
        <v>#NAME?</v>
      </c>
      <c r="AA193" s="58" t="str">
        <f t="shared" si="191"/>
        <v>#NAME?</v>
      </c>
      <c r="AB193" s="58" t="str">
        <f t="shared" si="191"/>
        <v>#NAME?</v>
      </c>
      <c r="AC193" s="58" t="str">
        <f t="shared" si="191"/>
        <v>#NAME?</v>
      </c>
      <c r="AD193" s="57">
        <f t="shared" si="4"/>
        <v>1</v>
      </c>
      <c r="AE193" s="57" t="str">
        <f t="shared" si="5"/>
        <v>2026-04</v>
      </c>
      <c r="AF193" s="57">
        <f t="shared" si="6"/>
        <v>1</v>
      </c>
      <c r="AG193" s="59">
        <f t="shared" si="7"/>
        <v>1</v>
      </c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</row>
    <row r="194" ht="24.0" customHeight="1">
      <c r="A194" s="53">
        <v>12.0</v>
      </c>
      <c r="B194" s="54" t="s">
        <v>800</v>
      </c>
      <c r="C194" s="55" t="s">
        <v>757</v>
      </c>
      <c r="D194" s="55"/>
      <c r="E194" s="55" t="s">
        <v>801</v>
      </c>
      <c r="F194" s="55" t="s">
        <v>802</v>
      </c>
      <c r="G194" s="55">
        <v>53.0</v>
      </c>
      <c r="H194" s="55" t="s">
        <v>85</v>
      </c>
      <c r="I194" s="55" t="s">
        <v>86</v>
      </c>
      <c r="J194" s="56" t="s">
        <v>87</v>
      </c>
      <c r="K194" s="55" t="s">
        <v>799</v>
      </c>
      <c r="L194" s="55" t="s">
        <v>34</v>
      </c>
      <c r="M194" s="55" t="s">
        <v>89</v>
      </c>
      <c r="N194" s="55" t="s">
        <v>90</v>
      </c>
      <c r="O194" s="55"/>
      <c r="P194" s="55" t="s">
        <v>91</v>
      </c>
      <c r="Q194" s="55"/>
      <c r="R194" s="55" t="s">
        <v>36</v>
      </c>
      <c r="S194" s="55"/>
      <c r="T194" s="55"/>
      <c r="U194" s="55"/>
      <c r="V194" s="55"/>
      <c r="W194" s="55"/>
      <c r="X194" s="57" t="str">
        <f t="shared" si="2"/>
        <v>--187-28-04</v>
      </c>
      <c r="Y194" s="58" t="str">
        <f t="shared" ref="Y194:AC194" si="192">TRIM(SUBSTITUTE(SUBSTITUTE(OFFSET($Q194,0,COLUMN()-COLUMN($AL$1)),CHAR(160)," "),_xludf.UNICHAR(8239)," "))</f>
        <v>#NAME?</v>
      </c>
      <c r="Z194" s="58" t="str">
        <f t="shared" si="192"/>
        <v>#NAME?</v>
      </c>
      <c r="AA194" s="58" t="str">
        <f t="shared" si="192"/>
        <v>#NAME?</v>
      </c>
      <c r="AB194" s="58" t="str">
        <f t="shared" si="192"/>
        <v>#NAME?</v>
      </c>
      <c r="AC194" s="58" t="str">
        <f t="shared" si="192"/>
        <v>#NAME?</v>
      </c>
      <c r="AD194" s="57">
        <f t="shared" si="4"/>
        <v>1</v>
      </c>
      <c r="AE194" s="57" t="str">
        <f t="shared" si="5"/>
        <v>2026-04</v>
      </c>
      <c r="AF194" s="57">
        <f t="shared" si="6"/>
        <v>1</v>
      </c>
      <c r="AG194" s="59">
        <f t="shared" si="7"/>
        <v>1</v>
      </c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</row>
    <row r="195" ht="24.0" customHeight="1">
      <c r="A195" s="53">
        <v>13.0</v>
      </c>
      <c r="B195" s="54" t="s">
        <v>803</v>
      </c>
      <c r="C195" s="55" t="s">
        <v>757</v>
      </c>
      <c r="D195" s="55"/>
      <c r="E195" s="55" t="s">
        <v>804</v>
      </c>
      <c r="F195" s="55" t="s">
        <v>805</v>
      </c>
      <c r="G195" s="55">
        <v>27.0</v>
      </c>
      <c r="H195" s="55" t="s">
        <v>85</v>
      </c>
      <c r="I195" s="55" t="s">
        <v>86</v>
      </c>
      <c r="J195" s="56" t="s">
        <v>87</v>
      </c>
      <c r="K195" s="55" t="s">
        <v>806</v>
      </c>
      <c r="L195" s="55" t="s">
        <v>34</v>
      </c>
      <c r="M195" s="55" t="s">
        <v>89</v>
      </c>
      <c r="N195" s="55" t="s">
        <v>90</v>
      </c>
      <c r="O195" s="55"/>
      <c r="P195" s="55" t="s">
        <v>91</v>
      </c>
      <c r="Q195" s="55" t="s">
        <v>16</v>
      </c>
      <c r="R195" s="55"/>
      <c r="S195" s="55"/>
      <c r="T195" s="55"/>
      <c r="U195" s="55"/>
      <c r="V195" s="55"/>
      <c r="W195" s="55"/>
      <c r="X195" s="57" t="str">
        <f t="shared" si="2"/>
        <v>--188-28-04</v>
      </c>
      <c r="Y195" s="58" t="str">
        <f t="shared" ref="Y195:AC195" si="193">TRIM(SUBSTITUTE(SUBSTITUTE(OFFSET($Q195,0,COLUMN()-COLUMN($AL$1)),CHAR(160)," "),_xludf.UNICHAR(8239)," "))</f>
        <v>#NAME?</v>
      </c>
      <c r="Z195" s="58" t="str">
        <f t="shared" si="193"/>
        <v>#NAME?</v>
      </c>
      <c r="AA195" s="58" t="str">
        <f t="shared" si="193"/>
        <v>#NAME?</v>
      </c>
      <c r="AB195" s="58" t="str">
        <f t="shared" si="193"/>
        <v>#NAME?</v>
      </c>
      <c r="AC195" s="58" t="str">
        <f t="shared" si="193"/>
        <v>#NAME?</v>
      </c>
      <c r="AD195" s="57">
        <f t="shared" si="4"/>
        <v>1</v>
      </c>
      <c r="AE195" s="57" t="str">
        <f t="shared" si="5"/>
        <v>2026-04</v>
      </c>
      <c r="AF195" s="57">
        <f t="shared" si="6"/>
        <v>1</v>
      </c>
      <c r="AG195" s="59">
        <f t="shared" si="7"/>
        <v>1</v>
      </c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</row>
    <row r="196" ht="24.0" customHeight="1">
      <c r="A196" s="53">
        <v>14.0</v>
      </c>
      <c r="B196" s="54" t="s">
        <v>807</v>
      </c>
      <c r="C196" s="55" t="s">
        <v>757</v>
      </c>
      <c r="D196" s="55"/>
      <c r="E196" s="55" t="s">
        <v>808</v>
      </c>
      <c r="F196" s="55" t="s">
        <v>809</v>
      </c>
      <c r="G196" s="55">
        <v>28.0</v>
      </c>
      <c r="H196" s="55" t="s">
        <v>85</v>
      </c>
      <c r="I196" s="55" t="s">
        <v>86</v>
      </c>
      <c r="J196" s="56" t="s">
        <v>87</v>
      </c>
      <c r="K196" s="55" t="s">
        <v>810</v>
      </c>
      <c r="L196" s="55" t="s">
        <v>34</v>
      </c>
      <c r="M196" s="55" t="s">
        <v>89</v>
      </c>
      <c r="N196" s="55" t="s">
        <v>90</v>
      </c>
      <c r="O196" s="55"/>
      <c r="P196" s="55" t="s">
        <v>91</v>
      </c>
      <c r="Q196" s="55"/>
      <c r="R196" s="55" t="s">
        <v>27</v>
      </c>
      <c r="S196" s="55"/>
      <c r="T196" s="55"/>
      <c r="U196" s="55"/>
      <c r="V196" s="55"/>
      <c r="W196" s="55"/>
      <c r="X196" s="57" t="str">
        <f t="shared" si="2"/>
        <v>--189-28-04</v>
      </c>
      <c r="Y196" s="58" t="str">
        <f t="shared" ref="Y196:AC196" si="194">TRIM(SUBSTITUTE(SUBSTITUTE(OFFSET($Q196,0,COLUMN()-COLUMN($AL$1)),CHAR(160)," "),_xludf.UNICHAR(8239)," "))</f>
        <v>#NAME?</v>
      </c>
      <c r="Z196" s="58" t="str">
        <f t="shared" si="194"/>
        <v>#NAME?</v>
      </c>
      <c r="AA196" s="58" t="str">
        <f t="shared" si="194"/>
        <v>#NAME?</v>
      </c>
      <c r="AB196" s="58" t="str">
        <f t="shared" si="194"/>
        <v>#NAME?</v>
      </c>
      <c r="AC196" s="58" t="str">
        <f t="shared" si="194"/>
        <v>#NAME?</v>
      </c>
      <c r="AD196" s="57">
        <f t="shared" si="4"/>
        <v>1</v>
      </c>
      <c r="AE196" s="57" t="str">
        <f t="shared" si="5"/>
        <v>2026-04</v>
      </c>
      <c r="AF196" s="57">
        <f t="shared" si="6"/>
        <v>1</v>
      </c>
      <c r="AG196" s="59">
        <f t="shared" si="7"/>
        <v>1</v>
      </c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</row>
    <row r="197" ht="24.0" customHeight="1">
      <c r="A197" s="53">
        <v>15.0</v>
      </c>
      <c r="B197" s="54" t="s">
        <v>811</v>
      </c>
      <c r="C197" s="55" t="s">
        <v>757</v>
      </c>
      <c r="D197" s="55"/>
      <c r="E197" s="55" t="s">
        <v>812</v>
      </c>
      <c r="F197" s="55" t="s">
        <v>813</v>
      </c>
      <c r="G197" s="55">
        <v>34.0</v>
      </c>
      <c r="H197" s="55" t="s">
        <v>85</v>
      </c>
      <c r="I197" s="55" t="s">
        <v>86</v>
      </c>
      <c r="J197" s="56" t="s">
        <v>87</v>
      </c>
      <c r="K197" s="55" t="s">
        <v>814</v>
      </c>
      <c r="L197" s="55" t="s">
        <v>34</v>
      </c>
      <c r="M197" s="55" t="s">
        <v>89</v>
      </c>
      <c r="N197" s="55" t="s">
        <v>90</v>
      </c>
      <c r="O197" s="55"/>
      <c r="P197" s="55" t="s">
        <v>91</v>
      </c>
      <c r="Q197" s="55" t="s">
        <v>16</v>
      </c>
      <c r="R197" s="55"/>
      <c r="S197" s="55"/>
      <c r="T197" s="55"/>
      <c r="U197" s="55"/>
      <c r="V197" s="55"/>
      <c r="W197" s="55"/>
      <c r="X197" s="57" t="str">
        <f t="shared" si="2"/>
        <v>--190-28-04</v>
      </c>
      <c r="Y197" s="58" t="str">
        <f t="shared" ref="Y197:AC197" si="195">TRIM(SUBSTITUTE(SUBSTITUTE(OFFSET($Q197,0,COLUMN()-COLUMN($AL$1)),CHAR(160)," "),_xludf.UNICHAR(8239)," "))</f>
        <v>#NAME?</v>
      </c>
      <c r="Z197" s="58" t="str">
        <f t="shared" si="195"/>
        <v>#NAME?</v>
      </c>
      <c r="AA197" s="58" t="str">
        <f t="shared" si="195"/>
        <v>#NAME?</v>
      </c>
      <c r="AB197" s="58" t="str">
        <f t="shared" si="195"/>
        <v>#NAME?</v>
      </c>
      <c r="AC197" s="58" t="str">
        <f t="shared" si="195"/>
        <v>#NAME?</v>
      </c>
      <c r="AD197" s="57">
        <f t="shared" si="4"/>
        <v>1</v>
      </c>
      <c r="AE197" s="57" t="str">
        <f t="shared" si="5"/>
        <v>2026-04</v>
      </c>
      <c r="AF197" s="57">
        <f t="shared" si="6"/>
        <v>1</v>
      </c>
      <c r="AG197" s="59">
        <f t="shared" si="7"/>
        <v>1</v>
      </c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</row>
    <row r="198" ht="24.0" customHeight="1">
      <c r="A198" s="53">
        <v>16.0</v>
      </c>
      <c r="B198" s="54" t="s">
        <v>815</v>
      </c>
      <c r="C198" s="55" t="s">
        <v>757</v>
      </c>
      <c r="D198" s="55"/>
      <c r="E198" s="55" t="s">
        <v>816</v>
      </c>
      <c r="F198" s="55" t="s">
        <v>817</v>
      </c>
      <c r="G198" s="55">
        <v>29.0</v>
      </c>
      <c r="H198" s="55" t="s">
        <v>85</v>
      </c>
      <c r="I198" s="55" t="s">
        <v>86</v>
      </c>
      <c r="J198" s="56" t="s">
        <v>87</v>
      </c>
      <c r="K198" s="55" t="s">
        <v>818</v>
      </c>
      <c r="L198" s="55" t="s">
        <v>34</v>
      </c>
      <c r="M198" s="55" t="s">
        <v>89</v>
      </c>
      <c r="N198" s="55" t="s">
        <v>90</v>
      </c>
      <c r="O198" s="55"/>
      <c r="P198" s="55" t="s">
        <v>91</v>
      </c>
      <c r="Q198" s="55"/>
      <c r="R198" s="55" t="s">
        <v>36</v>
      </c>
      <c r="S198" s="55" t="s">
        <v>6</v>
      </c>
      <c r="T198" s="55"/>
      <c r="U198" s="55"/>
      <c r="V198" s="55"/>
      <c r="W198" s="55"/>
      <c r="X198" s="57" t="str">
        <f t="shared" si="2"/>
        <v>--191-28-04</v>
      </c>
      <c r="Y198" s="58" t="str">
        <f t="shared" ref="Y198:AC198" si="196">TRIM(SUBSTITUTE(SUBSTITUTE(OFFSET($Q198,0,COLUMN()-COLUMN($AL$1)),CHAR(160)," "),_xludf.UNICHAR(8239)," "))</f>
        <v>#NAME?</v>
      </c>
      <c r="Z198" s="58" t="str">
        <f t="shared" si="196"/>
        <v>#NAME?</v>
      </c>
      <c r="AA198" s="58" t="str">
        <f t="shared" si="196"/>
        <v>#NAME?</v>
      </c>
      <c r="AB198" s="58" t="str">
        <f t="shared" si="196"/>
        <v>#NAME?</v>
      </c>
      <c r="AC198" s="58" t="str">
        <f t="shared" si="196"/>
        <v>#NAME?</v>
      </c>
      <c r="AD198" s="57">
        <f t="shared" si="4"/>
        <v>1</v>
      </c>
      <c r="AE198" s="57" t="str">
        <f t="shared" si="5"/>
        <v>2026-04</v>
      </c>
      <c r="AF198" s="57">
        <f t="shared" si="6"/>
        <v>1</v>
      </c>
      <c r="AG198" s="59">
        <f t="shared" si="7"/>
        <v>1</v>
      </c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</row>
    <row r="199" ht="24.0" customHeight="1">
      <c r="A199" s="53">
        <v>17.0</v>
      </c>
      <c r="B199" s="54" t="s">
        <v>819</v>
      </c>
      <c r="C199" s="55" t="s">
        <v>757</v>
      </c>
      <c r="D199" s="55"/>
      <c r="E199" s="55" t="s">
        <v>820</v>
      </c>
      <c r="F199" s="55" t="s">
        <v>821</v>
      </c>
      <c r="G199" s="55">
        <v>45.0</v>
      </c>
      <c r="H199" s="55" t="s">
        <v>85</v>
      </c>
      <c r="I199" s="55" t="s">
        <v>86</v>
      </c>
      <c r="J199" s="56" t="s">
        <v>87</v>
      </c>
      <c r="K199" s="55" t="s">
        <v>822</v>
      </c>
      <c r="L199" s="55" t="s">
        <v>34</v>
      </c>
      <c r="M199" s="55" t="s">
        <v>89</v>
      </c>
      <c r="N199" s="55" t="s">
        <v>90</v>
      </c>
      <c r="O199" s="55"/>
      <c r="P199" s="55" t="s">
        <v>91</v>
      </c>
      <c r="Q199" s="55"/>
      <c r="R199" s="55" t="s">
        <v>27</v>
      </c>
      <c r="S199" s="55"/>
      <c r="T199" s="55"/>
      <c r="U199" s="55"/>
      <c r="V199" s="55"/>
      <c r="W199" s="55"/>
      <c r="X199" s="57" t="str">
        <f t="shared" si="2"/>
        <v>--192-28-04</v>
      </c>
      <c r="Y199" s="58" t="str">
        <f t="shared" ref="Y199:AC199" si="197">TRIM(SUBSTITUTE(SUBSTITUTE(OFFSET($Q199,0,COLUMN()-COLUMN($AL$1)),CHAR(160)," "),_xludf.UNICHAR(8239)," "))</f>
        <v>#NAME?</v>
      </c>
      <c r="Z199" s="58" t="str">
        <f t="shared" si="197"/>
        <v>#NAME?</v>
      </c>
      <c r="AA199" s="58" t="str">
        <f t="shared" si="197"/>
        <v>#NAME?</v>
      </c>
      <c r="AB199" s="58" t="str">
        <f t="shared" si="197"/>
        <v>#NAME?</v>
      </c>
      <c r="AC199" s="58" t="str">
        <f t="shared" si="197"/>
        <v>#NAME?</v>
      </c>
      <c r="AD199" s="57">
        <f t="shared" si="4"/>
        <v>1</v>
      </c>
      <c r="AE199" s="57" t="str">
        <f t="shared" si="5"/>
        <v>2026-04</v>
      </c>
      <c r="AF199" s="57">
        <f t="shared" si="6"/>
        <v>1</v>
      </c>
      <c r="AG199" s="59">
        <f t="shared" si="7"/>
        <v>1</v>
      </c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</row>
    <row r="200" ht="24.0" customHeight="1">
      <c r="A200" s="53">
        <v>18.0</v>
      </c>
      <c r="B200" s="54" t="s">
        <v>823</v>
      </c>
      <c r="C200" s="55" t="s">
        <v>757</v>
      </c>
      <c r="D200" s="55"/>
      <c r="E200" s="55" t="s">
        <v>824</v>
      </c>
      <c r="F200" s="55" t="s">
        <v>825</v>
      </c>
      <c r="G200" s="55">
        <v>30.0</v>
      </c>
      <c r="H200" s="55" t="s">
        <v>85</v>
      </c>
      <c r="I200" s="55" t="s">
        <v>86</v>
      </c>
      <c r="J200" s="56" t="s">
        <v>87</v>
      </c>
      <c r="K200" s="55" t="s">
        <v>826</v>
      </c>
      <c r="L200" s="55" t="s">
        <v>34</v>
      </c>
      <c r="M200" s="55" t="s">
        <v>89</v>
      </c>
      <c r="N200" s="55" t="s">
        <v>90</v>
      </c>
      <c r="O200" s="55"/>
      <c r="P200" s="55" t="s">
        <v>91</v>
      </c>
      <c r="Q200" s="55"/>
      <c r="R200" s="55" t="s">
        <v>36</v>
      </c>
      <c r="S200" s="55"/>
      <c r="T200" s="55"/>
      <c r="U200" s="55"/>
      <c r="V200" s="55"/>
      <c r="W200" s="55"/>
      <c r="X200" s="57" t="str">
        <f t="shared" si="2"/>
        <v>--193-28-04</v>
      </c>
      <c r="Y200" s="58" t="str">
        <f t="shared" ref="Y200:AC200" si="198">TRIM(SUBSTITUTE(SUBSTITUTE(OFFSET($Q200,0,COLUMN()-COLUMN($AL$1)),CHAR(160)," "),_xludf.UNICHAR(8239)," "))</f>
        <v>#NAME?</v>
      </c>
      <c r="Z200" s="58" t="str">
        <f t="shared" si="198"/>
        <v>#NAME?</v>
      </c>
      <c r="AA200" s="58" t="str">
        <f t="shared" si="198"/>
        <v>#NAME?</v>
      </c>
      <c r="AB200" s="58" t="str">
        <f t="shared" si="198"/>
        <v>#NAME?</v>
      </c>
      <c r="AC200" s="58" t="str">
        <f t="shared" si="198"/>
        <v>#NAME?</v>
      </c>
      <c r="AD200" s="57">
        <f t="shared" si="4"/>
        <v>1</v>
      </c>
      <c r="AE200" s="57" t="str">
        <f t="shared" si="5"/>
        <v>2026-04</v>
      </c>
      <c r="AF200" s="57">
        <f t="shared" si="6"/>
        <v>1</v>
      </c>
      <c r="AG200" s="59">
        <f t="shared" si="7"/>
        <v>1</v>
      </c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</row>
    <row r="201" ht="24.0" customHeight="1">
      <c r="A201" s="53">
        <v>19.0</v>
      </c>
      <c r="B201" s="54" t="s">
        <v>827</v>
      </c>
      <c r="C201" s="55" t="s">
        <v>757</v>
      </c>
      <c r="D201" s="55"/>
      <c r="E201" s="55" t="s">
        <v>828</v>
      </c>
      <c r="F201" s="55" t="s">
        <v>829</v>
      </c>
      <c r="G201" s="55">
        <v>24.0</v>
      </c>
      <c r="H201" s="55" t="s">
        <v>85</v>
      </c>
      <c r="I201" s="55" t="s">
        <v>86</v>
      </c>
      <c r="J201" s="56" t="s">
        <v>87</v>
      </c>
      <c r="K201" s="55" t="s">
        <v>830</v>
      </c>
      <c r="L201" s="55" t="s">
        <v>34</v>
      </c>
      <c r="M201" s="55" t="s">
        <v>89</v>
      </c>
      <c r="N201" s="55" t="s">
        <v>90</v>
      </c>
      <c r="O201" s="55"/>
      <c r="P201" s="55" t="s">
        <v>91</v>
      </c>
      <c r="Q201" s="55"/>
      <c r="R201" s="55" t="s">
        <v>5</v>
      </c>
      <c r="S201" s="55"/>
      <c r="T201" s="55"/>
      <c r="U201" s="55" t="s">
        <v>7</v>
      </c>
      <c r="V201" s="55"/>
      <c r="W201" s="55"/>
      <c r="X201" s="57" t="str">
        <f t="shared" si="2"/>
        <v>--194-28-04</v>
      </c>
      <c r="Y201" s="58" t="str">
        <f t="shared" ref="Y201:AC201" si="199">TRIM(SUBSTITUTE(SUBSTITUTE(OFFSET($Q201,0,COLUMN()-COLUMN($AL$1)),CHAR(160)," "),_xludf.UNICHAR(8239)," "))</f>
        <v>#NAME?</v>
      </c>
      <c r="Z201" s="58" t="str">
        <f t="shared" si="199"/>
        <v>#NAME?</v>
      </c>
      <c r="AA201" s="58" t="str">
        <f t="shared" si="199"/>
        <v>#NAME?</v>
      </c>
      <c r="AB201" s="58" t="str">
        <f t="shared" si="199"/>
        <v>#NAME?</v>
      </c>
      <c r="AC201" s="58" t="str">
        <f t="shared" si="199"/>
        <v>#NAME?</v>
      </c>
      <c r="AD201" s="57">
        <f t="shared" si="4"/>
        <v>1</v>
      </c>
      <c r="AE201" s="57" t="str">
        <f t="shared" si="5"/>
        <v>2026-04</v>
      </c>
      <c r="AF201" s="57">
        <f t="shared" si="6"/>
        <v>1</v>
      </c>
      <c r="AG201" s="59">
        <f t="shared" si="7"/>
        <v>1</v>
      </c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</row>
    <row r="202" ht="24.0" customHeight="1">
      <c r="A202" s="53">
        <v>20.0</v>
      </c>
      <c r="B202" s="54" t="s">
        <v>831</v>
      </c>
      <c r="C202" s="55" t="s">
        <v>757</v>
      </c>
      <c r="D202" s="55"/>
      <c r="E202" s="55" t="s">
        <v>832</v>
      </c>
      <c r="F202" s="55" t="s">
        <v>833</v>
      </c>
      <c r="G202" s="55">
        <v>5.0</v>
      </c>
      <c r="H202" s="55" t="s">
        <v>119</v>
      </c>
      <c r="I202" s="55" t="s">
        <v>112</v>
      </c>
      <c r="J202" s="56" t="s">
        <v>113</v>
      </c>
      <c r="K202" s="55" t="s">
        <v>830</v>
      </c>
      <c r="L202" s="55" t="s">
        <v>34</v>
      </c>
      <c r="M202" s="55" t="s">
        <v>115</v>
      </c>
      <c r="N202" s="55" t="s">
        <v>90</v>
      </c>
      <c r="O202" s="55"/>
      <c r="P202" s="55" t="s">
        <v>91</v>
      </c>
      <c r="Q202" s="55" t="s">
        <v>16</v>
      </c>
      <c r="R202" s="55"/>
      <c r="S202" s="55"/>
      <c r="T202" s="55"/>
      <c r="U202" s="55"/>
      <c r="V202" s="55"/>
      <c r="W202" s="55"/>
      <c r="X202" s="57" t="str">
        <f t="shared" si="2"/>
        <v>--195-28-04</v>
      </c>
      <c r="Y202" s="58" t="str">
        <f t="shared" ref="Y202:AC202" si="200">TRIM(SUBSTITUTE(SUBSTITUTE(OFFSET($Q202,0,COLUMN()-COLUMN($AL$1)),CHAR(160)," "),_xludf.UNICHAR(8239)," "))</f>
        <v>#NAME?</v>
      </c>
      <c r="Z202" s="58" t="str">
        <f t="shared" si="200"/>
        <v>#NAME?</v>
      </c>
      <c r="AA202" s="58" t="str">
        <f t="shared" si="200"/>
        <v>#NAME?</v>
      </c>
      <c r="AB202" s="58" t="str">
        <f t="shared" si="200"/>
        <v>#NAME?</v>
      </c>
      <c r="AC202" s="58" t="str">
        <f t="shared" si="200"/>
        <v>#NAME?</v>
      </c>
      <c r="AD202" s="57">
        <f t="shared" si="4"/>
        <v>1</v>
      </c>
      <c r="AE202" s="57" t="str">
        <f t="shared" si="5"/>
        <v>2026-04</v>
      </c>
      <c r="AF202" s="57">
        <f t="shared" si="6"/>
        <v>1</v>
      </c>
      <c r="AG202" s="59">
        <f t="shared" si="7"/>
        <v>1</v>
      </c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</row>
    <row r="203" ht="24.0" customHeight="1">
      <c r="A203" s="53">
        <v>21.0</v>
      </c>
      <c r="B203" s="54" t="s">
        <v>834</v>
      </c>
      <c r="C203" s="55" t="s">
        <v>757</v>
      </c>
      <c r="D203" s="55"/>
      <c r="E203" s="55" t="s">
        <v>835</v>
      </c>
      <c r="F203" s="55" t="s">
        <v>836</v>
      </c>
      <c r="G203" s="55">
        <v>32.0</v>
      </c>
      <c r="H203" s="55" t="s">
        <v>85</v>
      </c>
      <c r="I203" s="55" t="s">
        <v>86</v>
      </c>
      <c r="J203" s="56" t="s">
        <v>87</v>
      </c>
      <c r="K203" s="55" t="s">
        <v>837</v>
      </c>
      <c r="L203" s="55" t="s">
        <v>34</v>
      </c>
      <c r="M203" s="55" t="s">
        <v>89</v>
      </c>
      <c r="N203" s="55" t="s">
        <v>90</v>
      </c>
      <c r="O203" s="55"/>
      <c r="P203" s="55" t="s">
        <v>91</v>
      </c>
      <c r="Q203" s="55" t="s">
        <v>16</v>
      </c>
      <c r="R203" s="55" t="s">
        <v>27</v>
      </c>
      <c r="S203" s="55"/>
      <c r="T203" s="55"/>
      <c r="U203" s="55"/>
      <c r="V203" s="55"/>
      <c r="W203" s="55"/>
      <c r="X203" s="57" t="str">
        <f t="shared" si="2"/>
        <v>--196-28-04</v>
      </c>
      <c r="Y203" s="58" t="str">
        <f t="shared" ref="Y203:AC203" si="201">TRIM(SUBSTITUTE(SUBSTITUTE(OFFSET($Q203,0,COLUMN()-COLUMN($AL$1)),CHAR(160)," "),_xludf.UNICHAR(8239)," "))</f>
        <v>#NAME?</v>
      </c>
      <c r="Z203" s="58" t="str">
        <f t="shared" si="201"/>
        <v>#NAME?</v>
      </c>
      <c r="AA203" s="58" t="str">
        <f t="shared" si="201"/>
        <v>#NAME?</v>
      </c>
      <c r="AB203" s="58" t="str">
        <f t="shared" si="201"/>
        <v>#NAME?</v>
      </c>
      <c r="AC203" s="58" t="str">
        <f t="shared" si="201"/>
        <v>#NAME?</v>
      </c>
      <c r="AD203" s="57">
        <f t="shared" si="4"/>
        <v>1</v>
      </c>
      <c r="AE203" s="57" t="str">
        <f t="shared" si="5"/>
        <v>2026-04</v>
      </c>
      <c r="AF203" s="57">
        <f t="shared" si="6"/>
        <v>1</v>
      </c>
      <c r="AG203" s="59">
        <f t="shared" si="7"/>
        <v>1</v>
      </c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</row>
    <row r="204" ht="24.0" customHeight="1">
      <c r="A204" s="53">
        <v>22.0</v>
      </c>
      <c r="B204" s="54" t="s">
        <v>838</v>
      </c>
      <c r="C204" s="55" t="s">
        <v>757</v>
      </c>
      <c r="D204" s="55"/>
      <c r="E204" s="55" t="s">
        <v>839</v>
      </c>
      <c r="F204" s="55" t="s">
        <v>840</v>
      </c>
      <c r="G204" s="55">
        <v>19.0</v>
      </c>
      <c r="H204" s="55" t="s">
        <v>85</v>
      </c>
      <c r="I204" s="55" t="s">
        <v>112</v>
      </c>
      <c r="J204" s="56" t="s">
        <v>113</v>
      </c>
      <c r="K204" s="55" t="s">
        <v>841</v>
      </c>
      <c r="L204" s="55" t="s">
        <v>34</v>
      </c>
      <c r="M204" s="55" t="s">
        <v>133</v>
      </c>
      <c r="N204" s="55" t="s">
        <v>90</v>
      </c>
      <c r="O204" s="55"/>
      <c r="P204" s="55" t="s">
        <v>91</v>
      </c>
      <c r="Q204" s="55" t="s">
        <v>4</v>
      </c>
      <c r="R204" s="55"/>
      <c r="S204" s="55" t="s">
        <v>6</v>
      </c>
      <c r="T204" s="55"/>
      <c r="U204" s="55"/>
      <c r="V204" s="55"/>
      <c r="W204" s="55"/>
      <c r="X204" s="57" t="str">
        <f t="shared" si="2"/>
        <v>--197-28-04</v>
      </c>
      <c r="Y204" s="58" t="str">
        <f t="shared" ref="Y204:AC204" si="202">TRIM(SUBSTITUTE(SUBSTITUTE(OFFSET($Q204,0,COLUMN()-COLUMN($AL$1)),CHAR(160)," "),_xludf.UNICHAR(8239)," "))</f>
        <v>#NAME?</v>
      </c>
      <c r="Z204" s="58" t="str">
        <f t="shared" si="202"/>
        <v>#NAME?</v>
      </c>
      <c r="AA204" s="58" t="str">
        <f t="shared" si="202"/>
        <v>#NAME?</v>
      </c>
      <c r="AB204" s="58" t="str">
        <f t="shared" si="202"/>
        <v>#NAME?</v>
      </c>
      <c r="AC204" s="58" t="str">
        <f t="shared" si="202"/>
        <v>#NAME?</v>
      </c>
      <c r="AD204" s="57">
        <f t="shared" si="4"/>
        <v>1</v>
      </c>
      <c r="AE204" s="57" t="str">
        <f t="shared" si="5"/>
        <v>2026-04</v>
      </c>
      <c r="AF204" s="57">
        <f t="shared" si="6"/>
        <v>1</v>
      </c>
      <c r="AG204" s="59">
        <f t="shared" si="7"/>
        <v>1</v>
      </c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</row>
    <row r="205" ht="24.0" customHeight="1">
      <c r="A205" s="53">
        <v>23.0</v>
      </c>
      <c r="B205" s="54" t="s">
        <v>842</v>
      </c>
      <c r="C205" s="55" t="s">
        <v>757</v>
      </c>
      <c r="D205" s="55"/>
      <c r="E205" s="55" t="s">
        <v>843</v>
      </c>
      <c r="F205" s="55" t="s">
        <v>844</v>
      </c>
      <c r="G205" s="55">
        <v>30.0</v>
      </c>
      <c r="H205" s="55" t="s">
        <v>85</v>
      </c>
      <c r="I205" s="55" t="s">
        <v>112</v>
      </c>
      <c r="J205" s="56" t="s">
        <v>113</v>
      </c>
      <c r="K205" s="55" t="s">
        <v>845</v>
      </c>
      <c r="L205" s="55" t="s">
        <v>34</v>
      </c>
      <c r="M205" s="55" t="s">
        <v>89</v>
      </c>
      <c r="N205" s="55" t="s">
        <v>90</v>
      </c>
      <c r="O205" s="55"/>
      <c r="P205" s="55" t="s">
        <v>91</v>
      </c>
      <c r="Q205" s="55" t="s">
        <v>16</v>
      </c>
      <c r="R205" s="55"/>
      <c r="S205" s="55"/>
      <c r="T205" s="55"/>
      <c r="U205" s="55"/>
      <c r="V205" s="55"/>
      <c r="W205" s="55"/>
      <c r="X205" s="57" t="str">
        <f t="shared" si="2"/>
        <v>--198-28-04</v>
      </c>
      <c r="Y205" s="58" t="str">
        <f t="shared" ref="Y205:AC205" si="203">TRIM(SUBSTITUTE(SUBSTITUTE(OFFSET($Q205,0,COLUMN()-COLUMN($AL$1)),CHAR(160)," "),_xludf.UNICHAR(8239)," "))</f>
        <v>#NAME?</v>
      </c>
      <c r="Z205" s="58" t="str">
        <f t="shared" si="203"/>
        <v>#NAME?</v>
      </c>
      <c r="AA205" s="58" t="str">
        <f t="shared" si="203"/>
        <v>#NAME?</v>
      </c>
      <c r="AB205" s="58" t="str">
        <f t="shared" si="203"/>
        <v>#NAME?</v>
      </c>
      <c r="AC205" s="58" t="str">
        <f t="shared" si="203"/>
        <v>#NAME?</v>
      </c>
      <c r="AD205" s="57">
        <f t="shared" si="4"/>
        <v>1</v>
      </c>
      <c r="AE205" s="57" t="str">
        <f t="shared" si="5"/>
        <v>2026-04</v>
      </c>
      <c r="AF205" s="57">
        <f t="shared" si="6"/>
        <v>1</v>
      </c>
      <c r="AG205" s="59">
        <f t="shared" si="7"/>
        <v>1</v>
      </c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</row>
    <row r="206" ht="24.0" customHeight="1">
      <c r="A206" s="53">
        <v>24.0</v>
      </c>
      <c r="B206" s="54" t="s">
        <v>846</v>
      </c>
      <c r="C206" s="55" t="s">
        <v>757</v>
      </c>
      <c r="D206" s="55"/>
      <c r="E206" s="55" t="s">
        <v>847</v>
      </c>
      <c r="F206" s="55" t="s">
        <v>848</v>
      </c>
      <c r="G206" s="55">
        <v>14.0</v>
      </c>
      <c r="H206" s="55" t="s">
        <v>111</v>
      </c>
      <c r="I206" s="55" t="s">
        <v>86</v>
      </c>
      <c r="J206" s="56" t="s">
        <v>87</v>
      </c>
      <c r="K206" s="55" t="s">
        <v>849</v>
      </c>
      <c r="L206" s="55" t="s">
        <v>34</v>
      </c>
      <c r="M206" s="55" t="s">
        <v>133</v>
      </c>
      <c r="N206" s="55" t="s">
        <v>90</v>
      </c>
      <c r="O206" s="55"/>
      <c r="P206" s="55" t="s">
        <v>91</v>
      </c>
      <c r="Q206" s="55"/>
      <c r="R206" s="55" t="s">
        <v>36</v>
      </c>
      <c r="S206" s="55"/>
      <c r="T206" s="55"/>
      <c r="U206" s="55"/>
      <c r="V206" s="55"/>
      <c r="W206" s="55"/>
      <c r="X206" s="57" t="str">
        <f t="shared" si="2"/>
        <v>--199-28-04</v>
      </c>
      <c r="Y206" s="58" t="str">
        <f t="shared" ref="Y206:AC206" si="204">TRIM(SUBSTITUTE(SUBSTITUTE(OFFSET($Q206,0,COLUMN()-COLUMN($AL$1)),CHAR(160)," "),_xludf.UNICHAR(8239)," "))</f>
        <v>#NAME?</v>
      </c>
      <c r="Z206" s="58" t="str">
        <f t="shared" si="204"/>
        <v>#NAME?</v>
      </c>
      <c r="AA206" s="58" t="str">
        <f t="shared" si="204"/>
        <v>#NAME?</v>
      </c>
      <c r="AB206" s="58" t="str">
        <f t="shared" si="204"/>
        <v>#NAME?</v>
      </c>
      <c r="AC206" s="58" t="str">
        <f t="shared" si="204"/>
        <v>#NAME?</v>
      </c>
      <c r="AD206" s="57">
        <f t="shared" si="4"/>
        <v>1</v>
      </c>
      <c r="AE206" s="57" t="str">
        <f t="shared" si="5"/>
        <v>2026-04</v>
      </c>
      <c r="AF206" s="57">
        <f t="shared" si="6"/>
        <v>1</v>
      </c>
      <c r="AG206" s="59">
        <f t="shared" si="7"/>
        <v>1</v>
      </c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</row>
    <row r="207" ht="24.0" customHeight="1">
      <c r="A207" s="53">
        <v>25.0</v>
      </c>
      <c r="B207" s="54" t="s">
        <v>850</v>
      </c>
      <c r="C207" s="55" t="s">
        <v>757</v>
      </c>
      <c r="D207" s="55"/>
      <c r="E207" s="55" t="s">
        <v>851</v>
      </c>
      <c r="F207" s="55" t="s">
        <v>852</v>
      </c>
      <c r="G207" s="55">
        <v>31.0</v>
      </c>
      <c r="H207" s="55" t="s">
        <v>85</v>
      </c>
      <c r="I207" s="55" t="s">
        <v>86</v>
      </c>
      <c r="J207" s="56" t="s">
        <v>87</v>
      </c>
      <c r="K207" s="55" t="s">
        <v>853</v>
      </c>
      <c r="L207" s="55" t="s">
        <v>34</v>
      </c>
      <c r="M207" s="55" t="s">
        <v>89</v>
      </c>
      <c r="N207" s="55" t="s">
        <v>90</v>
      </c>
      <c r="O207" s="55"/>
      <c r="P207" s="55" t="s">
        <v>91</v>
      </c>
      <c r="Q207" s="55"/>
      <c r="R207" s="55" t="s">
        <v>5</v>
      </c>
      <c r="S207" s="55"/>
      <c r="T207" s="55"/>
      <c r="U207" s="55" t="s">
        <v>7</v>
      </c>
      <c r="V207" s="55"/>
      <c r="W207" s="55"/>
      <c r="X207" s="57" t="str">
        <f t="shared" si="2"/>
        <v>--200-28-04</v>
      </c>
      <c r="Y207" s="58" t="str">
        <f t="shared" ref="Y207:AC207" si="205">TRIM(SUBSTITUTE(SUBSTITUTE(OFFSET($Q207,0,COLUMN()-COLUMN($AL$1)),CHAR(160)," "),_xludf.UNICHAR(8239)," "))</f>
        <v>#NAME?</v>
      </c>
      <c r="Z207" s="58" t="str">
        <f t="shared" si="205"/>
        <v>#NAME?</v>
      </c>
      <c r="AA207" s="58" t="str">
        <f t="shared" si="205"/>
        <v>#NAME?</v>
      </c>
      <c r="AB207" s="58" t="str">
        <f t="shared" si="205"/>
        <v>#NAME?</v>
      </c>
      <c r="AC207" s="58" t="str">
        <f t="shared" si="205"/>
        <v>#NAME?</v>
      </c>
      <c r="AD207" s="57">
        <f t="shared" si="4"/>
        <v>1</v>
      </c>
      <c r="AE207" s="57" t="str">
        <f t="shared" si="5"/>
        <v>2026-04</v>
      </c>
      <c r="AF207" s="57">
        <f t="shared" si="6"/>
        <v>1</v>
      </c>
      <c r="AG207" s="59">
        <f t="shared" si="7"/>
        <v>1</v>
      </c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</row>
    <row r="208" ht="24.0" customHeight="1">
      <c r="A208" s="53">
        <v>26.0</v>
      </c>
      <c r="B208" s="54" t="s">
        <v>854</v>
      </c>
      <c r="C208" s="55" t="s">
        <v>757</v>
      </c>
      <c r="D208" s="55"/>
      <c r="E208" s="55" t="s">
        <v>855</v>
      </c>
      <c r="F208" s="55" t="s">
        <v>856</v>
      </c>
      <c r="G208" s="55">
        <v>23.0</v>
      </c>
      <c r="H208" s="55" t="s">
        <v>85</v>
      </c>
      <c r="I208" s="55" t="s">
        <v>86</v>
      </c>
      <c r="J208" s="56" t="s">
        <v>87</v>
      </c>
      <c r="K208" s="55" t="s">
        <v>857</v>
      </c>
      <c r="L208" s="55" t="s">
        <v>34</v>
      </c>
      <c r="M208" s="55" t="s">
        <v>89</v>
      </c>
      <c r="N208" s="55" t="s">
        <v>90</v>
      </c>
      <c r="O208" s="55"/>
      <c r="P208" s="55" t="s">
        <v>91</v>
      </c>
      <c r="Q208" s="55"/>
      <c r="R208" s="55" t="s">
        <v>5</v>
      </c>
      <c r="S208" s="55"/>
      <c r="T208" s="55"/>
      <c r="U208" s="55" t="s">
        <v>7</v>
      </c>
      <c r="V208" s="55"/>
      <c r="W208" s="55"/>
      <c r="X208" s="57" t="str">
        <f t="shared" si="2"/>
        <v>--201-28-04</v>
      </c>
      <c r="Y208" s="58" t="str">
        <f t="shared" ref="Y208:AC208" si="206">TRIM(SUBSTITUTE(SUBSTITUTE(OFFSET($Q208,0,COLUMN()-COLUMN($AL$1)),CHAR(160)," "),_xludf.UNICHAR(8239)," "))</f>
        <v>#NAME?</v>
      </c>
      <c r="Z208" s="58" t="str">
        <f t="shared" si="206"/>
        <v>#NAME?</v>
      </c>
      <c r="AA208" s="58" t="str">
        <f t="shared" si="206"/>
        <v>#NAME?</v>
      </c>
      <c r="AB208" s="58" t="str">
        <f t="shared" si="206"/>
        <v>#NAME?</v>
      </c>
      <c r="AC208" s="58" t="str">
        <f t="shared" si="206"/>
        <v>#NAME?</v>
      </c>
      <c r="AD208" s="57">
        <f t="shared" si="4"/>
        <v>1</v>
      </c>
      <c r="AE208" s="57" t="str">
        <f t="shared" si="5"/>
        <v>2026-04</v>
      </c>
      <c r="AF208" s="57">
        <f t="shared" si="6"/>
        <v>1</v>
      </c>
      <c r="AG208" s="59">
        <f t="shared" si="7"/>
        <v>1</v>
      </c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</row>
    <row r="209" ht="24.0" customHeight="1">
      <c r="A209" s="53">
        <v>27.0</v>
      </c>
      <c r="B209" s="54" t="s">
        <v>858</v>
      </c>
      <c r="C209" s="55" t="s">
        <v>757</v>
      </c>
      <c r="D209" s="55"/>
      <c r="E209" s="55" t="s">
        <v>859</v>
      </c>
      <c r="F209" s="55" t="s">
        <v>860</v>
      </c>
      <c r="G209" s="55">
        <v>32.0</v>
      </c>
      <c r="H209" s="55" t="s">
        <v>85</v>
      </c>
      <c r="I209" s="55" t="s">
        <v>86</v>
      </c>
      <c r="J209" s="56" t="s">
        <v>87</v>
      </c>
      <c r="K209" s="55" t="s">
        <v>861</v>
      </c>
      <c r="L209" s="55" t="s">
        <v>34</v>
      </c>
      <c r="M209" s="55" t="s">
        <v>89</v>
      </c>
      <c r="N209" s="55" t="s">
        <v>90</v>
      </c>
      <c r="O209" s="55"/>
      <c r="P209" s="55" t="s">
        <v>91</v>
      </c>
      <c r="Q209" s="55"/>
      <c r="R209" s="55" t="s">
        <v>5</v>
      </c>
      <c r="S209" s="55"/>
      <c r="T209" s="55"/>
      <c r="U209" s="55" t="s">
        <v>7</v>
      </c>
      <c r="V209" s="55"/>
      <c r="W209" s="55"/>
      <c r="X209" s="57" t="str">
        <f t="shared" si="2"/>
        <v>--202-28-04</v>
      </c>
      <c r="Y209" s="58" t="str">
        <f t="shared" ref="Y209:AC209" si="207">TRIM(SUBSTITUTE(SUBSTITUTE(OFFSET($Q209,0,COLUMN()-COLUMN($AL$1)),CHAR(160)," "),_xludf.UNICHAR(8239)," "))</f>
        <v>#NAME?</v>
      </c>
      <c r="Z209" s="58" t="str">
        <f t="shared" si="207"/>
        <v>#NAME?</v>
      </c>
      <c r="AA209" s="58" t="str">
        <f t="shared" si="207"/>
        <v>#NAME?</v>
      </c>
      <c r="AB209" s="58" t="str">
        <f t="shared" si="207"/>
        <v>#NAME?</v>
      </c>
      <c r="AC209" s="58" t="str">
        <f t="shared" si="207"/>
        <v>#NAME?</v>
      </c>
      <c r="AD209" s="57">
        <f t="shared" si="4"/>
        <v>1</v>
      </c>
      <c r="AE209" s="57" t="str">
        <f t="shared" si="5"/>
        <v>2026-04</v>
      </c>
      <c r="AF209" s="57">
        <f t="shared" si="6"/>
        <v>1</v>
      </c>
      <c r="AG209" s="59">
        <f t="shared" si="7"/>
        <v>1</v>
      </c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</row>
    <row r="210" ht="24.0" customHeight="1">
      <c r="A210" s="53">
        <v>28.0</v>
      </c>
      <c r="B210" s="54" t="s">
        <v>862</v>
      </c>
      <c r="C210" s="55" t="s">
        <v>757</v>
      </c>
      <c r="D210" s="55"/>
      <c r="E210" s="55" t="s">
        <v>863</v>
      </c>
      <c r="F210" s="55" t="s">
        <v>864</v>
      </c>
      <c r="G210" s="55">
        <v>27.0</v>
      </c>
      <c r="H210" s="55" t="s">
        <v>85</v>
      </c>
      <c r="I210" s="55" t="s">
        <v>86</v>
      </c>
      <c r="J210" s="56" t="s">
        <v>87</v>
      </c>
      <c r="K210" s="55" t="s">
        <v>865</v>
      </c>
      <c r="L210" s="55" t="s">
        <v>34</v>
      </c>
      <c r="M210" s="55" t="s">
        <v>89</v>
      </c>
      <c r="N210" s="55" t="s">
        <v>90</v>
      </c>
      <c r="O210" s="55"/>
      <c r="P210" s="55" t="s">
        <v>91</v>
      </c>
      <c r="Q210" s="55" t="s">
        <v>4</v>
      </c>
      <c r="R210" s="55"/>
      <c r="S210" s="55"/>
      <c r="T210" s="55"/>
      <c r="U210" s="55"/>
      <c r="V210" s="55"/>
      <c r="W210" s="55"/>
      <c r="X210" s="57" t="str">
        <f t="shared" si="2"/>
        <v>--203-28-04</v>
      </c>
      <c r="Y210" s="58" t="str">
        <f t="shared" ref="Y210:AC210" si="208">TRIM(SUBSTITUTE(SUBSTITUTE(OFFSET($Q210,0,COLUMN()-COLUMN($AL$1)),CHAR(160)," "),_xludf.UNICHAR(8239)," "))</f>
        <v>#NAME?</v>
      </c>
      <c r="Z210" s="58" t="str">
        <f t="shared" si="208"/>
        <v>#NAME?</v>
      </c>
      <c r="AA210" s="58" t="str">
        <f t="shared" si="208"/>
        <v>#NAME?</v>
      </c>
      <c r="AB210" s="58" t="str">
        <f t="shared" si="208"/>
        <v>#NAME?</v>
      </c>
      <c r="AC210" s="58" t="str">
        <f t="shared" si="208"/>
        <v>#NAME?</v>
      </c>
      <c r="AD210" s="57">
        <f t="shared" si="4"/>
        <v>1</v>
      </c>
      <c r="AE210" s="57" t="str">
        <f t="shared" si="5"/>
        <v>2026-04</v>
      </c>
      <c r="AF210" s="57">
        <f t="shared" si="6"/>
        <v>1</v>
      </c>
      <c r="AG210" s="59">
        <f t="shared" si="7"/>
        <v>1</v>
      </c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</row>
    <row r="211" ht="24.0" customHeight="1">
      <c r="A211" s="53">
        <v>29.0</v>
      </c>
      <c r="B211" s="54" t="s">
        <v>866</v>
      </c>
      <c r="C211" s="55" t="s">
        <v>757</v>
      </c>
      <c r="D211" s="55"/>
      <c r="E211" s="55" t="s">
        <v>867</v>
      </c>
      <c r="F211" s="55" t="s">
        <v>868</v>
      </c>
      <c r="G211" s="55">
        <v>53.0</v>
      </c>
      <c r="H211" s="55" t="s">
        <v>85</v>
      </c>
      <c r="I211" s="55" t="s">
        <v>86</v>
      </c>
      <c r="J211" s="56" t="s">
        <v>87</v>
      </c>
      <c r="K211" s="55" t="s">
        <v>869</v>
      </c>
      <c r="L211" s="55" t="s">
        <v>34</v>
      </c>
      <c r="M211" s="55" t="s">
        <v>89</v>
      </c>
      <c r="N211" s="55" t="s">
        <v>90</v>
      </c>
      <c r="O211" s="55"/>
      <c r="P211" s="55" t="s">
        <v>91</v>
      </c>
      <c r="Q211" s="55" t="s">
        <v>4</v>
      </c>
      <c r="R211" s="55"/>
      <c r="S211" s="55"/>
      <c r="T211" s="55"/>
      <c r="U211" s="55"/>
      <c r="V211" s="55"/>
      <c r="W211" s="55"/>
      <c r="X211" s="57" t="str">
        <f t="shared" si="2"/>
        <v>--204-28-04</v>
      </c>
      <c r="Y211" s="58" t="str">
        <f t="shared" ref="Y211:AC211" si="209">TRIM(SUBSTITUTE(SUBSTITUTE(OFFSET($Q211,0,COLUMN()-COLUMN($AL$1)),CHAR(160)," "),_xludf.UNICHAR(8239)," "))</f>
        <v>#NAME?</v>
      </c>
      <c r="Z211" s="58" t="str">
        <f t="shared" si="209"/>
        <v>#NAME?</v>
      </c>
      <c r="AA211" s="58" t="str">
        <f t="shared" si="209"/>
        <v>#NAME?</v>
      </c>
      <c r="AB211" s="58" t="str">
        <f t="shared" si="209"/>
        <v>#NAME?</v>
      </c>
      <c r="AC211" s="58" t="str">
        <f t="shared" si="209"/>
        <v>#NAME?</v>
      </c>
      <c r="AD211" s="57">
        <f t="shared" si="4"/>
        <v>1</v>
      </c>
      <c r="AE211" s="57" t="str">
        <f t="shared" si="5"/>
        <v>2026-04</v>
      </c>
      <c r="AF211" s="57">
        <f t="shared" si="6"/>
        <v>1</v>
      </c>
      <c r="AG211" s="59">
        <f t="shared" si="7"/>
        <v>1</v>
      </c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</row>
    <row r="212" ht="24.0" customHeight="1">
      <c r="A212" s="53">
        <v>30.0</v>
      </c>
      <c r="B212" s="54" t="s">
        <v>870</v>
      </c>
      <c r="C212" s="55" t="s">
        <v>757</v>
      </c>
      <c r="D212" s="55"/>
      <c r="E212" s="55" t="s">
        <v>871</v>
      </c>
      <c r="F212" s="55" t="s">
        <v>872</v>
      </c>
      <c r="G212" s="55">
        <v>45.0</v>
      </c>
      <c r="H212" s="55" t="s">
        <v>85</v>
      </c>
      <c r="I212" s="55" t="s">
        <v>86</v>
      </c>
      <c r="J212" s="56" t="s">
        <v>87</v>
      </c>
      <c r="K212" s="55" t="s">
        <v>873</v>
      </c>
      <c r="L212" s="55" t="s">
        <v>34</v>
      </c>
      <c r="M212" s="55" t="s">
        <v>874</v>
      </c>
      <c r="N212" s="55" t="s">
        <v>90</v>
      </c>
      <c r="O212" s="55"/>
      <c r="P212" s="55" t="s">
        <v>91</v>
      </c>
      <c r="Q212" s="55" t="s">
        <v>16</v>
      </c>
      <c r="R212" s="55"/>
      <c r="S212" s="55"/>
      <c r="T212" s="55"/>
      <c r="U212" s="55"/>
      <c r="V212" s="55"/>
      <c r="W212" s="55"/>
      <c r="X212" s="57" t="str">
        <f t="shared" si="2"/>
        <v>--205-28-04</v>
      </c>
      <c r="Y212" s="58" t="str">
        <f t="shared" ref="Y212:AC212" si="210">TRIM(SUBSTITUTE(SUBSTITUTE(OFFSET($Q212,0,COLUMN()-COLUMN($AL$1)),CHAR(160)," "),_xludf.UNICHAR(8239)," "))</f>
        <v>#NAME?</v>
      </c>
      <c r="Z212" s="58" t="str">
        <f t="shared" si="210"/>
        <v>#NAME?</v>
      </c>
      <c r="AA212" s="58" t="str">
        <f t="shared" si="210"/>
        <v>#NAME?</v>
      </c>
      <c r="AB212" s="58" t="str">
        <f t="shared" si="210"/>
        <v>#NAME?</v>
      </c>
      <c r="AC212" s="58" t="str">
        <f t="shared" si="210"/>
        <v>#NAME?</v>
      </c>
      <c r="AD212" s="57">
        <f t="shared" si="4"/>
        <v>1</v>
      </c>
      <c r="AE212" s="57" t="str">
        <f t="shared" si="5"/>
        <v>2026-04</v>
      </c>
      <c r="AF212" s="57">
        <f t="shared" si="6"/>
        <v>1</v>
      </c>
      <c r="AG212" s="59">
        <f t="shared" si="7"/>
        <v>1</v>
      </c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</row>
    <row r="213" ht="24.0" customHeight="1">
      <c r="A213" s="53">
        <v>31.0</v>
      </c>
      <c r="B213" s="54" t="s">
        <v>875</v>
      </c>
      <c r="C213" s="55" t="s">
        <v>757</v>
      </c>
      <c r="D213" s="55"/>
      <c r="E213" s="55" t="s">
        <v>876</v>
      </c>
      <c r="F213" s="55" t="s">
        <v>877</v>
      </c>
      <c r="G213" s="55">
        <v>23.0</v>
      </c>
      <c r="H213" s="55" t="s">
        <v>85</v>
      </c>
      <c r="I213" s="55" t="s">
        <v>86</v>
      </c>
      <c r="J213" s="56" t="s">
        <v>87</v>
      </c>
      <c r="K213" s="55" t="s">
        <v>878</v>
      </c>
      <c r="L213" s="55" t="s">
        <v>34</v>
      </c>
      <c r="M213" s="55" t="s">
        <v>89</v>
      </c>
      <c r="N213" s="55" t="s">
        <v>90</v>
      </c>
      <c r="O213" s="55"/>
      <c r="P213" s="55" t="s">
        <v>91</v>
      </c>
      <c r="Q213" s="55"/>
      <c r="R213" s="55" t="s">
        <v>5</v>
      </c>
      <c r="S213" s="55"/>
      <c r="T213" s="55"/>
      <c r="U213" s="55" t="s">
        <v>7</v>
      </c>
      <c r="V213" s="55"/>
      <c r="W213" s="55"/>
      <c r="X213" s="57" t="str">
        <f t="shared" si="2"/>
        <v>--206-28-04</v>
      </c>
      <c r="Y213" s="58" t="str">
        <f t="shared" ref="Y213:AC213" si="211">TRIM(SUBSTITUTE(SUBSTITUTE(OFFSET($Q213,0,COLUMN()-COLUMN($AL$1)),CHAR(160)," "),_xludf.UNICHAR(8239)," "))</f>
        <v>#NAME?</v>
      </c>
      <c r="Z213" s="58" t="str">
        <f t="shared" si="211"/>
        <v>#NAME?</v>
      </c>
      <c r="AA213" s="58" t="str">
        <f t="shared" si="211"/>
        <v>#NAME?</v>
      </c>
      <c r="AB213" s="58" t="str">
        <f t="shared" si="211"/>
        <v>#NAME?</v>
      </c>
      <c r="AC213" s="58" t="str">
        <f t="shared" si="211"/>
        <v>#NAME?</v>
      </c>
      <c r="AD213" s="57">
        <f t="shared" si="4"/>
        <v>1</v>
      </c>
      <c r="AE213" s="57" t="str">
        <f t="shared" si="5"/>
        <v>2026-04</v>
      </c>
      <c r="AF213" s="57">
        <f t="shared" si="6"/>
        <v>1</v>
      </c>
      <c r="AG213" s="59">
        <f t="shared" si="7"/>
        <v>1</v>
      </c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</row>
    <row r="214" ht="24.0" customHeight="1">
      <c r="A214" s="53">
        <v>32.0</v>
      </c>
      <c r="B214" s="54" t="s">
        <v>879</v>
      </c>
      <c r="C214" s="55" t="s">
        <v>757</v>
      </c>
      <c r="D214" s="55"/>
      <c r="E214" s="55" t="s">
        <v>880</v>
      </c>
      <c r="F214" s="55" t="s">
        <v>881</v>
      </c>
      <c r="G214" s="55">
        <v>28.0</v>
      </c>
      <c r="H214" s="55" t="s">
        <v>85</v>
      </c>
      <c r="I214" s="55" t="s">
        <v>86</v>
      </c>
      <c r="J214" s="56" t="s">
        <v>87</v>
      </c>
      <c r="K214" s="55" t="s">
        <v>882</v>
      </c>
      <c r="L214" s="55"/>
      <c r="M214" s="55" t="s">
        <v>89</v>
      </c>
      <c r="N214" s="55" t="s">
        <v>90</v>
      </c>
      <c r="O214" s="55"/>
      <c r="P214" s="55" t="s">
        <v>91</v>
      </c>
      <c r="Q214" s="55" t="s">
        <v>4</v>
      </c>
      <c r="R214" s="55"/>
      <c r="S214" s="55"/>
      <c r="T214" s="55"/>
      <c r="U214" s="55"/>
      <c r="V214" s="55"/>
      <c r="W214" s="55"/>
      <c r="X214" s="57" t="str">
        <f t="shared" si="2"/>
        <v>--207-28-04</v>
      </c>
      <c r="Y214" s="58" t="str">
        <f t="shared" ref="Y214:AC214" si="212">TRIM(SUBSTITUTE(SUBSTITUTE(OFFSET($Q214,0,COLUMN()-COLUMN($AL$1)),CHAR(160)," "),_xludf.UNICHAR(8239)," "))</f>
        <v>#NAME?</v>
      </c>
      <c r="Z214" s="58" t="str">
        <f t="shared" si="212"/>
        <v>#NAME?</v>
      </c>
      <c r="AA214" s="58" t="str">
        <f t="shared" si="212"/>
        <v>#NAME?</v>
      </c>
      <c r="AB214" s="58" t="str">
        <f t="shared" si="212"/>
        <v>#NAME?</v>
      </c>
      <c r="AC214" s="58" t="str">
        <f t="shared" si="212"/>
        <v>#NAME?</v>
      </c>
      <c r="AD214" s="57">
        <f t="shared" si="4"/>
        <v>1</v>
      </c>
      <c r="AE214" s="57" t="str">
        <f t="shared" si="5"/>
        <v>2026-04</v>
      </c>
      <c r="AF214" s="57">
        <f t="shared" si="6"/>
        <v>1</v>
      </c>
      <c r="AG214" s="59">
        <f t="shared" si="7"/>
        <v>1</v>
      </c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</row>
    <row r="215" ht="24.0" customHeight="1">
      <c r="A215" s="53">
        <v>33.0</v>
      </c>
      <c r="B215" s="54" t="s">
        <v>883</v>
      </c>
      <c r="C215" s="55" t="s">
        <v>757</v>
      </c>
      <c r="D215" s="55"/>
      <c r="E215" s="55" t="s">
        <v>884</v>
      </c>
      <c r="F215" s="55" t="s">
        <v>885</v>
      </c>
      <c r="G215" s="55">
        <v>62.0</v>
      </c>
      <c r="H215" s="55" t="s">
        <v>260</v>
      </c>
      <c r="I215" s="55" t="s">
        <v>86</v>
      </c>
      <c r="J215" s="56" t="s">
        <v>87</v>
      </c>
      <c r="K215" s="55" t="s">
        <v>886</v>
      </c>
      <c r="L215" s="55" t="s">
        <v>34</v>
      </c>
      <c r="M215" s="55" t="s">
        <v>89</v>
      </c>
      <c r="N215" s="55" t="s">
        <v>90</v>
      </c>
      <c r="O215" s="55"/>
      <c r="P215" s="55" t="s">
        <v>91</v>
      </c>
      <c r="Q215" s="55" t="s">
        <v>4</v>
      </c>
      <c r="R215" s="55"/>
      <c r="S215" s="55"/>
      <c r="T215" s="55"/>
      <c r="U215" s="55"/>
      <c r="V215" s="55"/>
      <c r="W215" s="55"/>
      <c r="X215" s="57" t="str">
        <f t="shared" si="2"/>
        <v>--208-28-04</v>
      </c>
      <c r="Y215" s="58" t="str">
        <f t="shared" ref="Y215:AC215" si="213">TRIM(SUBSTITUTE(SUBSTITUTE(OFFSET($Q215,0,COLUMN()-COLUMN($AL$1)),CHAR(160)," "),_xludf.UNICHAR(8239)," "))</f>
        <v>#NAME?</v>
      </c>
      <c r="Z215" s="58" t="str">
        <f t="shared" si="213"/>
        <v>#NAME?</v>
      </c>
      <c r="AA215" s="58" t="str">
        <f t="shared" si="213"/>
        <v>#NAME?</v>
      </c>
      <c r="AB215" s="58" t="str">
        <f t="shared" si="213"/>
        <v>#NAME?</v>
      </c>
      <c r="AC215" s="58" t="str">
        <f t="shared" si="213"/>
        <v>#NAME?</v>
      </c>
      <c r="AD215" s="57">
        <f t="shared" si="4"/>
        <v>1</v>
      </c>
      <c r="AE215" s="57" t="str">
        <f t="shared" si="5"/>
        <v>2026-04</v>
      </c>
      <c r="AF215" s="57">
        <f t="shared" si="6"/>
        <v>1</v>
      </c>
      <c r="AG215" s="59">
        <f t="shared" si="7"/>
        <v>1</v>
      </c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</row>
    <row r="216" ht="24.0" customHeight="1">
      <c r="A216" s="53">
        <v>34.0</v>
      </c>
      <c r="B216" s="54" t="s">
        <v>887</v>
      </c>
      <c r="C216" s="55" t="s">
        <v>757</v>
      </c>
      <c r="D216" s="55"/>
      <c r="E216" s="55" t="s">
        <v>888</v>
      </c>
      <c r="F216" s="55" t="s">
        <v>889</v>
      </c>
      <c r="G216" s="55">
        <v>60.0</v>
      </c>
      <c r="H216" s="55" t="s">
        <v>85</v>
      </c>
      <c r="I216" s="55" t="s">
        <v>86</v>
      </c>
      <c r="J216" s="56" t="s">
        <v>87</v>
      </c>
      <c r="K216" s="55" t="s">
        <v>890</v>
      </c>
      <c r="L216" s="55" t="s">
        <v>34</v>
      </c>
      <c r="M216" s="55" t="s">
        <v>89</v>
      </c>
      <c r="N216" s="55" t="s">
        <v>90</v>
      </c>
      <c r="O216" s="55"/>
      <c r="P216" s="55" t="s">
        <v>91</v>
      </c>
      <c r="Q216" s="55" t="s">
        <v>16</v>
      </c>
      <c r="R216" s="55"/>
      <c r="S216" s="55"/>
      <c r="T216" s="55"/>
      <c r="U216" s="55"/>
      <c r="V216" s="55"/>
      <c r="W216" s="55"/>
      <c r="X216" s="57" t="str">
        <f t="shared" si="2"/>
        <v>--209-28-04</v>
      </c>
      <c r="Y216" s="58" t="str">
        <f t="shared" ref="Y216:AC216" si="214">TRIM(SUBSTITUTE(SUBSTITUTE(OFFSET($Q216,0,COLUMN()-COLUMN($AL$1)),CHAR(160)," "),_xludf.UNICHAR(8239)," "))</f>
        <v>#NAME?</v>
      </c>
      <c r="Z216" s="58" t="str">
        <f t="shared" si="214"/>
        <v>#NAME?</v>
      </c>
      <c r="AA216" s="58" t="str">
        <f t="shared" si="214"/>
        <v>#NAME?</v>
      </c>
      <c r="AB216" s="58" t="str">
        <f t="shared" si="214"/>
        <v>#NAME?</v>
      </c>
      <c r="AC216" s="58" t="str">
        <f t="shared" si="214"/>
        <v>#NAME?</v>
      </c>
      <c r="AD216" s="57">
        <f t="shared" si="4"/>
        <v>1</v>
      </c>
      <c r="AE216" s="57" t="str">
        <f t="shared" si="5"/>
        <v>2026-04</v>
      </c>
      <c r="AF216" s="57">
        <f t="shared" si="6"/>
        <v>1</v>
      </c>
      <c r="AG216" s="59">
        <f t="shared" si="7"/>
        <v>1</v>
      </c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</row>
    <row r="217" ht="24.0" customHeight="1">
      <c r="A217" s="53">
        <v>35.0</v>
      </c>
      <c r="B217" s="54" t="s">
        <v>891</v>
      </c>
      <c r="C217" s="55" t="s">
        <v>757</v>
      </c>
      <c r="D217" s="55"/>
      <c r="E217" s="55" t="s">
        <v>892</v>
      </c>
      <c r="F217" s="55" t="s">
        <v>893</v>
      </c>
      <c r="G217" s="55">
        <v>54.0</v>
      </c>
      <c r="H217" s="55" t="s">
        <v>85</v>
      </c>
      <c r="I217" s="55" t="s">
        <v>86</v>
      </c>
      <c r="J217" s="56" t="s">
        <v>87</v>
      </c>
      <c r="K217" s="55">
        <v>5.99980478E8</v>
      </c>
      <c r="L217" s="55" t="s">
        <v>34</v>
      </c>
      <c r="M217" s="55" t="s">
        <v>89</v>
      </c>
      <c r="N217" s="55" t="s">
        <v>90</v>
      </c>
      <c r="O217" s="55"/>
      <c r="P217" s="55" t="s">
        <v>91</v>
      </c>
      <c r="Q217" s="55" t="s">
        <v>4</v>
      </c>
      <c r="R217" s="55"/>
      <c r="S217" s="55"/>
      <c r="T217" s="55"/>
      <c r="U217" s="55"/>
      <c r="V217" s="55"/>
      <c r="W217" s="55"/>
      <c r="X217" s="57" t="str">
        <f t="shared" si="2"/>
        <v>--210-28-04</v>
      </c>
      <c r="Y217" s="58" t="str">
        <f t="shared" ref="Y217:AC217" si="215">TRIM(SUBSTITUTE(SUBSTITUTE(OFFSET($Q217,0,COLUMN()-COLUMN($AL$1)),CHAR(160)," "),_xludf.UNICHAR(8239)," "))</f>
        <v>#NAME?</v>
      </c>
      <c r="Z217" s="58" t="str">
        <f t="shared" si="215"/>
        <v>#NAME?</v>
      </c>
      <c r="AA217" s="58" t="str">
        <f t="shared" si="215"/>
        <v>#NAME?</v>
      </c>
      <c r="AB217" s="58" t="str">
        <f t="shared" si="215"/>
        <v>#NAME?</v>
      </c>
      <c r="AC217" s="58" t="str">
        <f t="shared" si="215"/>
        <v>#NAME?</v>
      </c>
      <c r="AD217" s="57">
        <f t="shared" si="4"/>
        <v>1</v>
      </c>
      <c r="AE217" s="57" t="str">
        <f t="shared" si="5"/>
        <v>2026-04</v>
      </c>
      <c r="AF217" s="57">
        <f t="shared" si="6"/>
        <v>1</v>
      </c>
      <c r="AG217" s="59">
        <f t="shared" si="7"/>
        <v>1</v>
      </c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</row>
    <row r="218" ht="24.0" customHeight="1">
      <c r="A218" s="53">
        <v>36.0</v>
      </c>
      <c r="B218" s="54" t="s">
        <v>894</v>
      </c>
      <c r="C218" s="55" t="s">
        <v>757</v>
      </c>
      <c r="D218" s="55"/>
      <c r="E218" s="55" t="s">
        <v>895</v>
      </c>
      <c r="F218" s="55" t="s">
        <v>896</v>
      </c>
      <c r="G218" s="55">
        <v>12.0</v>
      </c>
      <c r="H218" s="55" t="s">
        <v>111</v>
      </c>
      <c r="I218" s="55" t="s">
        <v>86</v>
      </c>
      <c r="J218" s="56" t="s">
        <v>87</v>
      </c>
      <c r="K218" s="55" t="s">
        <v>897</v>
      </c>
      <c r="L218" s="55" t="s">
        <v>34</v>
      </c>
      <c r="M218" s="55" t="s">
        <v>115</v>
      </c>
      <c r="N218" s="55" t="s">
        <v>90</v>
      </c>
      <c r="O218" s="55"/>
      <c r="P218" s="55" t="s">
        <v>91</v>
      </c>
      <c r="Q218" s="55"/>
      <c r="R218" s="55"/>
      <c r="S218" s="55" t="s">
        <v>6</v>
      </c>
      <c r="T218" s="55"/>
      <c r="U218" s="55"/>
      <c r="V218" s="55"/>
      <c r="W218" s="55"/>
      <c r="X218" s="57" t="str">
        <f t="shared" si="2"/>
        <v>--211-28-04</v>
      </c>
      <c r="Y218" s="58" t="str">
        <f t="shared" ref="Y218:AC218" si="216">TRIM(SUBSTITUTE(SUBSTITUTE(OFFSET($Q218,0,COLUMN()-COLUMN($AL$1)),CHAR(160)," "),_xludf.UNICHAR(8239)," "))</f>
        <v>#NAME?</v>
      </c>
      <c r="Z218" s="58" t="str">
        <f t="shared" si="216"/>
        <v>#NAME?</v>
      </c>
      <c r="AA218" s="58" t="str">
        <f t="shared" si="216"/>
        <v>#NAME?</v>
      </c>
      <c r="AB218" s="58" t="str">
        <f t="shared" si="216"/>
        <v>#NAME?</v>
      </c>
      <c r="AC218" s="58" t="str">
        <f t="shared" si="216"/>
        <v>#NAME?</v>
      </c>
      <c r="AD218" s="57">
        <f t="shared" si="4"/>
        <v>1</v>
      </c>
      <c r="AE218" s="57" t="str">
        <f t="shared" si="5"/>
        <v>2026-04</v>
      </c>
      <c r="AF218" s="57">
        <f t="shared" si="6"/>
        <v>1</v>
      </c>
      <c r="AG218" s="59">
        <f t="shared" si="7"/>
        <v>1</v>
      </c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</row>
    <row r="219" ht="24.0" customHeight="1">
      <c r="A219" s="53">
        <v>37.0</v>
      </c>
      <c r="B219" s="54" t="s">
        <v>898</v>
      </c>
      <c r="C219" s="55" t="s">
        <v>757</v>
      </c>
      <c r="D219" s="55"/>
      <c r="E219" s="55" t="s">
        <v>899</v>
      </c>
      <c r="F219" s="55" t="s">
        <v>900</v>
      </c>
      <c r="G219" s="55">
        <v>29.0</v>
      </c>
      <c r="H219" s="55" t="s">
        <v>85</v>
      </c>
      <c r="I219" s="55" t="s">
        <v>86</v>
      </c>
      <c r="J219" s="56" t="s">
        <v>87</v>
      </c>
      <c r="K219" s="55" t="s">
        <v>901</v>
      </c>
      <c r="L219" s="55" t="s">
        <v>34</v>
      </c>
      <c r="M219" s="55" t="s">
        <v>89</v>
      </c>
      <c r="N219" s="55" t="s">
        <v>90</v>
      </c>
      <c r="O219" s="55"/>
      <c r="P219" s="55" t="s">
        <v>91</v>
      </c>
      <c r="Q219" s="55" t="s">
        <v>16</v>
      </c>
      <c r="R219" s="55"/>
      <c r="S219" s="55"/>
      <c r="T219" s="55"/>
      <c r="U219" s="55"/>
      <c r="V219" s="55"/>
      <c r="W219" s="55"/>
      <c r="X219" s="57" t="str">
        <f t="shared" si="2"/>
        <v>--212-28-04</v>
      </c>
      <c r="Y219" s="58" t="str">
        <f t="shared" ref="Y219:AC219" si="217">TRIM(SUBSTITUTE(SUBSTITUTE(OFFSET($Q219,0,COLUMN()-COLUMN($AL$1)),CHAR(160)," "),_xludf.UNICHAR(8239)," "))</f>
        <v>#NAME?</v>
      </c>
      <c r="Z219" s="58" t="str">
        <f t="shared" si="217"/>
        <v>#NAME?</v>
      </c>
      <c r="AA219" s="58" t="str">
        <f t="shared" si="217"/>
        <v>#NAME?</v>
      </c>
      <c r="AB219" s="58" t="str">
        <f t="shared" si="217"/>
        <v>#NAME?</v>
      </c>
      <c r="AC219" s="58" t="str">
        <f t="shared" si="217"/>
        <v>#NAME?</v>
      </c>
      <c r="AD219" s="57">
        <f t="shared" si="4"/>
        <v>1</v>
      </c>
      <c r="AE219" s="57" t="str">
        <f t="shared" si="5"/>
        <v>2026-04</v>
      </c>
      <c r="AF219" s="57">
        <f t="shared" si="6"/>
        <v>1</v>
      </c>
      <c r="AG219" s="59">
        <f t="shared" si="7"/>
        <v>1</v>
      </c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</row>
    <row r="220" ht="24.0" customHeight="1">
      <c r="A220" s="53">
        <v>38.0</v>
      </c>
      <c r="B220" s="54" t="s">
        <v>902</v>
      </c>
      <c r="C220" s="55" t="s">
        <v>757</v>
      </c>
      <c r="D220" s="55"/>
      <c r="E220" s="55" t="s">
        <v>903</v>
      </c>
      <c r="F220" s="55" t="s">
        <v>904</v>
      </c>
      <c r="G220" s="55">
        <v>44.0</v>
      </c>
      <c r="H220" s="55" t="s">
        <v>85</v>
      </c>
      <c r="I220" s="55" t="s">
        <v>112</v>
      </c>
      <c r="J220" s="56" t="s">
        <v>113</v>
      </c>
      <c r="K220" s="55" t="s">
        <v>768</v>
      </c>
      <c r="L220" s="55" t="s">
        <v>34</v>
      </c>
      <c r="M220" s="55" t="s">
        <v>89</v>
      </c>
      <c r="N220" s="55" t="s">
        <v>90</v>
      </c>
      <c r="O220" s="55"/>
      <c r="P220" s="55" t="s">
        <v>91</v>
      </c>
      <c r="Q220" s="55" t="s">
        <v>4</v>
      </c>
      <c r="R220" s="55"/>
      <c r="S220" s="55"/>
      <c r="T220" s="55"/>
      <c r="U220" s="55"/>
      <c r="V220" s="55"/>
      <c r="W220" s="55"/>
      <c r="X220" s="57" t="str">
        <f t="shared" si="2"/>
        <v>--213-28-04</v>
      </c>
      <c r="Y220" s="58" t="str">
        <f t="shared" ref="Y220:AC220" si="218">TRIM(SUBSTITUTE(SUBSTITUTE(OFFSET($Q220,0,COLUMN()-COLUMN($AL$1)),CHAR(160)," "),_xludf.UNICHAR(8239)," "))</f>
        <v>#NAME?</v>
      </c>
      <c r="Z220" s="58" t="str">
        <f t="shared" si="218"/>
        <v>#NAME?</v>
      </c>
      <c r="AA220" s="58" t="str">
        <f t="shared" si="218"/>
        <v>#NAME?</v>
      </c>
      <c r="AB220" s="58" t="str">
        <f t="shared" si="218"/>
        <v>#NAME?</v>
      </c>
      <c r="AC220" s="58" t="str">
        <f t="shared" si="218"/>
        <v>#NAME?</v>
      </c>
      <c r="AD220" s="57">
        <f t="shared" si="4"/>
        <v>1</v>
      </c>
      <c r="AE220" s="57" t="str">
        <f t="shared" si="5"/>
        <v>2026-04</v>
      </c>
      <c r="AF220" s="57">
        <f t="shared" si="6"/>
        <v>1</v>
      </c>
      <c r="AG220" s="59">
        <f t="shared" si="7"/>
        <v>1</v>
      </c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</row>
    <row r="221" ht="24.0" customHeight="1">
      <c r="A221" s="53">
        <v>39.0</v>
      </c>
      <c r="B221" s="54" t="s">
        <v>905</v>
      </c>
      <c r="C221" s="55" t="s">
        <v>757</v>
      </c>
      <c r="D221" s="55"/>
      <c r="E221" s="55" t="s">
        <v>906</v>
      </c>
      <c r="F221" s="55" t="s">
        <v>907</v>
      </c>
      <c r="G221" s="55">
        <v>32.0</v>
      </c>
      <c r="H221" s="55" t="s">
        <v>85</v>
      </c>
      <c r="I221" s="55" t="s">
        <v>86</v>
      </c>
      <c r="J221" s="56" t="s">
        <v>87</v>
      </c>
      <c r="K221" s="55" t="s">
        <v>908</v>
      </c>
      <c r="L221" s="55" t="s">
        <v>34</v>
      </c>
      <c r="M221" s="55" t="s">
        <v>89</v>
      </c>
      <c r="N221" s="55" t="s">
        <v>90</v>
      </c>
      <c r="O221" s="55"/>
      <c r="P221" s="55" t="s">
        <v>91</v>
      </c>
      <c r="Q221" s="55" t="s">
        <v>16</v>
      </c>
      <c r="R221" s="55"/>
      <c r="S221" s="55"/>
      <c r="T221" s="55"/>
      <c r="U221" s="55"/>
      <c r="V221" s="55"/>
      <c r="W221" s="55"/>
      <c r="X221" s="57" t="str">
        <f t="shared" si="2"/>
        <v>--214-28-04</v>
      </c>
      <c r="Y221" s="58" t="str">
        <f t="shared" ref="Y221:AC221" si="219">TRIM(SUBSTITUTE(SUBSTITUTE(OFFSET($Q221,0,COLUMN()-COLUMN($AL$1)),CHAR(160)," "),_xludf.UNICHAR(8239)," "))</f>
        <v>#NAME?</v>
      </c>
      <c r="Z221" s="58" t="str">
        <f t="shared" si="219"/>
        <v>#NAME?</v>
      </c>
      <c r="AA221" s="58" t="str">
        <f t="shared" si="219"/>
        <v>#NAME?</v>
      </c>
      <c r="AB221" s="58" t="str">
        <f t="shared" si="219"/>
        <v>#NAME?</v>
      </c>
      <c r="AC221" s="58" t="str">
        <f t="shared" si="219"/>
        <v>#NAME?</v>
      </c>
      <c r="AD221" s="57">
        <f t="shared" si="4"/>
        <v>1</v>
      </c>
      <c r="AE221" s="57" t="str">
        <f t="shared" si="5"/>
        <v>2026-04</v>
      </c>
      <c r="AF221" s="57">
        <f t="shared" si="6"/>
        <v>1</v>
      </c>
      <c r="AG221" s="59">
        <f t="shared" si="7"/>
        <v>1</v>
      </c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</row>
    <row r="222" ht="24.0" customHeight="1">
      <c r="A222" s="53">
        <v>40.0</v>
      </c>
      <c r="B222" s="54" t="s">
        <v>909</v>
      </c>
      <c r="C222" s="55" t="s">
        <v>757</v>
      </c>
      <c r="D222" s="55"/>
      <c r="E222" s="55" t="s">
        <v>910</v>
      </c>
      <c r="F222" s="55" t="s">
        <v>911</v>
      </c>
      <c r="G222" s="55">
        <v>15.0</v>
      </c>
      <c r="H222" s="55" t="s">
        <v>111</v>
      </c>
      <c r="I222" s="55" t="s">
        <v>112</v>
      </c>
      <c r="J222" s="56" t="s">
        <v>113</v>
      </c>
      <c r="K222" s="55" t="s">
        <v>912</v>
      </c>
      <c r="L222" s="55" t="s">
        <v>34</v>
      </c>
      <c r="M222" s="55" t="s">
        <v>133</v>
      </c>
      <c r="N222" s="55" t="s">
        <v>90</v>
      </c>
      <c r="O222" s="55"/>
      <c r="P222" s="55" t="s">
        <v>91</v>
      </c>
      <c r="Q222" s="55" t="s">
        <v>4</v>
      </c>
      <c r="R222" s="55"/>
      <c r="S222" s="55"/>
      <c r="T222" s="55"/>
      <c r="U222" s="55"/>
      <c r="V222" s="55"/>
      <c r="W222" s="55"/>
      <c r="X222" s="57" t="str">
        <f t="shared" si="2"/>
        <v>--215-28-04</v>
      </c>
      <c r="Y222" s="58" t="str">
        <f t="shared" ref="Y222:AC222" si="220">TRIM(SUBSTITUTE(SUBSTITUTE(OFFSET($Q222,0,COLUMN()-COLUMN($AL$1)),CHAR(160)," "),_xludf.UNICHAR(8239)," "))</f>
        <v>#NAME?</v>
      </c>
      <c r="Z222" s="58" t="str">
        <f t="shared" si="220"/>
        <v>#NAME?</v>
      </c>
      <c r="AA222" s="58" t="str">
        <f t="shared" si="220"/>
        <v>#NAME?</v>
      </c>
      <c r="AB222" s="58" t="str">
        <f t="shared" si="220"/>
        <v>#NAME?</v>
      </c>
      <c r="AC222" s="58" t="str">
        <f t="shared" si="220"/>
        <v>#NAME?</v>
      </c>
      <c r="AD222" s="57">
        <f t="shared" si="4"/>
        <v>1</v>
      </c>
      <c r="AE222" s="57" t="str">
        <f t="shared" si="5"/>
        <v>2026-04</v>
      </c>
      <c r="AF222" s="57">
        <f t="shared" si="6"/>
        <v>1</v>
      </c>
      <c r="AG222" s="59">
        <f t="shared" si="7"/>
        <v>1</v>
      </c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</row>
    <row r="223" ht="24.0" customHeight="1">
      <c r="A223" s="53">
        <v>41.0</v>
      </c>
      <c r="B223" s="54" t="s">
        <v>913</v>
      </c>
      <c r="C223" s="55" t="s">
        <v>757</v>
      </c>
      <c r="D223" s="55"/>
      <c r="E223" s="55" t="s">
        <v>914</v>
      </c>
      <c r="F223" s="55" t="s">
        <v>915</v>
      </c>
      <c r="G223" s="55">
        <v>19.0</v>
      </c>
      <c r="H223" s="55" t="s">
        <v>85</v>
      </c>
      <c r="I223" s="55" t="s">
        <v>86</v>
      </c>
      <c r="J223" s="56" t="s">
        <v>87</v>
      </c>
      <c r="K223" s="55" t="s">
        <v>916</v>
      </c>
      <c r="L223" s="55" t="s">
        <v>34</v>
      </c>
      <c r="M223" s="55" t="s">
        <v>89</v>
      </c>
      <c r="N223" s="55" t="s">
        <v>90</v>
      </c>
      <c r="O223" s="55"/>
      <c r="P223" s="55" t="s">
        <v>91</v>
      </c>
      <c r="Q223" s="55" t="s">
        <v>4</v>
      </c>
      <c r="R223" s="55"/>
      <c r="S223" s="55"/>
      <c r="T223" s="55"/>
      <c r="U223" s="55"/>
      <c r="V223" s="55"/>
      <c r="W223" s="55"/>
      <c r="X223" s="57" t="str">
        <f t="shared" si="2"/>
        <v>--216-28-04</v>
      </c>
      <c r="Y223" s="58" t="str">
        <f t="shared" ref="Y223:AC223" si="221">TRIM(SUBSTITUTE(SUBSTITUTE(OFFSET($Q223,0,COLUMN()-COLUMN($AL$1)),CHAR(160)," "),_xludf.UNICHAR(8239)," "))</f>
        <v>#NAME?</v>
      </c>
      <c r="Z223" s="58" t="str">
        <f t="shared" si="221"/>
        <v>#NAME?</v>
      </c>
      <c r="AA223" s="58" t="str">
        <f t="shared" si="221"/>
        <v>#NAME?</v>
      </c>
      <c r="AB223" s="58" t="str">
        <f t="shared" si="221"/>
        <v>#NAME?</v>
      </c>
      <c r="AC223" s="58" t="str">
        <f t="shared" si="221"/>
        <v>#NAME?</v>
      </c>
      <c r="AD223" s="57">
        <f t="shared" si="4"/>
        <v>1</v>
      </c>
      <c r="AE223" s="57" t="str">
        <f t="shared" si="5"/>
        <v>2026-04</v>
      </c>
      <c r="AF223" s="57">
        <f t="shared" si="6"/>
        <v>1</v>
      </c>
      <c r="AG223" s="59">
        <f t="shared" si="7"/>
        <v>1</v>
      </c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</row>
    <row r="224" ht="24.0" customHeight="1">
      <c r="A224" s="53">
        <v>42.0</v>
      </c>
      <c r="B224" s="54" t="s">
        <v>917</v>
      </c>
      <c r="C224" s="55" t="s">
        <v>757</v>
      </c>
      <c r="D224" s="55"/>
      <c r="E224" s="55" t="s">
        <v>918</v>
      </c>
      <c r="F224" s="55" t="s">
        <v>919</v>
      </c>
      <c r="G224" s="55">
        <v>16.0</v>
      </c>
      <c r="H224" s="55" t="s">
        <v>111</v>
      </c>
      <c r="I224" s="55" t="s">
        <v>86</v>
      </c>
      <c r="J224" s="56" t="s">
        <v>87</v>
      </c>
      <c r="K224" s="55" t="s">
        <v>920</v>
      </c>
      <c r="L224" s="55" t="s">
        <v>34</v>
      </c>
      <c r="M224" s="55" t="s">
        <v>115</v>
      </c>
      <c r="N224" s="55" t="s">
        <v>90</v>
      </c>
      <c r="O224" s="55"/>
      <c r="P224" s="55" t="s">
        <v>91</v>
      </c>
      <c r="Q224" s="55" t="s">
        <v>4</v>
      </c>
      <c r="R224" s="55"/>
      <c r="S224" s="55"/>
      <c r="T224" s="55"/>
      <c r="U224" s="55"/>
      <c r="V224" s="55"/>
      <c r="W224" s="55"/>
      <c r="X224" s="57" t="str">
        <f t="shared" si="2"/>
        <v>--217-28-04</v>
      </c>
      <c r="Y224" s="58" t="str">
        <f t="shared" ref="Y224:AC224" si="222">TRIM(SUBSTITUTE(SUBSTITUTE(OFFSET($Q224,0,COLUMN()-COLUMN($AL$1)),CHAR(160)," "),_xludf.UNICHAR(8239)," "))</f>
        <v>#NAME?</v>
      </c>
      <c r="Z224" s="58" t="str">
        <f t="shared" si="222"/>
        <v>#NAME?</v>
      </c>
      <c r="AA224" s="58" t="str">
        <f t="shared" si="222"/>
        <v>#NAME?</v>
      </c>
      <c r="AB224" s="58" t="str">
        <f t="shared" si="222"/>
        <v>#NAME?</v>
      </c>
      <c r="AC224" s="58" t="str">
        <f t="shared" si="222"/>
        <v>#NAME?</v>
      </c>
      <c r="AD224" s="57">
        <f t="shared" si="4"/>
        <v>1</v>
      </c>
      <c r="AE224" s="57" t="str">
        <f t="shared" si="5"/>
        <v>2026-04</v>
      </c>
      <c r="AF224" s="57">
        <f t="shared" si="6"/>
        <v>1</v>
      </c>
      <c r="AG224" s="59">
        <f t="shared" si="7"/>
        <v>1</v>
      </c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</row>
    <row r="225" ht="24.0" customHeight="1">
      <c r="A225" s="53">
        <v>43.0</v>
      </c>
      <c r="B225" s="54" t="s">
        <v>921</v>
      </c>
      <c r="C225" s="55" t="s">
        <v>757</v>
      </c>
      <c r="D225" s="55"/>
      <c r="E225" s="55" t="s">
        <v>922</v>
      </c>
      <c r="F225" s="55" t="s">
        <v>923</v>
      </c>
      <c r="G225" s="55">
        <v>31.0</v>
      </c>
      <c r="H225" s="55" t="s">
        <v>85</v>
      </c>
      <c r="I225" s="55" t="s">
        <v>112</v>
      </c>
      <c r="J225" s="56" t="s">
        <v>113</v>
      </c>
      <c r="K225" s="55" t="s">
        <v>924</v>
      </c>
      <c r="L225" s="55" t="s">
        <v>34</v>
      </c>
      <c r="M225" s="55" t="s">
        <v>89</v>
      </c>
      <c r="N225" s="55" t="s">
        <v>90</v>
      </c>
      <c r="O225" s="55"/>
      <c r="P225" s="55" t="s">
        <v>91</v>
      </c>
      <c r="Q225" s="55" t="s">
        <v>16</v>
      </c>
      <c r="R225" s="55"/>
      <c r="S225" s="55"/>
      <c r="T225" s="55"/>
      <c r="U225" s="55"/>
      <c r="V225" s="55"/>
      <c r="W225" s="55"/>
      <c r="X225" s="57" t="str">
        <f t="shared" si="2"/>
        <v>--218-28-04</v>
      </c>
      <c r="Y225" s="58" t="str">
        <f t="shared" ref="Y225:AC225" si="223">TRIM(SUBSTITUTE(SUBSTITUTE(OFFSET($Q225,0,COLUMN()-COLUMN($AL$1)),CHAR(160)," "),_xludf.UNICHAR(8239)," "))</f>
        <v>#NAME?</v>
      </c>
      <c r="Z225" s="58" t="str">
        <f t="shared" si="223"/>
        <v>#NAME?</v>
      </c>
      <c r="AA225" s="58" t="str">
        <f t="shared" si="223"/>
        <v>#NAME?</v>
      </c>
      <c r="AB225" s="58" t="str">
        <f t="shared" si="223"/>
        <v>#NAME?</v>
      </c>
      <c r="AC225" s="58" t="str">
        <f t="shared" si="223"/>
        <v>#NAME?</v>
      </c>
      <c r="AD225" s="57">
        <f t="shared" si="4"/>
        <v>1</v>
      </c>
      <c r="AE225" s="57" t="str">
        <f t="shared" si="5"/>
        <v>2026-04</v>
      </c>
      <c r="AF225" s="57">
        <f t="shared" si="6"/>
        <v>1</v>
      </c>
      <c r="AG225" s="59">
        <f t="shared" si="7"/>
        <v>1</v>
      </c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</row>
    <row r="226" ht="24.0" customHeight="1">
      <c r="A226" s="53">
        <v>44.0</v>
      </c>
      <c r="B226" s="54" t="s">
        <v>925</v>
      </c>
      <c r="C226" s="55" t="s">
        <v>757</v>
      </c>
      <c r="D226" s="55"/>
      <c r="E226" s="55" t="s">
        <v>926</v>
      </c>
      <c r="F226" s="55" t="s">
        <v>927</v>
      </c>
      <c r="G226" s="55">
        <v>6.0</v>
      </c>
      <c r="H226" s="55" t="s">
        <v>111</v>
      </c>
      <c r="I226" s="55" t="s">
        <v>86</v>
      </c>
      <c r="J226" s="56" t="s">
        <v>87</v>
      </c>
      <c r="K226" s="55" t="s">
        <v>920</v>
      </c>
      <c r="L226" s="55" t="s">
        <v>34</v>
      </c>
      <c r="M226" s="55" t="s">
        <v>115</v>
      </c>
      <c r="N226" s="55" t="s">
        <v>90</v>
      </c>
      <c r="O226" s="55"/>
      <c r="P226" s="55" t="s">
        <v>91</v>
      </c>
      <c r="Q226" s="55" t="s">
        <v>16</v>
      </c>
      <c r="R226" s="55"/>
      <c r="S226" s="55"/>
      <c r="T226" s="55"/>
      <c r="U226" s="55"/>
      <c r="V226" s="55"/>
      <c r="W226" s="55"/>
      <c r="X226" s="57" t="str">
        <f t="shared" si="2"/>
        <v>--219-28-04</v>
      </c>
      <c r="Y226" s="58" t="str">
        <f t="shared" ref="Y226:AC226" si="224">TRIM(SUBSTITUTE(SUBSTITUTE(OFFSET($Q226,0,COLUMN()-COLUMN($AL$1)),CHAR(160)," "),_xludf.UNICHAR(8239)," "))</f>
        <v>#NAME?</v>
      </c>
      <c r="Z226" s="58" t="str">
        <f t="shared" si="224"/>
        <v>#NAME?</v>
      </c>
      <c r="AA226" s="58" t="str">
        <f t="shared" si="224"/>
        <v>#NAME?</v>
      </c>
      <c r="AB226" s="58" t="str">
        <f t="shared" si="224"/>
        <v>#NAME?</v>
      </c>
      <c r="AC226" s="58" t="str">
        <f t="shared" si="224"/>
        <v>#NAME?</v>
      </c>
      <c r="AD226" s="57">
        <f t="shared" si="4"/>
        <v>1</v>
      </c>
      <c r="AE226" s="57" t="str">
        <f t="shared" si="5"/>
        <v>2026-04</v>
      </c>
      <c r="AF226" s="57">
        <f t="shared" si="6"/>
        <v>1</v>
      </c>
      <c r="AG226" s="59">
        <f t="shared" si="7"/>
        <v>1</v>
      </c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</row>
    <row r="227" ht="24.0" customHeight="1">
      <c r="A227" s="53">
        <v>45.0</v>
      </c>
      <c r="B227" s="54" t="s">
        <v>928</v>
      </c>
      <c r="C227" s="55" t="s">
        <v>757</v>
      </c>
      <c r="D227" s="55"/>
      <c r="E227" s="55" t="s">
        <v>929</v>
      </c>
      <c r="F227" s="55" t="s">
        <v>930</v>
      </c>
      <c r="G227" s="55">
        <v>33.0</v>
      </c>
      <c r="H227" s="55" t="s">
        <v>85</v>
      </c>
      <c r="I227" s="55" t="s">
        <v>86</v>
      </c>
      <c r="J227" s="56" t="s">
        <v>87</v>
      </c>
      <c r="K227" s="55" t="s">
        <v>931</v>
      </c>
      <c r="L227" s="55" t="s">
        <v>34</v>
      </c>
      <c r="M227" s="55" t="s">
        <v>89</v>
      </c>
      <c r="N227" s="55" t="s">
        <v>90</v>
      </c>
      <c r="O227" s="55"/>
      <c r="P227" s="55" t="s">
        <v>91</v>
      </c>
      <c r="Q227" s="55" t="s">
        <v>4</v>
      </c>
      <c r="R227" s="55"/>
      <c r="S227" s="55"/>
      <c r="T227" s="55"/>
      <c r="U227" s="55"/>
      <c r="V227" s="55"/>
      <c r="W227" s="55"/>
      <c r="X227" s="57" t="str">
        <f t="shared" si="2"/>
        <v>--220-28-04</v>
      </c>
      <c r="Y227" s="58" t="str">
        <f t="shared" ref="Y227:AC227" si="225">TRIM(SUBSTITUTE(SUBSTITUTE(OFFSET($Q227,0,COLUMN()-COLUMN($AL$1)),CHAR(160)," "),_xludf.UNICHAR(8239)," "))</f>
        <v>#NAME?</v>
      </c>
      <c r="Z227" s="58" t="str">
        <f t="shared" si="225"/>
        <v>#NAME?</v>
      </c>
      <c r="AA227" s="58" t="str">
        <f t="shared" si="225"/>
        <v>#NAME?</v>
      </c>
      <c r="AB227" s="58" t="str">
        <f t="shared" si="225"/>
        <v>#NAME?</v>
      </c>
      <c r="AC227" s="58" t="str">
        <f t="shared" si="225"/>
        <v>#NAME?</v>
      </c>
      <c r="AD227" s="57">
        <f t="shared" si="4"/>
        <v>1</v>
      </c>
      <c r="AE227" s="57" t="str">
        <f t="shared" si="5"/>
        <v>2026-04</v>
      </c>
      <c r="AF227" s="57">
        <f t="shared" si="6"/>
        <v>1</v>
      </c>
      <c r="AG227" s="59">
        <f t="shared" si="7"/>
        <v>1</v>
      </c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</row>
    <row r="228" ht="24.0" customHeight="1">
      <c r="A228" s="53">
        <v>46.0</v>
      </c>
      <c r="B228" s="54" t="s">
        <v>932</v>
      </c>
      <c r="C228" s="55" t="s">
        <v>757</v>
      </c>
      <c r="D228" s="55"/>
      <c r="E228" s="55" t="s">
        <v>933</v>
      </c>
      <c r="F228" s="55" t="s">
        <v>934</v>
      </c>
      <c r="G228" s="55">
        <v>26.0</v>
      </c>
      <c r="H228" s="55" t="s">
        <v>85</v>
      </c>
      <c r="I228" s="55" t="s">
        <v>86</v>
      </c>
      <c r="J228" s="56" t="s">
        <v>87</v>
      </c>
      <c r="K228" s="55" t="s">
        <v>935</v>
      </c>
      <c r="L228" s="55" t="s">
        <v>34</v>
      </c>
      <c r="M228" s="55" t="s">
        <v>89</v>
      </c>
      <c r="N228" s="55" t="s">
        <v>90</v>
      </c>
      <c r="O228" s="55"/>
      <c r="P228" s="55" t="s">
        <v>91</v>
      </c>
      <c r="Q228" s="55" t="s">
        <v>4</v>
      </c>
      <c r="R228" s="55"/>
      <c r="S228" s="55"/>
      <c r="T228" s="55"/>
      <c r="U228" s="55"/>
      <c r="V228" s="55"/>
      <c r="W228" s="55"/>
      <c r="X228" s="57" t="str">
        <f t="shared" si="2"/>
        <v>--221-28-04</v>
      </c>
      <c r="Y228" s="58" t="str">
        <f t="shared" ref="Y228:AC228" si="226">TRIM(SUBSTITUTE(SUBSTITUTE(OFFSET($Q228,0,COLUMN()-COLUMN($AL$1)),CHAR(160)," "),_xludf.UNICHAR(8239)," "))</f>
        <v>#NAME?</v>
      </c>
      <c r="Z228" s="58" t="str">
        <f t="shared" si="226"/>
        <v>#NAME?</v>
      </c>
      <c r="AA228" s="58" t="str">
        <f t="shared" si="226"/>
        <v>#NAME?</v>
      </c>
      <c r="AB228" s="58" t="str">
        <f t="shared" si="226"/>
        <v>#NAME?</v>
      </c>
      <c r="AC228" s="58" t="str">
        <f t="shared" si="226"/>
        <v>#NAME?</v>
      </c>
      <c r="AD228" s="57">
        <f t="shared" si="4"/>
        <v>1</v>
      </c>
      <c r="AE228" s="57" t="str">
        <f t="shared" si="5"/>
        <v>2026-04</v>
      </c>
      <c r="AF228" s="57">
        <f t="shared" si="6"/>
        <v>1</v>
      </c>
      <c r="AG228" s="59">
        <f t="shared" si="7"/>
        <v>1</v>
      </c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</row>
    <row r="229" ht="24.0" customHeight="1">
      <c r="A229" s="53">
        <v>47.0</v>
      </c>
      <c r="B229" s="54" t="s">
        <v>936</v>
      </c>
      <c r="C229" s="55" t="s">
        <v>757</v>
      </c>
      <c r="D229" s="55"/>
      <c r="E229" s="55" t="s">
        <v>937</v>
      </c>
      <c r="F229" s="55" t="s">
        <v>938</v>
      </c>
      <c r="G229" s="55">
        <v>37.0</v>
      </c>
      <c r="H229" s="55" t="s">
        <v>85</v>
      </c>
      <c r="I229" s="55" t="s">
        <v>86</v>
      </c>
      <c r="J229" s="56" t="s">
        <v>87</v>
      </c>
      <c r="K229" s="55" t="s">
        <v>939</v>
      </c>
      <c r="L229" s="55" t="s">
        <v>34</v>
      </c>
      <c r="M229" s="55" t="s">
        <v>89</v>
      </c>
      <c r="N229" s="55" t="s">
        <v>90</v>
      </c>
      <c r="O229" s="55"/>
      <c r="P229" s="55" t="s">
        <v>91</v>
      </c>
      <c r="Q229" s="55" t="s">
        <v>4</v>
      </c>
      <c r="R229" s="55"/>
      <c r="S229" s="55"/>
      <c r="T229" s="55"/>
      <c r="U229" s="55"/>
      <c r="V229" s="55"/>
      <c r="W229" s="55"/>
      <c r="X229" s="57" t="str">
        <f t="shared" si="2"/>
        <v>--222-28-04</v>
      </c>
      <c r="Y229" s="58" t="str">
        <f t="shared" ref="Y229:AC229" si="227">TRIM(SUBSTITUTE(SUBSTITUTE(OFFSET($Q229,0,COLUMN()-COLUMN($AL$1)),CHAR(160)," "),_xludf.UNICHAR(8239)," "))</f>
        <v>#NAME?</v>
      </c>
      <c r="Z229" s="58" t="str">
        <f t="shared" si="227"/>
        <v>#NAME?</v>
      </c>
      <c r="AA229" s="58" t="str">
        <f t="shared" si="227"/>
        <v>#NAME?</v>
      </c>
      <c r="AB229" s="58" t="str">
        <f t="shared" si="227"/>
        <v>#NAME?</v>
      </c>
      <c r="AC229" s="58" t="str">
        <f t="shared" si="227"/>
        <v>#NAME?</v>
      </c>
      <c r="AD229" s="57">
        <f t="shared" si="4"/>
        <v>1</v>
      </c>
      <c r="AE229" s="57" t="str">
        <f t="shared" si="5"/>
        <v>2026-04</v>
      </c>
      <c r="AF229" s="57">
        <f t="shared" si="6"/>
        <v>1</v>
      </c>
      <c r="AG229" s="59">
        <f t="shared" si="7"/>
        <v>1</v>
      </c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</row>
    <row r="230" ht="24.0" customHeight="1">
      <c r="A230" s="53">
        <v>48.0</v>
      </c>
      <c r="B230" s="54" t="s">
        <v>940</v>
      </c>
      <c r="C230" s="55" t="s">
        <v>757</v>
      </c>
      <c r="D230" s="55"/>
      <c r="E230" s="55" t="s">
        <v>941</v>
      </c>
      <c r="F230" s="55" t="s">
        <v>942</v>
      </c>
      <c r="G230" s="55">
        <v>48.0</v>
      </c>
      <c r="H230" s="55" t="s">
        <v>85</v>
      </c>
      <c r="I230" s="55" t="s">
        <v>112</v>
      </c>
      <c r="J230" s="56" t="s">
        <v>113</v>
      </c>
      <c r="K230" s="55" t="s">
        <v>943</v>
      </c>
      <c r="L230" s="55" t="s">
        <v>34</v>
      </c>
      <c r="M230" s="55" t="s">
        <v>89</v>
      </c>
      <c r="N230" s="55" t="s">
        <v>90</v>
      </c>
      <c r="O230" s="55"/>
      <c r="P230" s="55" t="s">
        <v>91</v>
      </c>
      <c r="Q230" s="55" t="s">
        <v>16</v>
      </c>
      <c r="R230" s="55"/>
      <c r="S230" s="55"/>
      <c r="T230" s="55"/>
      <c r="U230" s="55"/>
      <c r="V230" s="55"/>
      <c r="W230" s="55"/>
      <c r="X230" s="57" t="str">
        <f t="shared" si="2"/>
        <v>--223-28-04</v>
      </c>
      <c r="Y230" s="58" t="str">
        <f t="shared" ref="Y230:AC230" si="228">TRIM(SUBSTITUTE(SUBSTITUTE(OFFSET($Q230,0,COLUMN()-COLUMN($AL$1)),CHAR(160)," "),_xludf.UNICHAR(8239)," "))</f>
        <v>#NAME?</v>
      </c>
      <c r="Z230" s="58" t="str">
        <f t="shared" si="228"/>
        <v>#NAME?</v>
      </c>
      <c r="AA230" s="58" t="str">
        <f t="shared" si="228"/>
        <v>#NAME?</v>
      </c>
      <c r="AB230" s="58" t="str">
        <f t="shared" si="228"/>
        <v>#NAME?</v>
      </c>
      <c r="AC230" s="58" t="str">
        <f t="shared" si="228"/>
        <v>#NAME?</v>
      </c>
      <c r="AD230" s="57">
        <f t="shared" si="4"/>
        <v>1</v>
      </c>
      <c r="AE230" s="57" t="str">
        <f t="shared" si="5"/>
        <v>2026-04</v>
      </c>
      <c r="AF230" s="57">
        <f t="shared" si="6"/>
        <v>1</v>
      </c>
      <c r="AG230" s="59">
        <f t="shared" si="7"/>
        <v>1</v>
      </c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</row>
    <row r="231" ht="24.0" customHeight="1">
      <c r="A231" s="53">
        <v>1.0</v>
      </c>
      <c r="B231" s="54" t="s">
        <v>944</v>
      </c>
      <c r="C231" s="55" t="s">
        <v>945</v>
      </c>
      <c r="D231" s="55"/>
      <c r="E231" s="55" t="s">
        <v>946</v>
      </c>
      <c r="F231" s="55" t="s">
        <v>947</v>
      </c>
      <c r="G231" s="55">
        <v>48.0</v>
      </c>
      <c r="H231" s="55" t="s">
        <v>85</v>
      </c>
      <c r="I231" s="55" t="s">
        <v>86</v>
      </c>
      <c r="J231" s="56" t="s">
        <v>87</v>
      </c>
      <c r="K231" s="55" t="s">
        <v>948</v>
      </c>
      <c r="L231" s="55" t="s">
        <v>34</v>
      </c>
      <c r="M231" s="55" t="s">
        <v>89</v>
      </c>
      <c r="N231" s="55" t="s">
        <v>90</v>
      </c>
      <c r="O231" s="55"/>
      <c r="P231" s="55" t="s">
        <v>91</v>
      </c>
      <c r="Q231" s="55" t="s">
        <v>16</v>
      </c>
      <c r="R231" s="55"/>
      <c r="S231" s="55"/>
      <c r="T231" s="55"/>
      <c r="U231" s="55"/>
      <c r="V231" s="55"/>
      <c r="W231" s="55"/>
      <c r="X231" s="57" t="str">
        <f t="shared" si="2"/>
        <v>--224-29-04</v>
      </c>
      <c r="Y231" s="58" t="str">
        <f t="shared" ref="Y231:AC231" si="229">TRIM(SUBSTITUTE(SUBSTITUTE(OFFSET($Q231,0,COLUMN()-COLUMN($AL$1)),CHAR(160)," "),_xludf.UNICHAR(8239)," "))</f>
        <v>#NAME?</v>
      </c>
      <c r="Z231" s="58" t="str">
        <f t="shared" si="229"/>
        <v>#NAME?</v>
      </c>
      <c r="AA231" s="58" t="str">
        <f t="shared" si="229"/>
        <v>#NAME?</v>
      </c>
      <c r="AB231" s="58" t="str">
        <f t="shared" si="229"/>
        <v>#NAME?</v>
      </c>
      <c r="AC231" s="58" t="str">
        <f t="shared" si="229"/>
        <v>#NAME?</v>
      </c>
      <c r="AD231" s="57">
        <f t="shared" si="4"/>
        <v>1</v>
      </c>
      <c r="AE231" s="57" t="str">
        <f t="shared" si="5"/>
        <v>2026-04</v>
      </c>
      <c r="AF231" s="57">
        <f t="shared" si="6"/>
        <v>1</v>
      </c>
      <c r="AG231" s="59">
        <f t="shared" si="7"/>
        <v>1</v>
      </c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</row>
    <row r="232" ht="24.0" customHeight="1">
      <c r="A232" s="53">
        <v>2.0</v>
      </c>
      <c r="B232" s="54" t="s">
        <v>949</v>
      </c>
      <c r="C232" s="55" t="s">
        <v>945</v>
      </c>
      <c r="D232" s="55"/>
      <c r="E232" s="55" t="s">
        <v>950</v>
      </c>
      <c r="F232" s="55" t="s">
        <v>951</v>
      </c>
      <c r="G232" s="55">
        <v>35.0</v>
      </c>
      <c r="H232" s="55" t="s">
        <v>85</v>
      </c>
      <c r="I232" s="55" t="s">
        <v>86</v>
      </c>
      <c r="J232" s="56" t="s">
        <v>87</v>
      </c>
      <c r="K232" s="55" t="s">
        <v>948</v>
      </c>
      <c r="L232" s="55" t="s">
        <v>34</v>
      </c>
      <c r="M232" s="55" t="s">
        <v>89</v>
      </c>
      <c r="N232" s="55" t="s">
        <v>90</v>
      </c>
      <c r="O232" s="55"/>
      <c r="P232" s="55" t="s">
        <v>91</v>
      </c>
      <c r="Q232" s="55"/>
      <c r="R232" s="55" t="s">
        <v>27</v>
      </c>
      <c r="S232" s="55"/>
      <c r="T232" s="55"/>
      <c r="U232" s="55"/>
      <c r="V232" s="55"/>
      <c r="W232" s="55"/>
      <c r="X232" s="57" t="str">
        <f t="shared" si="2"/>
        <v>--225-29-04</v>
      </c>
      <c r="Y232" s="58" t="str">
        <f t="shared" ref="Y232:AC232" si="230">TRIM(SUBSTITUTE(SUBSTITUTE(OFFSET($Q232,0,COLUMN()-COLUMN($AL$1)),CHAR(160)," "),_xludf.UNICHAR(8239)," "))</f>
        <v>#NAME?</v>
      </c>
      <c r="Z232" s="58" t="str">
        <f t="shared" si="230"/>
        <v>#NAME?</v>
      </c>
      <c r="AA232" s="58" t="str">
        <f t="shared" si="230"/>
        <v>#NAME?</v>
      </c>
      <c r="AB232" s="58" t="str">
        <f t="shared" si="230"/>
        <v>#NAME?</v>
      </c>
      <c r="AC232" s="58" t="str">
        <f t="shared" si="230"/>
        <v>#NAME?</v>
      </c>
      <c r="AD232" s="57">
        <f t="shared" si="4"/>
        <v>1</v>
      </c>
      <c r="AE232" s="57" t="str">
        <f t="shared" si="5"/>
        <v>2026-04</v>
      </c>
      <c r="AF232" s="57">
        <f t="shared" si="6"/>
        <v>1</v>
      </c>
      <c r="AG232" s="59">
        <f t="shared" si="7"/>
        <v>1</v>
      </c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</row>
    <row r="233" ht="24.0" customHeight="1">
      <c r="A233" s="53">
        <v>3.0</v>
      </c>
      <c r="B233" s="54" t="s">
        <v>952</v>
      </c>
      <c r="C233" s="55" t="s">
        <v>945</v>
      </c>
      <c r="D233" s="55"/>
      <c r="E233" s="55" t="s">
        <v>953</v>
      </c>
      <c r="F233" s="55" t="s">
        <v>954</v>
      </c>
      <c r="G233" s="55">
        <v>1.0</v>
      </c>
      <c r="H233" s="55" t="s">
        <v>119</v>
      </c>
      <c r="I233" s="55" t="s">
        <v>112</v>
      </c>
      <c r="J233" s="56" t="s">
        <v>113</v>
      </c>
      <c r="K233" s="55" t="s">
        <v>955</v>
      </c>
      <c r="L233" s="55"/>
      <c r="M233" s="55" t="s">
        <v>115</v>
      </c>
      <c r="N233" s="55" t="s">
        <v>90</v>
      </c>
      <c r="O233" s="55"/>
      <c r="P233" s="55" t="s">
        <v>91</v>
      </c>
      <c r="Q233" s="55" t="s">
        <v>4</v>
      </c>
      <c r="R233" s="55"/>
      <c r="S233" s="55"/>
      <c r="T233" s="55"/>
      <c r="U233" s="55"/>
      <c r="V233" s="55"/>
      <c r="W233" s="55"/>
      <c r="X233" s="57" t="str">
        <f t="shared" si="2"/>
        <v>--226-29-04</v>
      </c>
      <c r="Y233" s="58" t="str">
        <f t="shared" ref="Y233:AC233" si="231">TRIM(SUBSTITUTE(SUBSTITUTE(OFFSET($Q233,0,COLUMN()-COLUMN($AL$1)),CHAR(160)," "),_xludf.UNICHAR(8239)," "))</f>
        <v>#NAME?</v>
      </c>
      <c r="Z233" s="58" t="str">
        <f t="shared" si="231"/>
        <v>#NAME?</v>
      </c>
      <c r="AA233" s="58" t="str">
        <f t="shared" si="231"/>
        <v>#NAME?</v>
      </c>
      <c r="AB233" s="58" t="str">
        <f t="shared" si="231"/>
        <v>#NAME?</v>
      </c>
      <c r="AC233" s="58" t="str">
        <f t="shared" si="231"/>
        <v>#NAME?</v>
      </c>
      <c r="AD233" s="57">
        <f t="shared" si="4"/>
        <v>1</v>
      </c>
      <c r="AE233" s="57" t="str">
        <f t="shared" si="5"/>
        <v>2026-04</v>
      </c>
      <c r="AF233" s="57">
        <f t="shared" si="6"/>
        <v>1</v>
      </c>
      <c r="AG233" s="59">
        <f t="shared" si="7"/>
        <v>1</v>
      </c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</row>
    <row r="234" ht="24.0" customHeight="1">
      <c r="A234" s="53">
        <v>4.0</v>
      </c>
      <c r="B234" s="54" t="s">
        <v>956</v>
      </c>
      <c r="C234" s="55" t="s">
        <v>945</v>
      </c>
      <c r="D234" s="55"/>
      <c r="E234" s="55" t="s">
        <v>957</v>
      </c>
      <c r="F234" s="55" t="s">
        <v>958</v>
      </c>
      <c r="G234" s="55">
        <v>29.0</v>
      </c>
      <c r="H234" s="55" t="s">
        <v>85</v>
      </c>
      <c r="I234" s="55" t="s">
        <v>86</v>
      </c>
      <c r="J234" s="56" t="s">
        <v>87</v>
      </c>
      <c r="K234" s="55" t="s">
        <v>959</v>
      </c>
      <c r="L234" s="55" t="s">
        <v>34</v>
      </c>
      <c r="M234" s="55" t="s">
        <v>89</v>
      </c>
      <c r="N234" s="55" t="s">
        <v>90</v>
      </c>
      <c r="O234" s="55"/>
      <c r="P234" s="55" t="s">
        <v>91</v>
      </c>
      <c r="Q234" s="55"/>
      <c r="R234" s="55" t="s">
        <v>5</v>
      </c>
      <c r="S234" s="55"/>
      <c r="T234" s="55"/>
      <c r="U234" s="55" t="s">
        <v>7</v>
      </c>
      <c r="V234" s="55"/>
      <c r="W234" s="55"/>
      <c r="X234" s="57" t="str">
        <f t="shared" si="2"/>
        <v>--227-29-04</v>
      </c>
      <c r="Y234" s="58" t="str">
        <f t="shared" ref="Y234:AC234" si="232">TRIM(SUBSTITUTE(SUBSTITUTE(OFFSET($Q234,0,COLUMN()-COLUMN($AL$1)),CHAR(160)," "),_xludf.UNICHAR(8239)," "))</f>
        <v>#NAME?</v>
      </c>
      <c r="Z234" s="58" t="str">
        <f t="shared" si="232"/>
        <v>#NAME?</v>
      </c>
      <c r="AA234" s="58" t="str">
        <f t="shared" si="232"/>
        <v>#NAME?</v>
      </c>
      <c r="AB234" s="58" t="str">
        <f t="shared" si="232"/>
        <v>#NAME?</v>
      </c>
      <c r="AC234" s="58" t="str">
        <f t="shared" si="232"/>
        <v>#NAME?</v>
      </c>
      <c r="AD234" s="57">
        <f t="shared" si="4"/>
        <v>1</v>
      </c>
      <c r="AE234" s="57" t="str">
        <f t="shared" si="5"/>
        <v>2026-04</v>
      </c>
      <c r="AF234" s="57">
        <f t="shared" si="6"/>
        <v>1</v>
      </c>
      <c r="AG234" s="59">
        <f t="shared" si="7"/>
        <v>1</v>
      </c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</row>
    <row r="235" ht="24.0" customHeight="1">
      <c r="A235" s="53">
        <v>5.0</v>
      </c>
      <c r="B235" s="54" t="s">
        <v>960</v>
      </c>
      <c r="C235" s="55" t="s">
        <v>945</v>
      </c>
      <c r="D235" s="55"/>
      <c r="E235" s="55" t="s">
        <v>961</v>
      </c>
      <c r="F235" s="55" t="s">
        <v>962</v>
      </c>
      <c r="G235" s="55">
        <v>37.0</v>
      </c>
      <c r="H235" s="55" t="s">
        <v>85</v>
      </c>
      <c r="I235" s="55" t="s">
        <v>86</v>
      </c>
      <c r="J235" s="56" t="s">
        <v>87</v>
      </c>
      <c r="K235" s="55" t="s">
        <v>963</v>
      </c>
      <c r="L235" s="55"/>
      <c r="M235" s="55" t="s">
        <v>89</v>
      </c>
      <c r="N235" s="55" t="s">
        <v>90</v>
      </c>
      <c r="O235" s="55"/>
      <c r="P235" s="55" t="s">
        <v>91</v>
      </c>
      <c r="Q235" s="55"/>
      <c r="R235" s="55" t="s">
        <v>5</v>
      </c>
      <c r="S235" s="55"/>
      <c r="T235" s="55"/>
      <c r="U235" s="55" t="s">
        <v>7</v>
      </c>
      <c r="V235" s="55"/>
      <c r="W235" s="55"/>
      <c r="X235" s="57" t="str">
        <f t="shared" si="2"/>
        <v>--228-29-04</v>
      </c>
      <c r="Y235" s="58" t="str">
        <f t="shared" ref="Y235:AC235" si="233">TRIM(SUBSTITUTE(SUBSTITUTE(OFFSET($Q235,0,COLUMN()-COLUMN($AL$1)),CHAR(160)," "),_xludf.UNICHAR(8239)," "))</f>
        <v>#NAME?</v>
      </c>
      <c r="Z235" s="58" t="str">
        <f t="shared" si="233"/>
        <v>#NAME?</v>
      </c>
      <c r="AA235" s="58" t="str">
        <f t="shared" si="233"/>
        <v>#NAME?</v>
      </c>
      <c r="AB235" s="58" t="str">
        <f t="shared" si="233"/>
        <v>#NAME?</v>
      </c>
      <c r="AC235" s="58" t="str">
        <f t="shared" si="233"/>
        <v>#NAME?</v>
      </c>
      <c r="AD235" s="57">
        <f t="shared" si="4"/>
        <v>1</v>
      </c>
      <c r="AE235" s="57" t="str">
        <f t="shared" si="5"/>
        <v>2026-04</v>
      </c>
      <c r="AF235" s="57">
        <f t="shared" si="6"/>
        <v>1</v>
      </c>
      <c r="AG235" s="59">
        <f t="shared" si="7"/>
        <v>1</v>
      </c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</row>
    <row r="236" ht="24.0" customHeight="1">
      <c r="A236" s="53">
        <v>6.0</v>
      </c>
      <c r="B236" s="54" t="s">
        <v>81</v>
      </c>
      <c r="C236" s="55" t="s">
        <v>945</v>
      </c>
      <c r="D236" s="60">
        <v>46138.0</v>
      </c>
      <c r="E236" s="55" t="s">
        <v>83</v>
      </c>
      <c r="F236" s="55" t="s">
        <v>84</v>
      </c>
      <c r="G236" s="55">
        <v>37.0</v>
      </c>
      <c r="H236" s="55" t="s">
        <v>85</v>
      </c>
      <c r="I236" s="55" t="s">
        <v>86</v>
      </c>
      <c r="J236" s="56" t="s">
        <v>87</v>
      </c>
      <c r="K236" s="55" t="s">
        <v>88</v>
      </c>
      <c r="L236" s="55" t="s">
        <v>44</v>
      </c>
      <c r="M236" s="55" t="s">
        <v>89</v>
      </c>
      <c r="N236" s="55" t="s">
        <v>90</v>
      </c>
      <c r="O236" s="55"/>
      <c r="P236" s="55" t="s">
        <v>91</v>
      </c>
      <c r="Q236" s="55"/>
      <c r="R236" s="55" t="s">
        <v>36</v>
      </c>
      <c r="S236" s="55"/>
      <c r="T236" s="55"/>
      <c r="U236" s="55"/>
      <c r="V236" s="55"/>
      <c r="W236" s="55"/>
      <c r="X236" s="57" t="str">
        <f t="shared" si="2"/>
        <v>--229-29-04</v>
      </c>
      <c r="Y236" s="58" t="str">
        <f t="shared" ref="Y236:AC236" si="234">TRIM(SUBSTITUTE(SUBSTITUTE(OFFSET($Q236,0,COLUMN()-COLUMN($AL$1)),CHAR(160)," "),_xludf.UNICHAR(8239)," "))</f>
        <v>#NAME?</v>
      </c>
      <c r="Z236" s="58" t="str">
        <f t="shared" si="234"/>
        <v>#NAME?</v>
      </c>
      <c r="AA236" s="58" t="str">
        <f t="shared" si="234"/>
        <v>#NAME?</v>
      </c>
      <c r="AB236" s="58" t="str">
        <f t="shared" si="234"/>
        <v>#NAME?</v>
      </c>
      <c r="AC236" s="58" t="str">
        <f t="shared" si="234"/>
        <v>#NAME?</v>
      </c>
      <c r="AD236" s="57">
        <f t="shared" si="4"/>
        <v>1</v>
      </c>
      <c r="AE236" s="57" t="str">
        <f t="shared" si="5"/>
        <v>2026-04</v>
      </c>
      <c r="AF236" s="57">
        <f t="shared" si="6"/>
        <v>0</v>
      </c>
      <c r="AG236" s="59">
        <f t="shared" si="7"/>
        <v>0</v>
      </c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</row>
    <row r="237" ht="24.0" customHeight="1">
      <c r="A237" s="53">
        <v>7.0</v>
      </c>
      <c r="B237" s="54" t="s">
        <v>964</v>
      </c>
      <c r="C237" s="55" t="s">
        <v>945</v>
      </c>
      <c r="D237" s="55"/>
      <c r="E237" s="55" t="s">
        <v>965</v>
      </c>
      <c r="F237" s="55" t="s">
        <v>966</v>
      </c>
      <c r="G237" s="55">
        <v>38.0</v>
      </c>
      <c r="H237" s="55" t="s">
        <v>85</v>
      </c>
      <c r="I237" s="55" t="s">
        <v>86</v>
      </c>
      <c r="J237" s="56" t="s">
        <v>87</v>
      </c>
      <c r="K237" s="55" t="s">
        <v>967</v>
      </c>
      <c r="L237" s="55" t="s">
        <v>34</v>
      </c>
      <c r="M237" s="55" t="s">
        <v>89</v>
      </c>
      <c r="N237" s="55" t="s">
        <v>90</v>
      </c>
      <c r="O237" s="55"/>
      <c r="P237" s="55" t="s">
        <v>91</v>
      </c>
      <c r="Q237" s="55"/>
      <c r="R237" s="55" t="s">
        <v>5</v>
      </c>
      <c r="S237" s="55"/>
      <c r="T237" s="55"/>
      <c r="U237" s="55" t="s">
        <v>7</v>
      </c>
      <c r="V237" s="55"/>
      <c r="W237" s="55"/>
      <c r="X237" s="57" t="str">
        <f t="shared" si="2"/>
        <v>--230-29-04</v>
      </c>
      <c r="Y237" s="58" t="str">
        <f t="shared" ref="Y237:AC237" si="235">TRIM(SUBSTITUTE(SUBSTITUTE(OFFSET($Q237,0,COLUMN()-COLUMN($AL$1)),CHAR(160)," "),_xludf.UNICHAR(8239)," "))</f>
        <v>#NAME?</v>
      </c>
      <c r="Z237" s="58" t="str">
        <f t="shared" si="235"/>
        <v>#NAME?</v>
      </c>
      <c r="AA237" s="58" t="str">
        <f t="shared" si="235"/>
        <v>#NAME?</v>
      </c>
      <c r="AB237" s="58" t="str">
        <f t="shared" si="235"/>
        <v>#NAME?</v>
      </c>
      <c r="AC237" s="58" t="str">
        <f t="shared" si="235"/>
        <v>#NAME?</v>
      </c>
      <c r="AD237" s="57">
        <f t="shared" si="4"/>
        <v>1</v>
      </c>
      <c r="AE237" s="57" t="str">
        <f t="shared" si="5"/>
        <v>2026-04</v>
      </c>
      <c r="AF237" s="57">
        <f t="shared" si="6"/>
        <v>1</v>
      </c>
      <c r="AG237" s="59">
        <f t="shared" si="7"/>
        <v>1</v>
      </c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</row>
    <row r="238" ht="24.0" customHeight="1">
      <c r="A238" s="53">
        <v>8.0</v>
      </c>
      <c r="B238" s="54" t="s">
        <v>968</v>
      </c>
      <c r="C238" s="55" t="s">
        <v>945</v>
      </c>
      <c r="D238" s="55"/>
      <c r="E238" s="55" t="s">
        <v>969</v>
      </c>
      <c r="F238" s="55" t="s">
        <v>970</v>
      </c>
      <c r="G238" s="55">
        <v>25.0</v>
      </c>
      <c r="H238" s="55" t="s">
        <v>85</v>
      </c>
      <c r="I238" s="55" t="s">
        <v>86</v>
      </c>
      <c r="J238" s="56" t="s">
        <v>87</v>
      </c>
      <c r="K238" s="55" t="s">
        <v>971</v>
      </c>
      <c r="L238" s="55" t="s">
        <v>34</v>
      </c>
      <c r="M238" s="55" t="s">
        <v>89</v>
      </c>
      <c r="N238" s="55" t="s">
        <v>90</v>
      </c>
      <c r="O238" s="55"/>
      <c r="P238" s="55" t="s">
        <v>91</v>
      </c>
      <c r="Q238" s="55"/>
      <c r="R238" s="55" t="s">
        <v>5</v>
      </c>
      <c r="S238" s="55"/>
      <c r="T238" s="55"/>
      <c r="U238" s="55" t="s">
        <v>7</v>
      </c>
      <c r="V238" s="55"/>
      <c r="W238" s="55"/>
      <c r="X238" s="57" t="str">
        <f t="shared" si="2"/>
        <v>--231-29-04</v>
      </c>
      <c r="Y238" s="58" t="str">
        <f t="shared" ref="Y238:AC238" si="236">TRIM(SUBSTITUTE(SUBSTITUTE(OFFSET($Q238,0,COLUMN()-COLUMN($AL$1)),CHAR(160)," "),_xludf.UNICHAR(8239)," "))</f>
        <v>#NAME?</v>
      </c>
      <c r="Z238" s="58" t="str">
        <f t="shared" si="236"/>
        <v>#NAME?</v>
      </c>
      <c r="AA238" s="58" t="str">
        <f t="shared" si="236"/>
        <v>#NAME?</v>
      </c>
      <c r="AB238" s="58" t="str">
        <f t="shared" si="236"/>
        <v>#NAME?</v>
      </c>
      <c r="AC238" s="58" t="str">
        <f t="shared" si="236"/>
        <v>#NAME?</v>
      </c>
      <c r="AD238" s="57">
        <f t="shared" si="4"/>
        <v>1</v>
      </c>
      <c r="AE238" s="57" t="str">
        <f t="shared" si="5"/>
        <v>2026-04</v>
      </c>
      <c r="AF238" s="57">
        <f t="shared" si="6"/>
        <v>1</v>
      </c>
      <c r="AG238" s="59">
        <f t="shared" si="7"/>
        <v>1</v>
      </c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</row>
    <row r="239" ht="24.0" customHeight="1">
      <c r="A239" s="53">
        <v>9.0</v>
      </c>
      <c r="B239" s="54" t="s">
        <v>972</v>
      </c>
      <c r="C239" s="55" t="s">
        <v>945</v>
      </c>
      <c r="D239" s="55"/>
      <c r="E239" s="55" t="s">
        <v>973</v>
      </c>
      <c r="F239" s="55" t="s">
        <v>974</v>
      </c>
      <c r="G239" s="55">
        <v>3.0</v>
      </c>
      <c r="H239" s="55" t="s">
        <v>119</v>
      </c>
      <c r="I239" s="55" t="s">
        <v>112</v>
      </c>
      <c r="J239" s="56" t="s">
        <v>113</v>
      </c>
      <c r="K239" s="55" t="s">
        <v>975</v>
      </c>
      <c r="L239" s="55" t="s">
        <v>34</v>
      </c>
      <c r="M239" s="55" t="s">
        <v>115</v>
      </c>
      <c r="N239" s="55" t="s">
        <v>90</v>
      </c>
      <c r="O239" s="55"/>
      <c r="P239" s="55" t="s">
        <v>91</v>
      </c>
      <c r="Q239" s="55" t="s">
        <v>16</v>
      </c>
      <c r="R239" s="55"/>
      <c r="S239" s="55"/>
      <c r="T239" s="55"/>
      <c r="U239" s="55"/>
      <c r="V239" s="55"/>
      <c r="W239" s="55"/>
      <c r="X239" s="57" t="str">
        <f t="shared" si="2"/>
        <v>--232-29-04</v>
      </c>
      <c r="Y239" s="58" t="str">
        <f t="shared" ref="Y239:AC239" si="237">TRIM(SUBSTITUTE(SUBSTITUTE(OFFSET($Q239,0,COLUMN()-COLUMN($AL$1)),CHAR(160)," "),_xludf.UNICHAR(8239)," "))</f>
        <v>#NAME?</v>
      </c>
      <c r="Z239" s="58" t="str">
        <f t="shared" si="237"/>
        <v>#NAME?</v>
      </c>
      <c r="AA239" s="58" t="str">
        <f t="shared" si="237"/>
        <v>#NAME?</v>
      </c>
      <c r="AB239" s="58" t="str">
        <f t="shared" si="237"/>
        <v>#NAME?</v>
      </c>
      <c r="AC239" s="58" t="str">
        <f t="shared" si="237"/>
        <v>#NAME?</v>
      </c>
      <c r="AD239" s="57">
        <f t="shared" si="4"/>
        <v>1</v>
      </c>
      <c r="AE239" s="57" t="str">
        <f t="shared" si="5"/>
        <v>2026-04</v>
      </c>
      <c r="AF239" s="57">
        <f t="shared" si="6"/>
        <v>1</v>
      </c>
      <c r="AG239" s="59">
        <f t="shared" si="7"/>
        <v>1</v>
      </c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</row>
    <row r="240" ht="24.0" customHeight="1">
      <c r="A240" s="53">
        <v>10.0</v>
      </c>
      <c r="B240" s="54" t="s">
        <v>976</v>
      </c>
      <c r="C240" s="55" t="s">
        <v>945</v>
      </c>
      <c r="D240" s="55"/>
      <c r="E240" s="55" t="s">
        <v>977</v>
      </c>
      <c r="F240" s="55" t="s">
        <v>978</v>
      </c>
      <c r="G240" s="55">
        <v>45.0</v>
      </c>
      <c r="H240" s="55" t="s">
        <v>85</v>
      </c>
      <c r="I240" s="55" t="s">
        <v>86</v>
      </c>
      <c r="J240" s="56" t="s">
        <v>87</v>
      </c>
      <c r="K240" s="55" t="s">
        <v>979</v>
      </c>
      <c r="L240" s="55" t="s">
        <v>34</v>
      </c>
      <c r="M240" s="55" t="s">
        <v>89</v>
      </c>
      <c r="N240" s="55" t="s">
        <v>90</v>
      </c>
      <c r="O240" s="55"/>
      <c r="P240" s="55" t="s">
        <v>91</v>
      </c>
      <c r="Q240" s="55" t="s">
        <v>4</v>
      </c>
      <c r="R240" s="55" t="s">
        <v>36</v>
      </c>
      <c r="S240" s="55"/>
      <c r="T240" s="55"/>
      <c r="U240" s="55"/>
      <c r="V240" s="55"/>
      <c r="W240" s="55"/>
      <c r="X240" s="57" t="str">
        <f t="shared" si="2"/>
        <v>--233-29-04</v>
      </c>
      <c r="Y240" s="58" t="str">
        <f t="shared" ref="Y240:AC240" si="238">TRIM(SUBSTITUTE(SUBSTITUTE(OFFSET($Q240,0,COLUMN()-COLUMN($AL$1)),CHAR(160)," "),_xludf.UNICHAR(8239)," "))</f>
        <v>#NAME?</v>
      </c>
      <c r="Z240" s="58" t="str">
        <f t="shared" si="238"/>
        <v>#NAME?</v>
      </c>
      <c r="AA240" s="58" t="str">
        <f t="shared" si="238"/>
        <v>#NAME?</v>
      </c>
      <c r="AB240" s="58" t="str">
        <f t="shared" si="238"/>
        <v>#NAME?</v>
      </c>
      <c r="AC240" s="58" t="str">
        <f t="shared" si="238"/>
        <v>#NAME?</v>
      </c>
      <c r="AD240" s="57">
        <f t="shared" si="4"/>
        <v>1</v>
      </c>
      <c r="AE240" s="57" t="str">
        <f t="shared" si="5"/>
        <v>2026-04</v>
      </c>
      <c r="AF240" s="57">
        <f t="shared" si="6"/>
        <v>1</v>
      </c>
      <c r="AG240" s="59">
        <f t="shared" si="7"/>
        <v>1</v>
      </c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</row>
    <row r="241" ht="24.0" customHeight="1">
      <c r="A241" s="53">
        <v>11.0</v>
      </c>
      <c r="B241" s="54" t="s">
        <v>980</v>
      </c>
      <c r="C241" s="55" t="s">
        <v>945</v>
      </c>
      <c r="D241" s="55"/>
      <c r="E241" s="55" t="s">
        <v>981</v>
      </c>
      <c r="F241" s="55" t="s">
        <v>982</v>
      </c>
      <c r="G241" s="55">
        <v>32.0</v>
      </c>
      <c r="H241" s="55" t="s">
        <v>85</v>
      </c>
      <c r="I241" s="55" t="s">
        <v>112</v>
      </c>
      <c r="J241" s="56" t="s">
        <v>113</v>
      </c>
      <c r="K241" s="55" t="s">
        <v>983</v>
      </c>
      <c r="L241" s="55" t="s">
        <v>34</v>
      </c>
      <c r="M241" s="55" t="s">
        <v>89</v>
      </c>
      <c r="N241" s="55" t="s">
        <v>90</v>
      </c>
      <c r="O241" s="55"/>
      <c r="P241" s="55" t="s">
        <v>91</v>
      </c>
      <c r="Q241" s="55" t="s">
        <v>16</v>
      </c>
      <c r="R241" s="55"/>
      <c r="S241" s="55"/>
      <c r="T241" s="55"/>
      <c r="U241" s="55"/>
      <c r="V241" s="55"/>
      <c r="W241" s="55"/>
      <c r="X241" s="57" t="str">
        <f t="shared" si="2"/>
        <v>--234-29-04</v>
      </c>
      <c r="Y241" s="58" t="str">
        <f t="shared" ref="Y241:AC241" si="239">TRIM(SUBSTITUTE(SUBSTITUTE(OFFSET($Q241,0,COLUMN()-COLUMN($AL$1)),CHAR(160)," "),_xludf.UNICHAR(8239)," "))</f>
        <v>#NAME?</v>
      </c>
      <c r="Z241" s="58" t="str">
        <f t="shared" si="239"/>
        <v>#NAME?</v>
      </c>
      <c r="AA241" s="58" t="str">
        <f t="shared" si="239"/>
        <v>#NAME?</v>
      </c>
      <c r="AB241" s="58" t="str">
        <f t="shared" si="239"/>
        <v>#NAME?</v>
      </c>
      <c r="AC241" s="58" t="str">
        <f t="shared" si="239"/>
        <v>#NAME?</v>
      </c>
      <c r="AD241" s="57">
        <f t="shared" si="4"/>
        <v>1</v>
      </c>
      <c r="AE241" s="57" t="str">
        <f t="shared" si="5"/>
        <v>2026-04</v>
      </c>
      <c r="AF241" s="57">
        <f t="shared" si="6"/>
        <v>1</v>
      </c>
      <c r="AG241" s="59">
        <f t="shared" si="7"/>
        <v>1</v>
      </c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</row>
    <row r="242" ht="24.0" customHeight="1">
      <c r="A242" s="53">
        <v>12.0</v>
      </c>
      <c r="B242" s="54" t="s">
        <v>984</v>
      </c>
      <c r="C242" s="55" t="s">
        <v>945</v>
      </c>
      <c r="D242" s="55"/>
      <c r="E242" s="55" t="s">
        <v>985</v>
      </c>
      <c r="F242" s="55" t="s">
        <v>986</v>
      </c>
      <c r="G242" s="55">
        <v>24.0</v>
      </c>
      <c r="H242" s="55" t="s">
        <v>85</v>
      </c>
      <c r="I242" s="55" t="s">
        <v>86</v>
      </c>
      <c r="J242" s="56" t="s">
        <v>87</v>
      </c>
      <c r="K242" s="55" t="s">
        <v>987</v>
      </c>
      <c r="L242" s="55" t="s">
        <v>34</v>
      </c>
      <c r="M242" s="55" t="s">
        <v>89</v>
      </c>
      <c r="N242" s="55" t="s">
        <v>90</v>
      </c>
      <c r="O242" s="55"/>
      <c r="P242" s="55" t="s">
        <v>91</v>
      </c>
      <c r="Q242" s="55"/>
      <c r="R242" s="55" t="s">
        <v>27</v>
      </c>
      <c r="S242" s="55"/>
      <c r="T242" s="55"/>
      <c r="U242" s="55"/>
      <c r="V242" s="55"/>
      <c r="W242" s="55"/>
      <c r="X242" s="57" t="str">
        <f t="shared" si="2"/>
        <v>--235-29-04</v>
      </c>
      <c r="Y242" s="58" t="str">
        <f t="shared" ref="Y242:AC242" si="240">TRIM(SUBSTITUTE(SUBSTITUTE(OFFSET($Q242,0,COLUMN()-COLUMN($AL$1)),CHAR(160)," "),_xludf.UNICHAR(8239)," "))</f>
        <v>#NAME?</v>
      </c>
      <c r="Z242" s="58" t="str">
        <f t="shared" si="240"/>
        <v>#NAME?</v>
      </c>
      <c r="AA242" s="58" t="str">
        <f t="shared" si="240"/>
        <v>#NAME?</v>
      </c>
      <c r="AB242" s="58" t="str">
        <f t="shared" si="240"/>
        <v>#NAME?</v>
      </c>
      <c r="AC242" s="58" t="str">
        <f t="shared" si="240"/>
        <v>#NAME?</v>
      </c>
      <c r="AD242" s="57">
        <f t="shared" si="4"/>
        <v>1</v>
      </c>
      <c r="AE242" s="57" t="str">
        <f t="shared" si="5"/>
        <v>2026-04</v>
      </c>
      <c r="AF242" s="57">
        <f t="shared" si="6"/>
        <v>1</v>
      </c>
      <c r="AG242" s="59">
        <f t="shared" si="7"/>
        <v>1</v>
      </c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</row>
    <row r="243" ht="24.0" customHeight="1">
      <c r="A243" s="53">
        <v>13.0</v>
      </c>
      <c r="B243" s="54" t="s">
        <v>988</v>
      </c>
      <c r="C243" s="55" t="s">
        <v>945</v>
      </c>
      <c r="D243" s="55"/>
      <c r="E243" s="55" t="s">
        <v>989</v>
      </c>
      <c r="F243" s="55" t="s">
        <v>990</v>
      </c>
      <c r="G243" s="55">
        <v>20.0</v>
      </c>
      <c r="H243" s="55" t="s">
        <v>85</v>
      </c>
      <c r="I243" s="55" t="s">
        <v>86</v>
      </c>
      <c r="J243" s="56" t="s">
        <v>87</v>
      </c>
      <c r="K243" s="55" t="s">
        <v>991</v>
      </c>
      <c r="L243" s="55" t="s">
        <v>34</v>
      </c>
      <c r="M243" s="55" t="s">
        <v>89</v>
      </c>
      <c r="N243" s="55" t="s">
        <v>90</v>
      </c>
      <c r="O243" s="55"/>
      <c r="P243" s="55" t="s">
        <v>91</v>
      </c>
      <c r="Q243" s="55"/>
      <c r="R243" s="55" t="s">
        <v>5</v>
      </c>
      <c r="S243" s="55"/>
      <c r="T243" s="55"/>
      <c r="U243" s="55" t="s">
        <v>7</v>
      </c>
      <c r="V243" s="55"/>
      <c r="W243" s="55"/>
      <c r="X243" s="57" t="str">
        <f t="shared" si="2"/>
        <v>--236-29-04</v>
      </c>
      <c r="Y243" s="58" t="str">
        <f t="shared" ref="Y243:AC243" si="241">TRIM(SUBSTITUTE(SUBSTITUTE(OFFSET($Q243,0,COLUMN()-COLUMN($AL$1)),CHAR(160)," "),_xludf.UNICHAR(8239)," "))</f>
        <v>#NAME?</v>
      </c>
      <c r="Z243" s="58" t="str">
        <f t="shared" si="241"/>
        <v>#NAME?</v>
      </c>
      <c r="AA243" s="58" t="str">
        <f t="shared" si="241"/>
        <v>#NAME?</v>
      </c>
      <c r="AB243" s="58" t="str">
        <f t="shared" si="241"/>
        <v>#NAME?</v>
      </c>
      <c r="AC243" s="58" t="str">
        <f t="shared" si="241"/>
        <v>#NAME?</v>
      </c>
      <c r="AD243" s="57">
        <f t="shared" si="4"/>
        <v>1</v>
      </c>
      <c r="AE243" s="57" t="str">
        <f t="shared" si="5"/>
        <v>2026-04</v>
      </c>
      <c r="AF243" s="57">
        <f t="shared" si="6"/>
        <v>1</v>
      </c>
      <c r="AG243" s="59">
        <f t="shared" si="7"/>
        <v>1</v>
      </c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</row>
    <row r="244" ht="24.0" customHeight="1">
      <c r="A244" s="53">
        <v>14.0</v>
      </c>
      <c r="B244" s="54" t="s">
        <v>992</v>
      </c>
      <c r="C244" s="55" t="s">
        <v>945</v>
      </c>
      <c r="D244" s="55"/>
      <c r="E244" s="55" t="s">
        <v>993</v>
      </c>
      <c r="F244" s="55" t="s">
        <v>994</v>
      </c>
      <c r="G244" s="55">
        <v>14.0</v>
      </c>
      <c r="H244" s="55" t="s">
        <v>111</v>
      </c>
      <c r="I244" s="55" t="s">
        <v>86</v>
      </c>
      <c r="J244" s="56" t="s">
        <v>87</v>
      </c>
      <c r="K244" s="55"/>
      <c r="L244" s="55" t="s">
        <v>34</v>
      </c>
      <c r="M244" s="55" t="s">
        <v>133</v>
      </c>
      <c r="N244" s="55" t="s">
        <v>90</v>
      </c>
      <c r="O244" s="55"/>
      <c r="P244" s="55" t="s">
        <v>91</v>
      </c>
      <c r="Q244" s="55" t="s">
        <v>4</v>
      </c>
      <c r="R244" s="55"/>
      <c r="S244" s="55"/>
      <c r="T244" s="55"/>
      <c r="U244" s="55"/>
      <c r="V244" s="55"/>
      <c r="W244" s="55"/>
      <c r="X244" s="57" t="str">
        <f t="shared" si="2"/>
        <v>--237-29-04</v>
      </c>
      <c r="Y244" s="58" t="str">
        <f t="shared" ref="Y244:AC244" si="242">TRIM(SUBSTITUTE(SUBSTITUTE(OFFSET($Q244,0,COLUMN()-COLUMN($AL$1)),CHAR(160)," "),_xludf.UNICHAR(8239)," "))</f>
        <v>#NAME?</v>
      </c>
      <c r="Z244" s="58" t="str">
        <f t="shared" si="242"/>
        <v>#NAME?</v>
      </c>
      <c r="AA244" s="58" t="str">
        <f t="shared" si="242"/>
        <v>#NAME?</v>
      </c>
      <c r="AB244" s="58" t="str">
        <f t="shared" si="242"/>
        <v>#NAME?</v>
      </c>
      <c r="AC244" s="58" t="str">
        <f t="shared" si="242"/>
        <v>#NAME?</v>
      </c>
      <c r="AD244" s="57">
        <f t="shared" si="4"/>
        <v>1</v>
      </c>
      <c r="AE244" s="57" t="str">
        <f t="shared" si="5"/>
        <v>2026-04</v>
      </c>
      <c r="AF244" s="57">
        <f t="shared" si="6"/>
        <v>1</v>
      </c>
      <c r="AG244" s="59">
        <f t="shared" si="7"/>
        <v>1</v>
      </c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</row>
    <row r="245" ht="24.0" customHeight="1">
      <c r="A245" s="53">
        <v>15.0</v>
      </c>
      <c r="B245" s="54" t="s">
        <v>995</v>
      </c>
      <c r="C245" s="55" t="s">
        <v>945</v>
      </c>
      <c r="D245" s="55"/>
      <c r="E245" s="55" t="s">
        <v>996</v>
      </c>
      <c r="F245" s="55" t="s">
        <v>997</v>
      </c>
      <c r="G245" s="55">
        <v>1.0</v>
      </c>
      <c r="H245" s="55" t="s">
        <v>119</v>
      </c>
      <c r="I245" s="55" t="s">
        <v>112</v>
      </c>
      <c r="J245" s="56" t="s">
        <v>113</v>
      </c>
      <c r="K245" s="55" t="s">
        <v>987</v>
      </c>
      <c r="L245" s="55" t="s">
        <v>34</v>
      </c>
      <c r="M245" s="55" t="s">
        <v>115</v>
      </c>
      <c r="N245" s="55" t="s">
        <v>90</v>
      </c>
      <c r="O245" s="55"/>
      <c r="P245" s="55" t="s">
        <v>91</v>
      </c>
      <c r="Q245" s="55" t="s">
        <v>16</v>
      </c>
      <c r="R245" s="55"/>
      <c r="S245" s="55"/>
      <c r="T245" s="55"/>
      <c r="U245" s="55"/>
      <c r="V245" s="55"/>
      <c r="W245" s="55"/>
      <c r="X245" s="57" t="str">
        <f t="shared" si="2"/>
        <v>--238-29-04</v>
      </c>
      <c r="Y245" s="58" t="str">
        <f t="shared" ref="Y245:AC245" si="243">TRIM(SUBSTITUTE(SUBSTITUTE(OFFSET($Q245,0,COLUMN()-COLUMN($AL$1)),CHAR(160)," "),_xludf.UNICHAR(8239)," "))</f>
        <v>#NAME?</v>
      </c>
      <c r="Z245" s="58" t="str">
        <f t="shared" si="243"/>
        <v>#NAME?</v>
      </c>
      <c r="AA245" s="58" t="str">
        <f t="shared" si="243"/>
        <v>#NAME?</v>
      </c>
      <c r="AB245" s="58" t="str">
        <f t="shared" si="243"/>
        <v>#NAME?</v>
      </c>
      <c r="AC245" s="58" t="str">
        <f t="shared" si="243"/>
        <v>#NAME?</v>
      </c>
      <c r="AD245" s="57">
        <f t="shared" si="4"/>
        <v>1</v>
      </c>
      <c r="AE245" s="57" t="str">
        <f t="shared" si="5"/>
        <v>2026-04</v>
      </c>
      <c r="AF245" s="57">
        <f t="shared" si="6"/>
        <v>1</v>
      </c>
      <c r="AG245" s="59">
        <f t="shared" si="7"/>
        <v>1</v>
      </c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</row>
    <row r="246" ht="24.0" customHeight="1">
      <c r="A246" s="53">
        <v>16.0</v>
      </c>
      <c r="B246" s="54" t="s">
        <v>998</v>
      </c>
      <c r="C246" s="55" t="s">
        <v>945</v>
      </c>
      <c r="D246" s="55"/>
      <c r="E246" s="55" t="s">
        <v>999</v>
      </c>
      <c r="F246" s="55" t="s">
        <v>1000</v>
      </c>
      <c r="G246" s="55">
        <v>44.0</v>
      </c>
      <c r="H246" s="55" t="s">
        <v>85</v>
      </c>
      <c r="I246" s="55" t="s">
        <v>86</v>
      </c>
      <c r="J246" s="56" t="s">
        <v>87</v>
      </c>
      <c r="K246" s="55" t="s">
        <v>1001</v>
      </c>
      <c r="L246" s="55" t="s">
        <v>34</v>
      </c>
      <c r="M246" s="55" t="s">
        <v>89</v>
      </c>
      <c r="N246" s="55" t="s">
        <v>90</v>
      </c>
      <c r="O246" s="55"/>
      <c r="P246" s="55" t="s">
        <v>91</v>
      </c>
      <c r="Q246" s="55" t="s">
        <v>16</v>
      </c>
      <c r="R246" s="55"/>
      <c r="S246" s="55"/>
      <c r="T246" s="55"/>
      <c r="U246" s="55"/>
      <c r="V246" s="55"/>
      <c r="W246" s="55"/>
      <c r="X246" s="57" t="str">
        <f t="shared" si="2"/>
        <v>--239-29-04</v>
      </c>
      <c r="Y246" s="58" t="str">
        <f t="shared" ref="Y246:AC246" si="244">TRIM(SUBSTITUTE(SUBSTITUTE(OFFSET($Q246,0,COLUMN()-COLUMN($AL$1)),CHAR(160)," "),_xludf.UNICHAR(8239)," "))</f>
        <v>#NAME?</v>
      </c>
      <c r="Z246" s="58" t="str">
        <f t="shared" si="244"/>
        <v>#NAME?</v>
      </c>
      <c r="AA246" s="58" t="str">
        <f t="shared" si="244"/>
        <v>#NAME?</v>
      </c>
      <c r="AB246" s="58" t="str">
        <f t="shared" si="244"/>
        <v>#NAME?</v>
      </c>
      <c r="AC246" s="58" t="str">
        <f t="shared" si="244"/>
        <v>#NAME?</v>
      </c>
      <c r="AD246" s="57">
        <f t="shared" si="4"/>
        <v>1</v>
      </c>
      <c r="AE246" s="57" t="str">
        <f t="shared" si="5"/>
        <v>2026-04</v>
      </c>
      <c r="AF246" s="57">
        <f t="shared" si="6"/>
        <v>1</v>
      </c>
      <c r="AG246" s="59">
        <f t="shared" si="7"/>
        <v>1</v>
      </c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</row>
    <row r="247" ht="24.0" customHeight="1">
      <c r="A247" s="53">
        <v>17.0</v>
      </c>
      <c r="B247" s="54" t="s">
        <v>1002</v>
      </c>
      <c r="C247" s="55" t="s">
        <v>945</v>
      </c>
      <c r="D247" s="55"/>
      <c r="E247" s="55" t="s">
        <v>1003</v>
      </c>
      <c r="F247" s="55" t="s">
        <v>1004</v>
      </c>
      <c r="G247" s="55">
        <v>7.0</v>
      </c>
      <c r="H247" s="55" t="s">
        <v>111</v>
      </c>
      <c r="I247" s="55" t="s">
        <v>112</v>
      </c>
      <c r="J247" s="56" t="s">
        <v>113</v>
      </c>
      <c r="K247" s="55" t="s">
        <v>1001</v>
      </c>
      <c r="L247" s="55" t="s">
        <v>34</v>
      </c>
      <c r="M247" s="55" t="s">
        <v>115</v>
      </c>
      <c r="N247" s="55" t="s">
        <v>90</v>
      </c>
      <c r="O247" s="55"/>
      <c r="P247" s="55" t="s">
        <v>91</v>
      </c>
      <c r="Q247" s="55" t="s">
        <v>16</v>
      </c>
      <c r="R247" s="55"/>
      <c r="S247" s="55"/>
      <c r="T247" s="55"/>
      <c r="U247" s="55"/>
      <c r="V247" s="55"/>
      <c r="W247" s="55"/>
      <c r="X247" s="57" t="str">
        <f t="shared" si="2"/>
        <v>--240-29-04</v>
      </c>
      <c r="Y247" s="58" t="str">
        <f t="shared" ref="Y247:AC247" si="245">TRIM(SUBSTITUTE(SUBSTITUTE(OFFSET($Q247,0,COLUMN()-COLUMN($AL$1)),CHAR(160)," "),_xludf.UNICHAR(8239)," "))</f>
        <v>#NAME?</v>
      </c>
      <c r="Z247" s="58" t="str">
        <f t="shared" si="245"/>
        <v>#NAME?</v>
      </c>
      <c r="AA247" s="58" t="str">
        <f t="shared" si="245"/>
        <v>#NAME?</v>
      </c>
      <c r="AB247" s="58" t="str">
        <f t="shared" si="245"/>
        <v>#NAME?</v>
      </c>
      <c r="AC247" s="58" t="str">
        <f t="shared" si="245"/>
        <v>#NAME?</v>
      </c>
      <c r="AD247" s="57">
        <f t="shared" si="4"/>
        <v>1</v>
      </c>
      <c r="AE247" s="57" t="str">
        <f t="shared" si="5"/>
        <v>2026-04</v>
      </c>
      <c r="AF247" s="57">
        <f t="shared" si="6"/>
        <v>1</v>
      </c>
      <c r="AG247" s="59">
        <f t="shared" si="7"/>
        <v>1</v>
      </c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</row>
    <row r="248" ht="24.0" customHeight="1">
      <c r="A248" s="53">
        <v>18.0</v>
      </c>
      <c r="B248" s="54" t="s">
        <v>1005</v>
      </c>
      <c r="C248" s="55" t="s">
        <v>945</v>
      </c>
      <c r="D248" s="55"/>
      <c r="E248" s="55" t="s">
        <v>1006</v>
      </c>
      <c r="F248" s="55" t="s">
        <v>1007</v>
      </c>
      <c r="G248" s="55">
        <v>15.0</v>
      </c>
      <c r="H248" s="55" t="s">
        <v>111</v>
      </c>
      <c r="I248" s="55" t="s">
        <v>86</v>
      </c>
      <c r="J248" s="56" t="s">
        <v>87</v>
      </c>
      <c r="K248" s="55" t="s">
        <v>1008</v>
      </c>
      <c r="L248" s="55" t="s">
        <v>34</v>
      </c>
      <c r="M248" s="55" t="s">
        <v>133</v>
      </c>
      <c r="N248" s="55" t="s">
        <v>90</v>
      </c>
      <c r="O248" s="55"/>
      <c r="P248" s="55" t="s">
        <v>91</v>
      </c>
      <c r="Q248" s="55" t="s">
        <v>16</v>
      </c>
      <c r="R248" s="55"/>
      <c r="S248" s="55"/>
      <c r="T248" s="55"/>
      <c r="U248" s="55"/>
      <c r="V248" s="55"/>
      <c r="W248" s="55"/>
      <c r="X248" s="57" t="str">
        <f t="shared" si="2"/>
        <v>--241-29-04</v>
      </c>
      <c r="Y248" s="58" t="str">
        <f t="shared" ref="Y248:AC248" si="246">TRIM(SUBSTITUTE(SUBSTITUTE(OFFSET($Q248,0,COLUMN()-COLUMN($AL$1)),CHAR(160)," "),_xludf.UNICHAR(8239)," "))</f>
        <v>#NAME?</v>
      </c>
      <c r="Z248" s="58" t="str">
        <f t="shared" si="246"/>
        <v>#NAME?</v>
      </c>
      <c r="AA248" s="58" t="str">
        <f t="shared" si="246"/>
        <v>#NAME?</v>
      </c>
      <c r="AB248" s="58" t="str">
        <f t="shared" si="246"/>
        <v>#NAME?</v>
      </c>
      <c r="AC248" s="58" t="str">
        <f t="shared" si="246"/>
        <v>#NAME?</v>
      </c>
      <c r="AD248" s="57">
        <f t="shared" si="4"/>
        <v>1</v>
      </c>
      <c r="AE248" s="57" t="str">
        <f t="shared" si="5"/>
        <v>2026-04</v>
      </c>
      <c r="AF248" s="57">
        <f t="shared" si="6"/>
        <v>1</v>
      </c>
      <c r="AG248" s="59">
        <f t="shared" si="7"/>
        <v>1</v>
      </c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</row>
    <row r="249" ht="24.0" customHeight="1">
      <c r="A249" s="53">
        <v>19.0</v>
      </c>
      <c r="B249" s="54" t="s">
        <v>1009</v>
      </c>
      <c r="C249" s="55" t="s">
        <v>945</v>
      </c>
      <c r="D249" s="55"/>
      <c r="E249" s="55" t="s">
        <v>1010</v>
      </c>
      <c r="F249" s="55" t="s">
        <v>1011</v>
      </c>
      <c r="G249" s="55">
        <v>21.0</v>
      </c>
      <c r="H249" s="55" t="s">
        <v>85</v>
      </c>
      <c r="I249" s="55" t="s">
        <v>86</v>
      </c>
      <c r="J249" s="56" t="s">
        <v>87</v>
      </c>
      <c r="K249" s="55" t="s">
        <v>1012</v>
      </c>
      <c r="L249" s="55" t="s">
        <v>34</v>
      </c>
      <c r="M249" s="55" t="s">
        <v>89</v>
      </c>
      <c r="N249" s="55" t="s">
        <v>90</v>
      </c>
      <c r="O249" s="55"/>
      <c r="P249" s="55" t="s">
        <v>91</v>
      </c>
      <c r="Q249" s="55" t="s">
        <v>16</v>
      </c>
      <c r="R249" s="55"/>
      <c r="S249" s="55"/>
      <c r="T249" s="55"/>
      <c r="U249" s="55"/>
      <c r="V249" s="55"/>
      <c r="W249" s="55"/>
      <c r="X249" s="57" t="str">
        <f t="shared" si="2"/>
        <v>--242-29-04</v>
      </c>
      <c r="Y249" s="58" t="str">
        <f t="shared" ref="Y249:AC249" si="247">TRIM(SUBSTITUTE(SUBSTITUTE(OFFSET($Q249,0,COLUMN()-COLUMN($AL$1)),CHAR(160)," "),_xludf.UNICHAR(8239)," "))</f>
        <v>#NAME?</v>
      </c>
      <c r="Z249" s="58" t="str">
        <f t="shared" si="247"/>
        <v>#NAME?</v>
      </c>
      <c r="AA249" s="58" t="str">
        <f t="shared" si="247"/>
        <v>#NAME?</v>
      </c>
      <c r="AB249" s="58" t="str">
        <f t="shared" si="247"/>
        <v>#NAME?</v>
      </c>
      <c r="AC249" s="58" t="str">
        <f t="shared" si="247"/>
        <v>#NAME?</v>
      </c>
      <c r="AD249" s="57">
        <f t="shared" si="4"/>
        <v>1</v>
      </c>
      <c r="AE249" s="57" t="str">
        <f t="shared" si="5"/>
        <v>2026-04</v>
      </c>
      <c r="AF249" s="57">
        <f t="shared" si="6"/>
        <v>1</v>
      </c>
      <c r="AG249" s="59">
        <f t="shared" si="7"/>
        <v>1</v>
      </c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</row>
    <row r="250" ht="24.0" customHeight="1">
      <c r="A250" s="53">
        <v>20.0</v>
      </c>
      <c r="B250" s="54" t="s">
        <v>1013</v>
      </c>
      <c r="C250" s="55" t="s">
        <v>945</v>
      </c>
      <c r="D250" s="55"/>
      <c r="E250" s="55" t="s">
        <v>1014</v>
      </c>
      <c r="F250" s="55" t="s">
        <v>1015</v>
      </c>
      <c r="G250" s="55">
        <v>8.0</v>
      </c>
      <c r="H250" s="55" t="s">
        <v>111</v>
      </c>
      <c r="I250" s="55" t="s">
        <v>86</v>
      </c>
      <c r="J250" s="56" t="s">
        <v>87</v>
      </c>
      <c r="K250" s="55" t="s">
        <v>1012</v>
      </c>
      <c r="L250" s="55" t="s">
        <v>34</v>
      </c>
      <c r="M250" s="55" t="s">
        <v>115</v>
      </c>
      <c r="N250" s="55" t="s">
        <v>90</v>
      </c>
      <c r="O250" s="55"/>
      <c r="P250" s="55" t="s">
        <v>91</v>
      </c>
      <c r="Q250" s="55" t="s">
        <v>16</v>
      </c>
      <c r="R250" s="55"/>
      <c r="S250" s="55"/>
      <c r="T250" s="55"/>
      <c r="U250" s="55"/>
      <c r="V250" s="55"/>
      <c r="W250" s="55"/>
      <c r="X250" s="57" t="str">
        <f t="shared" si="2"/>
        <v>--243-29-04</v>
      </c>
      <c r="Y250" s="58" t="str">
        <f t="shared" ref="Y250:AC250" si="248">TRIM(SUBSTITUTE(SUBSTITUTE(OFFSET($Q250,0,COLUMN()-COLUMN($AL$1)),CHAR(160)," "),_xludf.UNICHAR(8239)," "))</f>
        <v>#NAME?</v>
      </c>
      <c r="Z250" s="58" t="str">
        <f t="shared" si="248"/>
        <v>#NAME?</v>
      </c>
      <c r="AA250" s="58" t="str">
        <f t="shared" si="248"/>
        <v>#NAME?</v>
      </c>
      <c r="AB250" s="58" t="str">
        <f t="shared" si="248"/>
        <v>#NAME?</v>
      </c>
      <c r="AC250" s="58" t="str">
        <f t="shared" si="248"/>
        <v>#NAME?</v>
      </c>
      <c r="AD250" s="57">
        <f t="shared" si="4"/>
        <v>1</v>
      </c>
      <c r="AE250" s="57" t="str">
        <f t="shared" si="5"/>
        <v>2026-04</v>
      </c>
      <c r="AF250" s="57">
        <f t="shared" si="6"/>
        <v>1</v>
      </c>
      <c r="AG250" s="59">
        <f t="shared" si="7"/>
        <v>1</v>
      </c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</row>
    <row r="251" ht="24.0" customHeight="1">
      <c r="A251" s="53">
        <v>21.0</v>
      </c>
      <c r="B251" s="54" t="s">
        <v>1016</v>
      </c>
      <c r="C251" s="55" t="s">
        <v>945</v>
      </c>
      <c r="D251" s="55"/>
      <c r="E251" s="55" t="s">
        <v>1017</v>
      </c>
      <c r="F251" s="55" t="s">
        <v>1018</v>
      </c>
      <c r="G251" s="55">
        <v>39.0</v>
      </c>
      <c r="H251" s="55" t="s">
        <v>85</v>
      </c>
      <c r="I251" s="55" t="s">
        <v>86</v>
      </c>
      <c r="J251" s="56" t="s">
        <v>87</v>
      </c>
      <c r="K251" s="55" t="s">
        <v>1019</v>
      </c>
      <c r="L251" s="55" t="s">
        <v>34</v>
      </c>
      <c r="M251" s="55" t="s">
        <v>89</v>
      </c>
      <c r="N251" s="55" t="s">
        <v>90</v>
      </c>
      <c r="O251" s="55"/>
      <c r="P251" s="55" t="s">
        <v>91</v>
      </c>
      <c r="Q251" s="55" t="s">
        <v>16</v>
      </c>
      <c r="R251" s="55"/>
      <c r="S251" s="55"/>
      <c r="T251" s="55"/>
      <c r="U251" s="55"/>
      <c r="V251" s="55"/>
      <c r="W251" s="55"/>
      <c r="X251" s="57" t="str">
        <f t="shared" si="2"/>
        <v>--244-29-04</v>
      </c>
      <c r="Y251" s="58" t="str">
        <f t="shared" ref="Y251:AC251" si="249">TRIM(SUBSTITUTE(SUBSTITUTE(OFFSET($Q251,0,COLUMN()-COLUMN($AL$1)),CHAR(160)," "),_xludf.UNICHAR(8239)," "))</f>
        <v>#NAME?</v>
      </c>
      <c r="Z251" s="58" t="str">
        <f t="shared" si="249"/>
        <v>#NAME?</v>
      </c>
      <c r="AA251" s="58" t="str">
        <f t="shared" si="249"/>
        <v>#NAME?</v>
      </c>
      <c r="AB251" s="58" t="str">
        <f t="shared" si="249"/>
        <v>#NAME?</v>
      </c>
      <c r="AC251" s="58" t="str">
        <f t="shared" si="249"/>
        <v>#NAME?</v>
      </c>
      <c r="AD251" s="57">
        <f t="shared" si="4"/>
        <v>1</v>
      </c>
      <c r="AE251" s="57" t="str">
        <f t="shared" si="5"/>
        <v>2026-04</v>
      </c>
      <c r="AF251" s="57">
        <f t="shared" si="6"/>
        <v>1</v>
      </c>
      <c r="AG251" s="59">
        <f t="shared" si="7"/>
        <v>1</v>
      </c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</row>
    <row r="252" ht="24.0" customHeight="1">
      <c r="A252" s="53">
        <v>22.0</v>
      </c>
      <c r="B252" s="54" t="s">
        <v>1020</v>
      </c>
      <c r="C252" s="55" t="s">
        <v>945</v>
      </c>
      <c r="D252" s="55"/>
      <c r="E252" s="55" t="s">
        <v>1021</v>
      </c>
      <c r="F252" s="55" t="s">
        <v>1022</v>
      </c>
      <c r="G252" s="55">
        <v>7.0</v>
      </c>
      <c r="H252" s="55" t="s">
        <v>111</v>
      </c>
      <c r="I252" s="55" t="s">
        <v>86</v>
      </c>
      <c r="J252" s="56" t="s">
        <v>87</v>
      </c>
      <c r="K252" s="55" t="s">
        <v>1019</v>
      </c>
      <c r="L252" s="55" t="s">
        <v>34</v>
      </c>
      <c r="M252" s="55" t="s">
        <v>115</v>
      </c>
      <c r="N252" s="55" t="s">
        <v>90</v>
      </c>
      <c r="O252" s="55"/>
      <c r="P252" s="55" t="s">
        <v>91</v>
      </c>
      <c r="Q252" s="55" t="s">
        <v>16</v>
      </c>
      <c r="R252" s="55"/>
      <c r="S252" s="55"/>
      <c r="T252" s="55"/>
      <c r="U252" s="55"/>
      <c r="V252" s="55"/>
      <c r="W252" s="55"/>
      <c r="X252" s="57" t="str">
        <f t="shared" si="2"/>
        <v>--245-29-04</v>
      </c>
      <c r="Y252" s="58" t="str">
        <f t="shared" ref="Y252:AC252" si="250">TRIM(SUBSTITUTE(SUBSTITUTE(OFFSET($Q252,0,COLUMN()-COLUMN($AL$1)),CHAR(160)," "),_xludf.UNICHAR(8239)," "))</f>
        <v>#NAME?</v>
      </c>
      <c r="Z252" s="58" t="str">
        <f t="shared" si="250"/>
        <v>#NAME?</v>
      </c>
      <c r="AA252" s="58" t="str">
        <f t="shared" si="250"/>
        <v>#NAME?</v>
      </c>
      <c r="AB252" s="58" t="str">
        <f t="shared" si="250"/>
        <v>#NAME?</v>
      </c>
      <c r="AC252" s="58" t="str">
        <f t="shared" si="250"/>
        <v>#NAME?</v>
      </c>
      <c r="AD252" s="57">
        <f t="shared" si="4"/>
        <v>1</v>
      </c>
      <c r="AE252" s="57" t="str">
        <f t="shared" si="5"/>
        <v>2026-04</v>
      </c>
      <c r="AF252" s="57">
        <f t="shared" si="6"/>
        <v>1</v>
      </c>
      <c r="AG252" s="59">
        <f t="shared" si="7"/>
        <v>1</v>
      </c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</row>
    <row r="253" ht="24.0" customHeight="1">
      <c r="A253" s="53">
        <v>23.0</v>
      </c>
      <c r="B253" s="54" t="s">
        <v>1023</v>
      </c>
      <c r="C253" s="55" t="s">
        <v>945</v>
      </c>
      <c r="D253" s="55"/>
      <c r="E253" s="55" t="s">
        <v>1024</v>
      </c>
      <c r="F253" s="55" t="s">
        <v>1025</v>
      </c>
      <c r="G253" s="55">
        <v>54.0</v>
      </c>
      <c r="H253" s="55" t="s">
        <v>85</v>
      </c>
      <c r="I253" s="55" t="s">
        <v>86</v>
      </c>
      <c r="J253" s="56" t="s">
        <v>87</v>
      </c>
      <c r="K253" s="55" t="s">
        <v>1026</v>
      </c>
      <c r="L253" s="55"/>
      <c r="M253" s="55" t="s">
        <v>89</v>
      </c>
      <c r="N253" s="55" t="s">
        <v>90</v>
      </c>
      <c r="O253" s="55"/>
      <c r="P253" s="55" t="s">
        <v>91</v>
      </c>
      <c r="Q253" s="55" t="s">
        <v>16</v>
      </c>
      <c r="R253" s="55"/>
      <c r="S253" s="55"/>
      <c r="T253" s="55"/>
      <c r="U253" s="55"/>
      <c r="V253" s="55"/>
      <c r="W253" s="55"/>
      <c r="X253" s="57" t="str">
        <f t="shared" si="2"/>
        <v>--246-29-04</v>
      </c>
      <c r="Y253" s="58" t="str">
        <f t="shared" ref="Y253:AC253" si="251">TRIM(SUBSTITUTE(SUBSTITUTE(OFFSET($Q253,0,COLUMN()-COLUMN($AL$1)),CHAR(160)," "),_xludf.UNICHAR(8239)," "))</f>
        <v>#NAME?</v>
      </c>
      <c r="Z253" s="58" t="str">
        <f t="shared" si="251"/>
        <v>#NAME?</v>
      </c>
      <c r="AA253" s="58" t="str">
        <f t="shared" si="251"/>
        <v>#NAME?</v>
      </c>
      <c r="AB253" s="58" t="str">
        <f t="shared" si="251"/>
        <v>#NAME?</v>
      </c>
      <c r="AC253" s="58" t="str">
        <f t="shared" si="251"/>
        <v>#NAME?</v>
      </c>
      <c r="AD253" s="57">
        <f t="shared" si="4"/>
        <v>1</v>
      </c>
      <c r="AE253" s="57" t="str">
        <f t="shared" si="5"/>
        <v>2026-04</v>
      </c>
      <c r="AF253" s="57">
        <f t="shared" si="6"/>
        <v>1</v>
      </c>
      <c r="AG253" s="59">
        <f t="shared" si="7"/>
        <v>1</v>
      </c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</row>
    <row r="254" ht="24.0" customHeight="1">
      <c r="A254" s="53">
        <v>24.0</v>
      </c>
      <c r="B254" s="54" t="s">
        <v>1027</v>
      </c>
      <c r="C254" s="55" t="s">
        <v>945</v>
      </c>
      <c r="D254" s="55"/>
      <c r="E254" s="55" t="s">
        <v>1028</v>
      </c>
      <c r="F254" s="55" t="s">
        <v>1029</v>
      </c>
      <c r="G254" s="55">
        <v>1.0</v>
      </c>
      <c r="H254" s="55" t="s">
        <v>119</v>
      </c>
      <c r="I254" s="55" t="s">
        <v>86</v>
      </c>
      <c r="J254" s="56" t="s">
        <v>87</v>
      </c>
      <c r="K254" s="55" t="s">
        <v>1030</v>
      </c>
      <c r="L254" s="55" t="s">
        <v>34</v>
      </c>
      <c r="M254" s="55" t="s">
        <v>115</v>
      </c>
      <c r="N254" s="55" t="s">
        <v>90</v>
      </c>
      <c r="O254" s="55"/>
      <c r="P254" s="55" t="s">
        <v>91</v>
      </c>
      <c r="Q254" s="55" t="s">
        <v>16</v>
      </c>
      <c r="R254" s="55"/>
      <c r="S254" s="55"/>
      <c r="T254" s="55"/>
      <c r="U254" s="55"/>
      <c r="V254" s="55"/>
      <c r="W254" s="55"/>
      <c r="X254" s="57" t="str">
        <f t="shared" si="2"/>
        <v>--247-29-04</v>
      </c>
      <c r="Y254" s="58" t="str">
        <f t="shared" ref="Y254:AC254" si="252">TRIM(SUBSTITUTE(SUBSTITUTE(OFFSET($Q254,0,COLUMN()-COLUMN($AL$1)),CHAR(160)," "),_xludf.UNICHAR(8239)," "))</f>
        <v>#NAME?</v>
      </c>
      <c r="Z254" s="58" t="str">
        <f t="shared" si="252"/>
        <v>#NAME?</v>
      </c>
      <c r="AA254" s="58" t="str">
        <f t="shared" si="252"/>
        <v>#NAME?</v>
      </c>
      <c r="AB254" s="58" t="str">
        <f t="shared" si="252"/>
        <v>#NAME?</v>
      </c>
      <c r="AC254" s="58" t="str">
        <f t="shared" si="252"/>
        <v>#NAME?</v>
      </c>
      <c r="AD254" s="57">
        <f t="shared" si="4"/>
        <v>1</v>
      </c>
      <c r="AE254" s="57" t="str">
        <f t="shared" si="5"/>
        <v>2026-04</v>
      </c>
      <c r="AF254" s="57">
        <f t="shared" si="6"/>
        <v>1</v>
      </c>
      <c r="AG254" s="59">
        <f t="shared" si="7"/>
        <v>1</v>
      </c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</row>
    <row r="255" ht="24.0" customHeight="1">
      <c r="A255" s="53">
        <v>25.0</v>
      </c>
      <c r="B255" s="54" t="s">
        <v>1031</v>
      </c>
      <c r="C255" s="55" t="s">
        <v>945</v>
      </c>
      <c r="D255" s="55"/>
      <c r="E255" s="55" t="s">
        <v>1032</v>
      </c>
      <c r="F255" s="55" t="s">
        <v>1033</v>
      </c>
      <c r="G255" s="55">
        <v>1.0</v>
      </c>
      <c r="H255" s="55" t="s">
        <v>119</v>
      </c>
      <c r="I255" s="55" t="s">
        <v>112</v>
      </c>
      <c r="J255" s="56" t="s">
        <v>113</v>
      </c>
      <c r="K255" s="55" t="s">
        <v>1034</v>
      </c>
      <c r="L255" s="55" t="s">
        <v>34</v>
      </c>
      <c r="M255" s="55" t="s">
        <v>115</v>
      </c>
      <c r="N255" s="55" t="s">
        <v>90</v>
      </c>
      <c r="O255" s="55"/>
      <c r="P255" s="55" t="s">
        <v>91</v>
      </c>
      <c r="Q255" s="55" t="s">
        <v>16</v>
      </c>
      <c r="R255" s="55"/>
      <c r="S255" s="55"/>
      <c r="T255" s="55"/>
      <c r="U255" s="55"/>
      <c r="V255" s="55"/>
      <c r="W255" s="55"/>
      <c r="X255" s="57" t="str">
        <f t="shared" si="2"/>
        <v>--248-29-04</v>
      </c>
      <c r="Y255" s="58" t="str">
        <f t="shared" ref="Y255:AC255" si="253">TRIM(SUBSTITUTE(SUBSTITUTE(OFFSET($Q255,0,COLUMN()-COLUMN($AL$1)),CHAR(160)," "),_xludf.UNICHAR(8239)," "))</f>
        <v>#NAME?</v>
      </c>
      <c r="Z255" s="58" t="str">
        <f t="shared" si="253"/>
        <v>#NAME?</v>
      </c>
      <c r="AA255" s="58" t="str">
        <f t="shared" si="253"/>
        <v>#NAME?</v>
      </c>
      <c r="AB255" s="58" t="str">
        <f t="shared" si="253"/>
        <v>#NAME?</v>
      </c>
      <c r="AC255" s="58" t="str">
        <f t="shared" si="253"/>
        <v>#NAME?</v>
      </c>
      <c r="AD255" s="57">
        <f t="shared" si="4"/>
        <v>1</v>
      </c>
      <c r="AE255" s="57" t="str">
        <f t="shared" si="5"/>
        <v>2026-04</v>
      </c>
      <c r="AF255" s="57">
        <f t="shared" si="6"/>
        <v>1</v>
      </c>
      <c r="AG255" s="59">
        <f t="shared" si="7"/>
        <v>1</v>
      </c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</row>
    <row r="256" ht="24.0" customHeight="1">
      <c r="A256" s="53">
        <v>26.0</v>
      </c>
      <c r="B256" s="54" t="s">
        <v>1035</v>
      </c>
      <c r="C256" s="55" t="s">
        <v>945</v>
      </c>
      <c r="D256" s="55"/>
      <c r="E256" s="55" t="s">
        <v>1036</v>
      </c>
      <c r="F256" s="55" t="s">
        <v>1037</v>
      </c>
      <c r="G256" s="55">
        <v>1.0</v>
      </c>
      <c r="H256" s="55" t="s">
        <v>119</v>
      </c>
      <c r="I256" s="55" t="s">
        <v>112</v>
      </c>
      <c r="J256" s="56" t="s">
        <v>113</v>
      </c>
      <c r="K256" s="55" t="s">
        <v>1038</v>
      </c>
      <c r="L256" s="55" t="s">
        <v>34</v>
      </c>
      <c r="M256" s="55" t="s">
        <v>115</v>
      </c>
      <c r="N256" s="55" t="s">
        <v>90</v>
      </c>
      <c r="O256" s="55"/>
      <c r="P256" s="55" t="s">
        <v>91</v>
      </c>
      <c r="Q256" s="55" t="s">
        <v>16</v>
      </c>
      <c r="R256" s="55"/>
      <c r="S256" s="55"/>
      <c r="T256" s="55"/>
      <c r="U256" s="55"/>
      <c r="V256" s="55"/>
      <c r="W256" s="55"/>
      <c r="X256" s="57" t="str">
        <f t="shared" si="2"/>
        <v>--249-29-04</v>
      </c>
      <c r="Y256" s="58" t="str">
        <f t="shared" ref="Y256:AC256" si="254">TRIM(SUBSTITUTE(SUBSTITUTE(OFFSET($Q256,0,COLUMN()-COLUMN($AL$1)),CHAR(160)," "),_xludf.UNICHAR(8239)," "))</f>
        <v>#NAME?</v>
      </c>
      <c r="Z256" s="58" t="str">
        <f t="shared" si="254"/>
        <v>#NAME?</v>
      </c>
      <c r="AA256" s="58" t="str">
        <f t="shared" si="254"/>
        <v>#NAME?</v>
      </c>
      <c r="AB256" s="58" t="str">
        <f t="shared" si="254"/>
        <v>#NAME?</v>
      </c>
      <c r="AC256" s="58" t="str">
        <f t="shared" si="254"/>
        <v>#NAME?</v>
      </c>
      <c r="AD256" s="57">
        <f t="shared" si="4"/>
        <v>1</v>
      </c>
      <c r="AE256" s="57" t="str">
        <f t="shared" si="5"/>
        <v>2026-04</v>
      </c>
      <c r="AF256" s="57">
        <f t="shared" si="6"/>
        <v>1</v>
      </c>
      <c r="AG256" s="59">
        <f t="shared" si="7"/>
        <v>1</v>
      </c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</row>
    <row r="257" ht="24.0" customHeight="1">
      <c r="A257" s="53">
        <v>27.0</v>
      </c>
      <c r="B257" s="54" t="s">
        <v>1039</v>
      </c>
      <c r="C257" s="55" t="s">
        <v>945</v>
      </c>
      <c r="D257" s="55"/>
      <c r="E257" s="55" t="s">
        <v>1040</v>
      </c>
      <c r="F257" s="55" t="s">
        <v>1041</v>
      </c>
      <c r="G257" s="55">
        <v>32.0</v>
      </c>
      <c r="H257" s="55" t="s">
        <v>85</v>
      </c>
      <c r="I257" s="55" t="s">
        <v>86</v>
      </c>
      <c r="J257" s="56" t="s">
        <v>87</v>
      </c>
      <c r="K257" s="55" t="s">
        <v>179</v>
      </c>
      <c r="L257" s="55" t="s">
        <v>34</v>
      </c>
      <c r="M257" s="55" t="s">
        <v>89</v>
      </c>
      <c r="N257" s="55" t="s">
        <v>90</v>
      </c>
      <c r="O257" s="55"/>
      <c r="P257" s="55" t="s">
        <v>91</v>
      </c>
      <c r="Q257" s="55"/>
      <c r="R257" s="55" t="s">
        <v>5</v>
      </c>
      <c r="S257" s="55"/>
      <c r="T257" s="55"/>
      <c r="U257" s="55" t="s">
        <v>7</v>
      </c>
      <c r="V257" s="55"/>
      <c r="W257" s="55"/>
      <c r="X257" s="57" t="str">
        <f t="shared" si="2"/>
        <v>--250-29-04</v>
      </c>
      <c r="Y257" s="58" t="str">
        <f t="shared" ref="Y257:AC257" si="255">TRIM(SUBSTITUTE(SUBSTITUTE(OFFSET($Q257,0,COLUMN()-COLUMN($AL$1)),CHAR(160)," "),_xludf.UNICHAR(8239)," "))</f>
        <v>#NAME?</v>
      </c>
      <c r="Z257" s="58" t="str">
        <f t="shared" si="255"/>
        <v>#NAME?</v>
      </c>
      <c r="AA257" s="58" t="str">
        <f t="shared" si="255"/>
        <v>#NAME?</v>
      </c>
      <c r="AB257" s="58" t="str">
        <f t="shared" si="255"/>
        <v>#NAME?</v>
      </c>
      <c r="AC257" s="58" t="str">
        <f t="shared" si="255"/>
        <v>#NAME?</v>
      </c>
      <c r="AD257" s="57">
        <f t="shared" si="4"/>
        <v>1</v>
      </c>
      <c r="AE257" s="57" t="str">
        <f t="shared" si="5"/>
        <v>2026-04</v>
      </c>
      <c r="AF257" s="57">
        <f t="shared" si="6"/>
        <v>1</v>
      </c>
      <c r="AG257" s="59">
        <f t="shared" si="7"/>
        <v>1</v>
      </c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</row>
    <row r="258" ht="24.0" customHeight="1">
      <c r="A258" s="53">
        <v>28.0</v>
      </c>
      <c r="B258" s="54" t="s">
        <v>1042</v>
      </c>
      <c r="C258" s="55" t="s">
        <v>945</v>
      </c>
      <c r="D258" s="55"/>
      <c r="E258" s="55" t="s">
        <v>1043</v>
      </c>
      <c r="F258" s="55" t="s">
        <v>1044</v>
      </c>
      <c r="G258" s="55">
        <v>24.0</v>
      </c>
      <c r="H258" s="55" t="s">
        <v>85</v>
      </c>
      <c r="I258" s="55" t="s">
        <v>86</v>
      </c>
      <c r="J258" s="56" t="s">
        <v>87</v>
      </c>
      <c r="K258" s="55" t="s">
        <v>1045</v>
      </c>
      <c r="L258" s="55" t="s">
        <v>34</v>
      </c>
      <c r="M258" s="55" t="s">
        <v>89</v>
      </c>
      <c r="N258" s="55" t="s">
        <v>90</v>
      </c>
      <c r="O258" s="55"/>
      <c r="P258" s="55" t="s">
        <v>91</v>
      </c>
      <c r="Q258" s="55"/>
      <c r="R258" s="55" t="s">
        <v>5</v>
      </c>
      <c r="S258" s="55"/>
      <c r="T258" s="55"/>
      <c r="U258" s="55" t="s">
        <v>7</v>
      </c>
      <c r="V258" s="55"/>
      <c r="W258" s="55"/>
      <c r="X258" s="57" t="str">
        <f t="shared" si="2"/>
        <v>--251-29-04</v>
      </c>
      <c r="Y258" s="58" t="str">
        <f t="shared" ref="Y258:AC258" si="256">TRIM(SUBSTITUTE(SUBSTITUTE(OFFSET($Q258,0,COLUMN()-COLUMN($AL$1)),CHAR(160)," "),_xludf.UNICHAR(8239)," "))</f>
        <v>#NAME?</v>
      </c>
      <c r="Z258" s="58" t="str">
        <f t="shared" si="256"/>
        <v>#NAME?</v>
      </c>
      <c r="AA258" s="58" t="str">
        <f t="shared" si="256"/>
        <v>#NAME?</v>
      </c>
      <c r="AB258" s="58" t="str">
        <f t="shared" si="256"/>
        <v>#NAME?</v>
      </c>
      <c r="AC258" s="58" t="str">
        <f t="shared" si="256"/>
        <v>#NAME?</v>
      </c>
      <c r="AD258" s="57">
        <f t="shared" si="4"/>
        <v>1</v>
      </c>
      <c r="AE258" s="57" t="str">
        <f t="shared" si="5"/>
        <v>2026-04</v>
      </c>
      <c r="AF258" s="57">
        <f t="shared" si="6"/>
        <v>1</v>
      </c>
      <c r="AG258" s="59">
        <f t="shared" si="7"/>
        <v>1</v>
      </c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</row>
    <row r="259" ht="24.0" customHeight="1">
      <c r="A259" s="53">
        <v>29.0</v>
      </c>
      <c r="B259" s="54" t="s">
        <v>249</v>
      </c>
      <c r="C259" s="55" t="s">
        <v>945</v>
      </c>
      <c r="D259" s="60">
        <v>46139.0</v>
      </c>
      <c r="E259" s="55" t="s">
        <v>250</v>
      </c>
      <c r="F259" s="55" t="s">
        <v>1046</v>
      </c>
      <c r="G259" s="55">
        <v>24.0</v>
      </c>
      <c r="H259" s="55" t="s">
        <v>85</v>
      </c>
      <c r="I259" s="55" t="s">
        <v>86</v>
      </c>
      <c r="J259" s="56" t="s">
        <v>87</v>
      </c>
      <c r="K259" s="55" t="s">
        <v>252</v>
      </c>
      <c r="L259" s="55" t="s">
        <v>34</v>
      </c>
      <c r="M259" s="55" t="s">
        <v>89</v>
      </c>
      <c r="N259" s="55" t="s">
        <v>90</v>
      </c>
      <c r="O259" s="55"/>
      <c r="P259" s="55" t="s">
        <v>91</v>
      </c>
      <c r="Q259" s="55" t="s">
        <v>16</v>
      </c>
      <c r="R259" s="55"/>
      <c r="S259" s="55" t="s">
        <v>6</v>
      </c>
      <c r="T259" s="55"/>
      <c r="U259" s="55"/>
      <c r="V259" s="55"/>
      <c r="W259" s="55"/>
      <c r="X259" s="57" t="str">
        <f t="shared" si="2"/>
        <v>--252-29-04</v>
      </c>
      <c r="Y259" s="58" t="str">
        <f t="shared" ref="Y259:AC259" si="257">TRIM(SUBSTITUTE(SUBSTITUTE(OFFSET($Q259,0,COLUMN()-COLUMN($AL$1)),CHAR(160)," "),_xludf.UNICHAR(8239)," "))</f>
        <v>#NAME?</v>
      </c>
      <c r="Z259" s="58" t="str">
        <f t="shared" si="257"/>
        <v>#NAME?</v>
      </c>
      <c r="AA259" s="58" t="str">
        <f t="shared" si="257"/>
        <v>#NAME?</v>
      </c>
      <c r="AB259" s="58" t="str">
        <f t="shared" si="257"/>
        <v>#NAME?</v>
      </c>
      <c r="AC259" s="58" t="str">
        <f t="shared" si="257"/>
        <v>#NAME?</v>
      </c>
      <c r="AD259" s="57">
        <f t="shared" si="4"/>
        <v>1</v>
      </c>
      <c r="AE259" s="57" t="str">
        <f t="shared" si="5"/>
        <v>2026-04</v>
      </c>
      <c r="AF259" s="57">
        <f t="shared" si="6"/>
        <v>0</v>
      </c>
      <c r="AG259" s="59">
        <f t="shared" si="7"/>
        <v>0</v>
      </c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</row>
    <row r="260" ht="24.0" customHeight="1">
      <c r="A260" s="53">
        <v>30.0</v>
      </c>
      <c r="B260" s="54" t="s">
        <v>1047</v>
      </c>
      <c r="C260" s="55" t="s">
        <v>945</v>
      </c>
      <c r="D260" s="55"/>
      <c r="E260" s="55" t="s">
        <v>1048</v>
      </c>
      <c r="F260" s="55" t="s">
        <v>1049</v>
      </c>
      <c r="G260" s="55">
        <v>44.0</v>
      </c>
      <c r="H260" s="55" t="s">
        <v>85</v>
      </c>
      <c r="I260" s="55" t="s">
        <v>86</v>
      </c>
      <c r="J260" s="56" t="s">
        <v>87</v>
      </c>
      <c r="K260" s="55" t="s">
        <v>1050</v>
      </c>
      <c r="L260" s="55" t="s">
        <v>34</v>
      </c>
      <c r="M260" s="55" t="s">
        <v>89</v>
      </c>
      <c r="N260" s="55" t="s">
        <v>90</v>
      </c>
      <c r="O260" s="55"/>
      <c r="P260" s="55" t="s">
        <v>91</v>
      </c>
      <c r="Q260" s="55" t="s">
        <v>4</v>
      </c>
      <c r="R260" s="55"/>
      <c r="S260" s="55"/>
      <c r="T260" s="55"/>
      <c r="U260" s="55"/>
      <c r="V260" s="55"/>
      <c r="W260" s="55"/>
      <c r="X260" s="57" t="str">
        <f t="shared" si="2"/>
        <v>--253-29-04</v>
      </c>
      <c r="Y260" s="58" t="str">
        <f t="shared" ref="Y260:AC260" si="258">TRIM(SUBSTITUTE(SUBSTITUTE(OFFSET($Q260,0,COLUMN()-COLUMN($AL$1)),CHAR(160)," "),_xludf.UNICHAR(8239)," "))</f>
        <v>#NAME?</v>
      </c>
      <c r="Z260" s="58" t="str">
        <f t="shared" si="258"/>
        <v>#NAME?</v>
      </c>
      <c r="AA260" s="58" t="str">
        <f t="shared" si="258"/>
        <v>#NAME?</v>
      </c>
      <c r="AB260" s="58" t="str">
        <f t="shared" si="258"/>
        <v>#NAME?</v>
      </c>
      <c r="AC260" s="58" t="str">
        <f t="shared" si="258"/>
        <v>#NAME?</v>
      </c>
      <c r="AD260" s="57">
        <f t="shared" si="4"/>
        <v>1</v>
      </c>
      <c r="AE260" s="57" t="str">
        <f t="shared" si="5"/>
        <v>2026-04</v>
      </c>
      <c r="AF260" s="57">
        <f t="shared" si="6"/>
        <v>1</v>
      </c>
      <c r="AG260" s="59">
        <f t="shared" si="7"/>
        <v>1</v>
      </c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</row>
    <row r="261" ht="24.0" customHeight="1">
      <c r="A261" s="53">
        <v>31.0</v>
      </c>
      <c r="B261" s="54" t="s">
        <v>1051</v>
      </c>
      <c r="C261" s="55" t="s">
        <v>945</v>
      </c>
      <c r="D261" s="55"/>
      <c r="E261" s="55" t="s">
        <v>1052</v>
      </c>
      <c r="F261" s="55" t="s">
        <v>1053</v>
      </c>
      <c r="G261" s="55">
        <v>12.0</v>
      </c>
      <c r="H261" s="55" t="s">
        <v>111</v>
      </c>
      <c r="I261" s="55" t="s">
        <v>112</v>
      </c>
      <c r="J261" s="56" t="s">
        <v>113</v>
      </c>
      <c r="K261" s="55" t="s">
        <v>1054</v>
      </c>
      <c r="L261" s="55" t="s">
        <v>34</v>
      </c>
      <c r="M261" s="55" t="s">
        <v>115</v>
      </c>
      <c r="N261" s="55" t="s">
        <v>90</v>
      </c>
      <c r="O261" s="55"/>
      <c r="P261" s="55" t="s">
        <v>91</v>
      </c>
      <c r="Q261" s="55" t="s">
        <v>16</v>
      </c>
      <c r="R261" s="55"/>
      <c r="S261" s="55"/>
      <c r="T261" s="55"/>
      <c r="U261" s="55"/>
      <c r="V261" s="55"/>
      <c r="W261" s="55"/>
      <c r="X261" s="57" t="str">
        <f t="shared" si="2"/>
        <v>--254-29-04</v>
      </c>
      <c r="Y261" s="58" t="str">
        <f t="shared" ref="Y261:AC261" si="259">TRIM(SUBSTITUTE(SUBSTITUTE(OFFSET($Q261,0,COLUMN()-COLUMN($AL$1)),CHAR(160)," "),_xludf.UNICHAR(8239)," "))</f>
        <v>#NAME?</v>
      </c>
      <c r="Z261" s="58" t="str">
        <f t="shared" si="259"/>
        <v>#NAME?</v>
      </c>
      <c r="AA261" s="58" t="str">
        <f t="shared" si="259"/>
        <v>#NAME?</v>
      </c>
      <c r="AB261" s="58" t="str">
        <f t="shared" si="259"/>
        <v>#NAME?</v>
      </c>
      <c r="AC261" s="58" t="str">
        <f t="shared" si="259"/>
        <v>#NAME?</v>
      </c>
      <c r="AD261" s="57">
        <f t="shared" si="4"/>
        <v>1</v>
      </c>
      <c r="AE261" s="57" t="str">
        <f t="shared" si="5"/>
        <v>2026-04</v>
      </c>
      <c r="AF261" s="57">
        <f t="shared" si="6"/>
        <v>1</v>
      </c>
      <c r="AG261" s="59">
        <f t="shared" si="7"/>
        <v>1</v>
      </c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</row>
    <row r="262" ht="24.0" customHeight="1">
      <c r="A262" s="53">
        <v>32.0</v>
      </c>
      <c r="B262" s="54" t="s">
        <v>1055</v>
      </c>
      <c r="C262" s="55" t="s">
        <v>945</v>
      </c>
      <c r="D262" s="55"/>
      <c r="E262" s="55" t="s">
        <v>1056</v>
      </c>
      <c r="F262" s="55" t="s">
        <v>1057</v>
      </c>
      <c r="G262" s="55">
        <v>1.0</v>
      </c>
      <c r="H262" s="55" t="s">
        <v>119</v>
      </c>
      <c r="I262" s="55" t="s">
        <v>112</v>
      </c>
      <c r="J262" s="56" t="s">
        <v>113</v>
      </c>
      <c r="K262" s="55" t="s">
        <v>1058</v>
      </c>
      <c r="L262" s="55" t="s">
        <v>34</v>
      </c>
      <c r="M262" s="55" t="s">
        <v>115</v>
      </c>
      <c r="N262" s="55" t="s">
        <v>90</v>
      </c>
      <c r="O262" s="55"/>
      <c r="P262" s="55" t="s">
        <v>91</v>
      </c>
      <c r="Q262" s="55" t="s">
        <v>16</v>
      </c>
      <c r="R262" s="55"/>
      <c r="S262" s="55"/>
      <c r="T262" s="55"/>
      <c r="U262" s="55"/>
      <c r="V262" s="55"/>
      <c r="W262" s="55"/>
      <c r="X262" s="57" t="str">
        <f t="shared" si="2"/>
        <v>--255-29-04</v>
      </c>
      <c r="Y262" s="58" t="str">
        <f t="shared" ref="Y262:AC262" si="260">TRIM(SUBSTITUTE(SUBSTITUTE(OFFSET($Q262,0,COLUMN()-COLUMN($AL$1)),CHAR(160)," "),_xludf.UNICHAR(8239)," "))</f>
        <v>#NAME?</v>
      </c>
      <c r="Z262" s="58" t="str">
        <f t="shared" si="260"/>
        <v>#NAME?</v>
      </c>
      <c r="AA262" s="58" t="str">
        <f t="shared" si="260"/>
        <v>#NAME?</v>
      </c>
      <c r="AB262" s="58" t="str">
        <f t="shared" si="260"/>
        <v>#NAME?</v>
      </c>
      <c r="AC262" s="58" t="str">
        <f t="shared" si="260"/>
        <v>#NAME?</v>
      </c>
      <c r="AD262" s="57">
        <f t="shared" si="4"/>
        <v>1</v>
      </c>
      <c r="AE262" s="57" t="str">
        <f t="shared" si="5"/>
        <v>2026-04</v>
      </c>
      <c r="AF262" s="57">
        <f t="shared" si="6"/>
        <v>1</v>
      </c>
      <c r="AG262" s="59">
        <f t="shared" si="7"/>
        <v>1</v>
      </c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</row>
    <row r="263" ht="24.0" customHeight="1">
      <c r="A263" s="53">
        <v>33.0</v>
      </c>
      <c r="B263" s="54" t="s">
        <v>1059</v>
      </c>
      <c r="C263" s="55" t="s">
        <v>945</v>
      </c>
      <c r="D263" s="55"/>
      <c r="E263" s="55" t="s">
        <v>1060</v>
      </c>
      <c r="F263" s="55" t="s">
        <v>1061</v>
      </c>
      <c r="G263" s="55">
        <v>68.0</v>
      </c>
      <c r="H263" s="55" t="s">
        <v>260</v>
      </c>
      <c r="I263" s="55" t="s">
        <v>112</v>
      </c>
      <c r="J263" s="56" t="s">
        <v>113</v>
      </c>
      <c r="K263" s="55" t="s">
        <v>1062</v>
      </c>
      <c r="L263" s="55" t="s">
        <v>34</v>
      </c>
      <c r="M263" s="55" t="s">
        <v>115</v>
      </c>
      <c r="N263" s="55" t="s">
        <v>90</v>
      </c>
      <c r="O263" s="55"/>
      <c r="P263" s="55" t="s">
        <v>91</v>
      </c>
      <c r="Q263" s="55" t="s">
        <v>16</v>
      </c>
      <c r="R263" s="55"/>
      <c r="S263" s="55"/>
      <c r="T263" s="55"/>
      <c r="U263" s="55"/>
      <c r="V263" s="55"/>
      <c r="W263" s="55"/>
      <c r="X263" s="57" t="str">
        <f t="shared" si="2"/>
        <v>--256-29-04</v>
      </c>
      <c r="Y263" s="58" t="str">
        <f t="shared" ref="Y263:AC263" si="261">TRIM(SUBSTITUTE(SUBSTITUTE(OFFSET($Q263,0,COLUMN()-COLUMN($AL$1)),CHAR(160)," "),_xludf.UNICHAR(8239)," "))</f>
        <v>#NAME?</v>
      </c>
      <c r="Z263" s="58" t="str">
        <f t="shared" si="261"/>
        <v>#NAME?</v>
      </c>
      <c r="AA263" s="58" t="str">
        <f t="shared" si="261"/>
        <v>#NAME?</v>
      </c>
      <c r="AB263" s="58" t="str">
        <f t="shared" si="261"/>
        <v>#NAME?</v>
      </c>
      <c r="AC263" s="58" t="str">
        <f t="shared" si="261"/>
        <v>#NAME?</v>
      </c>
      <c r="AD263" s="57">
        <f t="shared" si="4"/>
        <v>1</v>
      </c>
      <c r="AE263" s="57" t="str">
        <f t="shared" si="5"/>
        <v>2026-04</v>
      </c>
      <c r="AF263" s="57">
        <f t="shared" si="6"/>
        <v>1</v>
      </c>
      <c r="AG263" s="59">
        <f t="shared" si="7"/>
        <v>1</v>
      </c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</row>
    <row r="264" ht="24.0" customHeight="1">
      <c r="A264" s="53">
        <v>34.0</v>
      </c>
      <c r="B264" s="54" t="s">
        <v>1063</v>
      </c>
      <c r="C264" s="55" t="s">
        <v>945</v>
      </c>
      <c r="D264" s="55"/>
      <c r="E264" s="55" t="s">
        <v>1064</v>
      </c>
      <c r="F264" s="55" t="s">
        <v>1065</v>
      </c>
      <c r="G264" s="55">
        <v>29.0</v>
      </c>
      <c r="H264" s="55" t="s">
        <v>85</v>
      </c>
      <c r="I264" s="55" t="s">
        <v>86</v>
      </c>
      <c r="J264" s="56" t="s">
        <v>87</v>
      </c>
      <c r="K264" s="55" t="s">
        <v>1066</v>
      </c>
      <c r="L264" s="55" t="s">
        <v>34</v>
      </c>
      <c r="M264" s="55" t="s">
        <v>89</v>
      </c>
      <c r="N264" s="55" t="s">
        <v>90</v>
      </c>
      <c r="O264" s="55"/>
      <c r="P264" s="55" t="s">
        <v>91</v>
      </c>
      <c r="Q264" s="55"/>
      <c r="R264" s="55" t="s">
        <v>5</v>
      </c>
      <c r="S264" s="55"/>
      <c r="T264" s="55"/>
      <c r="U264" s="55" t="s">
        <v>7</v>
      </c>
      <c r="V264" s="55"/>
      <c r="W264" s="55"/>
      <c r="X264" s="57" t="str">
        <f t="shared" si="2"/>
        <v>--257-29-04</v>
      </c>
      <c r="Y264" s="58" t="str">
        <f t="shared" ref="Y264:AC264" si="262">TRIM(SUBSTITUTE(SUBSTITUTE(OFFSET($Q264,0,COLUMN()-COLUMN($AL$1)),CHAR(160)," "),_xludf.UNICHAR(8239)," "))</f>
        <v>#NAME?</v>
      </c>
      <c r="Z264" s="58" t="str">
        <f t="shared" si="262"/>
        <v>#NAME?</v>
      </c>
      <c r="AA264" s="58" t="str">
        <f t="shared" si="262"/>
        <v>#NAME?</v>
      </c>
      <c r="AB264" s="58" t="str">
        <f t="shared" si="262"/>
        <v>#NAME?</v>
      </c>
      <c r="AC264" s="58" t="str">
        <f t="shared" si="262"/>
        <v>#NAME?</v>
      </c>
      <c r="AD264" s="57">
        <f t="shared" si="4"/>
        <v>1</v>
      </c>
      <c r="AE264" s="57" t="str">
        <f t="shared" si="5"/>
        <v>2026-04</v>
      </c>
      <c r="AF264" s="57">
        <f t="shared" si="6"/>
        <v>1</v>
      </c>
      <c r="AG264" s="59">
        <f t="shared" si="7"/>
        <v>1</v>
      </c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</row>
    <row r="265" ht="24.0" customHeight="1">
      <c r="A265" s="53">
        <v>35.0</v>
      </c>
      <c r="B265" s="54" t="s">
        <v>1067</v>
      </c>
      <c r="C265" s="55" t="s">
        <v>945</v>
      </c>
      <c r="D265" s="55"/>
      <c r="E265" s="55" t="s">
        <v>1068</v>
      </c>
      <c r="F265" s="55" t="s">
        <v>1069</v>
      </c>
      <c r="G265" s="55">
        <v>42.0</v>
      </c>
      <c r="H265" s="55" t="s">
        <v>85</v>
      </c>
      <c r="I265" s="55" t="s">
        <v>86</v>
      </c>
      <c r="J265" s="56" t="s">
        <v>87</v>
      </c>
      <c r="K265" s="55" t="s">
        <v>1070</v>
      </c>
      <c r="L265" s="55" t="s">
        <v>41</v>
      </c>
      <c r="M265" s="55" t="s">
        <v>89</v>
      </c>
      <c r="N265" s="55" t="s">
        <v>90</v>
      </c>
      <c r="O265" s="55"/>
      <c r="P265" s="55" t="s">
        <v>91</v>
      </c>
      <c r="Q265" s="55" t="s">
        <v>16</v>
      </c>
      <c r="R265" s="55"/>
      <c r="S265" s="55"/>
      <c r="T265" s="55"/>
      <c r="U265" s="55"/>
      <c r="V265" s="55"/>
      <c r="W265" s="55"/>
      <c r="X265" s="57" t="str">
        <f t="shared" si="2"/>
        <v>--258-29-04</v>
      </c>
      <c r="Y265" s="58" t="str">
        <f t="shared" ref="Y265:AC265" si="263">TRIM(SUBSTITUTE(SUBSTITUTE(OFFSET($Q265,0,COLUMN()-COLUMN($AL$1)),CHAR(160)," "),_xludf.UNICHAR(8239)," "))</f>
        <v>#NAME?</v>
      </c>
      <c r="Z265" s="58" t="str">
        <f t="shared" si="263"/>
        <v>#NAME?</v>
      </c>
      <c r="AA265" s="58" t="str">
        <f t="shared" si="263"/>
        <v>#NAME?</v>
      </c>
      <c r="AB265" s="58" t="str">
        <f t="shared" si="263"/>
        <v>#NAME?</v>
      </c>
      <c r="AC265" s="58" t="str">
        <f t="shared" si="263"/>
        <v>#NAME?</v>
      </c>
      <c r="AD265" s="57">
        <f t="shared" si="4"/>
        <v>1</v>
      </c>
      <c r="AE265" s="57" t="str">
        <f t="shared" si="5"/>
        <v>2026-04</v>
      </c>
      <c r="AF265" s="57">
        <f t="shared" si="6"/>
        <v>1</v>
      </c>
      <c r="AG265" s="59">
        <f t="shared" si="7"/>
        <v>1</v>
      </c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</row>
    <row r="266" ht="24.0" customHeight="1">
      <c r="A266" s="53">
        <v>36.0</v>
      </c>
      <c r="B266" s="54" t="s">
        <v>1071</v>
      </c>
      <c r="C266" s="55" t="s">
        <v>945</v>
      </c>
      <c r="D266" s="55"/>
      <c r="E266" s="55" t="s">
        <v>1072</v>
      </c>
      <c r="F266" s="55" t="s">
        <v>1073</v>
      </c>
      <c r="G266" s="55">
        <v>3.0</v>
      </c>
      <c r="H266" s="55" t="s">
        <v>119</v>
      </c>
      <c r="I266" s="55" t="s">
        <v>86</v>
      </c>
      <c r="J266" s="56" t="s">
        <v>87</v>
      </c>
      <c r="K266" s="55" t="s">
        <v>1074</v>
      </c>
      <c r="L266" s="55" t="s">
        <v>34</v>
      </c>
      <c r="M266" s="55" t="s">
        <v>115</v>
      </c>
      <c r="N266" s="55" t="s">
        <v>90</v>
      </c>
      <c r="O266" s="55"/>
      <c r="P266" s="55" t="s">
        <v>91</v>
      </c>
      <c r="Q266" s="55" t="s">
        <v>16</v>
      </c>
      <c r="R266" s="55"/>
      <c r="S266" s="55"/>
      <c r="T266" s="55"/>
      <c r="U266" s="55"/>
      <c r="V266" s="55"/>
      <c r="W266" s="55"/>
      <c r="X266" s="57" t="str">
        <f t="shared" si="2"/>
        <v>--259-29-04</v>
      </c>
      <c r="Y266" s="58" t="str">
        <f t="shared" ref="Y266:AC266" si="264">TRIM(SUBSTITUTE(SUBSTITUTE(OFFSET($Q266,0,COLUMN()-COLUMN($AL$1)),CHAR(160)," "),_xludf.UNICHAR(8239)," "))</f>
        <v>#NAME?</v>
      </c>
      <c r="Z266" s="58" t="str">
        <f t="shared" si="264"/>
        <v>#NAME?</v>
      </c>
      <c r="AA266" s="58" t="str">
        <f t="shared" si="264"/>
        <v>#NAME?</v>
      </c>
      <c r="AB266" s="58" t="str">
        <f t="shared" si="264"/>
        <v>#NAME?</v>
      </c>
      <c r="AC266" s="58" t="str">
        <f t="shared" si="264"/>
        <v>#NAME?</v>
      </c>
      <c r="AD266" s="57">
        <f t="shared" si="4"/>
        <v>1</v>
      </c>
      <c r="AE266" s="57" t="str">
        <f t="shared" si="5"/>
        <v>2026-04</v>
      </c>
      <c r="AF266" s="57">
        <f t="shared" si="6"/>
        <v>1</v>
      </c>
      <c r="AG266" s="59">
        <f t="shared" si="7"/>
        <v>1</v>
      </c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</row>
    <row r="267" ht="24.0" customHeight="1">
      <c r="A267" s="53">
        <v>37.0</v>
      </c>
      <c r="B267" s="54" t="s">
        <v>1075</v>
      </c>
      <c r="C267" s="55" t="s">
        <v>945</v>
      </c>
      <c r="D267" s="55"/>
      <c r="E267" s="55" t="s">
        <v>1076</v>
      </c>
      <c r="F267" s="55" t="s">
        <v>1077</v>
      </c>
      <c r="G267" s="55">
        <v>32.0</v>
      </c>
      <c r="H267" s="55" t="s">
        <v>85</v>
      </c>
      <c r="I267" s="55" t="s">
        <v>86</v>
      </c>
      <c r="J267" s="56" t="s">
        <v>87</v>
      </c>
      <c r="K267" s="55" t="s">
        <v>1078</v>
      </c>
      <c r="L267" s="55" t="s">
        <v>34</v>
      </c>
      <c r="M267" s="55" t="s">
        <v>89</v>
      </c>
      <c r="N267" s="55" t="s">
        <v>90</v>
      </c>
      <c r="O267" s="55"/>
      <c r="P267" s="55" t="s">
        <v>91</v>
      </c>
      <c r="Q267" s="55"/>
      <c r="R267" s="55" t="s">
        <v>27</v>
      </c>
      <c r="S267" s="55"/>
      <c r="T267" s="55"/>
      <c r="U267" s="55"/>
      <c r="V267" s="55"/>
      <c r="W267" s="55"/>
      <c r="X267" s="57" t="str">
        <f t="shared" si="2"/>
        <v>--260-29-04</v>
      </c>
      <c r="Y267" s="58" t="str">
        <f t="shared" ref="Y267:AC267" si="265">TRIM(SUBSTITUTE(SUBSTITUTE(OFFSET($Q267,0,COLUMN()-COLUMN($AL$1)),CHAR(160)," "),_xludf.UNICHAR(8239)," "))</f>
        <v>#NAME?</v>
      </c>
      <c r="Z267" s="58" t="str">
        <f t="shared" si="265"/>
        <v>#NAME?</v>
      </c>
      <c r="AA267" s="58" t="str">
        <f t="shared" si="265"/>
        <v>#NAME?</v>
      </c>
      <c r="AB267" s="58" t="str">
        <f t="shared" si="265"/>
        <v>#NAME?</v>
      </c>
      <c r="AC267" s="58" t="str">
        <f t="shared" si="265"/>
        <v>#NAME?</v>
      </c>
      <c r="AD267" s="57">
        <f t="shared" si="4"/>
        <v>1</v>
      </c>
      <c r="AE267" s="57" t="str">
        <f t="shared" si="5"/>
        <v>2026-04</v>
      </c>
      <c r="AF267" s="57">
        <f t="shared" si="6"/>
        <v>1</v>
      </c>
      <c r="AG267" s="59">
        <f t="shared" si="7"/>
        <v>1</v>
      </c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</row>
    <row r="268" ht="24.0" customHeight="1">
      <c r="A268" s="53">
        <v>38.0</v>
      </c>
      <c r="B268" s="54" t="s">
        <v>1079</v>
      </c>
      <c r="C268" s="55" t="s">
        <v>945</v>
      </c>
      <c r="D268" s="55"/>
      <c r="E268" s="55" t="s">
        <v>1080</v>
      </c>
      <c r="F268" s="55" t="s">
        <v>1081</v>
      </c>
      <c r="G268" s="55">
        <v>45.0</v>
      </c>
      <c r="H268" s="55" t="s">
        <v>85</v>
      </c>
      <c r="I268" s="55" t="s">
        <v>86</v>
      </c>
      <c r="J268" s="56" t="s">
        <v>87</v>
      </c>
      <c r="K268" s="55" t="s">
        <v>1082</v>
      </c>
      <c r="L268" s="55" t="s">
        <v>34</v>
      </c>
      <c r="M268" s="55" t="s">
        <v>89</v>
      </c>
      <c r="N268" s="55" t="s">
        <v>90</v>
      </c>
      <c r="O268" s="55"/>
      <c r="P268" s="55" t="s">
        <v>91</v>
      </c>
      <c r="Q268" s="55" t="s">
        <v>4</v>
      </c>
      <c r="R268" s="55"/>
      <c r="S268" s="55"/>
      <c r="T268" s="55"/>
      <c r="U268" s="55"/>
      <c r="V268" s="55"/>
      <c r="W268" s="55"/>
      <c r="X268" s="57" t="str">
        <f t="shared" si="2"/>
        <v>--261-29-04</v>
      </c>
      <c r="Y268" s="58" t="str">
        <f t="shared" ref="Y268:AC268" si="266">TRIM(SUBSTITUTE(SUBSTITUTE(OFFSET($Q268,0,COLUMN()-COLUMN($AL$1)),CHAR(160)," "),_xludf.UNICHAR(8239)," "))</f>
        <v>#NAME?</v>
      </c>
      <c r="Z268" s="58" t="str">
        <f t="shared" si="266"/>
        <v>#NAME?</v>
      </c>
      <c r="AA268" s="58" t="str">
        <f t="shared" si="266"/>
        <v>#NAME?</v>
      </c>
      <c r="AB268" s="58" t="str">
        <f t="shared" si="266"/>
        <v>#NAME?</v>
      </c>
      <c r="AC268" s="58" t="str">
        <f t="shared" si="266"/>
        <v>#NAME?</v>
      </c>
      <c r="AD268" s="57">
        <f t="shared" si="4"/>
        <v>1</v>
      </c>
      <c r="AE268" s="57" t="str">
        <f t="shared" si="5"/>
        <v>2026-04</v>
      </c>
      <c r="AF268" s="57">
        <f t="shared" si="6"/>
        <v>1</v>
      </c>
      <c r="AG268" s="59">
        <f t="shared" si="7"/>
        <v>1</v>
      </c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</row>
    <row r="269" ht="24.0" customHeight="1">
      <c r="A269" s="53">
        <v>39.0</v>
      </c>
      <c r="B269" s="54" t="s">
        <v>1083</v>
      </c>
      <c r="C269" s="55" t="s">
        <v>945</v>
      </c>
      <c r="D269" s="55"/>
      <c r="E269" s="55" t="s">
        <v>1084</v>
      </c>
      <c r="F269" s="55" t="s">
        <v>1085</v>
      </c>
      <c r="G269" s="55">
        <v>19.0</v>
      </c>
      <c r="H269" s="55" t="s">
        <v>85</v>
      </c>
      <c r="I269" s="55" t="s">
        <v>86</v>
      </c>
      <c r="J269" s="56" t="s">
        <v>87</v>
      </c>
      <c r="K269" s="55" t="s">
        <v>1086</v>
      </c>
      <c r="L269" s="55" t="s">
        <v>34</v>
      </c>
      <c r="M269" s="55" t="s">
        <v>89</v>
      </c>
      <c r="N269" s="55" t="s">
        <v>90</v>
      </c>
      <c r="O269" s="55"/>
      <c r="P269" s="55" t="s">
        <v>91</v>
      </c>
      <c r="Q269" s="55"/>
      <c r="R269" s="55" t="s">
        <v>5</v>
      </c>
      <c r="S269" s="55"/>
      <c r="T269" s="55"/>
      <c r="U269" s="55" t="s">
        <v>7</v>
      </c>
      <c r="V269" s="55"/>
      <c r="W269" s="55"/>
      <c r="X269" s="57" t="str">
        <f t="shared" si="2"/>
        <v>--262-29-04</v>
      </c>
      <c r="Y269" s="58" t="str">
        <f t="shared" ref="Y269:AC269" si="267">TRIM(SUBSTITUTE(SUBSTITUTE(OFFSET($Q269,0,COLUMN()-COLUMN($AL$1)),CHAR(160)," "),_xludf.UNICHAR(8239)," "))</f>
        <v>#NAME?</v>
      </c>
      <c r="Z269" s="58" t="str">
        <f t="shared" si="267"/>
        <v>#NAME?</v>
      </c>
      <c r="AA269" s="58" t="str">
        <f t="shared" si="267"/>
        <v>#NAME?</v>
      </c>
      <c r="AB269" s="58" t="str">
        <f t="shared" si="267"/>
        <v>#NAME?</v>
      </c>
      <c r="AC269" s="58" t="str">
        <f t="shared" si="267"/>
        <v>#NAME?</v>
      </c>
      <c r="AD269" s="57">
        <f t="shared" si="4"/>
        <v>1</v>
      </c>
      <c r="AE269" s="57" t="str">
        <f t="shared" si="5"/>
        <v>2026-04</v>
      </c>
      <c r="AF269" s="57">
        <f t="shared" si="6"/>
        <v>1</v>
      </c>
      <c r="AG269" s="59">
        <f t="shared" si="7"/>
        <v>1</v>
      </c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</row>
    <row r="270" ht="24.0" customHeight="1">
      <c r="A270" s="53">
        <v>40.0</v>
      </c>
      <c r="B270" s="54" t="s">
        <v>1087</v>
      </c>
      <c r="C270" s="55" t="s">
        <v>945</v>
      </c>
      <c r="D270" s="55"/>
      <c r="E270" s="55" t="s">
        <v>1088</v>
      </c>
      <c r="F270" s="55" t="s">
        <v>1089</v>
      </c>
      <c r="G270" s="55">
        <v>29.0</v>
      </c>
      <c r="H270" s="55" t="s">
        <v>85</v>
      </c>
      <c r="I270" s="55" t="s">
        <v>86</v>
      </c>
      <c r="J270" s="56" t="s">
        <v>87</v>
      </c>
      <c r="K270" s="55" t="s">
        <v>1090</v>
      </c>
      <c r="L270" s="55" t="s">
        <v>34</v>
      </c>
      <c r="M270" s="55" t="s">
        <v>89</v>
      </c>
      <c r="N270" s="55" t="s">
        <v>90</v>
      </c>
      <c r="O270" s="55"/>
      <c r="P270" s="55" t="s">
        <v>91</v>
      </c>
      <c r="Q270" s="55" t="s">
        <v>4</v>
      </c>
      <c r="R270" s="55"/>
      <c r="S270" s="55"/>
      <c r="T270" s="55"/>
      <c r="U270" s="55"/>
      <c r="V270" s="55"/>
      <c r="W270" s="55"/>
      <c r="X270" s="57" t="str">
        <f t="shared" si="2"/>
        <v>--263-29-04</v>
      </c>
      <c r="Y270" s="58" t="str">
        <f t="shared" ref="Y270:AC270" si="268">TRIM(SUBSTITUTE(SUBSTITUTE(OFFSET($Q270,0,COLUMN()-COLUMN($AL$1)),CHAR(160)," "),_xludf.UNICHAR(8239)," "))</f>
        <v>#NAME?</v>
      </c>
      <c r="Z270" s="58" t="str">
        <f t="shared" si="268"/>
        <v>#NAME?</v>
      </c>
      <c r="AA270" s="58" t="str">
        <f t="shared" si="268"/>
        <v>#NAME?</v>
      </c>
      <c r="AB270" s="58" t="str">
        <f t="shared" si="268"/>
        <v>#NAME?</v>
      </c>
      <c r="AC270" s="58" t="str">
        <f t="shared" si="268"/>
        <v>#NAME?</v>
      </c>
      <c r="AD270" s="57">
        <f t="shared" si="4"/>
        <v>1</v>
      </c>
      <c r="AE270" s="57" t="str">
        <f t="shared" si="5"/>
        <v>2026-04</v>
      </c>
      <c r="AF270" s="57">
        <f t="shared" si="6"/>
        <v>1</v>
      </c>
      <c r="AG270" s="59">
        <f t="shared" si="7"/>
        <v>1</v>
      </c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</row>
    <row r="271" ht="24.0" customHeight="1">
      <c r="A271" s="53">
        <v>41.0</v>
      </c>
      <c r="B271" s="54" t="s">
        <v>748</v>
      </c>
      <c r="C271" s="55" t="s">
        <v>945</v>
      </c>
      <c r="D271" s="60">
        <v>46139.0</v>
      </c>
      <c r="E271" s="55" t="s">
        <v>749</v>
      </c>
      <c r="F271" s="55" t="s">
        <v>750</v>
      </c>
      <c r="G271" s="55">
        <v>9.0</v>
      </c>
      <c r="H271" s="55" t="s">
        <v>111</v>
      </c>
      <c r="I271" s="55" t="s">
        <v>112</v>
      </c>
      <c r="J271" s="56" t="s">
        <v>113</v>
      </c>
      <c r="K271" s="55" t="s">
        <v>751</v>
      </c>
      <c r="L271" s="55" t="s">
        <v>34</v>
      </c>
      <c r="M271" s="55" t="s">
        <v>115</v>
      </c>
      <c r="N271" s="55" t="s">
        <v>90</v>
      </c>
      <c r="O271" s="55"/>
      <c r="P271" s="55" t="s">
        <v>91</v>
      </c>
      <c r="Q271" s="55" t="s">
        <v>4</v>
      </c>
      <c r="R271" s="55"/>
      <c r="S271" s="55"/>
      <c r="T271" s="55"/>
      <c r="U271" s="55"/>
      <c r="V271" s="55"/>
      <c r="W271" s="55"/>
      <c r="X271" s="57" t="str">
        <f t="shared" si="2"/>
        <v>--264-29-04</v>
      </c>
      <c r="Y271" s="58" t="str">
        <f t="shared" ref="Y271:AC271" si="269">TRIM(SUBSTITUTE(SUBSTITUTE(OFFSET($Q271,0,COLUMN()-COLUMN($AL$1)),CHAR(160)," "),_xludf.UNICHAR(8239)," "))</f>
        <v>#NAME?</v>
      </c>
      <c r="Z271" s="58" t="str">
        <f t="shared" si="269"/>
        <v>#NAME?</v>
      </c>
      <c r="AA271" s="58" t="str">
        <f t="shared" si="269"/>
        <v>#NAME?</v>
      </c>
      <c r="AB271" s="58" t="str">
        <f t="shared" si="269"/>
        <v>#NAME?</v>
      </c>
      <c r="AC271" s="58" t="str">
        <f t="shared" si="269"/>
        <v>#NAME?</v>
      </c>
      <c r="AD271" s="57">
        <f t="shared" si="4"/>
        <v>1</v>
      </c>
      <c r="AE271" s="57" t="str">
        <f t="shared" si="5"/>
        <v>2026-04</v>
      </c>
      <c r="AF271" s="57">
        <f t="shared" si="6"/>
        <v>0</v>
      </c>
      <c r="AG271" s="59">
        <f t="shared" si="7"/>
        <v>0</v>
      </c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</row>
    <row r="272" ht="24.0" customHeight="1">
      <c r="A272" s="53">
        <v>42.0</v>
      </c>
      <c r="B272" s="54" t="s">
        <v>1091</v>
      </c>
      <c r="C272" s="55" t="s">
        <v>945</v>
      </c>
      <c r="D272" s="55"/>
      <c r="E272" s="55" t="s">
        <v>1092</v>
      </c>
      <c r="F272" s="55" t="s">
        <v>1093</v>
      </c>
      <c r="G272" s="55">
        <v>42.0</v>
      </c>
      <c r="H272" s="55" t="s">
        <v>85</v>
      </c>
      <c r="I272" s="55" t="s">
        <v>86</v>
      </c>
      <c r="J272" s="56" t="s">
        <v>87</v>
      </c>
      <c r="K272" s="55" t="s">
        <v>1094</v>
      </c>
      <c r="L272" s="55" t="s">
        <v>34</v>
      </c>
      <c r="M272" s="55" t="s">
        <v>89</v>
      </c>
      <c r="N272" s="55" t="s">
        <v>90</v>
      </c>
      <c r="O272" s="55"/>
      <c r="P272" s="55" t="s">
        <v>91</v>
      </c>
      <c r="Q272" s="55" t="s">
        <v>16</v>
      </c>
      <c r="R272" s="55"/>
      <c r="S272" s="55"/>
      <c r="T272" s="55"/>
      <c r="U272" s="55"/>
      <c r="V272" s="55"/>
      <c r="W272" s="55"/>
      <c r="X272" s="57" t="str">
        <f t="shared" si="2"/>
        <v>--265-29-04</v>
      </c>
      <c r="Y272" s="58" t="str">
        <f t="shared" ref="Y272:AC272" si="270">TRIM(SUBSTITUTE(SUBSTITUTE(OFFSET($Q272,0,COLUMN()-COLUMN($AL$1)),CHAR(160)," "),_xludf.UNICHAR(8239)," "))</f>
        <v>#NAME?</v>
      </c>
      <c r="Z272" s="58" t="str">
        <f t="shared" si="270"/>
        <v>#NAME?</v>
      </c>
      <c r="AA272" s="58" t="str">
        <f t="shared" si="270"/>
        <v>#NAME?</v>
      </c>
      <c r="AB272" s="58" t="str">
        <f t="shared" si="270"/>
        <v>#NAME?</v>
      </c>
      <c r="AC272" s="58" t="str">
        <f t="shared" si="270"/>
        <v>#NAME?</v>
      </c>
      <c r="AD272" s="57">
        <f t="shared" si="4"/>
        <v>1</v>
      </c>
      <c r="AE272" s="57" t="str">
        <f t="shared" si="5"/>
        <v>2026-04</v>
      </c>
      <c r="AF272" s="57">
        <f t="shared" si="6"/>
        <v>1</v>
      </c>
      <c r="AG272" s="59">
        <f t="shared" si="7"/>
        <v>1</v>
      </c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</row>
    <row r="273" ht="24.0" customHeight="1">
      <c r="A273" s="53">
        <v>43.0</v>
      </c>
      <c r="B273" s="54" t="s">
        <v>1095</v>
      </c>
      <c r="C273" s="55" t="s">
        <v>945</v>
      </c>
      <c r="D273" s="55"/>
      <c r="E273" s="55" t="s">
        <v>1096</v>
      </c>
      <c r="F273" s="55" t="s">
        <v>1097</v>
      </c>
      <c r="G273" s="55">
        <v>28.0</v>
      </c>
      <c r="H273" s="55" t="s">
        <v>85</v>
      </c>
      <c r="I273" s="55" t="s">
        <v>112</v>
      </c>
      <c r="J273" s="56" t="s">
        <v>113</v>
      </c>
      <c r="K273" s="55" t="s">
        <v>1098</v>
      </c>
      <c r="L273" s="55" t="s">
        <v>34</v>
      </c>
      <c r="M273" s="55" t="s">
        <v>133</v>
      </c>
      <c r="N273" s="55" t="s">
        <v>90</v>
      </c>
      <c r="O273" s="55"/>
      <c r="P273" s="55" t="s">
        <v>91</v>
      </c>
      <c r="Q273" s="55" t="s">
        <v>16</v>
      </c>
      <c r="R273" s="55"/>
      <c r="S273" s="55"/>
      <c r="T273" s="55"/>
      <c r="U273" s="55"/>
      <c r="V273" s="55"/>
      <c r="W273" s="55"/>
      <c r="X273" s="57" t="str">
        <f t="shared" si="2"/>
        <v>--266-29-04</v>
      </c>
      <c r="Y273" s="58" t="str">
        <f t="shared" ref="Y273:AC273" si="271">TRIM(SUBSTITUTE(SUBSTITUTE(OFFSET($Q273,0,COLUMN()-COLUMN($AL$1)),CHAR(160)," "),_xludf.UNICHAR(8239)," "))</f>
        <v>#NAME?</v>
      </c>
      <c r="Z273" s="58" t="str">
        <f t="shared" si="271"/>
        <v>#NAME?</v>
      </c>
      <c r="AA273" s="58" t="str">
        <f t="shared" si="271"/>
        <v>#NAME?</v>
      </c>
      <c r="AB273" s="58" t="str">
        <f t="shared" si="271"/>
        <v>#NAME?</v>
      </c>
      <c r="AC273" s="58" t="str">
        <f t="shared" si="271"/>
        <v>#NAME?</v>
      </c>
      <c r="AD273" s="57">
        <f t="shared" si="4"/>
        <v>1</v>
      </c>
      <c r="AE273" s="57" t="str">
        <f t="shared" si="5"/>
        <v>2026-04</v>
      </c>
      <c r="AF273" s="57">
        <f t="shared" si="6"/>
        <v>1</v>
      </c>
      <c r="AG273" s="59">
        <f t="shared" si="7"/>
        <v>1</v>
      </c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</row>
    <row r="274" ht="24.0" customHeight="1">
      <c r="A274" s="53">
        <v>44.0</v>
      </c>
      <c r="B274" s="54" t="s">
        <v>1099</v>
      </c>
      <c r="C274" s="55" t="s">
        <v>945</v>
      </c>
      <c r="D274" s="55"/>
      <c r="E274" s="55" t="s">
        <v>1100</v>
      </c>
      <c r="F274" s="55" t="s">
        <v>1101</v>
      </c>
      <c r="G274" s="55">
        <v>62.0</v>
      </c>
      <c r="H274" s="55" t="s">
        <v>260</v>
      </c>
      <c r="I274" s="55" t="s">
        <v>86</v>
      </c>
      <c r="J274" s="56" t="s">
        <v>87</v>
      </c>
      <c r="K274" s="55" t="s">
        <v>1102</v>
      </c>
      <c r="L274" s="55" t="s">
        <v>34</v>
      </c>
      <c r="M274" s="55" t="s">
        <v>89</v>
      </c>
      <c r="N274" s="55" t="s">
        <v>90</v>
      </c>
      <c r="O274" s="55"/>
      <c r="P274" s="55" t="s">
        <v>91</v>
      </c>
      <c r="Q274" s="55" t="s">
        <v>4</v>
      </c>
      <c r="R274" s="55"/>
      <c r="S274" s="55"/>
      <c r="T274" s="55"/>
      <c r="U274" s="55"/>
      <c r="V274" s="55"/>
      <c r="W274" s="55"/>
      <c r="X274" s="57" t="str">
        <f t="shared" si="2"/>
        <v>--267-29-04</v>
      </c>
      <c r="Y274" s="58" t="str">
        <f t="shared" ref="Y274:AC274" si="272">TRIM(SUBSTITUTE(SUBSTITUTE(OFFSET($Q274,0,COLUMN()-COLUMN($AL$1)),CHAR(160)," "),_xludf.UNICHAR(8239)," "))</f>
        <v>#NAME?</v>
      </c>
      <c r="Z274" s="58" t="str">
        <f t="shared" si="272"/>
        <v>#NAME?</v>
      </c>
      <c r="AA274" s="58" t="str">
        <f t="shared" si="272"/>
        <v>#NAME?</v>
      </c>
      <c r="AB274" s="58" t="str">
        <f t="shared" si="272"/>
        <v>#NAME?</v>
      </c>
      <c r="AC274" s="58" t="str">
        <f t="shared" si="272"/>
        <v>#NAME?</v>
      </c>
      <c r="AD274" s="57">
        <f t="shared" si="4"/>
        <v>1</v>
      </c>
      <c r="AE274" s="57" t="str">
        <f t="shared" si="5"/>
        <v>2026-04</v>
      </c>
      <c r="AF274" s="57">
        <f t="shared" si="6"/>
        <v>1</v>
      </c>
      <c r="AG274" s="59">
        <f t="shared" si="7"/>
        <v>1</v>
      </c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</row>
    <row r="275" ht="24.0" customHeight="1">
      <c r="A275" s="53">
        <v>45.0</v>
      </c>
      <c r="B275" s="54" t="s">
        <v>1103</v>
      </c>
      <c r="C275" s="55" t="s">
        <v>945</v>
      </c>
      <c r="D275" s="55"/>
      <c r="E275" s="55" t="s">
        <v>1104</v>
      </c>
      <c r="F275" s="55" t="s">
        <v>1105</v>
      </c>
      <c r="G275" s="55">
        <v>6.0</v>
      </c>
      <c r="H275" s="55" t="s">
        <v>111</v>
      </c>
      <c r="I275" s="55" t="s">
        <v>86</v>
      </c>
      <c r="J275" s="56" t="s">
        <v>87</v>
      </c>
      <c r="K275" s="55" t="s">
        <v>1106</v>
      </c>
      <c r="L275" s="55" t="s">
        <v>34</v>
      </c>
      <c r="M275" s="55" t="s">
        <v>115</v>
      </c>
      <c r="N275" s="55" t="s">
        <v>90</v>
      </c>
      <c r="O275" s="55"/>
      <c r="P275" s="55" t="s">
        <v>91</v>
      </c>
      <c r="Q275" s="55" t="s">
        <v>16</v>
      </c>
      <c r="R275" s="55"/>
      <c r="S275" s="55"/>
      <c r="T275" s="55"/>
      <c r="U275" s="55"/>
      <c r="V275" s="55"/>
      <c r="W275" s="55"/>
      <c r="X275" s="57" t="str">
        <f t="shared" si="2"/>
        <v>--268-29-04</v>
      </c>
      <c r="Y275" s="58" t="str">
        <f t="shared" ref="Y275:AC275" si="273">TRIM(SUBSTITUTE(SUBSTITUTE(OFFSET($Q275,0,COLUMN()-COLUMN($AL$1)),CHAR(160)," "),_xludf.UNICHAR(8239)," "))</f>
        <v>#NAME?</v>
      </c>
      <c r="Z275" s="58" t="str">
        <f t="shared" si="273"/>
        <v>#NAME?</v>
      </c>
      <c r="AA275" s="58" t="str">
        <f t="shared" si="273"/>
        <v>#NAME?</v>
      </c>
      <c r="AB275" s="58" t="str">
        <f t="shared" si="273"/>
        <v>#NAME?</v>
      </c>
      <c r="AC275" s="58" t="str">
        <f t="shared" si="273"/>
        <v>#NAME?</v>
      </c>
      <c r="AD275" s="57">
        <f t="shared" si="4"/>
        <v>1</v>
      </c>
      <c r="AE275" s="57" t="str">
        <f t="shared" si="5"/>
        <v>2026-04</v>
      </c>
      <c r="AF275" s="57">
        <f t="shared" si="6"/>
        <v>1</v>
      </c>
      <c r="AG275" s="59">
        <f t="shared" si="7"/>
        <v>1</v>
      </c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</row>
    <row r="276" ht="24.0" customHeight="1">
      <c r="A276" s="53">
        <v>46.0</v>
      </c>
      <c r="B276" s="54" t="s">
        <v>1107</v>
      </c>
      <c r="C276" s="55" t="s">
        <v>945</v>
      </c>
      <c r="D276" s="55"/>
      <c r="E276" s="55" t="s">
        <v>1108</v>
      </c>
      <c r="F276" s="55" t="s">
        <v>1109</v>
      </c>
      <c r="G276" s="55">
        <v>5.0</v>
      </c>
      <c r="H276" s="55" t="s">
        <v>119</v>
      </c>
      <c r="I276" s="55" t="s">
        <v>86</v>
      </c>
      <c r="J276" s="56" t="s">
        <v>87</v>
      </c>
      <c r="K276" s="55" t="s">
        <v>1106</v>
      </c>
      <c r="L276" s="55"/>
      <c r="M276" s="55" t="s">
        <v>115</v>
      </c>
      <c r="N276" s="55" t="s">
        <v>90</v>
      </c>
      <c r="O276" s="55"/>
      <c r="P276" s="55" t="s">
        <v>91</v>
      </c>
      <c r="Q276" s="55" t="s">
        <v>4</v>
      </c>
      <c r="R276" s="55"/>
      <c r="S276" s="55"/>
      <c r="T276" s="55"/>
      <c r="U276" s="55"/>
      <c r="V276" s="55"/>
      <c r="W276" s="55"/>
      <c r="X276" s="57" t="str">
        <f t="shared" si="2"/>
        <v>--269-29-04</v>
      </c>
      <c r="Y276" s="58" t="str">
        <f t="shared" ref="Y276:AC276" si="274">TRIM(SUBSTITUTE(SUBSTITUTE(OFFSET($Q276,0,COLUMN()-COLUMN($AL$1)),CHAR(160)," "),_xludf.UNICHAR(8239)," "))</f>
        <v>#NAME?</v>
      </c>
      <c r="Z276" s="58" t="str">
        <f t="shared" si="274"/>
        <v>#NAME?</v>
      </c>
      <c r="AA276" s="58" t="str">
        <f t="shared" si="274"/>
        <v>#NAME?</v>
      </c>
      <c r="AB276" s="58" t="str">
        <f t="shared" si="274"/>
        <v>#NAME?</v>
      </c>
      <c r="AC276" s="58" t="str">
        <f t="shared" si="274"/>
        <v>#NAME?</v>
      </c>
      <c r="AD276" s="57">
        <f t="shared" si="4"/>
        <v>1</v>
      </c>
      <c r="AE276" s="57" t="str">
        <f t="shared" si="5"/>
        <v>2026-04</v>
      </c>
      <c r="AF276" s="57">
        <f t="shared" si="6"/>
        <v>1</v>
      </c>
      <c r="AG276" s="59">
        <f t="shared" si="7"/>
        <v>1</v>
      </c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</row>
    <row r="277" ht="24.0" customHeight="1">
      <c r="A277" s="53">
        <v>47.0</v>
      </c>
      <c r="B277" s="54" t="s">
        <v>1110</v>
      </c>
      <c r="C277" s="55" t="s">
        <v>945</v>
      </c>
      <c r="D277" s="55"/>
      <c r="E277" s="55" t="s">
        <v>1111</v>
      </c>
      <c r="F277" s="55" t="s">
        <v>1112</v>
      </c>
      <c r="G277" s="55">
        <v>42.0</v>
      </c>
      <c r="H277" s="55" t="s">
        <v>85</v>
      </c>
      <c r="I277" s="55" t="s">
        <v>86</v>
      </c>
      <c r="J277" s="56" t="s">
        <v>87</v>
      </c>
      <c r="K277" s="55" t="s">
        <v>1113</v>
      </c>
      <c r="L277" s="55" t="s">
        <v>34</v>
      </c>
      <c r="M277" s="55" t="s">
        <v>89</v>
      </c>
      <c r="N277" s="55" t="s">
        <v>90</v>
      </c>
      <c r="O277" s="55"/>
      <c r="P277" s="55" t="s">
        <v>91</v>
      </c>
      <c r="Q277" s="55" t="s">
        <v>4</v>
      </c>
      <c r="R277" s="55"/>
      <c r="S277" s="55"/>
      <c r="T277" s="55"/>
      <c r="U277" s="55"/>
      <c r="V277" s="55"/>
      <c r="W277" s="55"/>
      <c r="X277" s="57" t="str">
        <f t="shared" si="2"/>
        <v>--270-29-04</v>
      </c>
      <c r="Y277" s="58" t="str">
        <f t="shared" ref="Y277:AC277" si="275">TRIM(SUBSTITUTE(SUBSTITUTE(OFFSET($Q277,0,COLUMN()-COLUMN($AL$1)),CHAR(160)," "),_xludf.UNICHAR(8239)," "))</f>
        <v>#NAME?</v>
      </c>
      <c r="Z277" s="58" t="str">
        <f t="shared" si="275"/>
        <v>#NAME?</v>
      </c>
      <c r="AA277" s="58" t="str">
        <f t="shared" si="275"/>
        <v>#NAME?</v>
      </c>
      <c r="AB277" s="58" t="str">
        <f t="shared" si="275"/>
        <v>#NAME?</v>
      </c>
      <c r="AC277" s="58" t="str">
        <f t="shared" si="275"/>
        <v>#NAME?</v>
      </c>
      <c r="AD277" s="57">
        <f t="shared" si="4"/>
        <v>1</v>
      </c>
      <c r="AE277" s="57" t="str">
        <f t="shared" si="5"/>
        <v>2026-04</v>
      </c>
      <c r="AF277" s="57">
        <f t="shared" si="6"/>
        <v>1</v>
      </c>
      <c r="AG277" s="59">
        <f t="shared" si="7"/>
        <v>1</v>
      </c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</row>
    <row r="278" ht="24.0" customHeight="1">
      <c r="A278" s="53">
        <v>48.0</v>
      </c>
      <c r="B278" s="54" t="s">
        <v>1114</v>
      </c>
      <c r="C278" s="55" t="s">
        <v>945</v>
      </c>
      <c r="D278" s="55"/>
      <c r="E278" s="55" t="s">
        <v>1115</v>
      </c>
      <c r="F278" s="55" t="s">
        <v>1116</v>
      </c>
      <c r="G278" s="55">
        <v>39.0</v>
      </c>
      <c r="H278" s="55" t="s">
        <v>85</v>
      </c>
      <c r="I278" s="55" t="s">
        <v>112</v>
      </c>
      <c r="J278" s="56" t="s">
        <v>113</v>
      </c>
      <c r="K278" s="55" t="s">
        <v>1117</v>
      </c>
      <c r="L278" s="55" t="s">
        <v>34</v>
      </c>
      <c r="M278" s="55" t="s">
        <v>89</v>
      </c>
      <c r="N278" s="55" t="s">
        <v>90</v>
      </c>
      <c r="O278" s="55"/>
      <c r="P278" s="55" t="s">
        <v>91</v>
      </c>
      <c r="Q278" s="55" t="s">
        <v>4</v>
      </c>
      <c r="R278" s="55"/>
      <c r="S278" s="55"/>
      <c r="T278" s="55"/>
      <c r="U278" s="55"/>
      <c r="V278" s="55"/>
      <c r="W278" s="55"/>
      <c r="X278" s="57" t="str">
        <f t="shared" si="2"/>
        <v>--271-29-04</v>
      </c>
      <c r="Y278" s="58" t="str">
        <f t="shared" ref="Y278:AC278" si="276">TRIM(SUBSTITUTE(SUBSTITUTE(OFFSET($Q278,0,COLUMN()-COLUMN($AL$1)),CHAR(160)," "),_xludf.UNICHAR(8239)," "))</f>
        <v>#NAME?</v>
      </c>
      <c r="Z278" s="58" t="str">
        <f t="shared" si="276"/>
        <v>#NAME?</v>
      </c>
      <c r="AA278" s="58" t="str">
        <f t="shared" si="276"/>
        <v>#NAME?</v>
      </c>
      <c r="AB278" s="58" t="str">
        <f t="shared" si="276"/>
        <v>#NAME?</v>
      </c>
      <c r="AC278" s="58" t="str">
        <f t="shared" si="276"/>
        <v>#NAME?</v>
      </c>
      <c r="AD278" s="57">
        <f t="shared" si="4"/>
        <v>1</v>
      </c>
      <c r="AE278" s="57" t="str">
        <f t="shared" si="5"/>
        <v>2026-04</v>
      </c>
      <c r="AF278" s="57">
        <f t="shared" si="6"/>
        <v>1</v>
      </c>
      <c r="AG278" s="59">
        <f t="shared" si="7"/>
        <v>1</v>
      </c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</row>
    <row r="279" ht="24.0" customHeight="1">
      <c r="A279" s="53">
        <v>49.0</v>
      </c>
      <c r="B279" s="54" t="s">
        <v>169</v>
      </c>
      <c r="C279" s="55" t="s">
        <v>945</v>
      </c>
      <c r="D279" s="60">
        <v>46138.0</v>
      </c>
      <c r="E279" s="55" t="s">
        <v>170</v>
      </c>
      <c r="F279" s="55" t="s">
        <v>171</v>
      </c>
      <c r="G279" s="55">
        <v>23.0</v>
      </c>
      <c r="H279" s="55" t="s">
        <v>85</v>
      </c>
      <c r="I279" s="55" t="s">
        <v>86</v>
      </c>
      <c r="J279" s="56" t="s">
        <v>87</v>
      </c>
      <c r="K279" s="55" t="s">
        <v>172</v>
      </c>
      <c r="L279" s="55" t="s">
        <v>34</v>
      </c>
      <c r="M279" s="55" t="s">
        <v>89</v>
      </c>
      <c r="N279" s="55" t="s">
        <v>90</v>
      </c>
      <c r="O279" s="55"/>
      <c r="P279" s="55" t="s">
        <v>91</v>
      </c>
      <c r="Q279" s="55"/>
      <c r="R279" s="55"/>
      <c r="S279" s="55" t="s">
        <v>18</v>
      </c>
      <c r="T279" s="55"/>
      <c r="U279" s="55"/>
      <c r="V279" s="55"/>
      <c r="W279" s="55"/>
      <c r="X279" s="57" t="str">
        <f t="shared" si="2"/>
        <v>--272-29-04</v>
      </c>
      <c r="Y279" s="58" t="str">
        <f t="shared" ref="Y279:AC279" si="277">TRIM(SUBSTITUTE(SUBSTITUTE(OFFSET($Q279,0,COLUMN()-COLUMN($AL$1)),CHAR(160)," "),_xludf.UNICHAR(8239)," "))</f>
        <v>#NAME?</v>
      </c>
      <c r="Z279" s="58" t="str">
        <f t="shared" si="277"/>
        <v>#NAME?</v>
      </c>
      <c r="AA279" s="58" t="str">
        <f t="shared" si="277"/>
        <v>#NAME?</v>
      </c>
      <c r="AB279" s="58" t="str">
        <f t="shared" si="277"/>
        <v>#NAME?</v>
      </c>
      <c r="AC279" s="58" t="str">
        <f t="shared" si="277"/>
        <v>#NAME?</v>
      </c>
      <c r="AD279" s="57">
        <f t="shared" si="4"/>
        <v>1</v>
      </c>
      <c r="AE279" s="57" t="str">
        <f t="shared" si="5"/>
        <v>2026-04</v>
      </c>
      <c r="AF279" s="57">
        <f t="shared" si="6"/>
        <v>0</v>
      </c>
      <c r="AG279" s="59">
        <f t="shared" si="7"/>
        <v>0</v>
      </c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</row>
    <row r="280" ht="24.0" customHeight="1">
      <c r="A280" s="53">
        <v>50.0</v>
      </c>
      <c r="B280" s="54" t="s">
        <v>1118</v>
      </c>
      <c r="C280" s="55" t="s">
        <v>945</v>
      </c>
      <c r="D280" s="55"/>
      <c r="E280" s="55" t="s">
        <v>1119</v>
      </c>
      <c r="F280" s="55" t="s">
        <v>1120</v>
      </c>
      <c r="G280" s="55">
        <v>34.0</v>
      </c>
      <c r="H280" s="55" t="s">
        <v>85</v>
      </c>
      <c r="I280" s="55" t="s">
        <v>86</v>
      </c>
      <c r="J280" s="56" t="s">
        <v>87</v>
      </c>
      <c r="K280" s="55" t="s">
        <v>1121</v>
      </c>
      <c r="L280" s="55" t="s">
        <v>34</v>
      </c>
      <c r="M280" s="55" t="s">
        <v>89</v>
      </c>
      <c r="N280" s="55" t="s">
        <v>90</v>
      </c>
      <c r="O280" s="55"/>
      <c r="P280" s="55" t="s">
        <v>91</v>
      </c>
      <c r="Q280" s="55"/>
      <c r="R280" s="55" t="s">
        <v>5</v>
      </c>
      <c r="S280" s="55"/>
      <c r="T280" s="55"/>
      <c r="U280" s="55" t="s">
        <v>7</v>
      </c>
      <c r="V280" s="55"/>
      <c r="W280" s="55"/>
      <c r="X280" s="57" t="str">
        <f t="shared" si="2"/>
        <v>--273-29-04</v>
      </c>
      <c r="Y280" s="58" t="str">
        <f t="shared" ref="Y280:AC280" si="278">TRIM(SUBSTITUTE(SUBSTITUTE(OFFSET($Q280,0,COLUMN()-COLUMN($AL$1)),CHAR(160)," "),_xludf.UNICHAR(8239)," "))</f>
        <v>#NAME?</v>
      </c>
      <c r="Z280" s="58" t="str">
        <f t="shared" si="278"/>
        <v>#NAME?</v>
      </c>
      <c r="AA280" s="58" t="str">
        <f t="shared" si="278"/>
        <v>#NAME?</v>
      </c>
      <c r="AB280" s="58" t="str">
        <f t="shared" si="278"/>
        <v>#NAME?</v>
      </c>
      <c r="AC280" s="58" t="str">
        <f t="shared" si="278"/>
        <v>#NAME?</v>
      </c>
      <c r="AD280" s="57">
        <f t="shared" si="4"/>
        <v>1</v>
      </c>
      <c r="AE280" s="57" t="str">
        <f t="shared" si="5"/>
        <v>2026-04</v>
      </c>
      <c r="AF280" s="57">
        <f t="shared" si="6"/>
        <v>1</v>
      </c>
      <c r="AG280" s="59">
        <f t="shared" si="7"/>
        <v>1</v>
      </c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</row>
    <row r="281" ht="24.0" customHeight="1">
      <c r="A281" s="53">
        <v>51.0</v>
      </c>
      <c r="B281" s="54" t="s">
        <v>1122</v>
      </c>
      <c r="C281" s="55" t="s">
        <v>945</v>
      </c>
      <c r="D281" s="55"/>
      <c r="E281" s="55" t="s">
        <v>1123</v>
      </c>
      <c r="F281" s="55" t="s">
        <v>1124</v>
      </c>
      <c r="G281" s="55">
        <v>39.0</v>
      </c>
      <c r="H281" s="55" t="s">
        <v>85</v>
      </c>
      <c r="I281" s="55" t="s">
        <v>86</v>
      </c>
      <c r="J281" s="56" t="s">
        <v>87</v>
      </c>
      <c r="K281" s="55" t="s">
        <v>1125</v>
      </c>
      <c r="L281" s="55" t="s">
        <v>34</v>
      </c>
      <c r="M281" s="55" t="s">
        <v>89</v>
      </c>
      <c r="N281" s="55" t="s">
        <v>90</v>
      </c>
      <c r="O281" s="55"/>
      <c r="P281" s="55" t="s">
        <v>91</v>
      </c>
      <c r="Q281" s="55"/>
      <c r="R281" s="55" t="s">
        <v>5</v>
      </c>
      <c r="S281" s="55"/>
      <c r="T281" s="55"/>
      <c r="U281" s="55" t="s">
        <v>7</v>
      </c>
      <c r="V281" s="55"/>
      <c r="W281" s="55"/>
      <c r="X281" s="57" t="str">
        <f t="shared" si="2"/>
        <v>--274-29-04</v>
      </c>
      <c r="Y281" s="58" t="str">
        <f t="shared" ref="Y281:AC281" si="279">TRIM(SUBSTITUTE(SUBSTITUTE(OFFSET($Q281,0,COLUMN()-COLUMN($AL$1)),CHAR(160)," "),_xludf.UNICHAR(8239)," "))</f>
        <v>#NAME?</v>
      </c>
      <c r="Z281" s="58" t="str">
        <f t="shared" si="279"/>
        <v>#NAME?</v>
      </c>
      <c r="AA281" s="58" t="str">
        <f t="shared" si="279"/>
        <v>#NAME?</v>
      </c>
      <c r="AB281" s="58" t="str">
        <f t="shared" si="279"/>
        <v>#NAME?</v>
      </c>
      <c r="AC281" s="58" t="str">
        <f t="shared" si="279"/>
        <v>#NAME?</v>
      </c>
      <c r="AD281" s="57">
        <f t="shared" si="4"/>
        <v>1</v>
      </c>
      <c r="AE281" s="57" t="str">
        <f t="shared" si="5"/>
        <v>2026-04</v>
      </c>
      <c r="AF281" s="57">
        <f t="shared" si="6"/>
        <v>1</v>
      </c>
      <c r="AG281" s="59">
        <f t="shared" si="7"/>
        <v>1</v>
      </c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</row>
    <row r="282" ht="24.0" customHeight="1">
      <c r="A282" s="53">
        <v>52.0</v>
      </c>
      <c r="B282" s="54" t="s">
        <v>1126</v>
      </c>
      <c r="C282" s="55" t="s">
        <v>945</v>
      </c>
      <c r="D282" s="55"/>
      <c r="E282" s="55" t="s">
        <v>1127</v>
      </c>
      <c r="F282" s="55" t="s">
        <v>1128</v>
      </c>
      <c r="G282" s="55">
        <v>16.0</v>
      </c>
      <c r="H282" s="55" t="s">
        <v>111</v>
      </c>
      <c r="I282" s="55" t="s">
        <v>86</v>
      </c>
      <c r="J282" s="56" t="s">
        <v>87</v>
      </c>
      <c r="K282" s="55" t="s">
        <v>1129</v>
      </c>
      <c r="L282" s="55" t="s">
        <v>34</v>
      </c>
      <c r="M282" s="55" t="s">
        <v>133</v>
      </c>
      <c r="N282" s="55" t="s">
        <v>90</v>
      </c>
      <c r="O282" s="55"/>
      <c r="P282" s="55" t="s">
        <v>91</v>
      </c>
      <c r="Q282" s="55" t="s">
        <v>16</v>
      </c>
      <c r="R282" s="55"/>
      <c r="S282" s="55"/>
      <c r="T282" s="55"/>
      <c r="U282" s="55"/>
      <c r="V282" s="55"/>
      <c r="W282" s="55"/>
      <c r="X282" s="57" t="str">
        <f t="shared" si="2"/>
        <v>--275-29-04</v>
      </c>
      <c r="Y282" s="58" t="str">
        <f t="shared" ref="Y282:AC282" si="280">TRIM(SUBSTITUTE(SUBSTITUTE(OFFSET($Q282,0,COLUMN()-COLUMN($AL$1)),CHAR(160)," "),_xludf.UNICHAR(8239)," "))</f>
        <v>#NAME?</v>
      </c>
      <c r="Z282" s="58" t="str">
        <f t="shared" si="280"/>
        <v>#NAME?</v>
      </c>
      <c r="AA282" s="58" t="str">
        <f t="shared" si="280"/>
        <v>#NAME?</v>
      </c>
      <c r="AB282" s="58" t="str">
        <f t="shared" si="280"/>
        <v>#NAME?</v>
      </c>
      <c r="AC282" s="58" t="str">
        <f t="shared" si="280"/>
        <v>#NAME?</v>
      </c>
      <c r="AD282" s="57">
        <f t="shared" si="4"/>
        <v>1</v>
      </c>
      <c r="AE282" s="57" t="str">
        <f t="shared" si="5"/>
        <v>2026-04</v>
      </c>
      <c r="AF282" s="57">
        <f t="shared" si="6"/>
        <v>1</v>
      </c>
      <c r="AG282" s="59">
        <f t="shared" si="7"/>
        <v>1</v>
      </c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</row>
    <row r="283" ht="24.0" customHeight="1">
      <c r="A283" s="53">
        <v>53.0</v>
      </c>
      <c r="B283" s="54" t="s">
        <v>1130</v>
      </c>
      <c r="C283" s="55" t="s">
        <v>945</v>
      </c>
      <c r="D283" s="55"/>
      <c r="E283" s="55" t="s">
        <v>1131</v>
      </c>
      <c r="F283" s="55" t="s">
        <v>1132</v>
      </c>
      <c r="G283" s="55">
        <v>34.0</v>
      </c>
      <c r="H283" s="55" t="s">
        <v>85</v>
      </c>
      <c r="I283" s="55" t="s">
        <v>112</v>
      </c>
      <c r="J283" s="56" t="s">
        <v>113</v>
      </c>
      <c r="K283" s="55" t="s">
        <v>1133</v>
      </c>
      <c r="L283" s="55" t="s">
        <v>34</v>
      </c>
      <c r="M283" s="55" t="s">
        <v>89</v>
      </c>
      <c r="N283" s="55" t="s">
        <v>90</v>
      </c>
      <c r="O283" s="55"/>
      <c r="P283" s="55" t="s">
        <v>91</v>
      </c>
      <c r="Q283" s="55" t="s">
        <v>16</v>
      </c>
      <c r="R283" s="55"/>
      <c r="S283" s="55"/>
      <c r="T283" s="55"/>
      <c r="U283" s="55"/>
      <c r="V283" s="55"/>
      <c r="W283" s="55"/>
      <c r="X283" s="57" t="str">
        <f t="shared" si="2"/>
        <v>--276-29-04</v>
      </c>
      <c r="Y283" s="58" t="str">
        <f t="shared" ref="Y283:AC283" si="281">TRIM(SUBSTITUTE(SUBSTITUTE(OFFSET($Q283,0,COLUMN()-COLUMN($AL$1)),CHAR(160)," "),_xludf.UNICHAR(8239)," "))</f>
        <v>#NAME?</v>
      </c>
      <c r="Z283" s="58" t="str">
        <f t="shared" si="281"/>
        <v>#NAME?</v>
      </c>
      <c r="AA283" s="58" t="str">
        <f t="shared" si="281"/>
        <v>#NAME?</v>
      </c>
      <c r="AB283" s="58" t="str">
        <f t="shared" si="281"/>
        <v>#NAME?</v>
      </c>
      <c r="AC283" s="58" t="str">
        <f t="shared" si="281"/>
        <v>#NAME?</v>
      </c>
      <c r="AD283" s="57">
        <f t="shared" si="4"/>
        <v>1</v>
      </c>
      <c r="AE283" s="57" t="str">
        <f t="shared" si="5"/>
        <v>2026-04</v>
      </c>
      <c r="AF283" s="57">
        <f t="shared" si="6"/>
        <v>1</v>
      </c>
      <c r="AG283" s="59">
        <f t="shared" si="7"/>
        <v>1</v>
      </c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</row>
    <row r="284" ht="24.0" customHeight="1">
      <c r="A284" s="53">
        <v>54.0</v>
      </c>
      <c r="B284" s="54" t="s">
        <v>1134</v>
      </c>
      <c r="C284" s="55" t="s">
        <v>945</v>
      </c>
      <c r="D284" s="55"/>
      <c r="E284" s="55" t="s">
        <v>1135</v>
      </c>
      <c r="F284" s="55" t="s">
        <v>1136</v>
      </c>
      <c r="G284" s="55">
        <v>40.0</v>
      </c>
      <c r="H284" s="55" t="s">
        <v>85</v>
      </c>
      <c r="I284" s="55" t="s">
        <v>112</v>
      </c>
      <c r="J284" s="56" t="s">
        <v>113</v>
      </c>
      <c r="K284" s="55" t="s">
        <v>1137</v>
      </c>
      <c r="L284" s="55" t="s">
        <v>34</v>
      </c>
      <c r="M284" s="55" t="s">
        <v>89</v>
      </c>
      <c r="N284" s="55" t="s">
        <v>90</v>
      </c>
      <c r="O284" s="55"/>
      <c r="P284" s="55" t="s">
        <v>91</v>
      </c>
      <c r="Q284" s="55" t="s">
        <v>4</v>
      </c>
      <c r="R284" s="55"/>
      <c r="S284" s="55"/>
      <c r="T284" s="55"/>
      <c r="U284" s="55"/>
      <c r="V284" s="55"/>
      <c r="W284" s="55"/>
      <c r="X284" s="57" t="str">
        <f t="shared" si="2"/>
        <v>--277-29-04</v>
      </c>
      <c r="Y284" s="58" t="str">
        <f t="shared" ref="Y284:AC284" si="282">TRIM(SUBSTITUTE(SUBSTITUTE(OFFSET($Q284,0,COLUMN()-COLUMN($AL$1)),CHAR(160)," "),_xludf.UNICHAR(8239)," "))</f>
        <v>#NAME?</v>
      </c>
      <c r="Z284" s="58" t="str">
        <f t="shared" si="282"/>
        <v>#NAME?</v>
      </c>
      <c r="AA284" s="58" t="str">
        <f t="shared" si="282"/>
        <v>#NAME?</v>
      </c>
      <c r="AB284" s="58" t="str">
        <f t="shared" si="282"/>
        <v>#NAME?</v>
      </c>
      <c r="AC284" s="58" t="str">
        <f t="shared" si="282"/>
        <v>#NAME?</v>
      </c>
      <c r="AD284" s="57">
        <f t="shared" si="4"/>
        <v>1</v>
      </c>
      <c r="AE284" s="57" t="str">
        <f t="shared" si="5"/>
        <v>2026-04</v>
      </c>
      <c r="AF284" s="57">
        <f t="shared" si="6"/>
        <v>1</v>
      </c>
      <c r="AG284" s="59">
        <f t="shared" si="7"/>
        <v>1</v>
      </c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</row>
    <row r="285" ht="24.0" customHeight="1">
      <c r="A285" s="53">
        <v>55.0</v>
      </c>
      <c r="B285" s="54" t="s">
        <v>1138</v>
      </c>
      <c r="C285" s="55" t="s">
        <v>945</v>
      </c>
      <c r="D285" s="55"/>
      <c r="E285" s="55" t="s">
        <v>1139</v>
      </c>
      <c r="F285" s="55" t="s">
        <v>1140</v>
      </c>
      <c r="G285" s="55">
        <v>9.0</v>
      </c>
      <c r="H285" s="55" t="s">
        <v>111</v>
      </c>
      <c r="I285" s="55" t="s">
        <v>112</v>
      </c>
      <c r="J285" s="56" t="s">
        <v>113</v>
      </c>
      <c r="K285" s="55" t="s">
        <v>1141</v>
      </c>
      <c r="L285" s="55" t="s">
        <v>34</v>
      </c>
      <c r="M285" s="55" t="s">
        <v>115</v>
      </c>
      <c r="N285" s="55" t="s">
        <v>90</v>
      </c>
      <c r="O285" s="55"/>
      <c r="P285" s="55" t="s">
        <v>91</v>
      </c>
      <c r="Q285" s="55" t="s">
        <v>16</v>
      </c>
      <c r="R285" s="55"/>
      <c r="S285" s="55"/>
      <c r="T285" s="55"/>
      <c r="U285" s="55"/>
      <c r="V285" s="55"/>
      <c r="W285" s="55"/>
      <c r="X285" s="57" t="str">
        <f t="shared" si="2"/>
        <v>--278-29-04</v>
      </c>
      <c r="Y285" s="58" t="str">
        <f t="shared" ref="Y285:AC285" si="283">TRIM(SUBSTITUTE(SUBSTITUTE(OFFSET($Q285,0,COLUMN()-COLUMN($AL$1)),CHAR(160)," "),_xludf.UNICHAR(8239)," "))</f>
        <v>#NAME?</v>
      </c>
      <c r="Z285" s="58" t="str">
        <f t="shared" si="283"/>
        <v>#NAME?</v>
      </c>
      <c r="AA285" s="58" t="str">
        <f t="shared" si="283"/>
        <v>#NAME?</v>
      </c>
      <c r="AB285" s="58" t="str">
        <f t="shared" si="283"/>
        <v>#NAME?</v>
      </c>
      <c r="AC285" s="58" t="str">
        <f t="shared" si="283"/>
        <v>#NAME?</v>
      </c>
      <c r="AD285" s="57">
        <f t="shared" si="4"/>
        <v>1</v>
      </c>
      <c r="AE285" s="57" t="str">
        <f t="shared" si="5"/>
        <v>2026-04</v>
      </c>
      <c r="AF285" s="57">
        <f t="shared" si="6"/>
        <v>1</v>
      </c>
      <c r="AG285" s="59">
        <f t="shared" si="7"/>
        <v>1</v>
      </c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</row>
    <row r="286" ht="24.0" customHeight="1">
      <c r="A286" s="53">
        <v>56.0</v>
      </c>
      <c r="B286" s="54" t="s">
        <v>1142</v>
      </c>
      <c r="C286" s="55" t="s">
        <v>945</v>
      </c>
      <c r="D286" s="55"/>
      <c r="E286" s="55" t="s">
        <v>1143</v>
      </c>
      <c r="F286" s="55" t="s">
        <v>1144</v>
      </c>
      <c r="G286" s="55">
        <v>62.0</v>
      </c>
      <c r="H286" s="55" t="s">
        <v>260</v>
      </c>
      <c r="I286" s="55" t="s">
        <v>86</v>
      </c>
      <c r="J286" s="56" t="s">
        <v>87</v>
      </c>
      <c r="K286" s="55" t="s">
        <v>1145</v>
      </c>
      <c r="L286" s="55" t="s">
        <v>34</v>
      </c>
      <c r="M286" s="55" t="s">
        <v>89</v>
      </c>
      <c r="N286" s="55" t="s">
        <v>90</v>
      </c>
      <c r="O286" s="55"/>
      <c r="P286" s="55" t="s">
        <v>91</v>
      </c>
      <c r="Q286" s="55" t="s">
        <v>4</v>
      </c>
      <c r="R286" s="55"/>
      <c r="S286" s="55"/>
      <c r="T286" s="55"/>
      <c r="U286" s="55"/>
      <c r="V286" s="55"/>
      <c r="W286" s="55"/>
      <c r="X286" s="57" t="str">
        <f t="shared" si="2"/>
        <v>--279-29-04</v>
      </c>
      <c r="Y286" s="58" t="str">
        <f t="shared" ref="Y286:AC286" si="284">TRIM(SUBSTITUTE(SUBSTITUTE(OFFSET($Q286,0,COLUMN()-COLUMN($AL$1)),CHAR(160)," "),_xludf.UNICHAR(8239)," "))</f>
        <v>#NAME?</v>
      </c>
      <c r="Z286" s="58" t="str">
        <f t="shared" si="284"/>
        <v>#NAME?</v>
      </c>
      <c r="AA286" s="58" t="str">
        <f t="shared" si="284"/>
        <v>#NAME?</v>
      </c>
      <c r="AB286" s="58" t="str">
        <f t="shared" si="284"/>
        <v>#NAME?</v>
      </c>
      <c r="AC286" s="58" t="str">
        <f t="shared" si="284"/>
        <v>#NAME?</v>
      </c>
      <c r="AD286" s="57">
        <f t="shared" si="4"/>
        <v>1</v>
      </c>
      <c r="AE286" s="57" t="str">
        <f t="shared" si="5"/>
        <v>2026-04</v>
      </c>
      <c r="AF286" s="57">
        <f t="shared" si="6"/>
        <v>1</v>
      </c>
      <c r="AG286" s="59">
        <f t="shared" si="7"/>
        <v>1</v>
      </c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</row>
    <row r="287" ht="24.0" customHeight="1">
      <c r="A287" s="53">
        <v>57.0</v>
      </c>
      <c r="B287" s="54" t="s">
        <v>1146</v>
      </c>
      <c r="C287" s="55" t="s">
        <v>945</v>
      </c>
      <c r="D287" s="55"/>
      <c r="E287" s="55" t="s">
        <v>1147</v>
      </c>
      <c r="F287" s="55" t="s">
        <v>1148</v>
      </c>
      <c r="G287" s="55">
        <v>45.0</v>
      </c>
      <c r="H287" s="55" t="s">
        <v>85</v>
      </c>
      <c r="I287" s="55" t="s">
        <v>86</v>
      </c>
      <c r="J287" s="56" t="s">
        <v>87</v>
      </c>
      <c r="K287" s="55" t="s">
        <v>1149</v>
      </c>
      <c r="L287" s="55" t="s">
        <v>34</v>
      </c>
      <c r="M287" s="55" t="s">
        <v>133</v>
      </c>
      <c r="N287" s="55" t="s">
        <v>90</v>
      </c>
      <c r="O287" s="55"/>
      <c r="P287" s="55" t="s">
        <v>91</v>
      </c>
      <c r="Q287" s="55" t="s">
        <v>4</v>
      </c>
      <c r="R287" s="55"/>
      <c r="S287" s="55"/>
      <c r="T287" s="55"/>
      <c r="U287" s="55"/>
      <c r="V287" s="55"/>
      <c r="W287" s="55"/>
      <c r="X287" s="57" t="str">
        <f t="shared" si="2"/>
        <v>--280-29-04</v>
      </c>
      <c r="Y287" s="58" t="str">
        <f t="shared" ref="Y287:AC287" si="285">TRIM(SUBSTITUTE(SUBSTITUTE(OFFSET($Q287,0,COLUMN()-COLUMN($AL$1)),CHAR(160)," "),_xludf.UNICHAR(8239)," "))</f>
        <v>#NAME?</v>
      </c>
      <c r="Z287" s="58" t="str">
        <f t="shared" si="285"/>
        <v>#NAME?</v>
      </c>
      <c r="AA287" s="58" t="str">
        <f t="shared" si="285"/>
        <v>#NAME?</v>
      </c>
      <c r="AB287" s="58" t="str">
        <f t="shared" si="285"/>
        <v>#NAME?</v>
      </c>
      <c r="AC287" s="58" t="str">
        <f t="shared" si="285"/>
        <v>#NAME?</v>
      </c>
      <c r="AD287" s="57">
        <f t="shared" si="4"/>
        <v>1</v>
      </c>
      <c r="AE287" s="57" t="str">
        <f t="shared" si="5"/>
        <v>2026-04</v>
      </c>
      <c r="AF287" s="57">
        <f t="shared" si="6"/>
        <v>1</v>
      </c>
      <c r="AG287" s="59">
        <f t="shared" si="7"/>
        <v>1</v>
      </c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</row>
    <row r="288" ht="24.0" customHeight="1">
      <c r="A288" s="53">
        <v>58.0</v>
      </c>
      <c r="B288" s="54" t="s">
        <v>1150</v>
      </c>
      <c r="C288" s="55" t="s">
        <v>945</v>
      </c>
      <c r="D288" s="55"/>
      <c r="E288" s="55" t="s">
        <v>1151</v>
      </c>
      <c r="F288" s="55" t="s">
        <v>1152</v>
      </c>
      <c r="G288" s="55">
        <v>34.0</v>
      </c>
      <c r="H288" s="55" t="s">
        <v>85</v>
      </c>
      <c r="I288" s="55" t="s">
        <v>86</v>
      </c>
      <c r="J288" s="56" t="s">
        <v>87</v>
      </c>
      <c r="K288" s="55" t="s">
        <v>1153</v>
      </c>
      <c r="L288" s="55" t="s">
        <v>34</v>
      </c>
      <c r="M288" s="55" t="s">
        <v>89</v>
      </c>
      <c r="N288" s="55" t="s">
        <v>90</v>
      </c>
      <c r="O288" s="55"/>
      <c r="P288" s="55" t="s">
        <v>91</v>
      </c>
      <c r="Q288" s="55" t="s">
        <v>16</v>
      </c>
      <c r="R288" s="55"/>
      <c r="S288" s="55"/>
      <c r="T288" s="55"/>
      <c r="U288" s="55"/>
      <c r="V288" s="55"/>
      <c r="W288" s="55"/>
      <c r="X288" s="57" t="str">
        <f t="shared" si="2"/>
        <v>--281-29-04</v>
      </c>
      <c r="Y288" s="58" t="str">
        <f t="shared" ref="Y288:AC288" si="286">TRIM(SUBSTITUTE(SUBSTITUTE(OFFSET($Q288,0,COLUMN()-COLUMN($AL$1)),CHAR(160)," "),_xludf.UNICHAR(8239)," "))</f>
        <v>#NAME?</v>
      </c>
      <c r="Z288" s="58" t="str">
        <f t="shared" si="286"/>
        <v>#NAME?</v>
      </c>
      <c r="AA288" s="58" t="str">
        <f t="shared" si="286"/>
        <v>#NAME?</v>
      </c>
      <c r="AB288" s="58" t="str">
        <f t="shared" si="286"/>
        <v>#NAME?</v>
      </c>
      <c r="AC288" s="58" t="str">
        <f t="shared" si="286"/>
        <v>#NAME?</v>
      </c>
      <c r="AD288" s="57">
        <f t="shared" si="4"/>
        <v>1</v>
      </c>
      <c r="AE288" s="57" t="str">
        <f t="shared" si="5"/>
        <v>2026-04</v>
      </c>
      <c r="AF288" s="57">
        <f t="shared" si="6"/>
        <v>1</v>
      </c>
      <c r="AG288" s="59">
        <f t="shared" si="7"/>
        <v>1</v>
      </c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</row>
    <row r="289" ht="24.0" customHeight="1">
      <c r="A289" s="53">
        <v>59.0</v>
      </c>
      <c r="B289" s="54" t="s">
        <v>1154</v>
      </c>
      <c r="C289" s="55" t="s">
        <v>945</v>
      </c>
      <c r="D289" s="55"/>
      <c r="E289" s="55" t="s">
        <v>1155</v>
      </c>
      <c r="F289" s="55" t="s">
        <v>1156</v>
      </c>
      <c r="G289" s="55">
        <v>34.0</v>
      </c>
      <c r="H289" s="55" t="s">
        <v>85</v>
      </c>
      <c r="I289" s="55" t="s">
        <v>86</v>
      </c>
      <c r="J289" s="56" t="s">
        <v>87</v>
      </c>
      <c r="K289" s="55" t="s">
        <v>1157</v>
      </c>
      <c r="L289" s="55" t="s">
        <v>34</v>
      </c>
      <c r="M289" s="55" t="s">
        <v>89</v>
      </c>
      <c r="N289" s="55" t="s">
        <v>90</v>
      </c>
      <c r="O289" s="55"/>
      <c r="P289" s="55" t="s">
        <v>91</v>
      </c>
      <c r="Q289" s="55"/>
      <c r="R289" s="55" t="s">
        <v>36</v>
      </c>
      <c r="S289" s="55"/>
      <c r="T289" s="55"/>
      <c r="U289" s="55"/>
      <c r="V289" s="55"/>
      <c r="W289" s="55"/>
      <c r="X289" s="57" t="str">
        <f t="shared" si="2"/>
        <v>--282-29-04</v>
      </c>
      <c r="Y289" s="58" t="str">
        <f t="shared" ref="Y289:AC289" si="287">TRIM(SUBSTITUTE(SUBSTITUTE(OFFSET($Q289,0,COLUMN()-COLUMN($AL$1)),CHAR(160)," "),_xludf.UNICHAR(8239)," "))</f>
        <v>#NAME?</v>
      </c>
      <c r="Z289" s="58" t="str">
        <f t="shared" si="287"/>
        <v>#NAME?</v>
      </c>
      <c r="AA289" s="58" t="str">
        <f t="shared" si="287"/>
        <v>#NAME?</v>
      </c>
      <c r="AB289" s="58" t="str">
        <f t="shared" si="287"/>
        <v>#NAME?</v>
      </c>
      <c r="AC289" s="58" t="str">
        <f t="shared" si="287"/>
        <v>#NAME?</v>
      </c>
      <c r="AD289" s="57">
        <f t="shared" si="4"/>
        <v>1</v>
      </c>
      <c r="AE289" s="57" t="str">
        <f t="shared" si="5"/>
        <v>2026-04</v>
      </c>
      <c r="AF289" s="57">
        <f t="shared" si="6"/>
        <v>1</v>
      </c>
      <c r="AG289" s="59">
        <f t="shared" si="7"/>
        <v>1</v>
      </c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</row>
    <row r="290" ht="24.0" customHeight="1">
      <c r="A290" s="53">
        <v>60.0</v>
      </c>
      <c r="B290" s="54" t="s">
        <v>1158</v>
      </c>
      <c r="C290" s="55" t="s">
        <v>945</v>
      </c>
      <c r="D290" s="55"/>
      <c r="E290" s="55" t="s">
        <v>1159</v>
      </c>
      <c r="F290" s="55" t="s">
        <v>1160</v>
      </c>
      <c r="G290" s="55">
        <v>24.0</v>
      </c>
      <c r="H290" s="55" t="s">
        <v>85</v>
      </c>
      <c r="I290" s="55" t="s">
        <v>86</v>
      </c>
      <c r="J290" s="56" t="s">
        <v>87</v>
      </c>
      <c r="K290" s="55" t="s">
        <v>1161</v>
      </c>
      <c r="L290" s="55" t="s">
        <v>34</v>
      </c>
      <c r="M290" s="55" t="s">
        <v>874</v>
      </c>
      <c r="N290" s="55" t="s">
        <v>90</v>
      </c>
      <c r="O290" s="55"/>
      <c r="P290" s="55" t="s">
        <v>91</v>
      </c>
      <c r="Q290" s="55"/>
      <c r="R290" s="55" t="s">
        <v>36</v>
      </c>
      <c r="S290" s="55"/>
      <c r="T290" s="55"/>
      <c r="U290" s="55"/>
      <c r="V290" s="55"/>
      <c r="W290" s="55"/>
      <c r="X290" s="57" t="str">
        <f t="shared" si="2"/>
        <v>--283-29-04</v>
      </c>
      <c r="Y290" s="58" t="str">
        <f t="shared" ref="Y290:AC290" si="288">TRIM(SUBSTITUTE(SUBSTITUTE(OFFSET($Q290,0,COLUMN()-COLUMN($AL$1)),CHAR(160)," "),_xludf.UNICHAR(8239)," "))</f>
        <v>#NAME?</v>
      </c>
      <c r="Z290" s="58" t="str">
        <f t="shared" si="288"/>
        <v>#NAME?</v>
      </c>
      <c r="AA290" s="58" t="str">
        <f t="shared" si="288"/>
        <v>#NAME?</v>
      </c>
      <c r="AB290" s="58" t="str">
        <f t="shared" si="288"/>
        <v>#NAME?</v>
      </c>
      <c r="AC290" s="58" t="str">
        <f t="shared" si="288"/>
        <v>#NAME?</v>
      </c>
      <c r="AD290" s="57">
        <f t="shared" si="4"/>
        <v>1</v>
      </c>
      <c r="AE290" s="57" t="str">
        <f t="shared" si="5"/>
        <v>2026-04</v>
      </c>
      <c r="AF290" s="57">
        <f t="shared" si="6"/>
        <v>1</v>
      </c>
      <c r="AG290" s="59">
        <f t="shared" si="7"/>
        <v>1</v>
      </c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</row>
    <row r="291" ht="24.0" customHeight="1">
      <c r="A291" s="53">
        <v>61.0</v>
      </c>
      <c r="B291" s="54" t="s">
        <v>1162</v>
      </c>
      <c r="C291" s="55" t="s">
        <v>945</v>
      </c>
      <c r="D291" s="55"/>
      <c r="E291" s="55" t="s">
        <v>1163</v>
      </c>
      <c r="F291" s="55" t="s">
        <v>1164</v>
      </c>
      <c r="G291" s="55">
        <v>14.0</v>
      </c>
      <c r="H291" s="55" t="s">
        <v>111</v>
      </c>
      <c r="I291" s="55" t="s">
        <v>86</v>
      </c>
      <c r="J291" s="56" t="s">
        <v>87</v>
      </c>
      <c r="K291" s="55" t="s">
        <v>1165</v>
      </c>
      <c r="L291" s="55" t="s">
        <v>34</v>
      </c>
      <c r="M291" s="55" t="s">
        <v>133</v>
      </c>
      <c r="N291" s="55" t="s">
        <v>90</v>
      </c>
      <c r="O291" s="55"/>
      <c r="P291" s="55" t="s">
        <v>91</v>
      </c>
      <c r="Q291" s="55"/>
      <c r="R291" s="55" t="s">
        <v>36</v>
      </c>
      <c r="S291" s="55"/>
      <c r="T291" s="55"/>
      <c r="U291" s="55"/>
      <c r="V291" s="55"/>
      <c r="W291" s="55"/>
      <c r="X291" s="57" t="str">
        <f t="shared" si="2"/>
        <v>--284-29-04</v>
      </c>
      <c r="Y291" s="58" t="str">
        <f t="shared" ref="Y291:AC291" si="289">TRIM(SUBSTITUTE(SUBSTITUTE(OFFSET($Q291,0,COLUMN()-COLUMN($AL$1)),CHAR(160)," "),_xludf.UNICHAR(8239)," "))</f>
        <v>#NAME?</v>
      </c>
      <c r="Z291" s="58" t="str">
        <f t="shared" si="289"/>
        <v>#NAME?</v>
      </c>
      <c r="AA291" s="58" t="str">
        <f t="shared" si="289"/>
        <v>#NAME?</v>
      </c>
      <c r="AB291" s="58" t="str">
        <f t="shared" si="289"/>
        <v>#NAME?</v>
      </c>
      <c r="AC291" s="58" t="str">
        <f t="shared" si="289"/>
        <v>#NAME?</v>
      </c>
      <c r="AD291" s="57">
        <f t="shared" si="4"/>
        <v>1</v>
      </c>
      <c r="AE291" s="57" t="str">
        <f t="shared" si="5"/>
        <v>2026-04</v>
      </c>
      <c r="AF291" s="57">
        <f t="shared" si="6"/>
        <v>1</v>
      </c>
      <c r="AG291" s="59">
        <f t="shared" si="7"/>
        <v>1</v>
      </c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</row>
    <row r="292" ht="24.0" customHeight="1">
      <c r="A292" s="53">
        <v>1.0</v>
      </c>
      <c r="B292" s="54" t="s">
        <v>1166</v>
      </c>
      <c r="C292" s="55" t="s">
        <v>1167</v>
      </c>
      <c r="D292" s="55"/>
      <c r="E292" s="55" t="s">
        <v>1168</v>
      </c>
      <c r="F292" s="55" t="s">
        <v>1169</v>
      </c>
      <c r="G292" s="55">
        <v>32.0</v>
      </c>
      <c r="H292" s="55" t="s">
        <v>85</v>
      </c>
      <c r="I292" s="55" t="s">
        <v>112</v>
      </c>
      <c r="J292" s="56" t="s">
        <v>113</v>
      </c>
      <c r="K292" s="55" t="s">
        <v>1170</v>
      </c>
      <c r="L292" s="55" t="s">
        <v>34</v>
      </c>
      <c r="M292" s="55" t="s">
        <v>89</v>
      </c>
      <c r="N292" s="55" t="s">
        <v>90</v>
      </c>
      <c r="O292" s="55"/>
      <c r="P292" s="55" t="s">
        <v>91</v>
      </c>
      <c r="Q292" s="55" t="s">
        <v>4</v>
      </c>
      <c r="R292" s="55"/>
      <c r="S292" s="55"/>
      <c r="T292" s="55"/>
      <c r="U292" s="55"/>
      <c r="V292" s="55"/>
      <c r="W292" s="55"/>
      <c r="X292" s="57" t="str">
        <f t="shared" si="2"/>
        <v>--285-30-04</v>
      </c>
      <c r="Y292" s="58" t="str">
        <f t="shared" ref="Y292:AC292" si="290">TRIM(SUBSTITUTE(SUBSTITUTE(OFFSET($Q292,0,COLUMN()-COLUMN($AL$1)),CHAR(160)," "),_xludf.UNICHAR(8239)," "))</f>
        <v>#NAME?</v>
      </c>
      <c r="Z292" s="58" t="str">
        <f t="shared" si="290"/>
        <v>#NAME?</v>
      </c>
      <c r="AA292" s="58" t="str">
        <f t="shared" si="290"/>
        <v>#NAME?</v>
      </c>
      <c r="AB292" s="58" t="str">
        <f t="shared" si="290"/>
        <v>#NAME?</v>
      </c>
      <c r="AC292" s="58" t="str">
        <f t="shared" si="290"/>
        <v>#NAME?</v>
      </c>
      <c r="AD292" s="57">
        <f t="shared" si="4"/>
        <v>1</v>
      </c>
      <c r="AE292" s="57" t="str">
        <f t="shared" si="5"/>
        <v>2026-04</v>
      </c>
      <c r="AF292" s="57">
        <f t="shared" si="6"/>
        <v>1</v>
      </c>
      <c r="AG292" s="59">
        <f t="shared" si="7"/>
        <v>1</v>
      </c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</row>
    <row r="293" ht="24.0" customHeight="1">
      <c r="A293" s="53">
        <v>2.0</v>
      </c>
      <c r="B293" s="54" t="s">
        <v>1171</v>
      </c>
      <c r="C293" s="55" t="s">
        <v>1167</v>
      </c>
      <c r="D293" s="55"/>
      <c r="E293" s="55" t="s">
        <v>1172</v>
      </c>
      <c r="F293" s="55" t="s">
        <v>1173</v>
      </c>
      <c r="G293" s="55">
        <v>9.0</v>
      </c>
      <c r="H293" s="55" t="s">
        <v>111</v>
      </c>
      <c r="I293" s="55" t="s">
        <v>112</v>
      </c>
      <c r="J293" s="56" t="s">
        <v>113</v>
      </c>
      <c r="K293" s="55" t="s">
        <v>1174</v>
      </c>
      <c r="L293" s="55" t="s">
        <v>34</v>
      </c>
      <c r="M293" s="55" t="s">
        <v>115</v>
      </c>
      <c r="N293" s="55" t="s">
        <v>90</v>
      </c>
      <c r="O293" s="55"/>
      <c r="P293" s="55" t="s">
        <v>91</v>
      </c>
      <c r="Q293" s="55" t="s">
        <v>16</v>
      </c>
      <c r="R293" s="55"/>
      <c r="S293" s="55" t="s">
        <v>6</v>
      </c>
      <c r="T293" s="55"/>
      <c r="U293" s="55"/>
      <c r="V293" s="55"/>
      <c r="W293" s="55"/>
      <c r="X293" s="57" t="str">
        <f t="shared" si="2"/>
        <v>--286-30-04</v>
      </c>
      <c r="Y293" s="58" t="str">
        <f t="shared" ref="Y293:AC293" si="291">TRIM(SUBSTITUTE(SUBSTITUTE(OFFSET($Q293,0,COLUMN()-COLUMN($AL$1)),CHAR(160)," "),_xludf.UNICHAR(8239)," "))</f>
        <v>#NAME?</v>
      </c>
      <c r="Z293" s="58" t="str">
        <f t="shared" si="291"/>
        <v>#NAME?</v>
      </c>
      <c r="AA293" s="58" t="str">
        <f t="shared" si="291"/>
        <v>#NAME?</v>
      </c>
      <c r="AB293" s="58" t="str">
        <f t="shared" si="291"/>
        <v>#NAME?</v>
      </c>
      <c r="AC293" s="58" t="str">
        <f t="shared" si="291"/>
        <v>#NAME?</v>
      </c>
      <c r="AD293" s="57">
        <f t="shared" si="4"/>
        <v>1</v>
      </c>
      <c r="AE293" s="57" t="str">
        <f t="shared" si="5"/>
        <v>2026-04</v>
      </c>
      <c r="AF293" s="57">
        <f t="shared" si="6"/>
        <v>1</v>
      </c>
      <c r="AG293" s="59">
        <f t="shared" si="7"/>
        <v>1</v>
      </c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</row>
    <row r="294" ht="24.0" customHeight="1">
      <c r="A294" s="53">
        <v>3.0</v>
      </c>
      <c r="B294" s="54" t="s">
        <v>1175</v>
      </c>
      <c r="C294" s="55" t="s">
        <v>1167</v>
      </c>
      <c r="D294" s="55"/>
      <c r="E294" s="55" t="s">
        <v>1176</v>
      </c>
      <c r="F294" s="55" t="s">
        <v>1177</v>
      </c>
      <c r="G294" s="55">
        <v>56.0</v>
      </c>
      <c r="H294" s="55" t="s">
        <v>85</v>
      </c>
      <c r="I294" s="55" t="s">
        <v>86</v>
      </c>
      <c r="J294" s="56" t="s">
        <v>87</v>
      </c>
      <c r="K294" s="55" t="s">
        <v>1178</v>
      </c>
      <c r="L294" s="55" t="s">
        <v>34</v>
      </c>
      <c r="M294" s="55" t="s">
        <v>874</v>
      </c>
      <c r="N294" s="55" t="s">
        <v>90</v>
      </c>
      <c r="O294" s="55"/>
      <c r="P294" s="55" t="s">
        <v>91</v>
      </c>
      <c r="Q294" s="55" t="s">
        <v>4</v>
      </c>
      <c r="R294" s="55"/>
      <c r="S294" s="55"/>
      <c r="T294" s="55"/>
      <c r="U294" s="55"/>
      <c r="V294" s="55"/>
      <c r="W294" s="55"/>
      <c r="X294" s="57" t="str">
        <f t="shared" si="2"/>
        <v>--287-30-04</v>
      </c>
      <c r="Y294" s="58" t="str">
        <f t="shared" ref="Y294:AC294" si="292">TRIM(SUBSTITUTE(SUBSTITUTE(OFFSET($Q294,0,COLUMN()-COLUMN($AL$1)),CHAR(160)," "),_xludf.UNICHAR(8239)," "))</f>
        <v>#NAME?</v>
      </c>
      <c r="Z294" s="58" t="str">
        <f t="shared" si="292"/>
        <v>#NAME?</v>
      </c>
      <c r="AA294" s="58" t="str">
        <f t="shared" si="292"/>
        <v>#NAME?</v>
      </c>
      <c r="AB294" s="58" t="str">
        <f t="shared" si="292"/>
        <v>#NAME?</v>
      </c>
      <c r="AC294" s="58" t="str">
        <f t="shared" si="292"/>
        <v>#NAME?</v>
      </c>
      <c r="AD294" s="57">
        <f t="shared" si="4"/>
        <v>1</v>
      </c>
      <c r="AE294" s="57" t="str">
        <f t="shared" si="5"/>
        <v>2026-04</v>
      </c>
      <c r="AF294" s="57">
        <f t="shared" si="6"/>
        <v>1</v>
      </c>
      <c r="AG294" s="59">
        <f t="shared" si="7"/>
        <v>1</v>
      </c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</row>
    <row r="295" ht="24.0" customHeight="1">
      <c r="A295" s="53">
        <v>4.0</v>
      </c>
      <c r="B295" s="54" t="s">
        <v>632</v>
      </c>
      <c r="C295" s="55" t="s">
        <v>1167</v>
      </c>
      <c r="D295" s="60">
        <v>46139.0</v>
      </c>
      <c r="E295" s="55" t="s">
        <v>633</v>
      </c>
      <c r="F295" s="55" t="s">
        <v>634</v>
      </c>
      <c r="G295" s="55">
        <v>36.0</v>
      </c>
      <c r="H295" s="55" t="s">
        <v>85</v>
      </c>
      <c r="I295" s="55" t="s">
        <v>86</v>
      </c>
      <c r="J295" s="56" t="s">
        <v>87</v>
      </c>
      <c r="K295" s="55" t="s">
        <v>635</v>
      </c>
      <c r="L295" s="55" t="s">
        <v>34</v>
      </c>
      <c r="M295" s="55" t="s">
        <v>89</v>
      </c>
      <c r="N295" s="55" t="s">
        <v>90</v>
      </c>
      <c r="O295" s="55"/>
      <c r="P295" s="55" t="s">
        <v>91</v>
      </c>
      <c r="Q295" s="55" t="s">
        <v>4</v>
      </c>
      <c r="R295" s="55"/>
      <c r="S295" s="55"/>
      <c r="T295" s="55"/>
      <c r="U295" s="55"/>
      <c r="V295" s="55"/>
      <c r="W295" s="55"/>
      <c r="X295" s="57" t="str">
        <f t="shared" si="2"/>
        <v>--288-30-04</v>
      </c>
      <c r="Y295" s="58" t="str">
        <f t="shared" ref="Y295:AC295" si="293">TRIM(SUBSTITUTE(SUBSTITUTE(OFFSET($Q295,0,COLUMN()-COLUMN($AL$1)),CHAR(160)," "),_xludf.UNICHAR(8239)," "))</f>
        <v>#NAME?</v>
      </c>
      <c r="Z295" s="58" t="str">
        <f t="shared" si="293"/>
        <v>#NAME?</v>
      </c>
      <c r="AA295" s="58" t="str">
        <f t="shared" si="293"/>
        <v>#NAME?</v>
      </c>
      <c r="AB295" s="58" t="str">
        <f t="shared" si="293"/>
        <v>#NAME?</v>
      </c>
      <c r="AC295" s="58" t="str">
        <f t="shared" si="293"/>
        <v>#NAME?</v>
      </c>
      <c r="AD295" s="57">
        <f t="shared" si="4"/>
        <v>1</v>
      </c>
      <c r="AE295" s="57" t="str">
        <f t="shared" si="5"/>
        <v>2026-04</v>
      </c>
      <c r="AF295" s="57">
        <f t="shared" si="6"/>
        <v>0</v>
      </c>
      <c r="AG295" s="59">
        <f t="shared" si="7"/>
        <v>0</v>
      </c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</row>
    <row r="296" ht="24.0" customHeight="1">
      <c r="A296" s="53">
        <v>5.0</v>
      </c>
      <c r="B296" s="54" t="s">
        <v>1179</v>
      </c>
      <c r="C296" s="55" t="s">
        <v>1167</v>
      </c>
      <c r="D296" s="55"/>
      <c r="E296" s="55" t="s">
        <v>1180</v>
      </c>
      <c r="F296" s="55" t="s">
        <v>1181</v>
      </c>
      <c r="G296" s="55">
        <v>44.0</v>
      </c>
      <c r="H296" s="55" t="s">
        <v>85</v>
      </c>
      <c r="I296" s="55" t="s">
        <v>112</v>
      </c>
      <c r="J296" s="56" t="s">
        <v>113</v>
      </c>
      <c r="K296" s="55" t="s">
        <v>1182</v>
      </c>
      <c r="L296" s="55" t="s">
        <v>34</v>
      </c>
      <c r="M296" s="55" t="s">
        <v>89</v>
      </c>
      <c r="N296" s="55" t="s">
        <v>90</v>
      </c>
      <c r="O296" s="55"/>
      <c r="P296" s="55" t="s">
        <v>91</v>
      </c>
      <c r="Q296" s="55" t="s">
        <v>4</v>
      </c>
      <c r="R296" s="55"/>
      <c r="S296" s="55"/>
      <c r="T296" s="55"/>
      <c r="U296" s="55"/>
      <c r="V296" s="55"/>
      <c r="W296" s="55"/>
      <c r="X296" s="57" t="str">
        <f t="shared" si="2"/>
        <v>--289-30-04</v>
      </c>
      <c r="Y296" s="58" t="str">
        <f t="shared" ref="Y296:AC296" si="294">TRIM(SUBSTITUTE(SUBSTITUTE(OFFSET($Q296,0,COLUMN()-COLUMN($AL$1)),CHAR(160)," "),_xludf.UNICHAR(8239)," "))</f>
        <v>#NAME?</v>
      </c>
      <c r="Z296" s="58" t="str">
        <f t="shared" si="294"/>
        <v>#NAME?</v>
      </c>
      <c r="AA296" s="58" t="str">
        <f t="shared" si="294"/>
        <v>#NAME?</v>
      </c>
      <c r="AB296" s="58" t="str">
        <f t="shared" si="294"/>
        <v>#NAME?</v>
      </c>
      <c r="AC296" s="58" t="str">
        <f t="shared" si="294"/>
        <v>#NAME?</v>
      </c>
      <c r="AD296" s="57">
        <f t="shared" si="4"/>
        <v>1</v>
      </c>
      <c r="AE296" s="57" t="str">
        <f t="shared" si="5"/>
        <v>2026-04</v>
      </c>
      <c r="AF296" s="57">
        <f t="shared" si="6"/>
        <v>1</v>
      </c>
      <c r="AG296" s="59">
        <f t="shared" si="7"/>
        <v>1</v>
      </c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</row>
    <row r="297" ht="24.0" customHeight="1">
      <c r="A297" s="53">
        <v>6.0</v>
      </c>
      <c r="B297" s="54" t="s">
        <v>1183</v>
      </c>
      <c r="C297" s="55" t="s">
        <v>1167</v>
      </c>
      <c r="D297" s="55"/>
      <c r="E297" s="55" t="s">
        <v>1184</v>
      </c>
      <c r="F297" s="55" t="s">
        <v>1185</v>
      </c>
      <c r="G297" s="55">
        <v>19.0</v>
      </c>
      <c r="H297" s="55" t="s">
        <v>85</v>
      </c>
      <c r="I297" s="55" t="s">
        <v>112</v>
      </c>
      <c r="J297" s="56" t="s">
        <v>113</v>
      </c>
      <c r="K297" s="55" t="s">
        <v>1186</v>
      </c>
      <c r="L297" s="55" t="s">
        <v>34</v>
      </c>
      <c r="M297" s="55" t="s">
        <v>89</v>
      </c>
      <c r="N297" s="55" t="s">
        <v>90</v>
      </c>
      <c r="O297" s="55"/>
      <c r="P297" s="55" t="s">
        <v>91</v>
      </c>
      <c r="Q297" s="55" t="s">
        <v>4</v>
      </c>
      <c r="R297" s="55"/>
      <c r="S297" s="55"/>
      <c r="T297" s="55"/>
      <c r="U297" s="55"/>
      <c r="V297" s="55"/>
      <c r="W297" s="55"/>
      <c r="X297" s="57" t="str">
        <f t="shared" si="2"/>
        <v>--290-30-04</v>
      </c>
      <c r="Y297" s="58" t="str">
        <f t="shared" ref="Y297:AC297" si="295">TRIM(SUBSTITUTE(SUBSTITUTE(OFFSET($Q297,0,COLUMN()-COLUMN($AL$1)),CHAR(160)," "),_xludf.UNICHAR(8239)," "))</f>
        <v>#NAME?</v>
      </c>
      <c r="Z297" s="58" t="str">
        <f t="shared" si="295"/>
        <v>#NAME?</v>
      </c>
      <c r="AA297" s="58" t="str">
        <f t="shared" si="295"/>
        <v>#NAME?</v>
      </c>
      <c r="AB297" s="58" t="str">
        <f t="shared" si="295"/>
        <v>#NAME?</v>
      </c>
      <c r="AC297" s="58" t="str">
        <f t="shared" si="295"/>
        <v>#NAME?</v>
      </c>
      <c r="AD297" s="57">
        <f t="shared" si="4"/>
        <v>1</v>
      </c>
      <c r="AE297" s="57" t="str">
        <f t="shared" si="5"/>
        <v>2026-04</v>
      </c>
      <c r="AF297" s="57">
        <f t="shared" si="6"/>
        <v>1</v>
      </c>
      <c r="AG297" s="59">
        <f t="shared" si="7"/>
        <v>1</v>
      </c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</row>
    <row r="298" ht="24.0" customHeight="1">
      <c r="A298" s="53">
        <v>7.0</v>
      </c>
      <c r="B298" s="54" t="s">
        <v>1187</v>
      </c>
      <c r="C298" s="55" t="s">
        <v>1167</v>
      </c>
      <c r="D298" s="55"/>
      <c r="E298" s="55" t="s">
        <v>1188</v>
      </c>
      <c r="F298" s="55" t="s">
        <v>1189</v>
      </c>
      <c r="G298" s="55">
        <v>34.0</v>
      </c>
      <c r="H298" s="55" t="s">
        <v>85</v>
      </c>
      <c r="I298" s="55" t="s">
        <v>112</v>
      </c>
      <c r="J298" s="56" t="s">
        <v>113</v>
      </c>
      <c r="K298" s="55" t="s">
        <v>265</v>
      </c>
      <c r="L298" s="55" t="s">
        <v>34</v>
      </c>
      <c r="M298" s="55" t="s">
        <v>89</v>
      </c>
      <c r="N298" s="55" t="s">
        <v>90</v>
      </c>
      <c r="O298" s="55"/>
      <c r="P298" s="55" t="s">
        <v>91</v>
      </c>
      <c r="Q298" s="55"/>
      <c r="R298" s="55"/>
      <c r="S298" s="55" t="s">
        <v>6</v>
      </c>
      <c r="T298" s="55"/>
      <c r="U298" s="55"/>
      <c r="V298" s="55"/>
      <c r="W298" s="55"/>
      <c r="X298" s="57" t="str">
        <f t="shared" si="2"/>
        <v>--291-30-04</v>
      </c>
      <c r="Y298" s="58" t="str">
        <f t="shared" ref="Y298:AC298" si="296">TRIM(SUBSTITUTE(SUBSTITUTE(OFFSET($Q298,0,COLUMN()-COLUMN($AL$1)),CHAR(160)," "),_xludf.UNICHAR(8239)," "))</f>
        <v>#NAME?</v>
      </c>
      <c r="Z298" s="58" t="str">
        <f t="shared" si="296"/>
        <v>#NAME?</v>
      </c>
      <c r="AA298" s="58" t="str">
        <f t="shared" si="296"/>
        <v>#NAME?</v>
      </c>
      <c r="AB298" s="58" t="str">
        <f t="shared" si="296"/>
        <v>#NAME?</v>
      </c>
      <c r="AC298" s="58" t="str">
        <f t="shared" si="296"/>
        <v>#NAME?</v>
      </c>
      <c r="AD298" s="57">
        <f t="shared" si="4"/>
        <v>1</v>
      </c>
      <c r="AE298" s="57" t="str">
        <f t="shared" si="5"/>
        <v>2026-04</v>
      </c>
      <c r="AF298" s="57">
        <f t="shared" si="6"/>
        <v>1</v>
      </c>
      <c r="AG298" s="59">
        <f t="shared" si="7"/>
        <v>1</v>
      </c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</row>
    <row r="299" ht="24.0" customHeight="1">
      <c r="A299" s="53">
        <v>8.0</v>
      </c>
      <c r="B299" s="54" t="s">
        <v>1190</v>
      </c>
      <c r="C299" s="55" t="s">
        <v>1167</v>
      </c>
      <c r="D299" s="55"/>
      <c r="E299" s="55" t="s">
        <v>1191</v>
      </c>
      <c r="F299" s="55" t="s">
        <v>1192</v>
      </c>
      <c r="G299" s="55">
        <v>35.0</v>
      </c>
      <c r="H299" s="55" t="s">
        <v>85</v>
      </c>
      <c r="I299" s="55" t="s">
        <v>86</v>
      </c>
      <c r="J299" s="56" t="s">
        <v>87</v>
      </c>
      <c r="K299" s="55" t="s">
        <v>1193</v>
      </c>
      <c r="L299" s="55" t="s">
        <v>34</v>
      </c>
      <c r="M299" s="55" t="s">
        <v>89</v>
      </c>
      <c r="N299" s="55" t="s">
        <v>90</v>
      </c>
      <c r="O299" s="55"/>
      <c r="P299" s="55" t="s">
        <v>91</v>
      </c>
      <c r="Q299" s="55" t="s">
        <v>16</v>
      </c>
      <c r="R299" s="55"/>
      <c r="S299" s="55"/>
      <c r="T299" s="55"/>
      <c r="U299" s="55"/>
      <c r="V299" s="55"/>
      <c r="W299" s="55"/>
      <c r="X299" s="57" t="str">
        <f t="shared" si="2"/>
        <v>--292-30-04</v>
      </c>
      <c r="Y299" s="58" t="str">
        <f t="shared" ref="Y299:AC299" si="297">TRIM(SUBSTITUTE(SUBSTITUTE(OFFSET($Q299,0,COLUMN()-COLUMN($AL$1)),CHAR(160)," "),_xludf.UNICHAR(8239)," "))</f>
        <v>#NAME?</v>
      </c>
      <c r="Z299" s="58" t="str">
        <f t="shared" si="297"/>
        <v>#NAME?</v>
      </c>
      <c r="AA299" s="58" t="str">
        <f t="shared" si="297"/>
        <v>#NAME?</v>
      </c>
      <c r="AB299" s="58" t="str">
        <f t="shared" si="297"/>
        <v>#NAME?</v>
      </c>
      <c r="AC299" s="58" t="str">
        <f t="shared" si="297"/>
        <v>#NAME?</v>
      </c>
      <c r="AD299" s="57">
        <f t="shared" si="4"/>
        <v>1</v>
      </c>
      <c r="AE299" s="57" t="str">
        <f t="shared" si="5"/>
        <v>2026-04</v>
      </c>
      <c r="AF299" s="57">
        <f t="shared" si="6"/>
        <v>1</v>
      </c>
      <c r="AG299" s="59">
        <f t="shared" si="7"/>
        <v>1</v>
      </c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</row>
    <row r="300" ht="24.0" customHeight="1">
      <c r="A300" s="53">
        <v>9.0</v>
      </c>
      <c r="B300" s="54" t="s">
        <v>1194</v>
      </c>
      <c r="C300" s="55" t="s">
        <v>1167</v>
      </c>
      <c r="D300" s="55"/>
      <c r="E300" s="55" t="s">
        <v>1195</v>
      </c>
      <c r="F300" s="55" t="s">
        <v>1196</v>
      </c>
      <c r="G300" s="55">
        <v>46.0</v>
      </c>
      <c r="H300" s="55" t="s">
        <v>85</v>
      </c>
      <c r="I300" s="55" t="s">
        <v>86</v>
      </c>
      <c r="J300" s="56" t="s">
        <v>87</v>
      </c>
      <c r="K300" s="55" t="s">
        <v>1197</v>
      </c>
      <c r="L300" s="55" t="s">
        <v>34</v>
      </c>
      <c r="M300" s="55" t="s">
        <v>89</v>
      </c>
      <c r="N300" s="55" t="s">
        <v>90</v>
      </c>
      <c r="O300" s="55"/>
      <c r="P300" s="55" t="s">
        <v>91</v>
      </c>
      <c r="Q300" s="55" t="s">
        <v>16</v>
      </c>
      <c r="R300" s="55"/>
      <c r="S300" s="55"/>
      <c r="T300" s="55"/>
      <c r="U300" s="55"/>
      <c r="V300" s="55"/>
      <c r="W300" s="55"/>
      <c r="X300" s="57" t="str">
        <f t="shared" si="2"/>
        <v>--293-30-04</v>
      </c>
      <c r="Y300" s="58" t="str">
        <f t="shared" ref="Y300:AC300" si="298">TRIM(SUBSTITUTE(SUBSTITUTE(OFFSET($Q300,0,COLUMN()-COLUMN($AL$1)),CHAR(160)," "),_xludf.UNICHAR(8239)," "))</f>
        <v>#NAME?</v>
      </c>
      <c r="Z300" s="58" t="str">
        <f t="shared" si="298"/>
        <v>#NAME?</v>
      </c>
      <c r="AA300" s="58" t="str">
        <f t="shared" si="298"/>
        <v>#NAME?</v>
      </c>
      <c r="AB300" s="58" t="str">
        <f t="shared" si="298"/>
        <v>#NAME?</v>
      </c>
      <c r="AC300" s="58" t="str">
        <f t="shared" si="298"/>
        <v>#NAME?</v>
      </c>
      <c r="AD300" s="57">
        <f t="shared" si="4"/>
        <v>1</v>
      </c>
      <c r="AE300" s="57" t="str">
        <f t="shared" si="5"/>
        <v>2026-04</v>
      </c>
      <c r="AF300" s="57">
        <f t="shared" si="6"/>
        <v>1</v>
      </c>
      <c r="AG300" s="59">
        <f t="shared" si="7"/>
        <v>1</v>
      </c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</row>
    <row r="301" ht="24.0" customHeight="1">
      <c r="A301" s="53">
        <v>10.0</v>
      </c>
      <c r="B301" s="54" t="s">
        <v>1198</v>
      </c>
      <c r="C301" s="55" t="s">
        <v>1167</v>
      </c>
      <c r="D301" s="55"/>
      <c r="E301" s="55" t="s">
        <v>1199</v>
      </c>
      <c r="F301" s="55" t="s">
        <v>1200</v>
      </c>
      <c r="G301" s="55">
        <v>2.0</v>
      </c>
      <c r="H301" s="55" t="s">
        <v>119</v>
      </c>
      <c r="I301" s="55" t="s">
        <v>112</v>
      </c>
      <c r="J301" s="56" t="s">
        <v>113</v>
      </c>
      <c r="K301" s="55" t="s">
        <v>1193</v>
      </c>
      <c r="L301" s="55" t="s">
        <v>34</v>
      </c>
      <c r="M301" s="55" t="s">
        <v>115</v>
      </c>
      <c r="N301" s="55" t="s">
        <v>90</v>
      </c>
      <c r="O301" s="55"/>
      <c r="P301" s="55" t="s">
        <v>91</v>
      </c>
      <c r="Q301" s="55" t="s">
        <v>16</v>
      </c>
      <c r="R301" s="55"/>
      <c r="S301" s="55"/>
      <c r="T301" s="55"/>
      <c r="U301" s="55"/>
      <c r="V301" s="55"/>
      <c r="W301" s="55"/>
      <c r="X301" s="57" t="str">
        <f t="shared" si="2"/>
        <v>--294-30-04</v>
      </c>
      <c r="Y301" s="58" t="str">
        <f t="shared" ref="Y301:AC301" si="299">TRIM(SUBSTITUTE(SUBSTITUTE(OFFSET($Q301,0,COLUMN()-COLUMN($AL$1)),CHAR(160)," "),_xludf.UNICHAR(8239)," "))</f>
        <v>#NAME?</v>
      </c>
      <c r="Z301" s="58" t="str">
        <f t="shared" si="299"/>
        <v>#NAME?</v>
      </c>
      <c r="AA301" s="58" t="str">
        <f t="shared" si="299"/>
        <v>#NAME?</v>
      </c>
      <c r="AB301" s="58" t="str">
        <f t="shared" si="299"/>
        <v>#NAME?</v>
      </c>
      <c r="AC301" s="58" t="str">
        <f t="shared" si="299"/>
        <v>#NAME?</v>
      </c>
      <c r="AD301" s="57">
        <f t="shared" si="4"/>
        <v>1</v>
      </c>
      <c r="AE301" s="57" t="str">
        <f t="shared" si="5"/>
        <v>2026-04</v>
      </c>
      <c r="AF301" s="57">
        <f t="shared" si="6"/>
        <v>1</v>
      </c>
      <c r="AG301" s="59">
        <f t="shared" si="7"/>
        <v>1</v>
      </c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</row>
    <row r="302" ht="24.0" customHeight="1">
      <c r="A302" s="53">
        <v>11.0</v>
      </c>
      <c r="B302" s="54" t="s">
        <v>1201</v>
      </c>
      <c r="C302" s="55" t="s">
        <v>1167</v>
      </c>
      <c r="D302" s="55"/>
      <c r="E302" s="55" t="s">
        <v>1202</v>
      </c>
      <c r="F302" s="55" t="s">
        <v>1203</v>
      </c>
      <c r="G302" s="55">
        <v>45.0</v>
      </c>
      <c r="H302" s="55" t="s">
        <v>85</v>
      </c>
      <c r="I302" s="55" t="s">
        <v>112</v>
      </c>
      <c r="J302" s="56" t="s">
        <v>113</v>
      </c>
      <c r="K302" s="55" t="s">
        <v>1204</v>
      </c>
      <c r="L302" s="55" t="s">
        <v>34</v>
      </c>
      <c r="M302" s="55" t="s">
        <v>89</v>
      </c>
      <c r="N302" s="55" t="s">
        <v>90</v>
      </c>
      <c r="O302" s="55"/>
      <c r="P302" s="55" t="s">
        <v>91</v>
      </c>
      <c r="Q302" s="55" t="s">
        <v>16</v>
      </c>
      <c r="R302" s="55"/>
      <c r="S302" s="55"/>
      <c r="T302" s="55"/>
      <c r="U302" s="55"/>
      <c r="V302" s="55"/>
      <c r="W302" s="55"/>
      <c r="X302" s="57" t="str">
        <f t="shared" si="2"/>
        <v>--295-30-04</v>
      </c>
      <c r="Y302" s="58" t="str">
        <f t="shared" ref="Y302:AC302" si="300">TRIM(SUBSTITUTE(SUBSTITUTE(OFFSET($Q302,0,COLUMN()-COLUMN($AL$1)),CHAR(160)," "),_xludf.UNICHAR(8239)," "))</f>
        <v>#NAME?</v>
      </c>
      <c r="Z302" s="58" t="str">
        <f t="shared" si="300"/>
        <v>#NAME?</v>
      </c>
      <c r="AA302" s="58" t="str">
        <f t="shared" si="300"/>
        <v>#NAME?</v>
      </c>
      <c r="AB302" s="58" t="str">
        <f t="shared" si="300"/>
        <v>#NAME?</v>
      </c>
      <c r="AC302" s="58" t="str">
        <f t="shared" si="300"/>
        <v>#NAME?</v>
      </c>
      <c r="AD302" s="57">
        <f t="shared" si="4"/>
        <v>1</v>
      </c>
      <c r="AE302" s="57" t="str">
        <f t="shared" si="5"/>
        <v>2026-04</v>
      </c>
      <c r="AF302" s="57">
        <f t="shared" si="6"/>
        <v>1</v>
      </c>
      <c r="AG302" s="59">
        <f t="shared" si="7"/>
        <v>1</v>
      </c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</row>
    <row r="303" ht="24.0" customHeight="1">
      <c r="A303" s="53">
        <v>12.0</v>
      </c>
      <c r="B303" s="54" t="s">
        <v>1205</v>
      </c>
      <c r="C303" s="55" t="s">
        <v>1167</v>
      </c>
      <c r="D303" s="55"/>
      <c r="E303" s="55" t="s">
        <v>1206</v>
      </c>
      <c r="F303" s="55" t="s">
        <v>1207</v>
      </c>
      <c r="G303" s="55">
        <v>9.0</v>
      </c>
      <c r="H303" s="55" t="s">
        <v>111</v>
      </c>
      <c r="I303" s="55" t="s">
        <v>86</v>
      </c>
      <c r="J303" s="56" t="s">
        <v>87</v>
      </c>
      <c r="K303" s="55" t="s">
        <v>1204</v>
      </c>
      <c r="L303" s="55" t="s">
        <v>34</v>
      </c>
      <c r="M303" s="55" t="s">
        <v>115</v>
      </c>
      <c r="N303" s="55" t="s">
        <v>90</v>
      </c>
      <c r="O303" s="55"/>
      <c r="P303" s="55" t="s">
        <v>91</v>
      </c>
      <c r="Q303" s="55" t="s">
        <v>16</v>
      </c>
      <c r="R303" s="55"/>
      <c r="S303" s="55"/>
      <c r="T303" s="55"/>
      <c r="U303" s="55"/>
      <c r="V303" s="55"/>
      <c r="W303" s="55"/>
      <c r="X303" s="57" t="str">
        <f t="shared" si="2"/>
        <v>--296-30-04</v>
      </c>
      <c r="Y303" s="58" t="str">
        <f t="shared" ref="Y303:AC303" si="301">TRIM(SUBSTITUTE(SUBSTITUTE(OFFSET($Q303,0,COLUMN()-COLUMN($AL$1)),CHAR(160)," "),_xludf.UNICHAR(8239)," "))</f>
        <v>#NAME?</v>
      </c>
      <c r="Z303" s="58" t="str">
        <f t="shared" si="301"/>
        <v>#NAME?</v>
      </c>
      <c r="AA303" s="58" t="str">
        <f t="shared" si="301"/>
        <v>#NAME?</v>
      </c>
      <c r="AB303" s="58" t="str">
        <f t="shared" si="301"/>
        <v>#NAME?</v>
      </c>
      <c r="AC303" s="58" t="str">
        <f t="shared" si="301"/>
        <v>#NAME?</v>
      </c>
      <c r="AD303" s="57">
        <f t="shared" si="4"/>
        <v>1</v>
      </c>
      <c r="AE303" s="57" t="str">
        <f t="shared" si="5"/>
        <v>2026-04</v>
      </c>
      <c r="AF303" s="57">
        <f t="shared" si="6"/>
        <v>1</v>
      </c>
      <c r="AG303" s="59">
        <f t="shared" si="7"/>
        <v>1</v>
      </c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</row>
    <row r="304" ht="24.0" customHeight="1">
      <c r="A304" s="53">
        <v>13.0</v>
      </c>
      <c r="B304" s="54" t="s">
        <v>1208</v>
      </c>
      <c r="C304" s="55" t="s">
        <v>1167</v>
      </c>
      <c r="D304" s="55"/>
      <c r="E304" s="55" t="s">
        <v>1209</v>
      </c>
      <c r="F304" s="55" t="s">
        <v>1210</v>
      </c>
      <c r="G304" s="55">
        <v>46.0</v>
      </c>
      <c r="H304" s="55" t="s">
        <v>85</v>
      </c>
      <c r="I304" s="55" t="s">
        <v>112</v>
      </c>
      <c r="J304" s="56" t="s">
        <v>113</v>
      </c>
      <c r="K304" s="55" t="s">
        <v>1211</v>
      </c>
      <c r="L304" s="55"/>
      <c r="M304" s="55" t="s">
        <v>89</v>
      </c>
      <c r="N304" s="55" t="s">
        <v>90</v>
      </c>
      <c r="O304" s="55"/>
      <c r="P304" s="55" t="s">
        <v>91</v>
      </c>
      <c r="Q304" s="55" t="s">
        <v>4</v>
      </c>
      <c r="R304" s="55"/>
      <c r="S304" s="55"/>
      <c r="T304" s="55"/>
      <c r="U304" s="55"/>
      <c r="V304" s="55"/>
      <c r="W304" s="55"/>
      <c r="X304" s="57" t="str">
        <f t="shared" si="2"/>
        <v>--297-30-04</v>
      </c>
      <c r="Y304" s="58" t="str">
        <f t="shared" ref="Y304:AC304" si="302">TRIM(SUBSTITUTE(SUBSTITUTE(OFFSET($Q304,0,COLUMN()-COLUMN($AL$1)),CHAR(160)," "),_xludf.UNICHAR(8239)," "))</f>
        <v>#NAME?</v>
      </c>
      <c r="Z304" s="58" t="str">
        <f t="shared" si="302"/>
        <v>#NAME?</v>
      </c>
      <c r="AA304" s="58" t="str">
        <f t="shared" si="302"/>
        <v>#NAME?</v>
      </c>
      <c r="AB304" s="58" t="str">
        <f t="shared" si="302"/>
        <v>#NAME?</v>
      </c>
      <c r="AC304" s="58" t="str">
        <f t="shared" si="302"/>
        <v>#NAME?</v>
      </c>
      <c r="AD304" s="57">
        <f t="shared" si="4"/>
        <v>1</v>
      </c>
      <c r="AE304" s="57" t="str">
        <f t="shared" si="5"/>
        <v>2026-04</v>
      </c>
      <c r="AF304" s="57">
        <f t="shared" si="6"/>
        <v>1</v>
      </c>
      <c r="AG304" s="59">
        <f t="shared" si="7"/>
        <v>1</v>
      </c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</row>
    <row r="305" ht="24.0" customHeight="1">
      <c r="A305" s="53">
        <v>14.0</v>
      </c>
      <c r="B305" s="54" t="s">
        <v>1212</v>
      </c>
      <c r="C305" s="55" t="s">
        <v>1167</v>
      </c>
      <c r="D305" s="55"/>
      <c r="E305" s="55" t="s">
        <v>1213</v>
      </c>
      <c r="F305" s="55" t="s">
        <v>131</v>
      </c>
      <c r="G305" s="55">
        <v>17.0</v>
      </c>
      <c r="H305" s="55" t="s">
        <v>111</v>
      </c>
      <c r="I305" s="55" t="s">
        <v>86</v>
      </c>
      <c r="J305" s="56" t="s">
        <v>87</v>
      </c>
      <c r="K305" s="55" t="s">
        <v>1214</v>
      </c>
      <c r="L305" s="55" t="s">
        <v>34</v>
      </c>
      <c r="M305" s="55" t="s">
        <v>133</v>
      </c>
      <c r="N305" s="55" t="s">
        <v>90</v>
      </c>
      <c r="O305" s="55"/>
      <c r="P305" s="55" t="s">
        <v>91</v>
      </c>
      <c r="Q305" s="55" t="s">
        <v>4</v>
      </c>
      <c r="R305" s="55"/>
      <c r="S305" s="55"/>
      <c r="T305" s="55"/>
      <c r="U305" s="55"/>
      <c r="V305" s="55"/>
      <c r="W305" s="55"/>
      <c r="X305" s="57" t="str">
        <f t="shared" si="2"/>
        <v>--298-30-04</v>
      </c>
      <c r="Y305" s="58" t="str">
        <f t="shared" ref="Y305:AC305" si="303">TRIM(SUBSTITUTE(SUBSTITUTE(OFFSET($Q305,0,COLUMN()-COLUMN($AL$1)),CHAR(160)," "),_xludf.UNICHAR(8239)," "))</f>
        <v>#NAME?</v>
      </c>
      <c r="Z305" s="58" t="str">
        <f t="shared" si="303"/>
        <v>#NAME?</v>
      </c>
      <c r="AA305" s="58" t="str">
        <f t="shared" si="303"/>
        <v>#NAME?</v>
      </c>
      <c r="AB305" s="58" t="str">
        <f t="shared" si="303"/>
        <v>#NAME?</v>
      </c>
      <c r="AC305" s="58" t="str">
        <f t="shared" si="303"/>
        <v>#NAME?</v>
      </c>
      <c r="AD305" s="57">
        <f t="shared" si="4"/>
        <v>1</v>
      </c>
      <c r="AE305" s="57" t="str">
        <f t="shared" si="5"/>
        <v>2026-04</v>
      </c>
      <c r="AF305" s="57">
        <f t="shared" si="6"/>
        <v>1</v>
      </c>
      <c r="AG305" s="59">
        <f t="shared" si="7"/>
        <v>1</v>
      </c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</row>
    <row r="306" ht="24.0" customHeight="1">
      <c r="A306" s="53">
        <v>15.0</v>
      </c>
      <c r="B306" s="54" t="s">
        <v>1215</v>
      </c>
      <c r="C306" s="55" t="s">
        <v>1167</v>
      </c>
      <c r="D306" s="55"/>
      <c r="E306" s="55" t="s">
        <v>1216</v>
      </c>
      <c r="F306" s="55" t="s">
        <v>1217</v>
      </c>
      <c r="G306" s="55">
        <v>12.0</v>
      </c>
      <c r="H306" s="55" t="s">
        <v>111</v>
      </c>
      <c r="I306" s="55" t="s">
        <v>86</v>
      </c>
      <c r="J306" s="56" t="s">
        <v>87</v>
      </c>
      <c r="K306" s="55" t="s">
        <v>1218</v>
      </c>
      <c r="L306" s="55" t="s">
        <v>34</v>
      </c>
      <c r="M306" s="55" t="s">
        <v>115</v>
      </c>
      <c r="N306" s="55" t="s">
        <v>90</v>
      </c>
      <c r="O306" s="55"/>
      <c r="P306" s="55" t="s">
        <v>91</v>
      </c>
      <c r="Q306" s="55" t="s">
        <v>16</v>
      </c>
      <c r="R306" s="55"/>
      <c r="S306" s="55"/>
      <c r="T306" s="55"/>
      <c r="U306" s="55"/>
      <c r="V306" s="55"/>
      <c r="W306" s="55"/>
      <c r="X306" s="57" t="str">
        <f t="shared" si="2"/>
        <v>--299-30-04</v>
      </c>
      <c r="Y306" s="58" t="str">
        <f t="shared" ref="Y306:AC306" si="304">TRIM(SUBSTITUTE(SUBSTITUTE(OFFSET($Q306,0,COLUMN()-COLUMN($AL$1)),CHAR(160)," "),_xludf.UNICHAR(8239)," "))</f>
        <v>#NAME?</v>
      </c>
      <c r="Z306" s="58" t="str">
        <f t="shared" si="304"/>
        <v>#NAME?</v>
      </c>
      <c r="AA306" s="58" t="str">
        <f t="shared" si="304"/>
        <v>#NAME?</v>
      </c>
      <c r="AB306" s="58" t="str">
        <f t="shared" si="304"/>
        <v>#NAME?</v>
      </c>
      <c r="AC306" s="58" t="str">
        <f t="shared" si="304"/>
        <v>#NAME?</v>
      </c>
      <c r="AD306" s="57">
        <f t="shared" si="4"/>
        <v>1</v>
      </c>
      <c r="AE306" s="57" t="str">
        <f t="shared" si="5"/>
        <v>2026-04</v>
      </c>
      <c r="AF306" s="57">
        <f t="shared" si="6"/>
        <v>1</v>
      </c>
      <c r="AG306" s="59">
        <f t="shared" si="7"/>
        <v>1</v>
      </c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</row>
    <row r="307" ht="24.0" customHeight="1">
      <c r="A307" s="53">
        <v>16.0</v>
      </c>
      <c r="B307" s="54" t="s">
        <v>1219</v>
      </c>
      <c r="C307" s="55" t="s">
        <v>1167</v>
      </c>
      <c r="D307" s="55"/>
      <c r="E307" s="55" t="s">
        <v>1220</v>
      </c>
      <c r="F307" s="55" t="s">
        <v>1221</v>
      </c>
      <c r="G307" s="55">
        <v>67.0</v>
      </c>
      <c r="H307" s="55" t="s">
        <v>260</v>
      </c>
      <c r="I307" s="55" t="s">
        <v>86</v>
      </c>
      <c r="J307" s="56" t="s">
        <v>87</v>
      </c>
      <c r="K307" s="55" t="s">
        <v>1222</v>
      </c>
      <c r="L307" s="55" t="s">
        <v>34</v>
      </c>
      <c r="M307" s="55" t="s">
        <v>89</v>
      </c>
      <c r="N307" s="55" t="s">
        <v>90</v>
      </c>
      <c r="O307" s="55"/>
      <c r="P307" s="55" t="s">
        <v>91</v>
      </c>
      <c r="Q307" s="55" t="s">
        <v>16</v>
      </c>
      <c r="R307" s="55"/>
      <c r="S307" s="55"/>
      <c r="T307" s="55"/>
      <c r="U307" s="55"/>
      <c r="V307" s="55"/>
      <c r="W307" s="55"/>
      <c r="X307" s="57" t="str">
        <f t="shared" si="2"/>
        <v>--300-30-04</v>
      </c>
      <c r="Y307" s="58" t="str">
        <f t="shared" ref="Y307:AC307" si="305">TRIM(SUBSTITUTE(SUBSTITUTE(OFFSET($Q307,0,COLUMN()-COLUMN($AL$1)),CHAR(160)," "),_xludf.UNICHAR(8239)," "))</f>
        <v>#NAME?</v>
      </c>
      <c r="Z307" s="58" t="str">
        <f t="shared" si="305"/>
        <v>#NAME?</v>
      </c>
      <c r="AA307" s="58" t="str">
        <f t="shared" si="305"/>
        <v>#NAME?</v>
      </c>
      <c r="AB307" s="58" t="str">
        <f t="shared" si="305"/>
        <v>#NAME?</v>
      </c>
      <c r="AC307" s="58" t="str">
        <f t="shared" si="305"/>
        <v>#NAME?</v>
      </c>
      <c r="AD307" s="57">
        <f t="shared" si="4"/>
        <v>1</v>
      </c>
      <c r="AE307" s="57" t="str">
        <f t="shared" si="5"/>
        <v>2026-04</v>
      </c>
      <c r="AF307" s="57">
        <f t="shared" si="6"/>
        <v>1</v>
      </c>
      <c r="AG307" s="59">
        <f t="shared" si="7"/>
        <v>1</v>
      </c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</row>
    <row r="308" ht="24.0" customHeight="1">
      <c r="A308" s="53">
        <v>17.0</v>
      </c>
      <c r="B308" s="54" t="s">
        <v>1223</v>
      </c>
      <c r="C308" s="55" t="s">
        <v>1167</v>
      </c>
      <c r="D308" s="55"/>
      <c r="E308" s="55" t="s">
        <v>1224</v>
      </c>
      <c r="F308" s="55" t="s">
        <v>1225</v>
      </c>
      <c r="G308" s="55">
        <v>11.0</v>
      </c>
      <c r="H308" s="55" t="s">
        <v>111</v>
      </c>
      <c r="I308" s="55" t="s">
        <v>86</v>
      </c>
      <c r="J308" s="56" t="s">
        <v>87</v>
      </c>
      <c r="K308" s="55" t="s">
        <v>1226</v>
      </c>
      <c r="L308" s="55" t="s">
        <v>34</v>
      </c>
      <c r="M308" s="55" t="s">
        <v>115</v>
      </c>
      <c r="N308" s="55" t="s">
        <v>90</v>
      </c>
      <c r="O308" s="55"/>
      <c r="P308" s="55" t="s">
        <v>91</v>
      </c>
      <c r="Q308" s="55" t="s">
        <v>16</v>
      </c>
      <c r="R308" s="55"/>
      <c r="S308" s="55"/>
      <c r="T308" s="55"/>
      <c r="U308" s="55"/>
      <c r="V308" s="55"/>
      <c r="W308" s="55"/>
      <c r="X308" s="57" t="str">
        <f t="shared" si="2"/>
        <v>--301-30-04</v>
      </c>
      <c r="Y308" s="58" t="str">
        <f t="shared" ref="Y308:AC308" si="306">TRIM(SUBSTITUTE(SUBSTITUTE(OFFSET($Q308,0,COLUMN()-COLUMN($AL$1)),CHAR(160)," "),_xludf.UNICHAR(8239)," "))</f>
        <v>#NAME?</v>
      </c>
      <c r="Z308" s="58" t="str">
        <f t="shared" si="306"/>
        <v>#NAME?</v>
      </c>
      <c r="AA308" s="58" t="str">
        <f t="shared" si="306"/>
        <v>#NAME?</v>
      </c>
      <c r="AB308" s="58" t="str">
        <f t="shared" si="306"/>
        <v>#NAME?</v>
      </c>
      <c r="AC308" s="58" t="str">
        <f t="shared" si="306"/>
        <v>#NAME?</v>
      </c>
      <c r="AD308" s="57">
        <f t="shared" si="4"/>
        <v>1</v>
      </c>
      <c r="AE308" s="57" t="str">
        <f t="shared" si="5"/>
        <v>2026-04</v>
      </c>
      <c r="AF308" s="57">
        <f t="shared" si="6"/>
        <v>1</v>
      </c>
      <c r="AG308" s="59">
        <f t="shared" si="7"/>
        <v>1</v>
      </c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</row>
    <row r="309" ht="24.0" customHeight="1">
      <c r="A309" s="53">
        <v>18.0</v>
      </c>
      <c r="B309" s="54" t="s">
        <v>1227</v>
      </c>
      <c r="C309" s="55" t="s">
        <v>1167</v>
      </c>
      <c r="D309" s="55"/>
      <c r="E309" s="55" t="s">
        <v>1228</v>
      </c>
      <c r="F309" s="55" t="s">
        <v>1229</v>
      </c>
      <c r="G309" s="55">
        <v>3.0</v>
      </c>
      <c r="H309" s="55" t="s">
        <v>119</v>
      </c>
      <c r="I309" s="55" t="s">
        <v>86</v>
      </c>
      <c r="J309" s="56" t="s">
        <v>87</v>
      </c>
      <c r="K309" s="55" t="s">
        <v>1230</v>
      </c>
      <c r="L309" s="55" t="s">
        <v>34</v>
      </c>
      <c r="M309" s="55" t="s">
        <v>115</v>
      </c>
      <c r="N309" s="55" t="s">
        <v>90</v>
      </c>
      <c r="O309" s="55"/>
      <c r="P309" s="55" t="s">
        <v>91</v>
      </c>
      <c r="Q309" s="55" t="s">
        <v>16</v>
      </c>
      <c r="R309" s="55"/>
      <c r="S309" s="55"/>
      <c r="T309" s="55"/>
      <c r="U309" s="55"/>
      <c r="V309" s="55"/>
      <c r="W309" s="55"/>
      <c r="X309" s="57" t="str">
        <f t="shared" si="2"/>
        <v>--302-30-04</v>
      </c>
      <c r="Y309" s="58" t="str">
        <f t="shared" ref="Y309:AC309" si="307">TRIM(SUBSTITUTE(SUBSTITUTE(OFFSET($Q309,0,COLUMN()-COLUMN($AL$1)),CHAR(160)," "),_xludf.UNICHAR(8239)," "))</f>
        <v>#NAME?</v>
      </c>
      <c r="Z309" s="58" t="str">
        <f t="shared" si="307"/>
        <v>#NAME?</v>
      </c>
      <c r="AA309" s="58" t="str">
        <f t="shared" si="307"/>
        <v>#NAME?</v>
      </c>
      <c r="AB309" s="58" t="str">
        <f t="shared" si="307"/>
        <v>#NAME?</v>
      </c>
      <c r="AC309" s="58" t="str">
        <f t="shared" si="307"/>
        <v>#NAME?</v>
      </c>
      <c r="AD309" s="57">
        <f t="shared" si="4"/>
        <v>1</v>
      </c>
      <c r="AE309" s="57" t="str">
        <f t="shared" si="5"/>
        <v>2026-04</v>
      </c>
      <c r="AF309" s="57">
        <f t="shared" si="6"/>
        <v>1</v>
      </c>
      <c r="AG309" s="59">
        <f t="shared" si="7"/>
        <v>1</v>
      </c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</row>
    <row r="310" ht="24.0" customHeight="1">
      <c r="A310" s="53">
        <v>19.0</v>
      </c>
      <c r="B310" s="54" t="s">
        <v>1231</v>
      </c>
      <c r="C310" s="55" t="s">
        <v>1167</v>
      </c>
      <c r="D310" s="55"/>
      <c r="E310" s="55" t="s">
        <v>1232</v>
      </c>
      <c r="F310" s="55" t="s">
        <v>1233</v>
      </c>
      <c r="G310" s="55">
        <v>36.0</v>
      </c>
      <c r="H310" s="55" t="s">
        <v>85</v>
      </c>
      <c r="I310" s="55" t="s">
        <v>112</v>
      </c>
      <c r="J310" s="56" t="s">
        <v>113</v>
      </c>
      <c r="K310" s="55" t="s">
        <v>1234</v>
      </c>
      <c r="L310" s="55" t="s">
        <v>34</v>
      </c>
      <c r="M310" s="55" t="s">
        <v>89</v>
      </c>
      <c r="N310" s="55" t="s">
        <v>90</v>
      </c>
      <c r="O310" s="55"/>
      <c r="P310" s="55" t="s">
        <v>91</v>
      </c>
      <c r="Q310" s="55" t="s">
        <v>16</v>
      </c>
      <c r="R310" s="55"/>
      <c r="S310" s="55"/>
      <c r="T310" s="55"/>
      <c r="U310" s="55"/>
      <c r="V310" s="55"/>
      <c r="W310" s="55"/>
      <c r="X310" s="57" t="str">
        <f t="shared" si="2"/>
        <v>--303-30-04</v>
      </c>
      <c r="Y310" s="58" t="str">
        <f t="shared" ref="Y310:AC310" si="308">TRIM(SUBSTITUTE(SUBSTITUTE(OFFSET($Q310,0,COLUMN()-COLUMN($AL$1)),CHAR(160)," "),_xludf.UNICHAR(8239)," "))</f>
        <v>#NAME?</v>
      </c>
      <c r="Z310" s="58" t="str">
        <f t="shared" si="308"/>
        <v>#NAME?</v>
      </c>
      <c r="AA310" s="58" t="str">
        <f t="shared" si="308"/>
        <v>#NAME?</v>
      </c>
      <c r="AB310" s="58" t="str">
        <f t="shared" si="308"/>
        <v>#NAME?</v>
      </c>
      <c r="AC310" s="58" t="str">
        <f t="shared" si="308"/>
        <v>#NAME?</v>
      </c>
      <c r="AD310" s="57">
        <f t="shared" si="4"/>
        <v>1</v>
      </c>
      <c r="AE310" s="57" t="str">
        <f t="shared" si="5"/>
        <v>2026-04</v>
      </c>
      <c r="AF310" s="57">
        <f t="shared" si="6"/>
        <v>1</v>
      </c>
      <c r="AG310" s="59">
        <f t="shared" si="7"/>
        <v>1</v>
      </c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</row>
    <row r="311" ht="24.0" customHeight="1">
      <c r="A311" s="53">
        <v>20.0</v>
      </c>
      <c r="B311" s="54" t="s">
        <v>1235</v>
      </c>
      <c r="C311" s="55" t="s">
        <v>1167</v>
      </c>
      <c r="D311" s="55"/>
      <c r="E311" s="55" t="s">
        <v>1236</v>
      </c>
      <c r="F311" s="55" t="s">
        <v>1237</v>
      </c>
      <c r="G311" s="55">
        <v>64.0</v>
      </c>
      <c r="H311" s="55" t="s">
        <v>260</v>
      </c>
      <c r="I311" s="55" t="s">
        <v>86</v>
      </c>
      <c r="J311" s="56" t="s">
        <v>87</v>
      </c>
      <c r="K311" s="55" t="s">
        <v>1238</v>
      </c>
      <c r="L311" s="55" t="s">
        <v>34</v>
      </c>
      <c r="M311" s="55" t="s">
        <v>874</v>
      </c>
      <c r="N311" s="55" t="s">
        <v>90</v>
      </c>
      <c r="O311" s="55"/>
      <c r="P311" s="55" t="s">
        <v>91</v>
      </c>
      <c r="Q311" s="55" t="s">
        <v>4</v>
      </c>
      <c r="R311" s="55"/>
      <c r="S311" s="55"/>
      <c r="T311" s="55"/>
      <c r="U311" s="55"/>
      <c r="V311" s="55"/>
      <c r="W311" s="55"/>
      <c r="X311" s="57" t="str">
        <f t="shared" si="2"/>
        <v>--304-30-04</v>
      </c>
      <c r="Y311" s="58" t="str">
        <f t="shared" ref="Y311:AC311" si="309">TRIM(SUBSTITUTE(SUBSTITUTE(OFFSET($Q311,0,COLUMN()-COLUMN($AL$1)),CHAR(160)," "),_xludf.UNICHAR(8239)," "))</f>
        <v>#NAME?</v>
      </c>
      <c r="Z311" s="58" t="str">
        <f t="shared" si="309"/>
        <v>#NAME?</v>
      </c>
      <c r="AA311" s="58" t="str">
        <f t="shared" si="309"/>
        <v>#NAME?</v>
      </c>
      <c r="AB311" s="58" t="str">
        <f t="shared" si="309"/>
        <v>#NAME?</v>
      </c>
      <c r="AC311" s="58" t="str">
        <f t="shared" si="309"/>
        <v>#NAME?</v>
      </c>
      <c r="AD311" s="57">
        <f t="shared" si="4"/>
        <v>1</v>
      </c>
      <c r="AE311" s="57" t="str">
        <f t="shared" si="5"/>
        <v>2026-04</v>
      </c>
      <c r="AF311" s="57">
        <f t="shared" si="6"/>
        <v>1</v>
      </c>
      <c r="AG311" s="59">
        <f t="shared" si="7"/>
        <v>1</v>
      </c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</row>
    <row r="312" ht="24.0" customHeight="1">
      <c r="A312" s="53">
        <v>21.0</v>
      </c>
      <c r="B312" s="54" t="s">
        <v>1239</v>
      </c>
      <c r="C312" s="55" t="s">
        <v>1167</v>
      </c>
      <c r="D312" s="55"/>
      <c r="E312" s="55" t="s">
        <v>1240</v>
      </c>
      <c r="F312" s="55" t="s">
        <v>1241</v>
      </c>
      <c r="G312" s="55">
        <v>36.0</v>
      </c>
      <c r="H312" s="55" t="s">
        <v>85</v>
      </c>
      <c r="I312" s="55" t="s">
        <v>86</v>
      </c>
      <c r="J312" s="56" t="s">
        <v>87</v>
      </c>
      <c r="K312" s="55" t="s">
        <v>1242</v>
      </c>
      <c r="L312" s="55" t="s">
        <v>34</v>
      </c>
      <c r="M312" s="55" t="s">
        <v>89</v>
      </c>
      <c r="N312" s="55" t="s">
        <v>90</v>
      </c>
      <c r="O312" s="55"/>
      <c r="P312" s="55" t="s">
        <v>91</v>
      </c>
      <c r="Q312" s="55" t="s">
        <v>16</v>
      </c>
      <c r="R312" s="55"/>
      <c r="S312" s="55"/>
      <c r="T312" s="55"/>
      <c r="U312" s="55"/>
      <c r="V312" s="55"/>
      <c r="W312" s="55"/>
      <c r="X312" s="57" t="str">
        <f t="shared" si="2"/>
        <v>--305-30-04</v>
      </c>
      <c r="Y312" s="58" t="str">
        <f t="shared" ref="Y312:AC312" si="310">TRIM(SUBSTITUTE(SUBSTITUTE(OFFSET($Q312,0,COLUMN()-COLUMN($AL$1)),CHAR(160)," "),_xludf.UNICHAR(8239)," "))</f>
        <v>#NAME?</v>
      </c>
      <c r="Z312" s="58" t="str">
        <f t="shared" si="310"/>
        <v>#NAME?</v>
      </c>
      <c r="AA312" s="58" t="str">
        <f t="shared" si="310"/>
        <v>#NAME?</v>
      </c>
      <c r="AB312" s="58" t="str">
        <f t="shared" si="310"/>
        <v>#NAME?</v>
      </c>
      <c r="AC312" s="58" t="str">
        <f t="shared" si="310"/>
        <v>#NAME?</v>
      </c>
      <c r="AD312" s="57">
        <f t="shared" si="4"/>
        <v>1</v>
      </c>
      <c r="AE312" s="57" t="str">
        <f t="shared" si="5"/>
        <v>2026-04</v>
      </c>
      <c r="AF312" s="57">
        <f t="shared" si="6"/>
        <v>1</v>
      </c>
      <c r="AG312" s="59">
        <f t="shared" si="7"/>
        <v>1</v>
      </c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</row>
    <row r="313" ht="24.0" customHeight="1">
      <c r="A313" s="53">
        <v>22.0</v>
      </c>
      <c r="B313" s="54" t="s">
        <v>1243</v>
      </c>
      <c r="C313" s="55" t="s">
        <v>1167</v>
      </c>
      <c r="D313" s="55"/>
      <c r="E313" s="55" t="s">
        <v>1244</v>
      </c>
      <c r="F313" s="55" t="s">
        <v>1245</v>
      </c>
      <c r="G313" s="55">
        <v>10.0</v>
      </c>
      <c r="H313" s="55" t="s">
        <v>111</v>
      </c>
      <c r="I313" s="55" t="s">
        <v>112</v>
      </c>
      <c r="J313" s="56" t="s">
        <v>113</v>
      </c>
      <c r="K313" s="55" t="s">
        <v>1246</v>
      </c>
      <c r="L313" s="55"/>
      <c r="M313" s="55" t="s">
        <v>115</v>
      </c>
      <c r="N313" s="55" t="s">
        <v>90</v>
      </c>
      <c r="O313" s="55"/>
      <c r="P313" s="55" t="s">
        <v>91</v>
      </c>
      <c r="Q313" s="55" t="s">
        <v>16</v>
      </c>
      <c r="R313" s="55"/>
      <c r="S313" s="55"/>
      <c r="T313" s="55"/>
      <c r="U313" s="55"/>
      <c r="V313" s="55"/>
      <c r="W313" s="55"/>
      <c r="X313" s="57" t="str">
        <f t="shared" si="2"/>
        <v>--306-30-04</v>
      </c>
      <c r="Y313" s="58" t="str">
        <f t="shared" ref="Y313:AC313" si="311">TRIM(SUBSTITUTE(SUBSTITUTE(OFFSET($Q313,0,COLUMN()-COLUMN($AL$1)),CHAR(160)," "),_xludf.UNICHAR(8239)," "))</f>
        <v>#NAME?</v>
      </c>
      <c r="Z313" s="58" t="str">
        <f t="shared" si="311"/>
        <v>#NAME?</v>
      </c>
      <c r="AA313" s="58" t="str">
        <f t="shared" si="311"/>
        <v>#NAME?</v>
      </c>
      <c r="AB313" s="58" t="str">
        <f t="shared" si="311"/>
        <v>#NAME?</v>
      </c>
      <c r="AC313" s="58" t="str">
        <f t="shared" si="311"/>
        <v>#NAME?</v>
      </c>
      <c r="AD313" s="57">
        <f t="shared" si="4"/>
        <v>1</v>
      </c>
      <c r="AE313" s="57" t="str">
        <f t="shared" si="5"/>
        <v>2026-04</v>
      </c>
      <c r="AF313" s="57">
        <f t="shared" si="6"/>
        <v>1</v>
      </c>
      <c r="AG313" s="59">
        <f t="shared" si="7"/>
        <v>1</v>
      </c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</row>
    <row r="314" ht="24.0" customHeight="1">
      <c r="A314" s="53">
        <v>23.0</v>
      </c>
      <c r="B314" s="54" t="s">
        <v>1247</v>
      </c>
      <c r="C314" s="55" t="s">
        <v>1167</v>
      </c>
      <c r="D314" s="55"/>
      <c r="E314" s="55" t="s">
        <v>1248</v>
      </c>
      <c r="F314" s="55" t="s">
        <v>1249</v>
      </c>
      <c r="G314" s="55">
        <v>46.0</v>
      </c>
      <c r="H314" s="55" t="s">
        <v>85</v>
      </c>
      <c r="I314" s="55" t="s">
        <v>112</v>
      </c>
      <c r="J314" s="56" t="s">
        <v>113</v>
      </c>
      <c r="K314" s="55" t="s">
        <v>1250</v>
      </c>
      <c r="L314" s="55" t="s">
        <v>34</v>
      </c>
      <c r="M314" s="55" t="s">
        <v>89</v>
      </c>
      <c r="N314" s="55" t="s">
        <v>90</v>
      </c>
      <c r="O314" s="55"/>
      <c r="P314" s="55" t="s">
        <v>91</v>
      </c>
      <c r="Q314" s="55" t="s">
        <v>4</v>
      </c>
      <c r="R314" s="55"/>
      <c r="S314" s="55"/>
      <c r="T314" s="55"/>
      <c r="U314" s="55"/>
      <c r="V314" s="55"/>
      <c r="W314" s="55"/>
      <c r="X314" s="57" t="str">
        <f t="shared" si="2"/>
        <v>--307-30-04</v>
      </c>
      <c r="Y314" s="58" t="str">
        <f t="shared" ref="Y314:AC314" si="312">TRIM(SUBSTITUTE(SUBSTITUTE(OFFSET($Q314,0,COLUMN()-COLUMN($AL$1)),CHAR(160)," "),_xludf.UNICHAR(8239)," "))</f>
        <v>#NAME?</v>
      </c>
      <c r="Z314" s="58" t="str">
        <f t="shared" si="312"/>
        <v>#NAME?</v>
      </c>
      <c r="AA314" s="58" t="str">
        <f t="shared" si="312"/>
        <v>#NAME?</v>
      </c>
      <c r="AB314" s="58" t="str">
        <f t="shared" si="312"/>
        <v>#NAME?</v>
      </c>
      <c r="AC314" s="58" t="str">
        <f t="shared" si="312"/>
        <v>#NAME?</v>
      </c>
      <c r="AD314" s="57">
        <f t="shared" si="4"/>
        <v>1</v>
      </c>
      <c r="AE314" s="57" t="str">
        <f t="shared" si="5"/>
        <v>2026-04</v>
      </c>
      <c r="AF314" s="57">
        <f t="shared" si="6"/>
        <v>1</v>
      </c>
      <c r="AG314" s="59">
        <f t="shared" si="7"/>
        <v>1</v>
      </c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</row>
    <row r="315" ht="24.0" customHeight="1">
      <c r="A315" s="53">
        <v>24.0</v>
      </c>
      <c r="B315" s="54" t="s">
        <v>1251</v>
      </c>
      <c r="C315" s="55" t="s">
        <v>1167</v>
      </c>
      <c r="D315" s="55"/>
      <c r="E315" s="55" t="s">
        <v>1252</v>
      </c>
      <c r="F315" s="55" t="s">
        <v>1253</v>
      </c>
      <c r="G315" s="55">
        <v>47.0</v>
      </c>
      <c r="H315" s="55" t="s">
        <v>85</v>
      </c>
      <c r="I315" s="55" t="s">
        <v>86</v>
      </c>
      <c r="J315" s="56" t="s">
        <v>87</v>
      </c>
      <c r="K315" s="55" t="s">
        <v>1254</v>
      </c>
      <c r="L315" s="55" t="s">
        <v>34</v>
      </c>
      <c r="M315" s="55" t="s">
        <v>89</v>
      </c>
      <c r="N315" s="55" t="s">
        <v>90</v>
      </c>
      <c r="O315" s="55"/>
      <c r="P315" s="55" t="s">
        <v>91</v>
      </c>
      <c r="Q315" s="55" t="s">
        <v>4</v>
      </c>
      <c r="R315" s="55"/>
      <c r="S315" s="55"/>
      <c r="T315" s="55"/>
      <c r="U315" s="55"/>
      <c r="V315" s="55"/>
      <c r="W315" s="55"/>
      <c r="X315" s="57" t="str">
        <f t="shared" si="2"/>
        <v>--308-30-04</v>
      </c>
      <c r="Y315" s="58" t="str">
        <f t="shared" ref="Y315:AC315" si="313">TRIM(SUBSTITUTE(SUBSTITUTE(OFFSET($Q315,0,COLUMN()-COLUMN($AL$1)),CHAR(160)," "),_xludf.UNICHAR(8239)," "))</f>
        <v>#NAME?</v>
      </c>
      <c r="Z315" s="58" t="str">
        <f t="shared" si="313"/>
        <v>#NAME?</v>
      </c>
      <c r="AA315" s="58" t="str">
        <f t="shared" si="313"/>
        <v>#NAME?</v>
      </c>
      <c r="AB315" s="58" t="str">
        <f t="shared" si="313"/>
        <v>#NAME?</v>
      </c>
      <c r="AC315" s="58" t="str">
        <f t="shared" si="313"/>
        <v>#NAME?</v>
      </c>
      <c r="AD315" s="57">
        <f t="shared" si="4"/>
        <v>1</v>
      </c>
      <c r="AE315" s="57" t="str">
        <f t="shared" si="5"/>
        <v>2026-04</v>
      </c>
      <c r="AF315" s="57">
        <f t="shared" si="6"/>
        <v>1</v>
      </c>
      <c r="AG315" s="59">
        <f t="shared" si="7"/>
        <v>1</v>
      </c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</row>
    <row r="316" ht="24.0" customHeight="1">
      <c r="A316" s="53">
        <v>25.0</v>
      </c>
      <c r="B316" s="54" t="s">
        <v>1255</v>
      </c>
      <c r="C316" s="55" t="s">
        <v>1167</v>
      </c>
      <c r="D316" s="55"/>
      <c r="E316" s="55" t="s">
        <v>1256</v>
      </c>
      <c r="F316" s="55" t="s">
        <v>1257</v>
      </c>
      <c r="G316" s="55">
        <v>36.0</v>
      </c>
      <c r="H316" s="55" t="s">
        <v>85</v>
      </c>
      <c r="I316" s="55" t="s">
        <v>86</v>
      </c>
      <c r="J316" s="56" t="s">
        <v>87</v>
      </c>
      <c r="K316" s="55" t="s">
        <v>1258</v>
      </c>
      <c r="L316" s="55" t="s">
        <v>34</v>
      </c>
      <c r="M316" s="55" t="s">
        <v>89</v>
      </c>
      <c r="N316" s="55" t="s">
        <v>90</v>
      </c>
      <c r="O316" s="55"/>
      <c r="P316" s="55" t="s">
        <v>91</v>
      </c>
      <c r="Q316" s="55" t="s">
        <v>16</v>
      </c>
      <c r="R316" s="55"/>
      <c r="S316" s="55"/>
      <c r="T316" s="55"/>
      <c r="U316" s="55"/>
      <c r="V316" s="55"/>
      <c r="W316" s="55"/>
      <c r="X316" s="57" t="str">
        <f t="shared" si="2"/>
        <v>--309-30-04</v>
      </c>
      <c r="Y316" s="58" t="str">
        <f t="shared" ref="Y316:AC316" si="314">TRIM(SUBSTITUTE(SUBSTITUTE(OFFSET($Q316,0,COLUMN()-COLUMN($AL$1)),CHAR(160)," "),_xludf.UNICHAR(8239)," "))</f>
        <v>#NAME?</v>
      </c>
      <c r="Z316" s="58" t="str">
        <f t="shared" si="314"/>
        <v>#NAME?</v>
      </c>
      <c r="AA316" s="58" t="str">
        <f t="shared" si="314"/>
        <v>#NAME?</v>
      </c>
      <c r="AB316" s="58" t="str">
        <f t="shared" si="314"/>
        <v>#NAME?</v>
      </c>
      <c r="AC316" s="58" t="str">
        <f t="shared" si="314"/>
        <v>#NAME?</v>
      </c>
      <c r="AD316" s="57">
        <f t="shared" si="4"/>
        <v>1</v>
      </c>
      <c r="AE316" s="57" t="str">
        <f t="shared" si="5"/>
        <v>2026-04</v>
      </c>
      <c r="AF316" s="57">
        <f t="shared" si="6"/>
        <v>1</v>
      </c>
      <c r="AG316" s="59">
        <f t="shared" si="7"/>
        <v>1</v>
      </c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</row>
    <row r="317" ht="24.0" customHeight="1">
      <c r="A317" s="53">
        <v>26.0</v>
      </c>
      <c r="B317" s="54" t="s">
        <v>1259</v>
      </c>
      <c r="C317" s="55" t="s">
        <v>1167</v>
      </c>
      <c r="D317" s="55"/>
      <c r="E317" s="55" t="s">
        <v>1260</v>
      </c>
      <c r="F317" s="55" t="s">
        <v>1261</v>
      </c>
      <c r="G317" s="55">
        <v>31.0</v>
      </c>
      <c r="H317" s="55" t="s">
        <v>85</v>
      </c>
      <c r="I317" s="55" t="s">
        <v>86</v>
      </c>
      <c r="J317" s="56" t="s">
        <v>87</v>
      </c>
      <c r="K317" s="55" t="s">
        <v>1262</v>
      </c>
      <c r="L317" s="55" t="s">
        <v>34</v>
      </c>
      <c r="M317" s="55" t="s">
        <v>89</v>
      </c>
      <c r="N317" s="55" t="s">
        <v>90</v>
      </c>
      <c r="O317" s="55"/>
      <c r="P317" s="55" t="s">
        <v>91</v>
      </c>
      <c r="Q317" s="55" t="s">
        <v>16</v>
      </c>
      <c r="R317" s="55"/>
      <c r="S317" s="55"/>
      <c r="T317" s="55"/>
      <c r="U317" s="55"/>
      <c r="V317" s="55"/>
      <c r="W317" s="55"/>
      <c r="X317" s="57" t="str">
        <f t="shared" si="2"/>
        <v>--310-30-04</v>
      </c>
      <c r="Y317" s="58" t="str">
        <f t="shared" ref="Y317:AC317" si="315">TRIM(SUBSTITUTE(SUBSTITUTE(OFFSET($Q317,0,COLUMN()-COLUMN($AL$1)),CHAR(160)," "),_xludf.UNICHAR(8239)," "))</f>
        <v>#NAME?</v>
      </c>
      <c r="Z317" s="58" t="str">
        <f t="shared" si="315"/>
        <v>#NAME?</v>
      </c>
      <c r="AA317" s="58" t="str">
        <f t="shared" si="315"/>
        <v>#NAME?</v>
      </c>
      <c r="AB317" s="58" t="str">
        <f t="shared" si="315"/>
        <v>#NAME?</v>
      </c>
      <c r="AC317" s="58" t="str">
        <f t="shared" si="315"/>
        <v>#NAME?</v>
      </c>
      <c r="AD317" s="57">
        <f t="shared" si="4"/>
        <v>1</v>
      </c>
      <c r="AE317" s="57" t="str">
        <f t="shared" si="5"/>
        <v>2026-04</v>
      </c>
      <c r="AF317" s="57">
        <f t="shared" si="6"/>
        <v>1</v>
      </c>
      <c r="AG317" s="59">
        <f t="shared" si="7"/>
        <v>1</v>
      </c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</row>
    <row r="318" ht="24.0" customHeight="1">
      <c r="A318" s="53">
        <v>27.0</v>
      </c>
      <c r="B318" s="54" t="s">
        <v>1263</v>
      </c>
      <c r="C318" s="55" t="s">
        <v>1167</v>
      </c>
      <c r="D318" s="55"/>
      <c r="E318" s="55" t="s">
        <v>1264</v>
      </c>
      <c r="F318" s="55" t="s">
        <v>1265</v>
      </c>
      <c r="G318" s="55">
        <v>33.0</v>
      </c>
      <c r="H318" s="55" t="s">
        <v>85</v>
      </c>
      <c r="I318" s="55" t="s">
        <v>112</v>
      </c>
      <c r="J318" s="56" t="s">
        <v>113</v>
      </c>
      <c r="K318" s="55" t="s">
        <v>577</v>
      </c>
      <c r="L318" s="55" t="s">
        <v>34</v>
      </c>
      <c r="M318" s="55" t="s">
        <v>89</v>
      </c>
      <c r="N318" s="55" t="s">
        <v>90</v>
      </c>
      <c r="O318" s="55"/>
      <c r="P318" s="55" t="s">
        <v>91</v>
      </c>
      <c r="Q318" s="55" t="s">
        <v>4</v>
      </c>
      <c r="R318" s="55"/>
      <c r="S318" s="55"/>
      <c r="T318" s="55"/>
      <c r="U318" s="55"/>
      <c r="V318" s="55"/>
      <c r="W318" s="55"/>
      <c r="X318" s="57" t="str">
        <f t="shared" si="2"/>
        <v>--311-30-04</v>
      </c>
      <c r="Y318" s="58" t="str">
        <f t="shared" ref="Y318:AC318" si="316">TRIM(SUBSTITUTE(SUBSTITUTE(OFFSET($Q318,0,COLUMN()-COLUMN($AL$1)),CHAR(160)," "),_xludf.UNICHAR(8239)," "))</f>
        <v>#NAME?</v>
      </c>
      <c r="Z318" s="58" t="str">
        <f t="shared" si="316"/>
        <v>#NAME?</v>
      </c>
      <c r="AA318" s="58" t="str">
        <f t="shared" si="316"/>
        <v>#NAME?</v>
      </c>
      <c r="AB318" s="58" t="str">
        <f t="shared" si="316"/>
        <v>#NAME?</v>
      </c>
      <c r="AC318" s="58" t="str">
        <f t="shared" si="316"/>
        <v>#NAME?</v>
      </c>
      <c r="AD318" s="57">
        <f t="shared" si="4"/>
        <v>1</v>
      </c>
      <c r="AE318" s="57" t="str">
        <f t="shared" si="5"/>
        <v>2026-04</v>
      </c>
      <c r="AF318" s="57">
        <f t="shared" si="6"/>
        <v>1</v>
      </c>
      <c r="AG318" s="59">
        <f t="shared" si="7"/>
        <v>1</v>
      </c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</row>
    <row r="319" ht="24.0" customHeight="1">
      <c r="A319" s="53">
        <v>28.0</v>
      </c>
      <c r="B319" s="54" t="s">
        <v>1266</v>
      </c>
      <c r="C319" s="55" t="s">
        <v>1167</v>
      </c>
      <c r="D319" s="55"/>
      <c r="E319" s="55" t="s">
        <v>1267</v>
      </c>
      <c r="F319" s="55" t="s">
        <v>1268</v>
      </c>
      <c r="G319" s="55">
        <v>36.0</v>
      </c>
      <c r="H319" s="55" t="s">
        <v>85</v>
      </c>
      <c r="I319" s="55" t="s">
        <v>86</v>
      </c>
      <c r="J319" s="56" t="s">
        <v>87</v>
      </c>
      <c r="K319" s="55" t="s">
        <v>1269</v>
      </c>
      <c r="L319" s="55" t="s">
        <v>34</v>
      </c>
      <c r="M319" s="55" t="s">
        <v>115</v>
      </c>
      <c r="N319" s="55" t="s">
        <v>90</v>
      </c>
      <c r="O319" s="55"/>
      <c r="P319" s="55" t="s">
        <v>91</v>
      </c>
      <c r="Q319" s="55"/>
      <c r="R319" s="55" t="s">
        <v>36</v>
      </c>
      <c r="S319" s="55"/>
      <c r="T319" s="55"/>
      <c r="U319" s="55"/>
      <c r="V319" s="55"/>
      <c r="W319" s="55"/>
      <c r="X319" s="57" t="str">
        <f t="shared" si="2"/>
        <v>--312-30-04</v>
      </c>
      <c r="Y319" s="58" t="str">
        <f t="shared" ref="Y319:AC319" si="317">TRIM(SUBSTITUTE(SUBSTITUTE(OFFSET($Q319,0,COLUMN()-COLUMN($AL$1)),CHAR(160)," "),_xludf.UNICHAR(8239)," "))</f>
        <v>#NAME?</v>
      </c>
      <c r="Z319" s="58" t="str">
        <f t="shared" si="317"/>
        <v>#NAME?</v>
      </c>
      <c r="AA319" s="58" t="str">
        <f t="shared" si="317"/>
        <v>#NAME?</v>
      </c>
      <c r="AB319" s="58" t="str">
        <f t="shared" si="317"/>
        <v>#NAME?</v>
      </c>
      <c r="AC319" s="58" t="str">
        <f t="shared" si="317"/>
        <v>#NAME?</v>
      </c>
      <c r="AD319" s="57">
        <f t="shared" si="4"/>
        <v>1</v>
      </c>
      <c r="AE319" s="57" t="str">
        <f t="shared" si="5"/>
        <v>2026-04</v>
      </c>
      <c r="AF319" s="57">
        <f t="shared" si="6"/>
        <v>1</v>
      </c>
      <c r="AG319" s="59">
        <f t="shared" si="7"/>
        <v>1</v>
      </c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</row>
    <row r="320" ht="24.0" customHeight="1">
      <c r="A320" s="53">
        <v>29.0</v>
      </c>
      <c r="B320" s="54" t="s">
        <v>1270</v>
      </c>
      <c r="C320" s="55" t="s">
        <v>1167</v>
      </c>
      <c r="D320" s="55"/>
      <c r="E320" s="55" t="s">
        <v>1271</v>
      </c>
      <c r="F320" s="55" t="s">
        <v>1272</v>
      </c>
      <c r="G320" s="55">
        <v>21.0</v>
      </c>
      <c r="H320" s="55" t="s">
        <v>85</v>
      </c>
      <c r="I320" s="55" t="s">
        <v>86</v>
      </c>
      <c r="J320" s="56" t="s">
        <v>87</v>
      </c>
      <c r="K320" s="55" t="s">
        <v>1273</v>
      </c>
      <c r="L320" s="55" t="s">
        <v>34</v>
      </c>
      <c r="M320" s="55" t="s">
        <v>89</v>
      </c>
      <c r="N320" s="55" t="s">
        <v>90</v>
      </c>
      <c r="O320" s="55"/>
      <c r="P320" s="55" t="s">
        <v>91</v>
      </c>
      <c r="Q320" s="55" t="s">
        <v>16</v>
      </c>
      <c r="R320" s="55"/>
      <c r="S320" s="55"/>
      <c r="T320" s="55"/>
      <c r="U320" s="55"/>
      <c r="V320" s="55"/>
      <c r="W320" s="55"/>
      <c r="X320" s="57" t="str">
        <f t="shared" si="2"/>
        <v>--313-30-04</v>
      </c>
      <c r="Y320" s="58" t="str">
        <f t="shared" ref="Y320:AC320" si="318">TRIM(SUBSTITUTE(SUBSTITUTE(OFFSET($Q320,0,COLUMN()-COLUMN($AL$1)),CHAR(160)," "),_xludf.UNICHAR(8239)," "))</f>
        <v>#NAME?</v>
      </c>
      <c r="Z320" s="58" t="str">
        <f t="shared" si="318"/>
        <v>#NAME?</v>
      </c>
      <c r="AA320" s="58" t="str">
        <f t="shared" si="318"/>
        <v>#NAME?</v>
      </c>
      <c r="AB320" s="58" t="str">
        <f t="shared" si="318"/>
        <v>#NAME?</v>
      </c>
      <c r="AC320" s="58" t="str">
        <f t="shared" si="318"/>
        <v>#NAME?</v>
      </c>
      <c r="AD320" s="57">
        <f t="shared" si="4"/>
        <v>1</v>
      </c>
      <c r="AE320" s="57" t="str">
        <f t="shared" si="5"/>
        <v>2026-04</v>
      </c>
      <c r="AF320" s="57">
        <f t="shared" si="6"/>
        <v>1</v>
      </c>
      <c r="AG320" s="59">
        <f t="shared" si="7"/>
        <v>1</v>
      </c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</row>
    <row r="321" ht="24.0" customHeight="1">
      <c r="A321" s="53">
        <v>30.0</v>
      </c>
      <c r="B321" s="54" t="s">
        <v>1274</v>
      </c>
      <c r="C321" s="55" t="s">
        <v>1167</v>
      </c>
      <c r="D321" s="55"/>
      <c r="E321" s="55" t="s">
        <v>1275</v>
      </c>
      <c r="F321" s="55" t="s">
        <v>1276</v>
      </c>
      <c r="G321" s="55">
        <v>1.0</v>
      </c>
      <c r="H321" s="55" t="s">
        <v>119</v>
      </c>
      <c r="I321" s="55" t="s">
        <v>112</v>
      </c>
      <c r="J321" s="56" t="s">
        <v>113</v>
      </c>
      <c r="K321" s="55" t="s">
        <v>1273</v>
      </c>
      <c r="L321" s="55" t="s">
        <v>34</v>
      </c>
      <c r="M321" s="55" t="s">
        <v>115</v>
      </c>
      <c r="N321" s="55" t="s">
        <v>90</v>
      </c>
      <c r="O321" s="55"/>
      <c r="P321" s="55" t="s">
        <v>91</v>
      </c>
      <c r="Q321" s="55" t="s">
        <v>16</v>
      </c>
      <c r="R321" s="55"/>
      <c r="S321" s="55"/>
      <c r="T321" s="55"/>
      <c r="U321" s="55"/>
      <c r="V321" s="55"/>
      <c r="W321" s="55"/>
      <c r="X321" s="57" t="str">
        <f t="shared" si="2"/>
        <v>--314-30-04</v>
      </c>
      <c r="Y321" s="58" t="str">
        <f t="shared" ref="Y321:AC321" si="319">TRIM(SUBSTITUTE(SUBSTITUTE(OFFSET($Q321,0,COLUMN()-COLUMN($AL$1)),CHAR(160)," "),_xludf.UNICHAR(8239)," "))</f>
        <v>#NAME?</v>
      </c>
      <c r="Z321" s="58" t="str">
        <f t="shared" si="319"/>
        <v>#NAME?</v>
      </c>
      <c r="AA321" s="58" t="str">
        <f t="shared" si="319"/>
        <v>#NAME?</v>
      </c>
      <c r="AB321" s="58" t="str">
        <f t="shared" si="319"/>
        <v>#NAME?</v>
      </c>
      <c r="AC321" s="58" t="str">
        <f t="shared" si="319"/>
        <v>#NAME?</v>
      </c>
      <c r="AD321" s="57">
        <f t="shared" si="4"/>
        <v>1</v>
      </c>
      <c r="AE321" s="57" t="str">
        <f t="shared" si="5"/>
        <v>2026-04</v>
      </c>
      <c r="AF321" s="57">
        <f t="shared" si="6"/>
        <v>1</v>
      </c>
      <c r="AG321" s="59">
        <f t="shared" si="7"/>
        <v>1</v>
      </c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</row>
    <row r="322" ht="24.0" customHeight="1">
      <c r="A322" s="53">
        <v>31.0</v>
      </c>
      <c r="B322" s="54" t="s">
        <v>1277</v>
      </c>
      <c r="C322" s="55" t="s">
        <v>1167</v>
      </c>
      <c r="D322" s="55"/>
      <c r="E322" s="55" t="s">
        <v>1278</v>
      </c>
      <c r="F322" s="55" t="s">
        <v>1279</v>
      </c>
      <c r="G322" s="55">
        <v>21.0</v>
      </c>
      <c r="H322" s="55" t="s">
        <v>85</v>
      </c>
      <c r="I322" s="55" t="s">
        <v>86</v>
      </c>
      <c r="J322" s="56" t="s">
        <v>87</v>
      </c>
      <c r="K322" s="55" t="s">
        <v>1280</v>
      </c>
      <c r="L322" s="55" t="s">
        <v>34</v>
      </c>
      <c r="M322" s="55" t="s">
        <v>89</v>
      </c>
      <c r="N322" s="55" t="s">
        <v>90</v>
      </c>
      <c r="O322" s="55"/>
      <c r="P322" s="55" t="s">
        <v>91</v>
      </c>
      <c r="Q322" s="55"/>
      <c r="R322" s="55" t="s">
        <v>5</v>
      </c>
      <c r="S322" s="55"/>
      <c r="T322" s="55"/>
      <c r="U322" s="55" t="s">
        <v>7</v>
      </c>
      <c r="V322" s="55"/>
      <c r="W322" s="55"/>
      <c r="X322" s="57" t="str">
        <f t="shared" si="2"/>
        <v>--315-30-04</v>
      </c>
      <c r="Y322" s="58" t="str">
        <f t="shared" ref="Y322:AC322" si="320">TRIM(SUBSTITUTE(SUBSTITUTE(OFFSET($Q322,0,COLUMN()-COLUMN($AL$1)),CHAR(160)," "),_xludf.UNICHAR(8239)," "))</f>
        <v>#NAME?</v>
      </c>
      <c r="Z322" s="58" t="str">
        <f t="shared" si="320"/>
        <v>#NAME?</v>
      </c>
      <c r="AA322" s="58" t="str">
        <f t="shared" si="320"/>
        <v>#NAME?</v>
      </c>
      <c r="AB322" s="58" t="str">
        <f t="shared" si="320"/>
        <v>#NAME?</v>
      </c>
      <c r="AC322" s="58" t="str">
        <f t="shared" si="320"/>
        <v>#NAME?</v>
      </c>
      <c r="AD322" s="57">
        <f t="shared" si="4"/>
        <v>1</v>
      </c>
      <c r="AE322" s="57" t="str">
        <f t="shared" si="5"/>
        <v>2026-04</v>
      </c>
      <c r="AF322" s="57">
        <f t="shared" si="6"/>
        <v>1</v>
      </c>
      <c r="AG322" s="59">
        <f t="shared" si="7"/>
        <v>1</v>
      </c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</row>
    <row r="323" ht="24.0" customHeight="1">
      <c r="A323" s="53">
        <v>32.0</v>
      </c>
      <c r="B323" s="54" t="s">
        <v>1281</v>
      </c>
      <c r="C323" s="55" t="s">
        <v>1167</v>
      </c>
      <c r="D323" s="55"/>
      <c r="E323" s="55" t="s">
        <v>1282</v>
      </c>
      <c r="F323" s="55" t="s">
        <v>1283</v>
      </c>
      <c r="G323" s="55">
        <v>1.0</v>
      </c>
      <c r="H323" s="55" t="s">
        <v>119</v>
      </c>
      <c r="I323" s="55" t="s">
        <v>112</v>
      </c>
      <c r="J323" s="56" t="s">
        <v>113</v>
      </c>
      <c r="K323" s="55" t="s">
        <v>1284</v>
      </c>
      <c r="L323" s="55" t="s">
        <v>34</v>
      </c>
      <c r="M323" s="55" t="s">
        <v>115</v>
      </c>
      <c r="N323" s="55" t="s">
        <v>90</v>
      </c>
      <c r="O323" s="55"/>
      <c r="P323" s="55" t="s">
        <v>91</v>
      </c>
      <c r="Q323" s="55" t="s">
        <v>16</v>
      </c>
      <c r="R323" s="55"/>
      <c r="S323" s="55"/>
      <c r="T323" s="55"/>
      <c r="U323" s="55"/>
      <c r="V323" s="55"/>
      <c r="W323" s="55"/>
      <c r="X323" s="57" t="str">
        <f t="shared" si="2"/>
        <v>--316-30-04</v>
      </c>
      <c r="Y323" s="58" t="str">
        <f t="shared" ref="Y323:AC323" si="321">TRIM(SUBSTITUTE(SUBSTITUTE(OFFSET($Q323,0,COLUMN()-COLUMN($AL$1)),CHAR(160)," "),_xludf.UNICHAR(8239)," "))</f>
        <v>#NAME?</v>
      </c>
      <c r="Z323" s="58" t="str">
        <f t="shared" si="321"/>
        <v>#NAME?</v>
      </c>
      <c r="AA323" s="58" t="str">
        <f t="shared" si="321"/>
        <v>#NAME?</v>
      </c>
      <c r="AB323" s="58" t="str">
        <f t="shared" si="321"/>
        <v>#NAME?</v>
      </c>
      <c r="AC323" s="58" t="str">
        <f t="shared" si="321"/>
        <v>#NAME?</v>
      </c>
      <c r="AD323" s="57">
        <f t="shared" si="4"/>
        <v>1</v>
      </c>
      <c r="AE323" s="57" t="str">
        <f t="shared" si="5"/>
        <v>2026-04</v>
      </c>
      <c r="AF323" s="57">
        <f t="shared" si="6"/>
        <v>1</v>
      </c>
      <c r="AG323" s="59">
        <f t="shared" si="7"/>
        <v>1</v>
      </c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</row>
    <row r="324" ht="24.0" customHeight="1">
      <c r="A324" s="53">
        <v>33.0</v>
      </c>
      <c r="B324" s="54" t="s">
        <v>1285</v>
      </c>
      <c r="C324" s="55" t="s">
        <v>1167</v>
      </c>
      <c r="D324" s="55"/>
      <c r="E324" s="55" t="s">
        <v>1286</v>
      </c>
      <c r="F324" s="55" t="s">
        <v>1287</v>
      </c>
      <c r="G324" s="55">
        <v>44.0</v>
      </c>
      <c r="H324" s="55" t="s">
        <v>85</v>
      </c>
      <c r="I324" s="55" t="s">
        <v>112</v>
      </c>
      <c r="J324" s="56" t="s">
        <v>113</v>
      </c>
      <c r="K324" s="55" t="s">
        <v>1288</v>
      </c>
      <c r="L324" s="55" t="s">
        <v>34</v>
      </c>
      <c r="M324" s="55" t="s">
        <v>89</v>
      </c>
      <c r="N324" s="55" t="s">
        <v>90</v>
      </c>
      <c r="O324" s="55"/>
      <c r="P324" s="55" t="s">
        <v>91</v>
      </c>
      <c r="Q324" s="55" t="s">
        <v>4</v>
      </c>
      <c r="R324" s="55"/>
      <c r="S324" s="55"/>
      <c r="T324" s="55"/>
      <c r="U324" s="55"/>
      <c r="V324" s="55"/>
      <c r="W324" s="55"/>
      <c r="X324" s="57" t="str">
        <f t="shared" si="2"/>
        <v>--317-30-04</v>
      </c>
      <c r="Y324" s="58" t="str">
        <f t="shared" ref="Y324:AC324" si="322">TRIM(SUBSTITUTE(SUBSTITUTE(OFFSET($Q324,0,COLUMN()-COLUMN($AL$1)),CHAR(160)," "),_xludf.UNICHAR(8239)," "))</f>
        <v>#NAME?</v>
      </c>
      <c r="Z324" s="58" t="str">
        <f t="shared" si="322"/>
        <v>#NAME?</v>
      </c>
      <c r="AA324" s="58" t="str">
        <f t="shared" si="322"/>
        <v>#NAME?</v>
      </c>
      <c r="AB324" s="58" t="str">
        <f t="shared" si="322"/>
        <v>#NAME?</v>
      </c>
      <c r="AC324" s="58" t="str">
        <f t="shared" si="322"/>
        <v>#NAME?</v>
      </c>
      <c r="AD324" s="57">
        <f t="shared" si="4"/>
        <v>1</v>
      </c>
      <c r="AE324" s="57" t="str">
        <f t="shared" si="5"/>
        <v>2026-04</v>
      </c>
      <c r="AF324" s="57">
        <f t="shared" si="6"/>
        <v>1</v>
      </c>
      <c r="AG324" s="59">
        <f t="shared" si="7"/>
        <v>1</v>
      </c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</row>
    <row r="325" ht="24.0" customHeight="1">
      <c r="A325" s="53">
        <v>34.0</v>
      </c>
      <c r="B325" s="54" t="s">
        <v>1289</v>
      </c>
      <c r="C325" s="55" t="s">
        <v>1167</v>
      </c>
      <c r="D325" s="55"/>
      <c r="E325" s="55" t="s">
        <v>1290</v>
      </c>
      <c r="F325" s="55" t="s">
        <v>1291</v>
      </c>
      <c r="G325" s="55">
        <v>20.0</v>
      </c>
      <c r="H325" s="55" t="s">
        <v>85</v>
      </c>
      <c r="I325" s="55" t="s">
        <v>86</v>
      </c>
      <c r="J325" s="56" t="s">
        <v>87</v>
      </c>
      <c r="K325" s="55" t="s">
        <v>1292</v>
      </c>
      <c r="L325" s="55" t="s">
        <v>41</v>
      </c>
      <c r="M325" s="55" t="s">
        <v>874</v>
      </c>
      <c r="N325" s="55" t="s">
        <v>90</v>
      </c>
      <c r="O325" s="55"/>
      <c r="P325" s="55" t="s">
        <v>91</v>
      </c>
      <c r="Q325" s="55" t="s">
        <v>16</v>
      </c>
      <c r="R325" s="55"/>
      <c r="S325" s="55"/>
      <c r="T325" s="55"/>
      <c r="U325" s="55"/>
      <c r="V325" s="55"/>
      <c r="W325" s="55"/>
      <c r="X325" s="57" t="str">
        <f t="shared" si="2"/>
        <v>--318-30-04</v>
      </c>
      <c r="Y325" s="58" t="str">
        <f t="shared" ref="Y325:AC325" si="323">TRIM(SUBSTITUTE(SUBSTITUTE(OFFSET($Q325,0,COLUMN()-COLUMN($AL$1)),CHAR(160)," "),_xludf.UNICHAR(8239)," "))</f>
        <v>#NAME?</v>
      </c>
      <c r="Z325" s="58" t="str">
        <f t="shared" si="323"/>
        <v>#NAME?</v>
      </c>
      <c r="AA325" s="58" t="str">
        <f t="shared" si="323"/>
        <v>#NAME?</v>
      </c>
      <c r="AB325" s="58" t="str">
        <f t="shared" si="323"/>
        <v>#NAME?</v>
      </c>
      <c r="AC325" s="58" t="str">
        <f t="shared" si="323"/>
        <v>#NAME?</v>
      </c>
      <c r="AD325" s="57">
        <f t="shared" si="4"/>
        <v>1</v>
      </c>
      <c r="AE325" s="57" t="str">
        <f t="shared" si="5"/>
        <v>2026-04</v>
      </c>
      <c r="AF325" s="57">
        <f t="shared" si="6"/>
        <v>1</v>
      </c>
      <c r="AG325" s="59">
        <f t="shared" si="7"/>
        <v>1</v>
      </c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</row>
    <row r="326" ht="24.0" customHeight="1">
      <c r="A326" s="53">
        <v>35.0</v>
      </c>
      <c r="B326" s="54" t="s">
        <v>1293</v>
      </c>
      <c r="C326" s="55" t="s">
        <v>1167</v>
      </c>
      <c r="D326" s="55"/>
      <c r="E326" s="55" t="s">
        <v>1294</v>
      </c>
      <c r="F326" s="55" t="s">
        <v>1295</v>
      </c>
      <c r="G326" s="55">
        <v>15.0</v>
      </c>
      <c r="H326" s="55" t="s">
        <v>111</v>
      </c>
      <c r="I326" s="55" t="s">
        <v>86</v>
      </c>
      <c r="J326" s="56" t="s">
        <v>87</v>
      </c>
      <c r="K326" s="55" t="s">
        <v>1296</v>
      </c>
      <c r="L326" s="55" t="s">
        <v>34</v>
      </c>
      <c r="M326" s="55" t="s">
        <v>133</v>
      </c>
      <c r="N326" s="55" t="s">
        <v>90</v>
      </c>
      <c r="O326" s="55"/>
      <c r="P326" s="55" t="s">
        <v>91</v>
      </c>
      <c r="Q326" s="55" t="s">
        <v>4</v>
      </c>
      <c r="R326" s="55"/>
      <c r="S326" s="55"/>
      <c r="T326" s="55"/>
      <c r="U326" s="55"/>
      <c r="V326" s="55"/>
      <c r="W326" s="55"/>
      <c r="X326" s="57" t="str">
        <f t="shared" si="2"/>
        <v>--319-30-04</v>
      </c>
      <c r="Y326" s="58" t="str">
        <f t="shared" ref="Y326:AC326" si="324">TRIM(SUBSTITUTE(SUBSTITUTE(OFFSET($Q326,0,COLUMN()-COLUMN($AL$1)),CHAR(160)," "),_xludf.UNICHAR(8239)," "))</f>
        <v>#NAME?</v>
      </c>
      <c r="Z326" s="58" t="str">
        <f t="shared" si="324"/>
        <v>#NAME?</v>
      </c>
      <c r="AA326" s="58" t="str">
        <f t="shared" si="324"/>
        <v>#NAME?</v>
      </c>
      <c r="AB326" s="58" t="str">
        <f t="shared" si="324"/>
        <v>#NAME?</v>
      </c>
      <c r="AC326" s="58" t="str">
        <f t="shared" si="324"/>
        <v>#NAME?</v>
      </c>
      <c r="AD326" s="57">
        <f t="shared" si="4"/>
        <v>1</v>
      </c>
      <c r="AE326" s="57" t="str">
        <f t="shared" si="5"/>
        <v>2026-04</v>
      </c>
      <c r="AF326" s="57">
        <f t="shared" si="6"/>
        <v>1</v>
      </c>
      <c r="AG326" s="59">
        <f t="shared" si="7"/>
        <v>1</v>
      </c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</row>
    <row r="327" ht="24.0" customHeight="1">
      <c r="A327" s="53">
        <v>36.0</v>
      </c>
      <c r="B327" s="54" t="s">
        <v>1297</v>
      </c>
      <c r="C327" s="55" t="s">
        <v>1167</v>
      </c>
      <c r="D327" s="55"/>
      <c r="E327" s="55" t="s">
        <v>1298</v>
      </c>
      <c r="F327" s="55" t="s">
        <v>1299</v>
      </c>
      <c r="G327" s="55">
        <v>15.0</v>
      </c>
      <c r="H327" s="55" t="s">
        <v>111</v>
      </c>
      <c r="I327" s="55" t="s">
        <v>86</v>
      </c>
      <c r="J327" s="56" t="s">
        <v>87</v>
      </c>
      <c r="K327" s="55" t="s">
        <v>1300</v>
      </c>
      <c r="L327" s="55" t="s">
        <v>34</v>
      </c>
      <c r="M327" s="55" t="s">
        <v>133</v>
      </c>
      <c r="N327" s="55" t="s">
        <v>90</v>
      </c>
      <c r="O327" s="55"/>
      <c r="P327" s="55" t="s">
        <v>91</v>
      </c>
      <c r="Q327" s="55" t="s">
        <v>16</v>
      </c>
      <c r="R327" s="55"/>
      <c r="S327" s="55"/>
      <c r="T327" s="55"/>
      <c r="U327" s="55"/>
      <c r="V327" s="55"/>
      <c r="W327" s="55"/>
      <c r="X327" s="57" t="str">
        <f t="shared" si="2"/>
        <v>--320-30-04</v>
      </c>
      <c r="Y327" s="58" t="str">
        <f t="shared" ref="Y327:AC327" si="325">TRIM(SUBSTITUTE(SUBSTITUTE(OFFSET($Q327,0,COLUMN()-COLUMN($AL$1)),CHAR(160)," "),_xludf.UNICHAR(8239)," "))</f>
        <v>#NAME?</v>
      </c>
      <c r="Z327" s="58" t="str">
        <f t="shared" si="325"/>
        <v>#NAME?</v>
      </c>
      <c r="AA327" s="58" t="str">
        <f t="shared" si="325"/>
        <v>#NAME?</v>
      </c>
      <c r="AB327" s="58" t="str">
        <f t="shared" si="325"/>
        <v>#NAME?</v>
      </c>
      <c r="AC327" s="58" t="str">
        <f t="shared" si="325"/>
        <v>#NAME?</v>
      </c>
      <c r="AD327" s="57">
        <f t="shared" si="4"/>
        <v>1</v>
      </c>
      <c r="AE327" s="57" t="str">
        <f t="shared" si="5"/>
        <v>2026-04</v>
      </c>
      <c r="AF327" s="57">
        <f t="shared" si="6"/>
        <v>1</v>
      </c>
      <c r="AG327" s="59">
        <f t="shared" si="7"/>
        <v>1</v>
      </c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</row>
    <row r="328" ht="24.0" customHeight="1">
      <c r="A328" s="53">
        <v>37.0</v>
      </c>
      <c r="B328" s="54" t="s">
        <v>1301</v>
      </c>
      <c r="C328" s="55" t="s">
        <v>1167</v>
      </c>
      <c r="D328" s="55"/>
      <c r="E328" s="55" t="s">
        <v>1302</v>
      </c>
      <c r="F328" s="55" t="s">
        <v>1303</v>
      </c>
      <c r="G328" s="55">
        <v>4.0</v>
      </c>
      <c r="H328" s="55" t="s">
        <v>119</v>
      </c>
      <c r="I328" s="55" t="s">
        <v>86</v>
      </c>
      <c r="J328" s="56" t="s">
        <v>87</v>
      </c>
      <c r="K328" s="55" t="s">
        <v>1304</v>
      </c>
      <c r="L328" s="55" t="s">
        <v>34</v>
      </c>
      <c r="M328" s="55" t="s">
        <v>115</v>
      </c>
      <c r="N328" s="55" t="s">
        <v>90</v>
      </c>
      <c r="O328" s="55"/>
      <c r="P328" s="55" t="s">
        <v>91</v>
      </c>
      <c r="Q328" s="55" t="s">
        <v>16</v>
      </c>
      <c r="R328" s="55"/>
      <c r="S328" s="55"/>
      <c r="T328" s="55"/>
      <c r="U328" s="55"/>
      <c r="V328" s="55"/>
      <c r="W328" s="55"/>
      <c r="X328" s="57" t="str">
        <f t="shared" si="2"/>
        <v>--321-30-04</v>
      </c>
      <c r="Y328" s="58" t="str">
        <f t="shared" ref="Y328:AC328" si="326">TRIM(SUBSTITUTE(SUBSTITUTE(OFFSET($Q328,0,COLUMN()-COLUMN($AL$1)),CHAR(160)," "),_xludf.UNICHAR(8239)," "))</f>
        <v>#NAME?</v>
      </c>
      <c r="Z328" s="58" t="str">
        <f t="shared" si="326"/>
        <v>#NAME?</v>
      </c>
      <c r="AA328" s="58" t="str">
        <f t="shared" si="326"/>
        <v>#NAME?</v>
      </c>
      <c r="AB328" s="58" t="str">
        <f t="shared" si="326"/>
        <v>#NAME?</v>
      </c>
      <c r="AC328" s="58" t="str">
        <f t="shared" si="326"/>
        <v>#NAME?</v>
      </c>
      <c r="AD328" s="57">
        <f t="shared" si="4"/>
        <v>1</v>
      </c>
      <c r="AE328" s="57" t="str">
        <f t="shared" si="5"/>
        <v>2026-04</v>
      </c>
      <c r="AF328" s="57">
        <f t="shared" si="6"/>
        <v>1</v>
      </c>
      <c r="AG328" s="59">
        <f t="shared" si="7"/>
        <v>1</v>
      </c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</row>
    <row r="329" ht="24.0" customHeight="1">
      <c r="A329" s="53">
        <v>38.0</v>
      </c>
      <c r="B329" s="54" t="s">
        <v>1305</v>
      </c>
      <c r="C329" s="55" t="s">
        <v>1167</v>
      </c>
      <c r="D329" s="55"/>
      <c r="E329" s="55" t="s">
        <v>1306</v>
      </c>
      <c r="F329" s="55" t="s">
        <v>1307</v>
      </c>
      <c r="G329" s="55">
        <v>40.0</v>
      </c>
      <c r="H329" s="55" t="s">
        <v>85</v>
      </c>
      <c r="I329" s="55" t="s">
        <v>86</v>
      </c>
      <c r="J329" s="56" t="s">
        <v>87</v>
      </c>
      <c r="K329" s="55" t="s">
        <v>1304</v>
      </c>
      <c r="L329" s="55" t="s">
        <v>34</v>
      </c>
      <c r="M329" s="55" t="s">
        <v>89</v>
      </c>
      <c r="N329" s="55" t="s">
        <v>90</v>
      </c>
      <c r="O329" s="55"/>
      <c r="P329" s="55" t="s">
        <v>91</v>
      </c>
      <c r="Q329" s="55" t="s">
        <v>16</v>
      </c>
      <c r="R329" s="55"/>
      <c r="S329" s="55"/>
      <c r="T329" s="55"/>
      <c r="U329" s="55"/>
      <c r="V329" s="55"/>
      <c r="W329" s="55"/>
      <c r="X329" s="57" t="str">
        <f t="shared" si="2"/>
        <v>--322-30-04</v>
      </c>
      <c r="Y329" s="58" t="str">
        <f t="shared" ref="Y329:AC329" si="327">TRIM(SUBSTITUTE(SUBSTITUTE(OFFSET($Q329,0,COLUMN()-COLUMN($AL$1)),CHAR(160)," "),_xludf.UNICHAR(8239)," "))</f>
        <v>#NAME?</v>
      </c>
      <c r="Z329" s="58" t="str">
        <f t="shared" si="327"/>
        <v>#NAME?</v>
      </c>
      <c r="AA329" s="58" t="str">
        <f t="shared" si="327"/>
        <v>#NAME?</v>
      </c>
      <c r="AB329" s="58" t="str">
        <f t="shared" si="327"/>
        <v>#NAME?</v>
      </c>
      <c r="AC329" s="58" t="str">
        <f t="shared" si="327"/>
        <v>#NAME?</v>
      </c>
      <c r="AD329" s="57">
        <f t="shared" si="4"/>
        <v>1</v>
      </c>
      <c r="AE329" s="57" t="str">
        <f t="shared" si="5"/>
        <v>2026-04</v>
      </c>
      <c r="AF329" s="57">
        <f t="shared" si="6"/>
        <v>1</v>
      </c>
      <c r="AG329" s="59">
        <f t="shared" si="7"/>
        <v>1</v>
      </c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</row>
    <row r="330" ht="24.0" customHeight="1">
      <c r="A330" s="53">
        <v>39.0</v>
      </c>
      <c r="B330" s="54" t="s">
        <v>1308</v>
      </c>
      <c r="C330" s="55" t="s">
        <v>1167</v>
      </c>
      <c r="D330" s="55"/>
      <c r="E330" s="55" t="s">
        <v>1309</v>
      </c>
      <c r="F330" s="55" t="s">
        <v>1310</v>
      </c>
      <c r="G330" s="55">
        <v>60.0</v>
      </c>
      <c r="H330" s="55" t="s">
        <v>85</v>
      </c>
      <c r="I330" s="55" t="s">
        <v>112</v>
      </c>
      <c r="J330" s="56" t="s">
        <v>113</v>
      </c>
      <c r="K330" s="55" t="s">
        <v>1311</v>
      </c>
      <c r="L330" s="55" t="s">
        <v>12</v>
      </c>
      <c r="M330" s="55" t="s">
        <v>89</v>
      </c>
      <c r="N330" s="55" t="s">
        <v>90</v>
      </c>
      <c r="O330" s="55"/>
      <c r="P330" s="55" t="s">
        <v>91</v>
      </c>
      <c r="Q330" s="55" t="s">
        <v>4</v>
      </c>
      <c r="R330" s="55"/>
      <c r="S330" s="55"/>
      <c r="T330" s="55"/>
      <c r="U330" s="55"/>
      <c r="V330" s="55"/>
      <c r="W330" s="55"/>
      <c r="X330" s="57" t="str">
        <f t="shared" si="2"/>
        <v>--323-30-04</v>
      </c>
      <c r="Y330" s="58" t="str">
        <f t="shared" ref="Y330:AC330" si="328">TRIM(SUBSTITUTE(SUBSTITUTE(OFFSET($Q330,0,COLUMN()-COLUMN($AL$1)),CHAR(160)," "),_xludf.UNICHAR(8239)," "))</f>
        <v>#NAME?</v>
      </c>
      <c r="Z330" s="58" t="str">
        <f t="shared" si="328"/>
        <v>#NAME?</v>
      </c>
      <c r="AA330" s="58" t="str">
        <f t="shared" si="328"/>
        <v>#NAME?</v>
      </c>
      <c r="AB330" s="58" t="str">
        <f t="shared" si="328"/>
        <v>#NAME?</v>
      </c>
      <c r="AC330" s="58" t="str">
        <f t="shared" si="328"/>
        <v>#NAME?</v>
      </c>
      <c r="AD330" s="57">
        <f t="shared" si="4"/>
        <v>1</v>
      </c>
      <c r="AE330" s="57" t="str">
        <f t="shared" si="5"/>
        <v>2026-04</v>
      </c>
      <c r="AF330" s="57">
        <f t="shared" si="6"/>
        <v>1</v>
      </c>
      <c r="AG330" s="59">
        <f t="shared" si="7"/>
        <v>1</v>
      </c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</row>
    <row r="331" ht="24.0" customHeight="1">
      <c r="A331" s="53">
        <v>40.0</v>
      </c>
      <c r="B331" s="54" t="s">
        <v>1312</v>
      </c>
      <c r="C331" s="55" t="s">
        <v>1167</v>
      </c>
      <c r="D331" s="55"/>
      <c r="E331" s="55" t="s">
        <v>1313</v>
      </c>
      <c r="F331" s="55" t="s">
        <v>1314</v>
      </c>
      <c r="G331" s="55">
        <v>9.0</v>
      </c>
      <c r="H331" s="55" t="s">
        <v>111</v>
      </c>
      <c r="I331" s="55" t="s">
        <v>86</v>
      </c>
      <c r="J331" s="56" t="s">
        <v>87</v>
      </c>
      <c r="K331" s="55" t="s">
        <v>1315</v>
      </c>
      <c r="L331" s="55" t="s">
        <v>34</v>
      </c>
      <c r="M331" s="55" t="s">
        <v>115</v>
      </c>
      <c r="N331" s="55" t="s">
        <v>90</v>
      </c>
      <c r="O331" s="55"/>
      <c r="P331" s="55" t="s">
        <v>91</v>
      </c>
      <c r="Q331" s="55" t="s">
        <v>4</v>
      </c>
      <c r="R331" s="55"/>
      <c r="S331" s="55"/>
      <c r="T331" s="55"/>
      <c r="U331" s="55"/>
      <c r="V331" s="55"/>
      <c r="W331" s="55"/>
      <c r="X331" s="57" t="str">
        <f t="shared" si="2"/>
        <v>--324-30-04</v>
      </c>
      <c r="Y331" s="58" t="str">
        <f t="shared" ref="Y331:AC331" si="329">TRIM(SUBSTITUTE(SUBSTITUTE(OFFSET($Q331,0,COLUMN()-COLUMN($AL$1)),CHAR(160)," "),_xludf.UNICHAR(8239)," "))</f>
        <v>#NAME?</v>
      </c>
      <c r="Z331" s="58" t="str">
        <f t="shared" si="329"/>
        <v>#NAME?</v>
      </c>
      <c r="AA331" s="58" t="str">
        <f t="shared" si="329"/>
        <v>#NAME?</v>
      </c>
      <c r="AB331" s="58" t="str">
        <f t="shared" si="329"/>
        <v>#NAME?</v>
      </c>
      <c r="AC331" s="58" t="str">
        <f t="shared" si="329"/>
        <v>#NAME?</v>
      </c>
      <c r="AD331" s="57">
        <f t="shared" si="4"/>
        <v>1</v>
      </c>
      <c r="AE331" s="57" t="str">
        <f t="shared" si="5"/>
        <v>2026-04</v>
      </c>
      <c r="AF331" s="57">
        <f t="shared" si="6"/>
        <v>1</v>
      </c>
      <c r="AG331" s="59">
        <f t="shared" si="7"/>
        <v>1</v>
      </c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</row>
    <row r="332" ht="24.0" customHeight="1">
      <c r="A332" s="53">
        <v>41.0</v>
      </c>
      <c r="B332" s="54" t="s">
        <v>1316</v>
      </c>
      <c r="C332" s="55" t="s">
        <v>1167</v>
      </c>
      <c r="D332" s="55"/>
      <c r="E332" s="55" t="s">
        <v>1317</v>
      </c>
      <c r="F332" s="55" t="s">
        <v>1318</v>
      </c>
      <c r="G332" s="55">
        <v>34.0</v>
      </c>
      <c r="H332" s="55" t="s">
        <v>85</v>
      </c>
      <c r="I332" s="55" t="s">
        <v>112</v>
      </c>
      <c r="J332" s="56" t="s">
        <v>113</v>
      </c>
      <c r="K332" s="55" t="s">
        <v>1319</v>
      </c>
      <c r="L332" s="55" t="s">
        <v>34</v>
      </c>
      <c r="M332" s="55" t="s">
        <v>89</v>
      </c>
      <c r="N332" s="55" t="s">
        <v>90</v>
      </c>
      <c r="O332" s="55"/>
      <c r="P332" s="55" t="s">
        <v>91</v>
      </c>
      <c r="Q332" s="55" t="s">
        <v>16</v>
      </c>
      <c r="R332" s="55"/>
      <c r="S332" s="55"/>
      <c r="T332" s="55"/>
      <c r="U332" s="55"/>
      <c r="V332" s="55"/>
      <c r="W332" s="55"/>
      <c r="X332" s="57" t="str">
        <f t="shared" si="2"/>
        <v>--325-30-04</v>
      </c>
      <c r="Y332" s="58" t="str">
        <f t="shared" ref="Y332:AC332" si="330">TRIM(SUBSTITUTE(SUBSTITUTE(OFFSET($Q332,0,COLUMN()-COLUMN($AL$1)),CHAR(160)," "),_xludf.UNICHAR(8239)," "))</f>
        <v>#NAME?</v>
      </c>
      <c r="Z332" s="58" t="str">
        <f t="shared" si="330"/>
        <v>#NAME?</v>
      </c>
      <c r="AA332" s="58" t="str">
        <f t="shared" si="330"/>
        <v>#NAME?</v>
      </c>
      <c r="AB332" s="58" t="str">
        <f t="shared" si="330"/>
        <v>#NAME?</v>
      </c>
      <c r="AC332" s="58" t="str">
        <f t="shared" si="330"/>
        <v>#NAME?</v>
      </c>
      <c r="AD332" s="57">
        <f t="shared" si="4"/>
        <v>1</v>
      </c>
      <c r="AE332" s="57" t="str">
        <f t="shared" si="5"/>
        <v>2026-04</v>
      </c>
      <c r="AF332" s="57">
        <f t="shared" si="6"/>
        <v>1</v>
      </c>
      <c r="AG332" s="59">
        <f t="shared" si="7"/>
        <v>1</v>
      </c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</row>
    <row r="333" ht="24.0" customHeight="1">
      <c r="A333" s="53">
        <v>42.0</v>
      </c>
      <c r="B333" s="54" t="s">
        <v>1320</v>
      </c>
      <c r="C333" s="55" t="s">
        <v>1167</v>
      </c>
      <c r="D333" s="55"/>
      <c r="E333" s="55" t="s">
        <v>1321</v>
      </c>
      <c r="F333" s="55" t="s">
        <v>1322</v>
      </c>
      <c r="G333" s="55">
        <v>4.0</v>
      </c>
      <c r="H333" s="55" t="s">
        <v>119</v>
      </c>
      <c r="I333" s="55" t="s">
        <v>86</v>
      </c>
      <c r="J333" s="56" t="s">
        <v>87</v>
      </c>
      <c r="K333" s="55" t="s">
        <v>1323</v>
      </c>
      <c r="L333" s="55" t="s">
        <v>34</v>
      </c>
      <c r="M333" s="55" t="s">
        <v>115</v>
      </c>
      <c r="N333" s="55" t="s">
        <v>90</v>
      </c>
      <c r="O333" s="55"/>
      <c r="P333" s="55" t="s">
        <v>91</v>
      </c>
      <c r="Q333" s="55" t="s">
        <v>16</v>
      </c>
      <c r="R333" s="55"/>
      <c r="S333" s="55"/>
      <c r="T333" s="55"/>
      <c r="U333" s="55"/>
      <c r="V333" s="55"/>
      <c r="W333" s="55"/>
      <c r="X333" s="57" t="str">
        <f t="shared" si="2"/>
        <v>--326-30-04</v>
      </c>
      <c r="Y333" s="58" t="str">
        <f t="shared" ref="Y333:AC333" si="331">TRIM(SUBSTITUTE(SUBSTITUTE(OFFSET($Q333,0,COLUMN()-COLUMN($AL$1)),CHAR(160)," "),_xludf.UNICHAR(8239)," "))</f>
        <v>#NAME?</v>
      </c>
      <c r="Z333" s="58" t="str">
        <f t="shared" si="331"/>
        <v>#NAME?</v>
      </c>
      <c r="AA333" s="58" t="str">
        <f t="shared" si="331"/>
        <v>#NAME?</v>
      </c>
      <c r="AB333" s="58" t="str">
        <f t="shared" si="331"/>
        <v>#NAME?</v>
      </c>
      <c r="AC333" s="58" t="str">
        <f t="shared" si="331"/>
        <v>#NAME?</v>
      </c>
      <c r="AD333" s="57">
        <f t="shared" si="4"/>
        <v>1</v>
      </c>
      <c r="AE333" s="57" t="str">
        <f t="shared" si="5"/>
        <v>2026-04</v>
      </c>
      <c r="AF333" s="57">
        <f t="shared" si="6"/>
        <v>1</v>
      </c>
      <c r="AG333" s="59">
        <f t="shared" si="7"/>
        <v>1</v>
      </c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</row>
    <row r="334" ht="24.0" customHeight="1">
      <c r="A334" s="53">
        <v>43.0</v>
      </c>
      <c r="B334" s="54" t="s">
        <v>1324</v>
      </c>
      <c r="C334" s="55" t="s">
        <v>1167</v>
      </c>
      <c r="D334" s="55"/>
      <c r="E334" s="55" t="s">
        <v>1325</v>
      </c>
      <c r="F334" s="55" t="s">
        <v>1326</v>
      </c>
      <c r="G334" s="55">
        <v>37.0</v>
      </c>
      <c r="H334" s="55" t="s">
        <v>85</v>
      </c>
      <c r="I334" s="55" t="s">
        <v>112</v>
      </c>
      <c r="J334" s="56" t="s">
        <v>113</v>
      </c>
      <c r="K334" s="55" t="s">
        <v>1327</v>
      </c>
      <c r="L334" s="55" t="s">
        <v>34</v>
      </c>
      <c r="M334" s="55" t="s">
        <v>89</v>
      </c>
      <c r="N334" s="55" t="s">
        <v>90</v>
      </c>
      <c r="O334" s="55"/>
      <c r="P334" s="55" t="s">
        <v>91</v>
      </c>
      <c r="Q334" s="55" t="s">
        <v>16</v>
      </c>
      <c r="R334" s="55"/>
      <c r="S334" s="55"/>
      <c r="T334" s="55"/>
      <c r="U334" s="55"/>
      <c r="V334" s="55"/>
      <c r="W334" s="55"/>
      <c r="X334" s="57" t="str">
        <f t="shared" si="2"/>
        <v>--327-30-04</v>
      </c>
      <c r="Y334" s="58" t="str">
        <f t="shared" ref="Y334:AC334" si="332">TRIM(SUBSTITUTE(SUBSTITUTE(OFFSET($Q334,0,COLUMN()-COLUMN($AL$1)),CHAR(160)," "),_xludf.UNICHAR(8239)," "))</f>
        <v>#NAME?</v>
      </c>
      <c r="Z334" s="58" t="str">
        <f t="shared" si="332"/>
        <v>#NAME?</v>
      </c>
      <c r="AA334" s="58" t="str">
        <f t="shared" si="332"/>
        <v>#NAME?</v>
      </c>
      <c r="AB334" s="58" t="str">
        <f t="shared" si="332"/>
        <v>#NAME?</v>
      </c>
      <c r="AC334" s="58" t="str">
        <f t="shared" si="332"/>
        <v>#NAME?</v>
      </c>
      <c r="AD334" s="57">
        <f t="shared" si="4"/>
        <v>1</v>
      </c>
      <c r="AE334" s="57" t="str">
        <f t="shared" si="5"/>
        <v>2026-04</v>
      </c>
      <c r="AF334" s="57">
        <f t="shared" si="6"/>
        <v>1</v>
      </c>
      <c r="AG334" s="59">
        <f t="shared" si="7"/>
        <v>1</v>
      </c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</row>
    <row r="335" ht="24.0" customHeight="1">
      <c r="A335" s="53">
        <v>44.0</v>
      </c>
      <c r="B335" s="54" t="s">
        <v>1328</v>
      </c>
      <c r="C335" s="55" t="s">
        <v>1167</v>
      </c>
      <c r="D335" s="55"/>
      <c r="E335" s="55" t="s">
        <v>1329</v>
      </c>
      <c r="F335" s="55" t="s">
        <v>1330</v>
      </c>
      <c r="G335" s="55">
        <v>1.0</v>
      </c>
      <c r="H335" s="55" t="s">
        <v>119</v>
      </c>
      <c r="I335" s="55" t="s">
        <v>112</v>
      </c>
      <c r="J335" s="56" t="s">
        <v>113</v>
      </c>
      <c r="K335" s="55" t="s">
        <v>1331</v>
      </c>
      <c r="L335" s="55" t="s">
        <v>34</v>
      </c>
      <c r="M335" s="55" t="s">
        <v>115</v>
      </c>
      <c r="N335" s="55" t="s">
        <v>90</v>
      </c>
      <c r="O335" s="55"/>
      <c r="P335" s="55" t="s">
        <v>91</v>
      </c>
      <c r="Q335" s="55" t="s">
        <v>16</v>
      </c>
      <c r="R335" s="55"/>
      <c r="S335" s="55"/>
      <c r="T335" s="55"/>
      <c r="U335" s="55"/>
      <c r="V335" s="55"/>
      <c r="W335" s="55"/>
      <c r="X335" s="57" t="str">
        <f t="shared" si="2"/>
        <v>--328-30-04</v>
      </c>
      <c r="Y335" s="58" t="str">
        <f t="shared" ref="Y335:AC335" si="333">TRIM(SUBSTITUTE(SUBSTITUTE(OFFSET($Q335,0,COLUMN()-COLUMN($AL$1)),CHAR(160)," "),_xludf.UNICHAR(8239)," "))</f>
        <v>#NAME?</v>
      </c>
      <c r="Z335" s="58" t="str">
        <f t="shared" si="333"/>
        <v>#NAME?</v>
      </c>
      <c r="AA335" s="58" t="str">
        <f t="shared" si="333"/>
        <v>#NAME?</v>
      </c>
      <c r="AB335" s="58" t="str">
        <f t="shared" si="333"/>
        <v>#NAME?</v>
      </c>
      <c r="AC335" s="58" t="str">
        <f t="shared" si="333"/>
        <v>#NAME?</v>
      </c>
      <c r="AD335" s="57">
        <f t="shared" si="4"/>
        <v>1</v>
      </c>
      <c r="AE335" s="57" t="str">
        <f t="shared" si="5"/>
        <v>2026-04</v>
      </c>
      <c r="AF335" s="57">
        <f t="shared" si="6"/>
        <v>1</v>
      </c>
      <c r="AG335" s="59">
        <f t="shared" si="7"/>
        <v>1</v>
      </c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</row>
    <row r="336" ht="24.0" customHeight="1">
      <c r="A336" s="53">
        <v>45.0</v>
      </c>
      <c r="B336" s="54" t="s">
        <v>1332</v>
      </c>
      <c r="C336" s="55" t="s">
        <v>1167</v>
      </c>
      <c r="D336" s="55"/>
      <c r="E336" s="55" t="s">
        <v>1333</v>
      </c>
      <c r="F336" s="55" t="s">
        <v>1334</v>
      </c>
      <c r="G336" s="55">
        <v>1.0</v>
      </c>
      <c r="H336" s="55" t="s">
        <v>119</v>
      </c>
      <c r="I336" s="55" t="s">
        <v>112</v>
      </c>
      <c r="J336" s="56" t="s">
        <v>113</v>
      </c>
      <c r="K336" s="55" t="s">
        <v>1331</v>
      </c>
      <c r="L336" s="55" t="s">
        <v>34</v>
      </c>
      <c r="M336" s="55" t="s">
        <v>115</v>
      </c>
      <c r="N336" s="55" t="s">
        <v>90</v>
      </c>
      <c r="O336" s="55"/>
      <c r="P336" s="55" t="s">
        <v>91</v>
      </c>
      <c r="Q336" s="55" t="s">
        <v>16</v>
      </c>
      <c r="R336" s="55"/>
      <c r="S336" s="55"/>
      <c r="T336" s="55"/>
      <c r="U336" s="55"/>
      <c r="V336" s="55"/>
      <c r="W336" s="55"/>
      <c r="X336" s="57" t="str">
        <f t="shared" si="2"/>
        <v>--329-30-04</v>
      </c>
      <c r="Y336" s="58" t="str">
        <f t="shared" ref="Y336:AC336" si="334">TRIM(SUBSTITUTE(SUBSTITUTE(OFFSET($Q336,0,COLUMN()-COLUMN($AL$1)),CHAR(160)," "),_xludf.UNICHAR(8239)," "))</f>
        <v>#NAME?</v>
      </c>
      <c r="Z336" s="58" t="str">
        <f t="shared" si="334"/>
        <v>#NAME?</v>
      </c>
      <c r="AA336" s="58" t="str">
        <f t="shared" si="334"/>
        <v>#NAME?</v>
      </c>
      <c r="AB336" s="58" t="str">
        <f t="shared" si="334"/>
        <v>#NAME?</v>
      </c>
      <c r="AC336" s="58" t="str">
        <f t="shared" si="334"/>
        <v>#NAME?</v>
      </c>
      <c r="AD336" s="57">
        <f t="shared" si="4"/>
        <v>1</v>
      </c>
      <c r="AE336" s="57" t="str">
        <f t="shared" si="5"/>
        <v>2026-04</v>
      </c>
      <c r="AF336" s="57">
        <f t="shared" si="6"/>
        <v>1</v>
      </c>
      <c r="AG336" s="59">
        <f t="shared" si="7"/>
        <v>1</v>
      </c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</row>
    <row r="337" ht="24.0" customHeight="1">
      <c r="A337" s="53">
        <v>46.0</v>
      </c>
      <c r="B337" s="54" t="s">
        <v>1335</v>
      </c>
      <c r="C337" s="55" t="s">
        <v>1167</v>
      </c>
      <c r="D337" s="55"/>
      <c r="E337" s="55" t="s">
        <v>1336</v>
      </c>
      <c r="F337" s="55" t="s">
        <v>1337</v>
      </c>
      <c r="G337" s="55">
        <v>7.0</v>
      </c>
      <c r="H337" s="55" t="s">
        <v>111</v>
      </c>
      <c r="I337" s="55" t="s">
        <v>86</v>
      </c>
      <c r="J337" s="56" t="s">
        <v>87</v>
      </c>
      <c r="K337" s="55" t="s">
        <v>1338</v>
      </c>
      <c r="L337" s="55" t="s">
        <v>34</v>
      </c>
      <c r="M337" s="55" t="s">
        <v>115</v>
      </c>
      <c r="N337" s="55" t="s">
        <v>90</v>
      </c>
      <c r="O337" s="55"/>
      <c r="P337" s="55" t="s">
        <v>91</v>
      </c>
      <c r="Q337" s="55" t="s">
        <v>16</v>
      </c>
      <c r="R337" s="55"/>
      <c r="S337" s="55"/>
      <c r="T337" s="55"/>
      <c r="U337" s="55"/>
      <c r="V337" s="55"/>
      <c r="W337" s="55"/>
      <c r="X337" s="57" t="str">
        <f t="shared" si="2"/>
        <v>--330-30-04</v>
      </c>
      <c r="Y337" s="58" t="str">
        <f t="shared" ref="Y337:AC337" si="335">TRIM(SUBSTITUTE(SUBSTITUTE(OFFSET($Q337,0,COLUMN()-COLUMN($AL$1)),CHAR(160)," "),_xludf.UNICHAR(8239)," "))</f>
        <v>#NAME?</v>
      </c>
      <c r="Z337" s="58" t="str">
        <f t="shared" si="335"/>
        <v>#NAME?</v>
      </c>
      <c r="AA337" s="58" t="str">
        <f t="shared" si="335"/>
        <v>#NAME?</v>
      </c>
      <c r="AB337" s="58" t="str">
        <f t="shared" si="335"/>
        <v>#NAME?</v>
      </c>
      <c r="AC337" s="58" t="str">
        <f t="shared" si="335"/>
        <v>#NAME?</v>
      </c>
      <c r="AD337" s="57">
        <f t="shared" si="4"/>
        <v>1</v>
      </c>
      <c r="AE337" s="57" t="str">
        <f t="shared" si="5"/>
        <v>2026-04</v>
      </c>
      <c r="AF337" s="57">
        <f t="shared" si="6"/>
        <v>1</v>
      </c>
      <c r="AG337" s="59">
        <f t="shared" si="7"/>
        <v>1</v>
      </c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</row>
    <row r="338" ht="24.0" customHeight="1">
      <c r="A338" s="53">
        <v>47.0</v>
      </c>
      <c r="B338" s="54" t="s">
        <v>1339</v>
      </c>
      <c r="C338" s="55" t="s">
        <v>1167</v>
      </c>
      <c r="D338" s="55"/>
      <c r="E338" s="55" t="s">
        <v>1340</v>
      </c>
      <c r="F338" s="55" t="s">
        <v>1341</v>
      </c>
      <c r="G338" s="55">
        <v>34.0</v>
      </c>
      <c r="H338" s="55" t="s">
        <v>85</v>
      </c>
      <c r="I338" s="55" t="s">
        <v>86</v>
      </c>
      <c r="J338" s="56" t="s">
        <v>87</v>
      </c>
      <c r="K338" s="55" t="s">
        <v>1342</v>
      </c>
      <c r="L338" s="55" t="s">
        <v>34</v>
      </c>
      <c r="M338" s="55" t="s">
        <v>89</v>
      </c>
      <c r="N338" s="55" t="s">
        <v>90</v>
      </c>
      <c r="O338" s="55"/>
      <c r="P338" s="55" t="s">
        <v>91</v>
      </c>
      <c r="Q338" s="55" t="s">
        <v>4</v>
      </c>
      <c r="R338" s="55"/>
      <c r="S338" s="55"/>
      <c r="T338" s="55"/>
      <c r="U338" s="55"/>
      <c r="V338" s="55"/>
      <c r="W338" s="55"/>
      <c r="X338" s="57" t="str">
        <f t="shared" si="2"/>
        <v>--331-30-04</v>
      </c>
      <c r="Y338" s="58" t="str">
        <f t="shared" ref="Y338:AC338" si="336">TRIM(SUBSTITUTE(SUBSTITUTE(OFFSET($Q338,0,COLUMN()-COLUMN($AL$1)),CHAR(160)," "),_xludf.UNICHAR(8239)," "))</f>
        <v>#NAME?</v>
      </c>
      <c r="Z338" s="58" t="str">
        <f t="shared" si="336"/>
        <v>#NAME?</v>
      </c>
      <c r="AA338" s="58" t="str">
        <f t="shared" si="336"/>
        <v>#NAME?</v>
      </c>
      <c r="AB338" s="58" t="str">
        <f t="shared" si="336"/>
        <v>#NAME?</v>
      </c>
      <c r="AC338" s="58" t="str">
        <f t="shared" si="336"/>
        <v>#NAME?</v>
      </c>
      <c r="AD338" s="57">
        <f t="shared" si="4"/>
        <v>1</v>
      </c>
      <c r="AE338" s="57" t="str">
        <f t="shared" si="5"/>
        <v>2026-04</v>
      </c>
      <c r="AF338" s="57">
        <f t="shared" si="6"/>
        <v>1</v>
      </c>
      <c r="AG338" s="59">
        <f t="shared" si="7"/>
        <v>1</v>
      </c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</row>
    <row r="339" ht="24.0" customHeight="1">
      <c r="A339" s="53">
        <v>48.0</v>
      </c>
      <c r="B339" s="54" t="s">
        <v>1343</v>
      </c>
      <c r="C339" s="55" t="s">
        <v>1167</v>
      </c>
      <c r="D339" s="55"/>
      <c r="E339" s="55" t="s">
        <v>1344</v>
      </c>
      <c r="F339" s="55" t="s">
        <v>1345</v>
      </c>
      <c r="G339" s="55">
        <v>66.0</v>
      </c>
      <c r="H339" s="55" t="s">
        <v>260</v>
      </c>
      <c r="I339" s="55" t="s">
        <v>86</v>
      </c>
      <c r="J339" s="56" t="s">
        <v>87</v>
      </c>
      <c r="K339" s="55" t="s">
        <v>1346</v>
      </c>
      <c r="L339" s="55" t="s">
        <v>34</v>
      </c>
      <c r="M339" s="55" t="s">
        <v>89</v>
      </c>
      <c r="N339" s="55" t="s">
        <v>90</v>
      </c>
      <c r="O339" s="55"/>
      <c r="P339" s="55" t="s">
        <v>91</v>
      </c>
      <c r="Q339" s="55" t="s">
        <v>4</v>
      </c>
      <c r="R339" s="55"/>
      <c r="S339" s="55"/>
      <c r="T339" s="55"/>
      <c r="U339" s="55"/>
      <c r="V339" s="55"/>
      <c r="W339" s="55"/>
      <c r="X339" s="57" t="str">
        <f t="shared" si="2"/>
        <v>--332-30-04</v>
      </c>
      <c r="Y339" s="58" t="str">
        <f t="shared" ref="Y339:AC339" si="337">TRIM(SUBSTITUTE(SUBSTITUTE(OFFSET($Q339,0,COLUMN()-COLUMN($AL$1)),CHAR(160)," "),_xludf.UNICHAR(8239)," "))</f>
        <v>#NAME?</v>
      </c>
      <c r="Z339" s="58" t="str">
        <f t="shared" si="337"/>
        <v>#NAME?</v>
      </c>
      <c r="AA339" s="58" t="str">
        <f t="shared" si="337"/>
        <v>#NAME?</v>
      </c>
      <c r="AB339" s="58" t="str">
        <f t="shared" si="337"/>
        <v>#NAME?</v>
      </c>
      <c r="AC339" s="58" t="str">
        <f t="shared" si="337"/>
        <v>#NAME?</v>
      </c>
      <c r="AD339" s="57">
        <f t="shared" si="4"/>
        <v>1</v>
      </c>
      <c r="AE339" s="57" t="str">
        <f t="shared" si="5"/>
        <v>2026-04</v>
      </c>
      <c r="AF339" s="57">
        <f t="shared" si="6"/>
        <v>1</v>
      </c>
      <c r="AG339" s="59">
        <f t="shared" si="7"/>
        <v>1</v>
      </c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</row>
    <row r="340" ht="24.0" customHeight="1">
      <c r="A340" s="53">
        <v>49.0</v>
      </c>
      <c r="B340" s="54" t="s">
        <v>1347</v>
      </c>
      <c r="C340" s="55" t="s">
        <v>1167</v>
      </c>
      <c r="D340" s="55"/>
      <c r="E340" s="55" t="s">
        <v>1348</v>
      </c>
      <c r="F340" s="55" t="s">
        <v>1349</v>
      </c>
      <c r="G340" s="55">
        <v>52.0</v>
      </c>
      <c r="H340" s="55" t="s">
        <v>85</v>
      </c>
      <c r="I340" s="55" t="s">
        <v>112</v>
      </c>
      <c r="J340" s="56" t="s">
        <v>113</v>
      </c>
      <c r="K340" s="55" t="s">
        <v>1350</v>
      </c>
      <c r="L340" s="55" t="s">
        <v>34</v>
      </c>
      <c r="M340" s="55" t="s">
        <v>89</v>
      </c>
      <c r="N340" s="55" t="s">
        <v>90</v>
      </c>
      <c r="O340" s="55"/>
      <c r="P340" s="55" t="s">
        <v>91</v>
      </c>
      <c r="Q340" s="55" t="s">
        <v>16</v>
      </c>
      <c r="R340" s="55"/>
      <c r="S340" s="55" t="s">
        <v>6</v>
      </c>
      <c r="T340" s="55"/>
      <c r="U340" s="55"/>
      <c r="V340" s="55"/>
      <c r="W340" s="55"/>
      <c r="X340" s="57" t="str">
        <f t="shared" si="2"/>
        <v>--333-30-04</v>
      </c>
      <c r="Y340" s="58" t="str">
        <f t="shared" ref="Y340:AC340" si="338">TRIM(SUBSTITUTE(SUBSTITUTE(OFFSET($Q340,0,COLUMN()-COLUMN($AL$1)),CHAR(160)," "),_xludf.UNICHAR(8239)," "))</f>
        <v>#NAME?</v>
      </c>
      <c r="Z340" s="58" t="str">
        <f t="shared" si="338"/>
        <v>#NAME?</v>
      </c>
      <c r="AA340" s="58" t="str">
        <f t="shared" si="338"/>
        <v>#NAME?</v>
      </c>
      <c r="AB340" s="58" t="str">
        <f t="shared" si="338"/>
        <v>#NAME?</v>
      </c>
      <c r="AC340" s="58" t="str">
        <f t="shared" si="338"/>
        <v>#NAME?</v>
      </c>
      <c r="AD340" s="57">
        <f t="shared" si="4"/>
        <v>1</v>
      </c>
      <c r="AE340" s="57" t="str">
        <f t="shared" si="5"/>
        <v>2026-04</v>
      </c>
      <c r="AF340" s="57">
        <f t="shared" si="6"/>
        <v>1</v>
      </c>
      <c r="AG340" s="59">
        <f t="shared" si="7"/>
        <v>1</v>
      </c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</row>
    <row r="341" ht="24.0" customHeight="1">
      <c r="A341" s="53">
        <v>50.0</v>
      </c>
      <c r="B341" s="54" t="s">
        <v>1351</v>
      </c>
      <c r="C341" s="55" t="s">
        <v>1167</v>
      </c>
      <c r="D341" s="55"/>
      <c r="E341" s="55" t="s">
        <v>1352</v>
      </c>
      <c r="F341" s="55" t="s">
        <v>1353</v>
      </c>
      <c r="G341" s="55">
        <v>72.0</v>
      </c>
      <c r="H341" s="55" t="s">
        <v>260</v>
      </c>
      <c r="I341" s="55" t="s">
        <v>86</v>
      </c>
      <c r="J341" s="56" t="s">
        <v>87</v>
      </c>
      <c r="K341" s="55" t="s">
        <v>1350</v>
      </c>
      <c r="L341" s="55" t="s">
        <v>34</v>
      </c>
      <c r="M341" s="55" t="s">
        <v>874</v>
      </c>
      <c r="N341" s="55" t="s">
        <v>90</v>
      </c>
      <c r="O341" s="55"/>
      <c r="P341" s="55" t="s">
        <v>91</v>
      </c>
      <c r="Q341" s="55" t="s">
        <v>4</v>
      </c>
      <c r="R341" s="55"/>
      <c r="S341" s="55"/>
      <c r="T341" s="55"/>
      <c r="U341" s="55"/>
      <c r="V341" s="55"/>
      <c r="W341" s="55"/>
      <c r="X341" s="57" t="str">
        <f t="shared" si="2"/>
        <v>--334-30-04</v>
      </c>
      <c r="Y341" s="58" t="str">
        <f t="shared" ref="Y341:AC341" si="339">TRIM(SUBSTITUTE(SUBSTITUTE(OFFSET($Q341,0,COLUMN()-COLUMN($AL$1)),CHAR(160)," "),_xludf.UNICHAR(8239)," "))</f>
        <v>#NAME?</v>
      </c>
      <c r="Z341" s="58" t="str">
        <f t="shared" si="339"/>
        <v>#NAME?</v>
      </c>
      <c r="AA341" s="58" t="str">
        <f t="shared" si="339"/>
        <v>#NAME?</v>
      </c>
      <c r="AB341" s="58" t="str">
        <f t="shared" si="339"/>
        <v>#NAME?</v>
      </c>
      <c r="AC341" s="58" t="str">
        <f t="shared" si="339"/>
        <v>#NAME?</v>
      </c>
      <c r="AD341" s="57">
        <f t="shared" si="4"/>
        <v>1</v>
      </c>
      <c r="AE341" s="57" t="str">
        <f t="shared" si="5"/>
        <v>2026-04</v>
      </c>
      <c r="AF341" s="57">
        <f t="shared" si="6"/>
        <v>1</v>
      </c>
      <c r="AG341" s="59">
        <f t="shared" si="7"/>
        <v>1</v>
      </c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</row>
    <row r="342" ht="24.0" customHeight="1">
      <c r="A342" s="53">
        <v>51.0</v>
      </c>
      <c r="B342" s="54" t="s">
        <v>1354</v>
      </c>
      <c r="C342" s="55" t="s">
        <v>1167</v>
      </c>
      <c r="D342" s="55"/>
      <c r="E342" s="55" t="s">
        <v>1355</v>
      </c>
      <c r="F342" s="55" t="s">
        <v>1356</v>
      </c>
      <c r="G342" s="55">
        <v>50.0</v>
      </c>
      <c r="H342" s="55" t="s">
        <v>85</v>
      </c>
      <c r="I342" s="55" t="s">
        <v>86</v>
      </c>
      <c r="J342" s="56" t="s">
        <v>87</v>
      </c>
      <c r="K342" s="55" t="s">
        <v>1357</v>
      </c>
      <c r="L342" s="55"/>
      <c r="M342" s="55" t="s">
        <v>89</v>
      </c>
      <c r="N342" s="55" t="s">
        <v>90</v>
      </c>
      <c r="O342" s="55"/>
      <c r="P342" s="55" t="s">
        <v>91</v>
      </c>
      <c r="Q342" s="55" t="s">
        <v>4</v>
      </c>
      <c r="R342" s="55"/>
      <c r="S342" s="55"/>
      <c r="T342" s="55"/>
      <c r="U342" s="55"/>
      <c r="V342" s="55"/>
      <c r="W342" s="55"/>
      <c r="X342" s="57" t="str">
        <f t="shared" si="2"/>
        <v>--335-30-04</v>
      </c>
      <c r="Y342" s="58" t="str">
        <f t="shared" ref="Y342:AC342" si="340">TRIM(SUBSTITUTE(SUBSTITUTE(OFFSET($Q342,0,COLUMN()-COLUMN($AL$1)),CHAR(160)," "),_xludf.UNICHAR(8239)," "))</f>
        <v>#NAME?</v>
      </c>
      <c r="Z342" s="58" t="str">
        <f t="shared" si="340"/>
        <v>#NAME?</v>
      </c>
      <c r="AA342" s="58" t="str">
        <f t="shared" si="340"/>
        <v>#NAME?</v>
      </c>
      <c r="AB342" s="58" t="str">
        <f t="shared" si="340"/>
        <v>#NAME?</v>
      </c>
      <c r="AC342" s="58" t="str">
        <f t="shared" si="340"/>
        <v>#NAME?</v>
      </c>
      <c r="AD342" s="57">
        <f t="shared" si="4"/>
        <v>1</v>
      </c>
      <c r="AE342" s="57" t="str">
        <f t="shared" si="5"/>
        <v>2026-04</v>
      </c>
      <c r="AF342" s="57">
        <f t="shared" si="6"/>
        <v>1</v>
      </c>
      <c r="AG342" s="59">
        <f t="shared" si="7"/>
        <v>1</v>
      </c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</row>
    <row r="343" ht="24.0" customHeight="1">
      <c r="A343" s="53">
        <v>52.0</v>
      </c>
      <c r="B343" s="54" t="s">
        <v>1358</v>
      </c>
      <c r="C343" s="55" t="s">
        <v>1167</v>
      </c>
      <c r="D343" s="55"/>
      <c r="E343" s="55" t="s">
        <v>1359</v>
      </c>
      <c r="F343" s="55" t="s">
        <v>1360</v>
      </c>
      <c r="G343" s="55">
        <v>8.0</v>
      </c>
      <c r="H343" s="55" t="s">
        <v>111</v>
      </c>
      <c r="I343" s="55" t="s">
        <v>86</v>
      </c>
      <c r="J343" s="56" t="s">
        <v>87</v>
      </c>
      <c r="K343" s="55" t="s">
        <v>1304</v>
      </c>
      <c r="L343" s="55" t="s">
        <v>34</v>
      </c>
      <c r="M343" s="55" t="s">
        <v>115</v>
      </c>
      <c r="N343" s="55" t="s">
        <v>90</v>
      </c>
      <c r="O343" s="55"/>
      <c r="P343" s="55" t="s">
        <v>91</v>
      </c>
      <c r="Q343" s="55" t="s">
        <v>16</v>
      </c>
      <c r="R343" s="55"/>
      <c r="S343" s="55"/>
      <c r="T343" s="55"/>
      <c r="U343" s="55"/>
      <c r="V343" s="55"/>
      <c r="W343" s="55"/>
      <c r="X343" s="57" t="str">
        <f t="shared" si="2"/>
        <v>--336-30-04</v>
      </c>
      <c r="Y343" s="58" t="str">
        <f t="shared" ref="Y343:AC343" si="341">TRIM(SUBSTITUTE(SUBSTITUTE(OFFSET($Q343,0,COLUMN()-COLUMN($AL$1)),CHAR(160)," "),_xludf.UNICHAR(8239)," "))</f>
        <v>#NAME?</v>
      </c>
      <c r="Z343" s="58" t="str">
        <f t="shared" si="341"/>
        <v>#NAME?</v>
      </c>
      <c r="AA343" s="58" t="str">
        <f t="shared" si="341"/>
        <v>#NAME?</v>
      </c>
      <c r="AB343" s="58" t="str">
        <f t="shared" si="341"/>
        <v>#NAME?</v>
      </c>
      <c r="AC343" s="58" t="str">
        <f t="shared" si="341"/>
        <v>#NAME?</v>
      </c>
      <c r="AD343" s="57">
        <f t="shared" si="4"/>
        <v>1</v>
      </c>
      <c r="AE343" s="57" t="str">
        <f t="shared" si="5"/>
        <v>2026-04</v>
      </c>
      <c r="AF343" s="57">
        <f t="shared" si="6"/>
        <v>1</v>
      </c>
      <c r="AG343" s="59">
        <f t="shared" si="7"/>
        <v>1</v>
      </c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</row>
    <row r="344" ht="24.0" customHeight="1">
      <c r="A344" s="53">
        <v>53.0</v>
      </c>
      <c r="B344" s="54" t="s">
        <v>1361</v>
      </c>
      <c r="C344" s="55" t="s">
        <v>1167</v>
      </c>
      <c r="D344" s="55"/>
      <c r="E344" s="55" t="s">
        <v>1362</v>
      </c>
      <c r="F344" s="55" t="s">
        <v>1363</v>
      </c>
      <c r="G344" s="55">
        <v>40.0</v>
      </c>
      <c r="H344" s="55" t="s">
        <v>85</v>
      </c>
      <c r="I344" s="55" t="s">
        <v>86</v>
      </c>
      <c r="J344" s="56" t="s">
        <v>87</v>
      </c>
      <c r="K344" s="55" t="s">
        <v>1364</v>
      </c>
      <c r="L344" s="55" t="s">
        <v>34</v>
      </c>
      <c r="M344" s="55" t="s">
        <v>89</v>
      </c>
      <c r="N344" s="55" t="s">
        <v>90</v>
      </c>
      <c r="O344" s="55"/>
      <c r="P344" s="55" t="s">
        <v>91</v>
      </c>
      <c r="Q344" s="55" t="s">
        <v>4</v>
      </c>
      <c r="R344" s="55"/>
      <c r="S344" s="55"/>
      <c r="T344" s="55"/>
      <c r="U344" s="55"/>
      <c r="V344" s="55"/>
      <c r="W344" s="55"/>
      <c r="X344" s="57" t="str">
        <f t="shared" si="2"/>
        <v>--337-30-04</v>
      </c>
      <c r="Y344" s="58" t="str">
        <f t="shared" ref="Y344:AC344" si="342">TRIM(SUBSTITUTE(SUBSTITUTE(OFFSET($Q344,0,COLUMN()-COLUMN($AL$1)),CHAR(160)," "),_xludf.UNICHAR(8239)," "))</f>
        <v>#NAME?</v>
      </c>
      <c r="Z344" s="58" t="str">
        <f t="shared" si="342"/>
        <v>#NAME?</v>
      </c>
      <c r="AA344" s="58" t="str">
        <f t="shared" si="342"/>
        <v>#NAME?</v>
      </c>
      <c r="AB344" s="58" t="str">
        <f t="shared" si="342"/>
        <v>#NAME?</v>
      </c>
      <c r="AC344" s="58" t="str">
        <f t="shared" si="342"/>
        <v>#NAME?</v>
      </c>
      <c r="AD344" s="57">
        <f t="shared" si="4"/>
        <v>1</v>
      </c>
      <c r="AE344" s="57" t="str">
        <f t="shared" si="5"/>
        <v>2026-04</v>
      </c>
      <c r="AF344" s="57">
        <f t="shared" si="6"/>
        <v>1</v>
      </c>
      <c r="AG344" s="59">
        <f t="shared" si="7"/>
        <v>1</v>
      </c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</row>
    <row r="345" ht="24.0" customHeight="1">
      <c r="A345" s="53">
        <v>54.0</v>
      </c>
      <c r="B345" s="54" t="s">
        <v>1365</v>
      </c>
      <c r="C345" s="55" t="s">
        <v>1167</v>
      </c>
      <c r="D345" s="55"/>
      <c r="E345" s="55" t="s">
        <v>1366</v>
      </c>
      <c r="F345" s="55" t="s">
        <v>1367</v>
      </c>
      <c r="G345" s="55">
        <v>9.0</v>
      </c>
      <c r="H345" s="55" t="s">
        <v>111</v>
      </c>
      <c r="I345" s="55" t="s">
        <v>112</v>
      </c>
      <c r="J345" s="56" t="s">
        <v>113</v>
      </c>
      <c r="K345" s="55" t="s">
        <v>1364</v>
      </c>
      <c r="L345" s="55" t="s">
        <v>34</v>
      </c>
      <c r="M345" s="55" t="s">
        <v>115</v>
      </c>
      <c r="N345" s="55" t="s">
        <v>90</v>
      </c>
      <c r="O345" s="55"/>
      <c r="P345" s="55" t="s">
        <v>91</v>
      </c>
      <c r="Q345" s="55" t="s">
        <v>16</v>
      </c>
      <c r="R345" s="55"/>
      <c r="S345" s="55"/>
      <c r="T345" s="55"/>
      <c r="U345" s="55"/>
      <c r="V345" s="55"/>
      <c r="W345" s="55"/>
      <c r="X345" s="57" t="str">
        <f t="shared" si="2"/>
        <v>--338-30-04</v>
      </c>
      <c r="Y345" s="58" t="str">
        <f t="shared" ref="Y345:AC345" si="343">TRIM(SUBSTITUTE(SUBSTITUTE(OFFSET($Q345,0,COLUMN()-COLUMN($AL$1)),CHAR(160)," "),_xludf.UNICHAR(8239)," "))</f>
        <v>#NAME?</v>
      </c>
      <c r="Z345" s="58" t="str">
        <f t="shared" si="343"/>
        <v>#NAME?</v>
      </c>
      <c r="AA345" s="58" t="str">
        <f t="shared" si="343"/>
        <v>#NAME?</v>
      </c>
      <c r="AB345" s="58" t="str">
        <f t="shared" si="343"/>
        <v>#NAME?</v>
      </c>
      <c r="AC345" s="58" t="str">
        <f t="shared" si="343"/>
        <v>#NAME?</v>
      </c>
      <c r="AD345" s="57">
        <f t="shared" si="4"/>
        <v>1</v>
      </c>
      <c r="AE345" s="57" t="str">
        <f t="shared" si="5"/>
        <v>2026-04</v>
      </c>
      <c r="AF345" s="57">
        <f t="shared" si="6"/>
        <v>1</v>
      </c>
      <c r="AG345" s="59">
        <f t="shared" si="7"/>
        <v>1</v>
      </c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</row>
    <row r="346" ht="24.0" customHeight="1">
      <c r="A346" s="53">
        <v>55.0</v>
      </c>
      <c r="B346" s="54" t="s">
        <v>1368</v>
      </c>
      <c r="C346" s="55" t="s">
        <v>1167</v>
      </c>
      <c r="D346" s="55"/>
      <c r="E346" s="55" t="s">
        <v>1369</v>
      </c>
      <c r="F346" s="55" t="s">
        <v>1370</v>
      </c>
      <c r="G346" s="55">
        <v>1.0</v>
      </c>
      <c r="H346" s="55" t="s">
        <v>119</v>
      </c>
      <c r="I346" s="55" t="s">
        <v>112</v>
      </c>
      <c r="J346" s="56" t="s">
        <v>113</v>
      </c>
      <c r="K346" s="55" t="s">
        <v>344</v>
      </c>
      <c r="L346" s="55" t="s">
        <v>34</v>
      </c>
      <c r="M346" s="55" t="s">
        <v>115</v>
      </c>
      <c r="N346" s="55" t="s">
        <v>90</v>
      </c>
      <c r="O346" s="55"/>
      <c r="P346" s="55" t="s">
        <v>91</v>
      </c>
      <c r="Q346" s="55" t="s">
        <v>16</v>
      </c>
      <c r="R346" s="55"/>
      <c r="S346" s="55"/>
      <c r="T346" s="55"/>
      <c r="U346" s="55"/>
      <c r="V346" s="55"/>
      <c r="W346" s="55"/>
      <c r="X346" s="57" t="str">
        <f t="shared" si="2"/>
        <v>--339-30-04</v>
      </c>
      <c r="Y346" s="58" t="str">
        <f t="shared" ref="Y346:AC346" si="344">TRIM(SUBSTITUTE(SUBSTITUTE(OFFSET($Q346,0,COLUMN()-COLUMN($AL$1)),CHAR(160)," "),_xludf.UNICHAR(8239)," "))</f>
        <v>#NAME?</v>
      </c>
      <c r="Z346" s="58" t="str">
        <f t="shared" si="344"/>
        <v>#NAME?</v>
      </c>
      <c r="AA346" s="58" t="str">
        <f t="shared" si="344"/>
        <v>#NAME?</v>
      </c>
      <c r="AB346" s="58" t="str">
        <f t="shared" si="344"/>
        <v>#NAME?</v>
      </c>
      <c r="AC346" s="58" t="str">
        <f t="shared" si="344"/>
        <v>#NAME?</v>
      </c>
      <c r="AD346" s="57">
        <f t="shared" si="4"/>
        <v>1</v>
      </c>
      <c r="AE346" s="57" t="str">
        <f t="shared" si="5"/>
        <v>2026-04</v>
      </c>
      <c r="AF346" s="57">
        <f t="shared" si="6"/>
        <v>1</v>
      </c>
      <c r="AG346" s="59">
        <f t="shared" si="7"/>
        <v>1</v>
      </c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</row>
    <row r="347" ht="24.0" customHeight="1">
      <c r="A347" s="53">
        <v>56.0</v>
      </c>
      <c r="B347" s="54" t="s">
        <v>1371</v>
      </c>
      <c r="C347" s="55" t="s">
        <v>1167</v>
      </c>
      <c r="D347" s="55"/>
      <c r="E347" s="55" t="s">
        <v>1372</v>
      </c>
      <c r="F347" s="55" t="s">
        <v>1373</v>
      </c>
      <c r="G347" s="55">
        <v>3.0</v>
      </c>
      <c r="H347" s="55" t="s">
        <v>119</v>
      </c>
      <c r="I347" s="55" t="s">
        <v>86</v>
      </c>
      <c r="J347" s="56" t="s">
        <v>87</v>
      </c>
      <c r="K347" s="55" t="s">
        <v>1374</v>
      </c>
      <c r="L347" s="55" t="s">
        <v>34</v>
      </c>
      <c r="M347" s="55" t="s">
        <v>115</v>
      </c>
      <c r="N347" s="55" t="s">
        <v>90</v>
      </c>
      <c r="O347" s="55"/>
      <c r="P347" s="55" t="s">
        <v>91</v>
      </c>
      <c r="Q347" s="55" t="s">
        <v>16</v>
      </c>
      <c r="R347" s="55"/>
      <c r="S347" s="55"/>
      <c r="T347" s="55"/>
      <c r="U347" s="55"/>
      <c r="V347" s="55"/>
      <c r="W347" s="55"/>
      <c r="X347" s="57" t="str">
        <f t="shared" si="2"/>
        <v>--340-30-04</v>
      </c>
      <c r="Y347" s="58" t="str">
        <f t="shared" ref="Y347:AC347" si="345">TRIM(SUBSTITUTE(SUBSTITUTE(OFFSET($Q347,0,COLUMN()-COLUMN($AL$1)),CHAR(160)," "),_xludf.UNICHAR(8239)," "))</f>
        <v>#NAME?</v>
      </c>
      <c r="Z347" s="58" t="str">
        <f t="shared" si="345"/>
        <v>#NAME?</v>
      </c>
      <c r="AA347" s="58" t="str">
        <f t="shared" si="345"/>
        <v>#NAME?</v>
      </c>
      <c r="AB347" s="58" t="str">
        <f t="shared" si="345"/>
        <v>#NAME?</v>
      </c>
      <c r="AC347" s="58" t="str">
        <f t="shared" si="345"/>
        <v>#NAME?</v>
      </c>
      <c r="AD347" s="57">
        <f t="shared" si="4"/>
        <v>1</v>
      </c>
      <c r="AE347" s="57" t="str">
        <f t="shared" si="5"/>
        <v>2026-04</v>
      </c>
      <c r="AF347" s="57">
        <f t="shared" si="6"/>
        <v>1</v>
      </c>
      <c r="AG347" s="59">
        <f t="shared" si="7"/>
        <v>1</v>
      </c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</row>
    <row r="348" ht="24.0" customHeight="1">
      <c r="A348" s="53">
        <v>57.0</v>
      </c>
      <c r="B348" s="54" t="s">
        <v>1375</v>
      </c>
      <c r="C348" s="55" t="s">
        <v>1167</v>
      </c>
      <c r="D348" s="55"/>
      <c r="E348" s="55" t="s">
        <v>1376</v>
      </c>
      <c r="F348" s="55" t="s">
        <v>1377</v>
      </c>
      <c r="G348" s="55">
        <v>74.0</v>
      </c>
      <c r="H348" s="55" t="s">
        <v>260</v>
      </c>
      <c r="I348" s="55" t="s">
        <v>112</v>
      </c>
      <c r="J348" s="56" t="s">
        <v>113</v>
      </c>
      <c r="K348" s="55" t="s">
        <v>1378</v>
      </c>
      <c r="L348" s="55" t="s">
        <v>34</v>
      </c>
      <c r="M348" s="55" t="s">
        <v>89</v>
      </c>
      <c r="N348" s="55" t="s">
        <v>90</v>
      </c>
      <c r="O348" s="55"/>
      <c r="P348" s="55" t="s">
        <v>91</v>
      </c>
      <c r="Q348" s="55" t="s">
        <v>16</v>
      </c>
      <c r="R348" s="55"/>
      <c r="S348" s="55"/>
      <c r="T348" s="55"/>
      <c r="U348" s="55"/>
      <c r="V348" s="55"/>
      <c r="W348" s="55"/>
      <c r="X348" s="57" t="str">
        <f t="shared" si="2"/>
        <v>--341-30-04</v>
      </c>
      <c r="Y348" s="58" t="str">
        <f t="shared" ref="Y348:AC348" si="346">TRIM(SUBSTITUTE(SUBSTITUTE(OFFSET($Q348,0,COLUMN()-COLUMN($AL$1)),CHAR(160)," "),_xludf.UNICHAR(8239)," "))</f>
        <v>#NAME?</v>
      </c>
      <c r="Z348" s="58" t="str">
        <f t="shared" si="346"/>
        <v>#NAME?</v>
      </c>
      <c r="AA348" s="58" t="str">
        <f t="shared" si="346"/>
        <v>#NAME?</v>
      </c>
      <c r="AB348" s="58" t="str">
        <f t="shared" si="346"/>
        <v>#NAME?</v>
      </c>
      <c r="AC348" s="58" t="str">
        <f t="shared" si="346"/>
        <v>#NAME?</v>
      </c>
      <c r="AD348" s="57">
        <f t="shared" si="4"/>
        <v>1</v>
      </c>
      <c r="AE348" s="57" t="str">
        <f t="shared" si="5"/>
        <v>2026-04</v>
      </c>
      <c r="AF348" s="57">
        <f t="shared" si="6"/>
        <v>1</v>
      </c>
      <c r="AG348" s="59">
        <f t="shared" si="7"/>
        <v>1</v>
      </c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</row>
    <row r="349" ht="24.0" customHeight="1">
      <c r="A349" s="53">
        <v>58.0</v>
      </c>
      <c r="B349" s="54" t="s">
        <v>1379</v>
      </c>
      <c r="C349" s="55" t="s">
        <v>1167</v>
      </c>
      <c r="D349" s="55"/>
      <c r="E349" s="55" t="s">
        <v>1380</v>
      </c>
      <c r="F349" s="55" t="s">
        <v>1381</v>
      </c>
      <c r="G349" s="55">
        <v>47.0</v>
      </c>
      <c r="H349" s="55" t="s">
        <v>85</v>
      </c>
      <c r="I349" s="55" t="s">
        <v>112</v>
      </c>
      <c r="J349" s="56" t="s">
        <v>113</v>
      </c>
      <c r="K349" s="55" t="s">
        <v>784</v>
      </c>
      <c r="L349" s="55" t="s">
        <v>34</v>
      </c>
      <c r="M349" s="55" t="s">
        <v>89</v>
      </c>
      <c r="N349" s="55" t="s">
        <v>90</v>
      </c>
      <c r="O349" s="55"/>
      <c r="P349" s="55" t="s">
        <v>91</v>
      </c>
      <c r="Q349" s="55" t="s">
        <v>16</v>
      </c>
      <c r="R349" s="55"/>
      <c r="S349" s="55"/>
      <c r="T349" s="55"/>
      <c r="U349" s="55"/>
      <c r="V349" s="55"/>
      <c r="W349" s="55"/>
      <c r="X349" s="57" t="str">
        <f t="shared" si="2"/>
        <v>--342-30-04</v>
      </c>
      <c r="Y349" s="58" t="str">
        <f t="shared" ref="Y349:AC349" si="347">TRIM(SUBSTITUTE(SUBSTITUTE(OFFSET($Q349,0,COLUMN()-COLUMN($AL$1)),CHAR(160)," "),_xludf.UNICHAR(8239)," "))</f>
        <v>#NAME?</v>
      </c>
      <c r="Z349" s="58" t="str">
        <f t="shared" si="347"/>
        <v>#NAME?</v>
      </c>
      <c r="AA349" s="58" t="str">
        <f t="shared" si="347"/>
        <v>#NAME?</v>
      </c>
      <c r="AB349" s="58" t="str">
        <f t="shared" si="347"/>
        <v>#NAME?</v>
      </c>
      <c r="AC349" s="58" t="str">
        <f t="shared" si="347"/>
        <v>#NAME?</v>
      </c>
      <c r="AD349" s="57">
        <f t="shared" si="4"/>
        <v>1</v>
      </c>
      <c r="AE349" s="57" t="str">
        <f t="shared" si="5"/>
        <v>2026-04</v>
      </c>
      <c r="AF349" s="57">
        <f t="shared" si="6"/>
        <v>1</v>
      </c>
      <c r="AG349" s="59">
        <f t="shared" si="7"/>
        <v>1</v>
      </c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</row>
    <row r="350" ht="24.0" customHeight="1">
      <c r="A350" s="53">
        <v>59.0</v>
      </c>
      <c r="B350" s="54" t="s">
        <v>1382</v>
      </c>
      <c r="C350" s="55" t="s">
        <v>1167</v>
      </c>
      <c r="D350" s="55"/>
      <c r="E350" s="55" t="s">
        <v>1383</v>
      </c>
      <c r="F350" s="55" t="s">
        <v>1384</v>
      </c>
      <c r="G350" s="55">
        <v>39.0</v>
      </c>
      <c r="H350" s="55" t="s">
        <v>85</v>
      </c>
      <c r="I350" s="55" t="s">
        <v>86</v>
      </c>
      <c r="J350" s="56" t="s">
        <v>87</v>
      </c>
      <c r="K350" s="55" t="s">
        <v>784</v>
      </c>
      <c r="L350" s="55" t="s">
        <v>34</v>
      </c>
      <c r="M350" s="55" t="s">
        <v>89</v>
      </c>
      <c r="N350" s="55" t="s">
        <v>90</v>
      </c>
      <c r="O350" s="55"/>
      <c r="P350" s="55" t="s">
        <v>91</v>
      </c>
      <c r="Q350" s="55" t="s">
        <v>16</v>
      </c>
      <c r="R350" s="55"/>
      <c r="S350" s="55"/>
      <c r="T350" s="55"/>
      <c r="U350" s="55"/>
      <c r="V350" s="55"/>
      <c r="W350" s="55"/>
      <c r="X350" s="57" t="str">
        <f t="shared" si="2"/>
        <v>--343-30-04</v>
      </c>
      <c r="Y350" s="58" t="str">
        <f t="shared" ref="Y350:AC350" si="348">TRIM(SUBSTITUTE(SUBSTITUTE(OFFSET($Q350,0,COLUMN()-COLUMN($AL$1)),CHAR(160)," "),_xludf.UNICHAR(8239)," "))</f>
        <v>#NAME?</v>
      </c>
      <c r="Z350" s="58" t="str">
        <f t="shared" si="348"/>
        <v>#NAME?</v>
      </c>
      <c r="AA350" s="58" t="str">
        <f t="shared" si="348"/>
        <v>#NAME?</v>
      </c>
      <c r="AB350" s="58" t="str">
        <f t="shared" si="348"/>
        <v>#NAME?</v>
      </c>
      <c r="AC350" s="58" t="str">
        <f t="shared" si="348"/>
        <v>#NAME?</v>
      </c>
      <c r="AD350" s="57">
        <f t="shared" si="4"/>
        <v>1</v>
      </c>
      <c r="AE350" s="57" t="str">
        <f t="shared" si="5"/>
        <v>2026-04</v>
      </c>
      <c r="AF350" s="57">
        <f t="shared" si="6"/>
        <v>1</v>
      </c>
      <c r="AG350" s="59">
        <f t="shared" si="7"/>
        <v>1</v>
      </c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</row>
    <row r="351" ht="24.0" customHeight="1">
      <c r="A351" s="53">
        <v>60.0</v>
      </c>
      <c r="B351" s="54" t="s">
        <v>1385</v>
      </c>
      <c r="C351" s="55" t="s">
        <v>1167</v>
      </c>
      <c r="D351" s="55"/>
      <c r="E351" s="55" t="s">
        <v>1386</v>
      </c>
      <c r="F351" s="55" t="s">
        <v>1387</v>
      </c>
      <c r="G351" s="55">
        <v>18.0</v>
      </c>
      <c r="H351" s="55" t="s">
        <v>111</v>
      </c>
      <c r="I351" s="55" t="s">
        <v>112</v>
      </c>
      <c r="J351" s="56" t="s">
        <v>113</v>
      </c>
      <c r="K351" s="55" t="s">
        <v>1388</v>
      </c>
      <c r="L351" s="55" t="s">
        <v>34</v>
      </c>
      <c r="M351" s="55" t="s">
        <v>133</v>
      </c>
      <c r="N351" s="55" t="s">
        <v>90</v>
      </c>
      <c r="O351" s="55"/>
      <c r="P351" s="55" t="s">
        <v>91</v>
      </c>
      <c r="Q351" s="55" t="s">
        <v>16</v>
      </c>
      <c r="R351" s="55"/>
      <c r="S351" s="55"/>
      <c r="T351" s="55"/>
      <c r="U351" s="55"/>
      <c r="V351" s="55"/>
      <c r="W351" s="55"/>
      <c r="X351" s="57" t="str">
        <f t="shared" si="2"/>
        <v>--344-30-04</v>
      </c>
      <c r="Y351" s="58" t="str">
        <f t="shared" ref="Y351:AC351" si="349">TRIM(SUBSTITUTE(SUBSTITUTE(OFFSET($Q351,0,COLUMN()-COLUMN($AL$1)),CHAR(160)," "),_xludf.UNICHAR(8239)," "))</f>
        <v>#NAME?</v>
      </c>
      <c r="Z351" s="58" t="str">
        <f t="shared" si="349"/>
        <v>#NAME?</v>
      </c>
      <c r="AA351" s="58" t="str">
        <f t="shared" si="349"/>
        <v>#NAME?</v>
      </c>
      <c r="AB351" s="58" t="str">
        <f t="shared" si="349"/>
        <v>#NAME?</v>
      </c>
      <c r="AC351" s="58" t="str">
        <f t="shared" si="349"/>
        <v>#NAME?</v>
      </c>
      <c r="AD351" s="57">
        <f t="shared" si="4"/>
        <v>1</v>
      </c>
      <c r="AE351" s="57" t="str">
        <f t="shared" si="5"/>
        <v>2026-04</v>
      </c>
      <c r="AF351" s="57">
        <f t="shared" si="6"/>
        <v>1</v>
      </c>
      <c r="AG351" s="59">
        <f t="shared" si="7"/>
        <v>1</v>
      </c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</row>
    <row r="352" ht="24.0" customHeight="1">
      <c r="A352" s="53">
        <v>61.0</v>
      </c>
      <c r="B352" s="54" t="s">
        <v>1389</v>
      </c>
      <c r="C352" s="55" t="s">
        <v>1167</v>
      </c>
      <c r="D352" s="55"/>
      <c r="E352" s="55" t="s">
        <v>1390</v>
      </c>
      <c r="F352" s="55" t="s">
        <v>1391</v>
      </c>
      <c r="G352" s="55">
        <v>20.0</v>
      </c>
      <c r="H352" s="55" t="s">
        <v>85</v>
      </c>
      <c r="I352" s="55" t="s">
        <v>86</v>
      </c>
      <c r="J352" s="56" t="s">
        <v>87</v>
      </c>
      <c r="K352" s="55" t="s">
        <v>1392</v>
      </c>
      <c r="L352" s="55" t="s">
        <v>34</v>
      </c>
      <c r="M352" s="55" t="s">
        <v>89</v>
      </c>
      <c r="N352" s="55" t="s">
        <v>90</v>
      </c>
      <c r="O352" s="55"/>
      <c r="P352" s="55" t="s">
        <v>91</v>
      </c>
      <c r="Q352" s="55" t="s">
        <v>4</v>
      </c>
      <c r="R352" s="55"/>
      <c r="S352" s="55"/>
      <c r="T352" s="55"/>
      <c r="U352" s="55"/>
      <c r="V352" s="55"/>
      <c r="W352" s="55"/>
      <c r="X352" s="57" t="str">
        <f t="shared" si="2"/>
        <v>--345-30-04</v>
      </c>
      <c r="Y352" s="58" t="str">
        <f t="shared" ref="Y352:AC352" si="350">TRIM(SUBSTITUTE(SUBSTITUTE(OFFSET($Q352,0,COLUMN()-COLUMN($AL$1)),CHAR(160)," "),_xludf.UNICHAR(8239)," "))</f>
        <v>#NAME?</v>
      </c>
      <c r="Z352" s="58" t="str">
        <f t="shared" si="350"/>
        <v>#NAME?</v>
      </c>
      <c r="AA352" s="58" t="str">
        <f t="shared" si="350"/>
        <v>#NAME?</v>
      </c>
      <c r="AB352" s="58" t="str">
        <f t="shared" si="350"/>
        <v>#NAME?</v>
      </c>
      <c r="AC352" s="58" t="str">
        <f t="shared" si="350"/>
        <v>#NAME?</v>
      </c>
      <c r="AD352" s="57">
        <f t="shared" si="4"/>
        <v>1</v>
      </c>
      <c r="AE352" s="57" t="str">
        <f t="shared" si="5"/>
        <v>2026-04</v>
      </c>
      <c r="AF352" s="57">
        <f t="shared" si="6"/>
        <v>1</v>
      </c>
      <c r="AG352" s="59">
        <f t="shared" si="7"/>
        <v>1</v>
      </c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</row>
    <row r="353" ht="24.0" customHeight="1">
      <c r="A353" s="53">
        <v>62.0</v>
      </c>
      <c r="B353" s="54" t="s">
        <v>1393</v>
      </c>
      <c r="C353" s="55" t="s">
        <v>1167</v>
      </c>
      <c r="D353" s="55"/>
      <c r="E353" s="55" t="s">
        <v>1394</v>
      </c>
      <c r="F353" s="55" t="s">
        <v>1395</v>
      </c>
      <c r="G353" s="55">
        <v>1.0</v>
      </c>
      <c r="H353" s="55" t="s">
        <v>119</v>
      </c>
      <c r="I353" s="55" t="s">
        <v>112</v>
      </c>
      <c r="J353" s="56" t="s">
        <v>113</v>
      </c>
      <c r="K353" s="55" t="s">
        <v>1392</v>
      </c>
      <c r="L353" s="55" t="s">
        <v>34</v>
      </c>
      <c r="M353" s="55" t="s">
        <v>115</v>
      </c>
      <c r="N353" s="55" t="s">
        <v>90</v>
      </c>
      <c r="O353" s="55"/>
      <c r="P353" s="55" t="s">
        <v>91</v>
      </c>
      <c r="Q353" s="55" t="s">
        <v>16</v>
      </c>
      <c r="R353" s="55"/>
      <c r="S353" s="55"/>
      <c r="T353" s="55"/>
      <c r="U353" s="55"/>
      <c r="V353" s="55"/>
      <c r="W353" s="55"/>
      <c r="X353" s="57" t="str">
        <f t="shared" si="2"/>
        <v>--346-30-04</v>
      </c>
      <c r="Y353" s="58" t="str">
        <f t="shared" ref="Y353:AC353" si="351">TRIM(SUBSTITUTE(SUBSTITUTE(OFFSET($Q353,0,COLUMN()-COLUMN($AL$1)),CHAR(160)," "),_xludf.UNICHAR(8239)," "))</f>
        <v>#NAME?</v>
      </c>
      <c r="Z353" s="58" t="str">
        <f t="shared" si="351"/>
        <v>#NAME?</v>
      </c>
      <c r="AA353" s="58" t="str">
        <f t="shared" si="351"/>
        <v>#NAME?</v>
      </c>
      <c r="AB353" s="58" t="str">
        <f t="shared" si="351"/>
        <v>#NAME?</v>
      </c>
      <c r="AC353" s="58" t="str">
        <f t="shared" si="351"/>
        <v>#NAME?</v>
      </c>
      <c r="AD353" s="57">
        <f t="shared" si="4"/>
        <v>1</v>
      </c>
      <c r="AE353" s="57" t="str">
        <f t="shared" si="5"/>
        <v>2026-04</v>
      </c>
      <c r="AF353" s="57">
        <f t="shared" si="6"/>
        <v>1</v>
      </c>
      <c r="AG353" s="59">
        <f t="shared" si="7"/>
        <v>1</v>
      </c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</row>
    <row r="354" ht="24.0" customHeight="1">
      <c r="A354" s="53">
        <v>63.0</v>
      </c>
      <c r="B354" s="54" t="s">
        <v>1396</v>
      </c>
      <c r="C354" s="55" t="s">
        <v>1167</v>
      </c>
      <c r="D354" s="55"/>
      <c r="E354" s="55" t="s">
        <v>1397</v>
      </c>
      <c r="F354" s="55" t="s">
        <v>1398</v>
      </c>
      <c r="G354" s="55">
        <v>69.0</v>
      </c>
      <c r="H354" s="55" t="s">
        <v>260</v>
      </c>
      <c r="I354" s="55" t="s">
        <v>86</v>
      </c>
      <c r="J354" s="56" t="s">
        <v>87</v>
      </c>
      <c r="K354" s="55" t="s">
        <v>1399</v>
      </c>
      <c r="L354" s="55" t="s">
        <v>34</v>
      </c>
      <c r="M354" s="55" t="s">
        <v>133</v>
      </c>
      <c r="N354" s="55" t="s">
        <v>90</v>
      </c>
      <c r="O354" s="55"/>
      <c r="P354" s="55" t="s">
        <v>91</v>
      </c>
      <c r="Q354" s="55" t="s">
        <v>4</v>
      </c>
      <c r="R354" s="55"/>
      <c r="S354" s="55"/>
      <c r="T354" s="55"/>
      <c r="U354" s="55"/>
      <c r="V354" s="55"/>
      <c r="W354" s="55"/>
      <c r="X354" s="57" t="str">
        <f t="shared" si="2"/>
        <v>--347-30-04</v>
      </c>
      <c r="Y354" s="58" t="str">
        <f t="shared" ref="Y354:AC354" si="352">TRIM(SUBSTITUTE(SUBSTITUTE(OFFSET($Q354,0,COLUMN()-COLUMN($AL$1)),CHAR(160)," "),_xludf.UNICHAR(8239)," "))</f>
        <v>#NAME?</v>
      </c>
      <c r="Z354" s="58" t="str">
        <f t="shared" si="352"/>
        <v>#NAME?</v>
      </c>
      <c r="AA354" s="58" t="str">
        <f t="shared" si="352"/>
        <v>#NAME?</v>
      </c>
      <c r="AB354" s="58" t="str">
        <f t="shared" si="352"/>
        <v>#NAME?</v>
      </c>
      <c r="AC354" s="58" t="str">
        <f t="shared" si="352"/>
        <v>#NAME?</v>
      </c>
      <c r="AD354" s="57">
        <f t="shared" si="4"/>
        <v>1</v>
      </c>
      <c r="AE354" s="57" t="str">
        <f t="shared" si="5"/>
        <v>2026-04</v>
      </c>
      <c r="AF354" s="57">
        <f t="shared" si="6"/>
        <v>1</v>
      </c>
      <c r="AG354" s="59">
        <f t="shared" si="7"/>
        <v>1</v>
      </c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</row>
    <row r="355" ht="24.0" customHeight="1">
      <c r="A355" s="53">
        <v>64.0</v>
      </c>
      <c r="B355" s="54" t="s">
        <v>1400</v>
      </c>
      <c r="C355" s="55" t="s">
        <v>1167</v>
      </c>
      <c r="D355" s="55"/>
      <c r="E355" s="55" t="s">
        <v>1401</v>
      </c>
      <c r="F355" s="55" t="s">
        <v>1402</v>
      </c>
      <c r="G355" s="55">
        <v>27.0</v>
      </c>
      <c r="H355" s="55" t="s">
        <v>85</v>
      </c>
      <c r="I355" s="55" t="s">
        <v>86</v>
      </c>
      <c r="J355" s="56" t="s">
        <v>87</v>
      </c>
      <c r="K355" s="55" t="s">
        <v>1403</v>
      </c>
      <c r="L355" s="55" t="s">
        <v>34</v>
      </c>
      <c r="M355" s="55" t="s">
        <v>89</v>
      </c>
      <c r="N355" s="55" t="s">
        <v>90</v>
      </c>
      <c r="O355" s="55"/>
      <c r="P355" s="55" t="s">
        <v>91</v>
      </c>
      <c r="Q355" s="55"/>
      <c r="R355" s="55" t="s">
        <v>17</v>
      </c>
      <c r="S355" s="55"/>
      <c r="T355" s="55"/>
      <c r="U355" s="55"/>
      <c r="V355" s="55"/>
      <c r="W355" s="55"/>
      <c r="X355" s="57" t="str">
        <f t="shared" si="2"/>
        <v>--348-30-04</v>
      </c>
      <c r="Y355" s="58" t="str">
        <f t="shared" ref="Y355:AC355" si="353">TRIM(SUBSTITUTE(SUBSTITUTE(OFFSET($Q355,0,COLUMN()-COLUMN($AL$1)),CHAR(160)," "),_xludf.UNICHAR(8239)," "))</f>
        <v>#NAME?</v>
      </c>
      <c r="Z355" s="58" t="str">
        <f t="shared" si="353"/>
        <v>#NAME?</v>
      </c>
      <c r="AA355" s="58" t="str">
        <f t="shared" si="353"/>
        <v>#NAME?</v>
      </c>
      <c r="AB355" s="58" t="str">
        <f t="shared" si="353"/>
        <v>#NAME?</v>
      </c>
      <c r="AC355" s="58" t="str">
        <f t="shared" si="353"/>
        <v>#NAME?</v>
      </c>
      <c r="AD355" s="57">
        <f t="shared" si="4"/>
        <v>1</v>
      </c>
      <c r="AE355" s="57" t="str">
        <f t="shared" si="5"/>
        <v>2026-04</v>
      </c>
      <c r="AF355" s="57">
        <f t="shared" si="6"/>
        <v>1</v>
      </c>
      <c r="AG355" s="59">
        <f t="shared" si="7"/>
        <v>1</v>
      </c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</row>
    <row r="356" ht="24.0" customHeight="1">
      <c r="A356" s="53">
        <v>65.0</v>
      </c>
      <c r="B356" s="54" t="s">
        <v>1404</v>
      </c>
      <c r="C356" s="55" t="s">
        <v>1167</v>
      </c>
      <c r="D356" s="55"/>
      <c r="E356" s="55" t="s">
        <v>1405</v>
      </c>
      <c r="F356" s="55" t="s">
        <v>1406</v>
      </c>
      <c r="G356" s="55">
        <v>1.0</v>
      </c>
      <c r="H356" s="55" t="s">
        <v>119</v>
      </c>
      <c r="I356" s="55" t="s">
        <v>112</v>
      </c>
      <c r="J356" s="56" t="s">
        <v>113</v>
      </c>
      <c r="K356" s="55" t="s">
        <v>1342</v>
      </c>
      <c r="L356" s="55" t="s">
        <v>34</v>
      </c>
      <c r="M356" s="55" t="s">
        <v>115</v>
      </c>
      <c r="N356" s="55" t="s">
        <v>90</v>
      </c>
      <c r="O356" s="55"/>
      <c r="P356" s="55" t="s">
        <v>91</v>
      </c>
      <c r="Q356" s="55" t="s">
        <v>16</v>
      </c>
      <c r="R356" s="55"/>
      <c r="S356" s="55"/>
      <c r="T356" s="55"/>
      <c r="U356" s="55"/>
      <c r="V356" s="55"/>
      <c r="W356" s="55"/>
      <c r="X356" s="57" t="str">
        <f t="shared" si="2"/>
        <v>--349-30-04</v>
      </c>
      <c r="Y356" s="58" t="str">
        <f t="shared" ref="Y356:AC356" si="354">TRIM(SUBSTITUTE(SUBSTITUTE(OFFSET($Q356,0,COLUMN()-COLUMN($AL$1)),CHAR(160)," "),_xludf.UNICHAR(8239)," "))</f>
        <v>#NAME?</v>
      </c>
      <c r="Z356" s="58" t="str">
        <f t="shared" si="354"/>
        <v>#NAME?</v>
      </c>
      <c r="AA356" s="58" t="str">
        <f t="shared" si="354"/>
        <v>#NAME?</v>
      </c>
      <c r="AB356" s="58" t="str">
        <f t="shared" si="354"/>
        <v>#NAME?</v>
      </c>
      <c r="AC356" s="58" t="str">
        <f t="shared" si="354"/>
        <v>#NAME?</v>
      </c>
      <c r="AD356" s="57">
        <f t="shared" si="4"/>
        <v>1</v>
      </c>
      <c r="AE356" s="57" t="str">
        <f t="shared" si="5"/>
        <v>2026-04</v>
      </c>
      <c r="AF356" s="57">
        <f t="shared" si="6"/>
        <v>1</v>
      </c>
      <c r="AG356" s="59">
        <f t="shared" si="7"/>
        <v>1</v>
      </c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</row>
    <row r="357" ht="24.0" customHeight="1">
      <c r="A357" s="53">
        <v>66.0</v>
      </c>
      <c r="B357" s="54" t="s">
        <v>1407</v>
      </c>
      <c r="C357" s="55" t="s">
        <v>1167</v>
      </c>
      <c r="D357" s="55"/>
      <c r="E357" s="55" t="s">
        <v>1408</v>
      </c>
      <c r="F357" s="55" t="s">
        <v>1409</v>
      </c>
      <c r="G357" s="55">
        <v>39.0</v>
      </c>
      <c r="H357" s="55" t="s">
        <v>85</v>
      </c>
      <c r="I357" s="55" t="s">
        <v>112</v>
      </c>
      <c r="J357" s="56" t="s">
        <v>113</v>
      </c>
      <c r="K357" s="55" t="s">
        <v>1410</v>
      </c>
      <c r="L357" s="55" t="s">
        <v>34</v>
      </c>
      <c r="M357" s="55" t="s">
        <v>89</v>
      </c>
      <c r="N357" s="55" t="s">
        <v>90</v>
      </c>
      <c r="O357" s="55"/>
      <c r="P357" s="55" t="s">
        <v>91</v>
      </c>
      <c r="Q357" s="55" t="s">
        <v>4</v>
      </c>
      <c r="R357" s="55"/>
      <c r="S357" s="55"/>
      <c r="T357" s="55"/>
      <c r="U357" s="55"/>
      <c r="V357" s="55"/>
      <c r="W357" s="55"/>
      <c r="X357" s="57" t="str">
        <f t="shared" si="2"/>
        <v>--350-30-04</v>
      </c>
      <c r="Y357" s="58" t="str">
        <f t="shared" ref="Y357:AC357" si="355">TRIM(SUBSTITUTE(SUBSTITUTE(OFFSET($Q357,0,COLUMN()-COLUMN($AL$1)),CHAR(160)," "),_xludf.UNICHAR(8239)," "))</f>
        <v>#NAME?</v>
      </c>
      <c r="Z357" s="58" t="str">
        <f t="shared" si="355"/>
        <v>#NAME?</v>
      </c>
      <c r="AA357" s="58" t="str">
        <f t="shared" si="355"/>
        <v>#NAME?</v>
      </c>
      <c r="AB357" s="58" t="str">
        <f t="shared" si="355"/>
        <v>#NAME?</v>
      </c>
      <c r="AC357" s="58" t="str">
        <f t="shared" si="355"/>
        <v>#NAME?</v>
      </c>
      <c r="AD357" s="57">
        <f t="shared" si="4"/>
        <v>1</v>
      </c>
      <c r="AE357" s="57" t="str">
        <f t="shared" si="5"/>
        <v>2026-04</v>
      </c>
      <c r="AF357" s="57">
        <f t="shared" si="6"/>
        <v>1</v>
      </c>
      <c r="AG357" s="59">
        <f t="shared" si="7"/>
        <v>1</v>
      </c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</row>
    <row r="358" ht="24.0" customHeight="1">
      <c r="A358" s="53">
        <v>67.0</v>
      </c>
      <c r="B358" s="54" t="s">
        <v>1411</v>
      </c>
      <c r="C358" s="55" t="s">
        <v>1167</v>
      </c>
      <c r="D358" s="55"/>
      <c r="E358" s="55">
        <v>8.04476378E8</v>
      </c>
      <c r="F358" s="55" t="s">
        <v>1412</v>
      </c>
      <c r="G358" s="55">
        <v>30.0</v>
      </c>
      <c r="H358" s="55" t="s">
        <v>85</v>
      </c>
      <c r="I358" s="55" t="s">
        <v>86</v>
      </c>
      <c r="J358" s="56" t="s">
        <v>87</v>
      </c>
      <c r="K358" s="55" t="s">
        <v>1413</v>
      </c>
      <c r="L358" s="55" t="s">
        <v>34</v>
      </c>
      <c r="M358" s="55" t="s">
        <v>89</v>
      </c>
      <c r="N358" s="55" t="s">
        <v>90</v>
      </c>
      <c r="O358" s="55"/>
      <c r="P358" s="55" t="s">
        <v>91</v>
      </c>
      <c r="Q358" s="55" t="s">
        <v>16</v>
      </c>
      <c r="R358" s="55"/>
      <c r="S358" s="55" t="s">
        <v>6</v>
      </c>
      <c r="T358" s="55"/>
      <c r="U358" s="55"/>
      <c r="V358" s="55"/>
      <c r="W358" s="55"/>
      <c r="X358" s="57" t="str">
        <f t="shared" si="2"/>
        <v>--351-30-04</v>
      </c>
      <c r="Y358" s="58" t="str">
        <f t="shared" ref="Y358:AC358" si="356">TRIM(SUBSTITUTE(SUBSTITUTE(OFFSET($Q358,0,COLUMN()-COLUMN($AL$1)),CHAR(160)," "),_xludf.UNICHAR(8239)," "))</f>
        <v>#NAME?</v>
      </c>
      <c r="Z358" s="58" t="str">
        <f t="shared" si="356"/>
        <v>#NAME?</v>
      </c>
      <c r="AA358" s="58" t="str">
        <f t="shared" si="356"/>
        <v>#NAME?</v>
      </c>
      <c r="AB358" s="58" t="str">
        <f t="shared" si="356"/>
        <v>#NAME?</v>
      </c>
      <c r="AC358" s="58" t="str">
        <f t="shared" si="356"/>
        <v>#NAME?</v>
      </c>
      <c r="AD358" s="57">
        <f t="shared" si="4"/>
        <v>1</v>
      </c>
      <c r="AE358" s="57" t="str">
        <f t="shared" si="5"/>
        <v>2026-04</v>
      </c>
      <c r="AF358" s="57">
        <f t="shared" si="6"/>
        <v>1</v>
      </c>
      <c r="AG358" s="59">
        <f t="shared" si="7"/>
        <v>1</v>
      </c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</row>
    <row r="359" ht="24.0" customHeight="1">
      <c r="A359" s="53">
        <v>68.0</v>
      </c>
      <c r="B359" s="54" t="s">
        <v>1414</v>
      </c>
      <c r="C359" s="55" t="s">
        <v>1167</v>
      </c>
      <c r="D359" s="55"/>
      <c r="E359" s="55" t="s">
        <v>1415</v>
      </c>
      <c r="F359" s="55" t="s">
        <v>1416</v>
      </c>
      <c r="G359" s="55">
        <v>2.0</v>
      </c>
      <c r="H359" s="55" t="s">
        <v>119</v>
      </c>
      <c r="I359" s="55" t="s">
        <v>112</v>
      </c>
      <c r="J359" s="56" t="s">
        <v>113</v>
      </c>
      <c r="K359" s="55" t="s">
        <v>1413</v>
      </c>
      <c r="L359" s="55" t="s">
        <v>34</v>
      </c>
      <c r="M359" s="55" t="s">
        <v>115</v>
      </c>
      <c r="N359" s="55" t="s">
        <v>90</v>
      </c>
      <c r="O359" s="55"/>
      <c r="P359" s="55" t="s">
        <v>91</v>
      </c>
      <c r="Q359" s="55" t="s">
        <v>16</v>
      </c>
      <c r="R359" s="55"/>
      <c r="S359" s="55"/>
      <c r="T359" s="55"/>
      <c r="U359" s="55"/>
      <c r="V359" s="55"/>
      <c r="W359" s="55"/>
      <c r="X359" s="57" t="str">
        <f t="shared" si="2"/>
        <v>--352-30-04</v>
      </c>
      <c r="Y359" s="58" t="str">
        <f t="shared" ref="Y359:AC359" si="357">TRIM(SUBSTITUTE(SUBSTITUTE(OFFSET($Q359,0,COLUMN()-COLUMN($AL$1)),CHAR(160)," "),_xludf.UNICHAR(8239)," "))</f>
        <v>#NAME?</v>
      </c>
      <c r="Z359" s="58" t="str">
        <f t="shared" si="357"/>
        <v>#NAME?</v>
      </c>
      <c r="AA359" s="58" t="str">
        <f t="shared" si="357"/>
        <v>#NAME?</v>
      </c>
      <c r="AB359" s="58" t="str">
        <f t="shared" si="357"/>
        <v>#NAME?</v>
      </c>
      <c r="AC359" s="58" t="str">
        <f t="shared" si="357"/>
        <v>#NAME?</v>
      </c>
      <c r="AD359" s="57">
        <f t="shared" si="4"/>
        <v>1</v>
      </c>
      <c r="AE359" s="57" t="str">
        <f t="shared" si="5"/>
        <v>2026-04</v>
      </c>
      <c r="AF359" s="57">
        <f t="shared" si="6"/>
        <v>1</v>
      </c>
      <c r="AG359" s="59">
        <f t="shared" si="7"/>
        <v>1</v>
      </c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</row>
    <row r="360" ht="24.0" customHeight="1">
      <c r="A360" s="53">
        <v>69.0</v>
      </c>
      <c r="B360" s="54" t="s">
        <v>1417</v>
      </c>
      <c r="C360" s="55" t="s">
        <v>1167</v>
      </c>
      <c r="D360" s="55"/>
      <c r="E360" s="55" t="s">
        <v>1418</v>
      </c>
      <c r="F360" s="55" t="s">
        <v>1419</v>
      </c>
      <c r="G360" s="55">
        <v>6.0</v>
      </c>
      <c r="H360" s="55" t="s">
        <v>111</v>
      </c>
      <c r="I360" s="55" t="s">
        <v>86</v>
      </c>
      <c r="J360" s="56" t="s">
        <v>87</v>
      </c>
      <c r="K360" s="55" t="s">
        <v>1420</v>
      </c>
      <c r="L360" s="55" t="s">
        <v>34</v>
      </c>
      <c r="M360" s="55" t="s">
        <v>115</v>
      </c>
      <c r="N360" s="55" t="s">
        <v>90</v>
      </c>
      <c r="O360" s="55"/>
      <c r="P360" s="55" t="s">
        <v>91</v>
      </c>
      <c r="Q360" s="55" t="s">
        <v>16</v>
      </c>
      <c r="R360" s="55"/>
      <c r="S360" s="55"/>
      <c r="T360" s="55"/>
      <c r="U360" s="55"/>
      <c r="V360" s="55"/>
      <c r="W360" s="55"/>
      <c r="X360" s="57" t="str">
        <f t="shared" si="2"/>
        <v>--353-30-04</v>
      </c>
      <c r="Y360" s="58" t="str">
        <f t="shared" ref="Y360:AC360" si="358">TRIM(SUBSTITUTE(SUBSTITUTE(OFFSET($Q360,0,COLUMN()-COLUMN($AL$1)),CHAR(160)," "),_xludf.UNICHAR(8239)," "))</f>
        <v>#NAME?</v>
      </c>
      <c r="Z360" s="58" t="str">
        <f t="shared" si="358"/>
        <v>#NAME?</v>
      </c>
      <c r="AA360" s="58" t="str">
        <f t="shared" si="358"/>
        <v>#NAME?</v>
      </c>
      <c r="AB360" s="58" t="str">
        <f t="shared" si="358"/>
        <v>#NAME?</v>
      </c>
      <c r="AC360" s="58" t="str">
        <f t="shared" si="358"/>
        <v>#NAME?</v>
      </c>
      <c r="AD360" s="57">
        <f t="shared" si="4"/>
        <v>1</v>
      </c>
      <c r="AE360" s="57" t="str">
        <f t="shared" si="5"/>
        <v>2026-04</v>
      </c>
      <c r="AF360" s="57">
        <f t="shared" si="6"/>
        <v>1</v>
      </c>
      <c r="AG360" s="59">
        <f t="shared" si="7"/>
        <v>1</v>
      </c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</row>
    <row r="361" ht="24.0" customHeight="1">
      <c r="A361" s="53">
        <v>70.0</v>
      </c>
      <c r="B361" s="54" t="s">
        <v>1421</v>
      </c>
      <c r="C361" s="55" t="s">
        <v>1167</v>
      </c>
      <c r="D361" s="55"/>
      <c r="E361" s="55" t="s">
        <v>1422</v>
      </c>
      <c r="F361" s="55" t="s">
        <v>1423</v>
      </c>
      <c r="G361" s="55">
        <v>55.0</v>
      </c>
      <c r="H361" s="55" t="s">
        <v>85</v>
      </c>
      <c r="I361" s="55" t="s">
        <v>112</v>
      </c>
      <c r="J361" s="56" t="s">
        <v>113</v>
      </c>
      <c r="K361" s="55" t="s">
        <v>1424</v>
      </c>
      <c r="L361" s="55" t="s">
        <v>34</v>
      </c>
      <c r="M361" s="55" t="s">
        <v>89</v>
      </c>
      <c r="N361" s="55" t="s">
        <v>90</v>
      </c>
      <c r="O361" s="55"/>
      <c r="P361" s="55" t="s">
        <v>91</v>
      </c>
      <c r="Q361" s="55" t="s">
        <v>16</v>
      </c>
      <c r="R361" s="55"/>
      <c r="S361" s="55"/>
      <c r="T361" s="55"/>
      <c r="U361" s="55"/>
      <c r="V361" s="55"/>
      <c r="W361" s="55"/>
      <c r="X361" s="57" t="str">
        <f t="shared" si="2"/>
        <v>--354-30-04</v>
      </c>
      <c r="Y361" s="58" t="str">
        <f t="shared" ref="Y361:AC361" si="359">TRIM(SUBSTITUTE(SUBSTITUTE(OFFSET($Q361,0,COLUMN()-COLUMN($AL$1)),CHAR(160)," "),_xludf.UNICHAR(8239)," "))</f>
        <v>#NAME?</v>
      </c>
      <c r="Z361" s="58" t="str">
        <f t="shared" si="359"/>
        <v>#NAME?</v>
      </c>
      <c r="AA361" s="58" t="str">
        <f t="shared" si="359"/>
        <v>#NAME?</v>
      </c>
      <c r="AB361" s="58" t="str">
        <f t="shared" si="359"/>
        <v>#NAME?</v>
      </c>
      <c r="AC361" s="58" t="str">
        <f t="shared" si="359"/>
        <v>#NAME?</v>
      </c>
      <c r="AD361" s="57">
        <f t="shared" si="4"/>
        <v>1</v>
      </c>
      <c r="AE361" s="57" t="str">
        <f t="shared" si="5"/>
        <v>2026-04</v>
      </c>
      <c r="AF361" s="57">
        <f t="shared" si="6"/>
        <v>1</v>
      </c>
      <c r="AG361" s="59">
        <f t="shared" si="7"/>
        <v>1</v>
      </c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</row>
    <row r="362" ht="24.0" customHeight="1">
      <c r="A362" s="53">
        <v>71.0</v>
      </c>
      <c r="B362" s="54" t="s">
        <v>1425</v>
      </c>
      <c r="C362" s="55" t="s">
        <v>1167</v>
      </c>
      <c r="D362" s="55"/>
      <c r="E362" s="55" t="s">
        <v>1426</v>
      </c>
      <c r="F362" s="55" t="s">
        <v>1427</v>
      </c>
      <c r="G362" s="55">
        <v>49.0</v>
      </c>
      <c r="H362" s="55" t="s">
        <v>85</v>
      </c>
      <c r="I362" s="55" t="s">
        <v>112</v>
      </c>
      <c r="J362" s="56" t="s">
        <v>113</v>
      </c>
      <c r="K362" s="55" t="s">
        <v>1428</v>
      </c>
      <c r="L362" s="55" t="s">
        <v>1429</v>
      </c>
      <c r="M362" s="55" t="s">
        <v>89</v>
      </c>
      <c r="N362" s="55" t="s">
        <v>90</v>
      </c>
      <c r="O362" s="55"/>
      <c r="P362" s="55" t="s">
        <v>91</v>
      </c>
      <c r="Q362" s="55" t="s">
        <v>16</v>
      </c>
      <c r="R362" s="55"/>
      <c r="S362" s="55"/>
      <c r="T362" s="55"/>
      <c r="U362" s="55"/>
      <c r="V362" s="55"/>
      <c r="W362" s="55"/>
      <c r="X362" s="57" t="str">
        <f t="shared" si="2"/>
        <v>--355-30-04</v>
      </c>
      <c r="Y362" s="58" t="str">
        <f t="shared" ref="Y362:AC362" si="360">TRIM(SUBSTITUTE(SUBSTITUTE(OFFSET($Q362,0,COLUMN()-COLUMN($AL$1)),CHAR(160)," "),_xludf.UNICHAR(8239)," "))</f>
        <v>#NAME?</v>
      </c>
      <c r="Z362" s="58" t="str">
        <f t="shared" si="360"/>
        <v>#NAME?</v>
      </c>
      <c r="AA362" s="58" t="str">
        <f t="shared" si="360"/>
        <v>#NAME?</v>
      </c>
      <c r="AB362" s="58" t="str">
        <f t="shared" si="360"/>
        <v>#NAME?</v>
      </c>
      <c r="AC362" s="58" t="str">
        <f t="shared" si="360"/>
        <v>#NAME?</v>
      </c>
      <c r="AD362" s="57">
        <f t="shared" si="4"/>
        <v>1</v>
      </c>
      <c r="AE362" s="57" t="str">
        <f t="shared" si="5"/>
        <v>2026-04</v>
      </c>
      <c r="AF362" s="57">
        <f t="shared" si="6"/>
        <v>1</v>
      </c>
      <c r="AG362" s="59">
        <f t="shared" si="7"/>
        <v>1</v>
      </c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</row>
    <row r="363" ht="24.0" customHeight="1">
      <c r="A363" s="53">
        <v>72.0</v>
      </c>
      <c r="B363" s="54" t="s">
        <v>1430</v>
      </c>
      <c r="C363" s="55" t="s">
        <v>1167</v>
      </c>
      <c r="D363" s="55"/>
      <c r="E363" s="55" t="s">
        <v>1431</v>
      </c>
      <c r="F363" s="55" t="s">
        <v>1432</v>
      </c>
      <c r="G363" s="55">
        <v>13.0</v>
      </c>
      <c r="H363" s="55" t="s">
        <v>111</v>
      </c>
      <c r="I363" s="55" t="s">
        <v>86</v>
      </c>
      <c r="J363" s="56" t="s">
        <v>87</v>
      </c>
      <c r="K363" s="55" t="s">
        <v>1433</v>
      </c>
      <c r="L363" s="55" t="s">
        <v>34</v>
      </c>
      <c r="M363" s="55" t="s">
        <v>133</v>
      </c>
      <c r="N363" s="55" t="s">
        <v>90</v>
      </c>
      <c r="O363" s="55"/>
      <c r="P363" s="55" t="s">
        <v>91</v>
      </c>
      <c r="Q363" s="55" t="s">
        <v>16</v>
      </c>
      <c r="R363" s="55"/>
      <c r="S363" s="55"/>
      <c r="T363" s="55"/>
      <c r="U363" s="55"/>
      <c r="V363" s="55"/>
      <c r="W363" s="55"/>
      <c r="X363" s="57" t="str">
        <f t="shared" si="2"/>
        <v>--356-30-04</v>
      </c>
      <c r="Y363" s="58" t="str">
        <f t="shared" ref="Y363:AC363" si="361">TRIM(SUBSTITUTE(SUBSTITUTE(OFFSET($Q363,0,COLUMN()-COLUMN($AL$1)),CHAR(160)," "),_xludf.UNICHAR(8239)," "))</f>
        <v>#NAME?</v>
      </c>
      <c r="Z363" s="58" t="str">
        <f t="shared" si="361"/>
        <v>#NAME?</v>
      </c>
      <c r="AA363" s="58" t="str">
        <f t="shared" si="361"/>
        <v>#NAME?</v>
      </c>
      <c r="AB363" s="58" t="str">
        <f t="shared" si="361"/>
        <v>#NAME?</v>
      </c>
      <c r="AC363" s="58" t="str">
        <f t="shared" si="361"/>
        <v>#NAME?</v>
      </c>
      <c r="AD363" s="57">
        <f t="shared" si="4"/>
        <v>1</v>
      </c>
      <c r="AE363" s="57" t="str">
        <f t="shared" si="5"/>
        <v>2026-04</v>
      </c>
      <c r="AF363" s="57">
        <f t="shared" si="6"/>
        <v>1</v>
      </c>
      <c r="AG363" s="59">
        <f t="shared" si="7"/>
        <v>1</v>
      </c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</row>
    <row r="364" ht="24.0" customHeight="1">
      <c r="A364" s="53">
        <v>73.0</v>
      </c>
      <c r="B364" s="54" t="s">
        <v>1434</v>
      </c>
      <c r="C364" s="55" t="s">
        <v>1167</v>
      </c>
      <c r="D364" s="55"/>
      <c r="E364" s="55" t="s">
        <v>1435</v>
      </c>
      <c r="F364" s="55" t="s">
        <v>1436</v>
      </c>
      <c r="G364" s="55">
        <v>47.0</v>
      </c>
      <c r="H364" s="55" t="s">
        <v>85</v>
      </c>
      <c r="I364" s="55" t="s">
        <v>112</v>
      </c>
      <c r="J364" s="56" t="s">
        <v>113</v>
      </c>
      <c r="K364" s="55" t="s">
        <v>1437</v>
      </c>
      <c r="L364" s="55" t="s">
        <v>34</v>
      </c>
      <c r="M364" s="55" t="s">
        <v>89</v>
      </c>
      <c r="N364" s="55" t="s">
        <v>90</v>
      </c>
      <c r="O364" s="55"/>
      <c r="P364" s="55" t="s">
        <v>91</v>
      </c>
      <c r="Q364" s="55" t="s">
        <v>16</v>
      </c>
      <c r="R364" s="55"/>
      <c r="S364" s="55"/>
      <c r="T364" s="55"/>
      <c r="U364" s="55"/>
      <c r="V364" s="55"/>
      <c r="W364" s="55"/>
      <c r="X364" s="57" t="str">
        <f t="shared" si="2"/>
        <v>--357-30-04</v>
      </c>
      <c r="Y364" s="58" t="str">
        <f t="shared" ref="Y364:AC364" si="362">TRIM(SUBSTITUTE(SUBSTITUTE(OFFSET($Q364,0,COLUMN()-COLUMN($AL$1)),CHAR(160)," "),_xludf.UNICHAR(8239)," "))</f>
        <v>#NAME?</v>
      </c>
      <c r="Z364" s="58" t="str">
        <f t="shared" si="362"/>
        <v>#NAME?</v>
      </c>
      <c r="AA364" s="58" t="str">
        <f t="shared" si="362"/>
        <v>#NAME?</v>
      </c>
      <c r="AB364" s="58" t="str">
        <f t="shared" si="362"/>
        <v>#NAME?</v>
      </c>
      <c r="AC364" s="58" t="str">
        <f t="shared" si="362"/>
        <v>#NAME?</v>
      </c>
      <c r="AD364" s="57">
        <f t="shared" si="4"/>
        <v>1</v>
      </c>
      <c r="AE364" s="57" t="str">
        <f t="shared" si="5"/>
        <v>2026-04</v>
      </c>
      <c r="AF364" s="57">
        <f t="shared" si="6"/>
        <v>1</v>
      </c>
      <c r="AG364" s="59">
        <f t="shared" si="7"/>
        <v>1</v>
      </c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</row>
    <row r="365" ht="24.0" customHeight="1">
      <c r="A365" s="53">
        <v>74.0</v>
      </c>
      <c r="B365" s="54" t="s">
        <v>894</v>
      </c>
      <c r="C365" s="55" t="s">
        <v>1167</v>
      </c>
      <c r="D365" s="60">
        <v>46140.0</v>
      </c>
      <c r="E365" s="55" t="s">
        <v>895</v>
      </c>
      <c r="F365" s="55" t="s">
        <v>1438</v>
      </c>
      <c r="G365" s="55">
        <v>2.0</v>
      </c>
      <c r="H365" s="55" t="s">
        <v>119</v>
      </c>
      <c r="I365" s="55" t="s">
        <v>112</v>
      </c>
      <c r="J365" s="56" t="s">
        <v>113</v>
      </c>
      <c r="K365" s="55" t="s">
        <v>897</v>
      </c>
      <c r="L365" s="55" t="s">
        <v>34</v>
      </c>
      <c r="M365" s="55" t="s">
        <v>115</v>
      </c>
      <c r="N365" s="55" t="s">
        <v>90</v>
      </c>
      <c r="O365" s="55"/>
      <c r="P365" s="55" t="s">
        <v>91</v>
      </c>
      <c r="Q365" s="55"/>
      <c r="R365" s="55"/>
      <c r="S365" s="55" t="s">
        <v>6</v>
      </c>
      <c r="T365" s="55"/>
      <c r="U365" s="55"/>
      <c r="V365" s="55"/>
      <c r="W365" s="55"/>
      <c r="X365" s="57" t="str">
        <f t="shared" si="2"/>
        <v>--358-30-04</v>
      </c>
      <c r="Y365" s="58" t="str">
        <f t="shared" ref="Y365:AC365" si="363">TRIM(SUBSTITUTE(SUBSTITUTE(OFFSET($Q365,0,COLUMN()-COLUMN($AL$1)),CHAR(160)," "),_xludf.UNICHAR(8239)," "))</f>
        <v>#NAME?</v>
      </c>
      <c r="Z365" s="58" t="str">
        <f t="shared" si="363"/>
        <v>#NAME?</v>
      </c>
      <c r="AA365" s="58" t="str">
        <f t="shared" si="363"/>
        <v>#NAME?</v>
      </c>
      <c r="AB365" s="58" t="str">
        <f t="shared" si="363"/>
        <v>#NAME?</v>
      </c>
      <c r="AC365" s="58" t="str">
        <f t="shared" si="363"/>
        <v>#NAME?</v>
      </c>
      <c r="AD365" s="57">
        <f t="shared" si="4"/>
        <v>1</v>
      </c>
      <c r="AE365" s="57" t="str">
        <f t="shared" si="5"/>
        <v>2026-04</v>
      </c>
      <c r="AF365" s="57">
        <f t="shared" si="6"/>
        <v>0</v>
      </c>
      <c r="AG365" s="59">
        <f t="shared" si="7"/>
        <v>0</v>
      </c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</row>
    <row r="366" ht="24.0" customHeight="1">
      <c r="A366" s="53">
        <v>75.0</v>
      </c>
      <c r="B366" s="54" t="s">
        <v>1439</v>
      </c>
      <c r="C366" s="55" t="s">
        <v>1167</v>
      </c>
      <c r="D366" s="55"/>
      <c r="E366" s="55" t="s">
        <v>1440</v>
      </c>
      <c r="F366" s="55" t="s">
        <v>1441</v>
      </c>
      <c r="G366" s="55">
        <v>35.0</v>
      </c>
      <c r="H366" s="55" t="s">
        <v>85</v>
      </c>
      <c r="I366" s="55" t="s">
        <v>112</v>
      </c>
      <c r="J366" s="56" t="s">
        <v>113</v>
      </c>
      <c r="K366" s="55" t="s">
        <v>1442</v>
      </c>
      <c r="L366" s="55" t="s">
        <v>34</v>
      </c>
      <c r="M366" s="55" t="s">
        <v>133</v>
      </c>
      <c r="N366" s="55" t="s">
        <v>90</v>
      </c>
      <c r="O366" s="55"/>
      <c r="P366" s="55" t="s">
        <v>91</v>
      </c>
      <c r="Q366" s="55" t="s">
        <v>4</v>
      </c>
      <c r="R366" s="55"/>
      <c r="S366" s="55"/>
      <c r="T366" s="55"/>
      <c r="U366" s="55"/>
      <c r="V366" s="55"/>
      <c r="W366" s="55"/>
      <c r="X366" s="57" t="str">
        <f t="shared" si="2"/>
        <v>--359-30-04</v>
      </c>
      <c r="Y366" s="58" t="str">
        <f t="shared" ref="Y366:AC366" si="364">TRIM(SUBSTITUTE(SUBSTITUTE(OFFSET($Q366,0,COLUMN()-COLUMN($AL$1)),CHAR(160)," "),_xludf.UNICHAR(8239)," "))</f>
        <v>#NAME?</v>
      </c>
      <c r="Z366" s="58" t="str">
        <f t="shared" si="364"/>
        <v>#NAME?</v>
      </c>
      <c r="AA366" s="58" t="str">
        <f t="shared" si="364"/>
        <v>#NAME?</v>
      </c>
      <c r="AB366" s="58" t="str">
        <f t="shared" si="364"/>
        <v>#NAME?</v>
      </c>
      <c r="AC366" s="58" t="str">
        <f t="shared" si="364"/>
        <v>#NAME?</v>
      </c>
      <c r="AD366" s="57">
        <f t="shared" si="4"/>
        <v>1</v>
      </c>
      <c r="AE366" s="57" t="str">
        <f t="shared" si="5"/>
        <v>2026-04</v>
      </c>
      <c r="AF366" s="57">
        <f t="shared" si="6"/>
        <v>1</v>
      </c>
      <c r="AG366" s="59">
        <f t="shared" si="7"/>
        <v>1</v>
      </c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</row>
    <row r="367" ht="24.0" customHeight="1">
      <c r="A367" s="53">
        <v>76.0</v>
      </c>
      <c r="B367" s="54" t="s">
        <v>1443</v>
      </c>
      <c r="C367" s="55" t="s">
        <v>1167</v>
      </c>
      <c r="D367" s="55"/>
      <c r="E367" s="55" t="s">
        <v>1444</v>
      </c>
      <c r="F367" s="55" t="s">
        <v>1445</v>
      </c>
      <c r="G367" s="55">
        <v>16.0</v>
      </c>
      <c r="H367" s="55" t="s">
        <v>111</v>
      </c>
      <c r="I367" s="55" t="s">
        <v>86</v>
      </c>
      <c r="J367" s="56" t="s">
        <v>87</v>
      </c>
      <c r="K367" s="55" t="s">
        <v>1446</v>
      </c>
      <c r="L367" s="55" t="s">
        <v>34</v>
      </c>
      <c r="M367" s="55" t="s">
        <v>133</v>
      </c>
      <c r="N367" s="55" t="s">
        <v>90</v>
      </c>
      <c r="O367" s="55"/>
      <c r="P367" s="55" t="s">
        <v>91</v>
      </c>
      <c r="Q367" s="55" t="s">
        <v>16</v>
      </c>
      <c r="R367" s="55"/>
      <c r="S367" s="55"/>
      <c r="T367" s="55"/>
      <c r="U367" s="55"/>
      <c r="V367" s="55"/>
      <c r="W367" s="55"/>
      <c r="X367" s="57" t="str">
        <f t="shared" si="2"/>
        <v>--360-30-04</v>
      </c>
      <c r="Y367" s="58" t="str">
        <f t="shared" ref="Y367:AC367" si="365">TRIM(SUBSTITUTE(SUBSTITUTE(OFFSET($Q367,0,COLUMN()-COLUMN($AL$1)),CHAR(160)," "),_xludf.UNICHAR(8239)," "))</f>
        <v>#NAME?</v>
      </c>
      <c r="Z367" s="58" t="str">
        <f t="shared" si="365"/>
        <v>#NAME?</v>
      </c>
      <c r="AA367" s="58" t="str">
        <f t="shared" si="365"/>
        <v>#NAME?</v>
      </c>
      <c r="AB367" s="58" t="str">
        <f t="shared" si="365"/>
        <v>#NAME?</v>
      </c>
      <c r="AC367" s="58" t="str">
        <f t="shared" si="365"/>
        <v>#NAME?</v>
      </c>
      <c r="AD367" s="57">
        <f t="shared" si="4"/>
        <v>1</v>
      </c>
      <c r="AE367" s="57" t="str">
        <f t="shared" si="5"/>
        <v>2026-04</v>
      </c>
      <c r="AF367" s="57">
        <f t="shared" si="6"/>
        <v>1</v>
      </c>
      <c r="AG367" s="59">
        <f t="shared" si="7"/>
        <v>1</v>
      </c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</row>
    <row r="368" ht="24.0" customHeight="1">
      <c r="A368" s="53">
        <v>361.0</v>
      </c>
      <c r="B368" s="54" t="s">
        <v>1447</v>
      </c>
      <c r="C368" s="55" t="s">
        <v>1167</v>
      </c>
      <c r="D368" s="55"/>
      <c r="E368" s="55" t="s">
        <v>1448</v>
      </c>
      <c r="F368" s="55" t="s">
        <v>1449</v>
      </c>
      <c r="G368" s="55">
        <v>16.0</v>
      </c>
      <c r="H368" s="55" t="s">
        <v>111</v>
      </c>
      <c r="I368" s="55" t="s">
        <v>86</v>
      </c>
      <c r="J368" s="56" t="s">
        <v>87</v>
      </c>
      <c r="K368" s="55" t="s">
        <v>1218</v>
      </c>
      <c r="L368" s="55" t="s">
        <v>34</v>
      </c>
      <c r="M368" s="55" t="s">
        <v>133</v>
      </c>
      <c r="N368" s="55" t="s">
        <v>90</v>
      </c>
      <c r="O368" s="55"/>
      <c r="P368" s="55" t="s">
        <v>91</v>
      </c>
      <c r="Q368" s="55" t="s">
        <v>4</v>
      </c>
      <c r="R368" s="55"/>
      <c r="S368" s="55"/>
      <c r="T368" s="55"/>
      <c r="U368" s="55"/>
      <c r="V368" s="55"/>
      <c r="W368" s="55"/>
      <c r="X368" s="57" t="str">
        <f t="shared" si="2"/>
        <v>--361-30-04</v>
      </c>
      <c r="Y368" s="58" t="str">
        <f t="shared" ref="Y368:AC368" si="366">TRIM(SUBSTITUTE(SUBSTITUTE(OFFSET($Q368,0,COLUMN()-COLUMN($AL$1)),CHAR(160)," "),_xludf.UNICHAR(8239)," "))</f>
        <v>#NAME?</v>
      </c>
      <c r="Z368" s="58" t="str">
        <f t="shared" si="366"/>
        <v>#NAME?</v>
      </c>
      <c r="AA368" s="58" t="str">
        <f t="shared" si="366"/>
        <v>#NAME?</v>
      </c>
      <c r="AB368" s="58" t="str">
        <f t="shared" si="366"/>
        <v>#NAME?</v>
      </c>
      <c r="AC368" s="58" t="str">
        <f t="shared" si="366"/>
        <v>#NAME?</v>
      </c>
      <c r="AD368" s="57">
        <f t="shared" si="4"/>
        <v>1</v>
      </c>
      <c r="AE368" s="57" t="str">
        <f t="shared" si="5"/>
        <v>2026-04</v>
      </c>
      <c r="AF368" s="57">
        <f t="shared" si="6"/>
        <v>1</v>
      </c>
      <c r="AG368" s="59">
        <f t="shared" si="7"/>
        <v>1</v>
      </c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</row>
    <row r="369" ht="24.0" customHeight="1">
      <c r="A369" s="53">
        <v>1.0</v>
      </c>
      <c r="B369" s="54" t="s">
        <v>1450</v>
      </c>
      <c r="C369" s="55" t="s">
        <v>1451</v>
      </c>
      <c r="D369" s="55"/>
      <c r="E369" s="55" t="s">
        <v>1452</v>
      </c>
      <c r="F369" s="55" t="s">
        <v>1453</v>
      </c>
      <c r="G369" s="55">
        <v>39.0</v>
      </c>
      <c r="H369" s="55" t="s">
        <v>85</v>
      </c>
      <c r="I369" s="55" t="s">
        <v>86</v>
      </c>
      <c r="J369" s="56" t="s">
        <v>87</v>
      </c>
      <c r="K369" s="55" t="s">
        <v>1454</v>
      </c>
      <c r="L369" s="55" t="s">
        <v>34</v>
      </c>
      <c r="M369" s="55" t="s">
        <v>89</v>
      </c>
      <c r="N369" s="55" t="s">
        <v>90</v>
      </c>
      <c r="O369" s="55"/>
      <c r="P369" s="55" t="s">
        <v>91</v>
      </c>
      <c r="Q369" s="55"/>
      <c r="R369" s="55" t="s">
        <v>27</v>
      </c>
      <c r="S369" s="55"/>
      <c r="T369" s="55"/>
      <c r="U369" s="55"/>
      <c r="V369" s="55"/>
      <c r="W369" s="55"/>
      <c r="X369" s="57" t="str">
        <f t="shared" si="2"/>
        <v>--362-03-05</v>
      </c>
      <c r="Y369" s="58" t="str">
        <f t="shared" ref="Y369:AC369" si="367">TRIM(SUBSTITUTE(SUBSTITUTE(OFFSET($Q369,0,COLUMN()-COLUMN($AL$1)),CHAR(160)," "),_xludf.UNICHAR(8239)," "))</f>
        <v>#NAME?</v>
      </c>
      <c r="Z369" s="58" t="str">
        <f t="shared" si="367"/>
        <v>#NAME?</v>
      </c>
      <c r="AA369" s="58" t="str">
        <f t="shared" si="367"/>
        <v>#NAME?</v>
      </c>
      <c r="AB369" s="58" t="str">
        <f t="shared" si="367"/>
        <v>#NAME?</v>
      </c>
      <c r="AC369" s="58" t="str">
        <f t="shared" si="367"/>
        <v>#NAME?</v>
      </c>
      <c r="AD369" s="57">
        <f t="shared" si="4"/>
        <v>1</v>
      </c>
      <c r="AE369" s="57" t="str">
        <f t="shared" si="5"/>
        <v>2026-05</v>
      </c>
      <c r="AF369" s="57">
        <f t="shared" si="6"/>
        <v>1</v>
      </c>
      <c r="AG369" s="59">
        <f t="shared" si="7"/>
        <v>1</v>
      </c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</row>
    <row r="370" ht="24.0" customHeight="1">
      <c r="A370" s="53">
        <v>2.0</v>
      </c>
      <c r="B370" s="54" t="s">
        <v>756</v>
      </c>
      <c r="C370" s="55" t="s">
        <v>1451</v>
      </c>
      <c r="D370" s="60">
        <v>46140.0</v>
      </c>
      <c r="E370" s="55" t="s">
        <v>758</v>
      </c>
      <c r="F370" s="55" t="s">
        <v>1455</v>
      </c>
      <c r="G370" s="55">
        <v>38.0</v>
      </c>
      <c r="H370" s="55" t="s">
        <v>85</v>
      </c>
      <c r="I370" s="55" t="s">
        <v>86</v>
      </c>
      <c r="J370" s="56" t="s">
        <v>87</v>
      </c>
      <c r="K370" s="55" t="s">
        <v>760</v>
      </c>
      <c r="L370" s="55" t="s">
        <v>34</v>
      </c>
      <c r="M370" s="55" t="s">
        <v>89</v>
      </c>
      <c r="N370" s="55" t="s">
        <v>90</v>
      </c>
      <c r="O370" s="55"/>
      <c r="P370" s="55" t="s">
        <v>91</v>
      </c>
      <c r="Q370" s="55"/>
      <c r="R370" s="55" t="s">
        <v>36</v>
      </c>
      <c r="S370" s="55"/>
      <c r="T370" s="55"/>
      <c r="U370" s="55"/>
      <c r="V370" s="55"/>
      <c r="W370" s="55"/>
      <c r="X370" s="57" t="str">
        <f t="shared" si="2"/>
        <v>--363-03-05</v>
      </c>
      <c r="Y370" s="58" t="str">
        <f t="shared" ref="Y370:AC370" si="368">TRIM(SUBSTITUTE(SUBSTITUTE(OFFSET($Q370,0,COLUMN()-COLUMN($AL$1)),CHAR(160)," "),_xludf.UNICHAR(8239)," "))</f>
        <v>#NAME?</v>
      </c>
      <c r="Z370" s="58" t="str">
        <f t="shared" si="368"/>
        <v>#NAME?</v>
      </c>
      <c r="AA370" s="58" t="str">
        <f t="shared" si="368"/>
        <v>#NAME?</v>
      </c>
      <c r="AB370" s="58" t="str">
        <f t="shared" si="368"/>
        <v>#NAME?</v>
      </c>
      <c r="AC370" s="58" t="str">
        <f t="shared" si="368"/>
        <v>#NAME?</v>
      </c>
      <c r="AD370" s="57">
        <f t="shared" si="4"/>
        <v>1</v>
      </c>
      <c r="AE370" s="57" t="str">
        <f t="shared" si="5"/>
        <v>2026-05</v>
      </c>
      <c r="AF370" s="57">
        <f t="shared" si="6"/>
        <v>1</v>
      </c>
      <c r="AG370" s="59">
        <f t="shared" si="7"/>
        <v>0</v>
      </c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</row>
    <row r="371" ht="24.0" customHeight="1">
      <c r="A371" s="53">
        <v>3.0</v>
      </c>
      <c r="B371" s="54" t="s">
        <v>180</v>
      </c>
      <c r="C371" s="55" t="s">
        <v>1451</v>
      </c>
      <c r="D371" s="60">
        <v>46138.0</v>
      </c>
      <c r="E371" s="55" t="s">
        <v>181</v>
      </c>
      <c r="F371" s="55" t="s">
        <v>1456</v>
      </c>
      <c r="G371" s="55">
        <v>32.0</v>
      </c>
      <c r="H371" s="55" t="s">
        <v>85</v>
      </c>
      <c r="I371" s="55" t="s">
        <v>86</v>
      </c>
      <c r="J371" s="56" t="s">
        <v>87</v>
      </c>
      <c r="K371" s="55" t="s">
        <v>183</v>
      </c>
      <c r="L371" s="55" t="s">
        <v>34</v>
      </c>
      <c r="M371" s="55" t="s">
        <v>89</v>
      </c>
      <c r="N371" s="55" t="s">
        <v>90</v>
      </c>
      <c r="O371" s="55"/>
      <c r="P371" s="55" t="s">
        <v>91</v>
      </c>
      <c r="Q371" s="55"/>
      <c r="R371" s="55" t="s">
        <v>5</v>
      </c>
      <c r="S371" s="55"/>
      <c r="T371" s="55"/>
      <c r="U371" s="55" t="s">
        <v>7</v>
      </c>
      <c r="V371" s="55"/>
      <c r="W371" s="55"/>
      <c r="X371" s="57" t="str">
        <f t="shared" si="2"/>
        <v>--364-03-05</v>
      </c>
      <c r="Y371" s="58" t="str">
        <f t="shared" ref="Y371:AC371" si="369">TRIM(SUBSTITUTE(SUBSTITUTE(OFFSET($Q371,0,COLUMN()-COLUMN($AL$1)),CHAR(160)," "),_xludf.UNICHAR(8239)," "))</f>
        <v>#NAME?</v>
      </c>
      <c r="Z371" s="58" t="str">
        <f t="shared" si="369"/>
        <v>#NAME?</v>
      </c>
      <c r="AA371" s="58" t="str">
        <f t="shared" si="369"/>
        <v>#NAME?</v>
      </c>
      <c r="AB371" s="58" t="str">
        <f t="shared" si="369"/>
        <v>#NAME?</v>
      </c>
      <c r="AC371" s="58" t="str">
        <f t="shared" si="369"/>
        <v>#NAME?</v>
      </c>
      <c r="AD371" s="57">
        <f t="shared" si="4"/>
        <v>1</v>
      </c>
      <c r="AE371" s="57" t="str">
        <f t="shared" si="5"/>
        <v>2026-05</v>
      </c>
      <c r="AF371" s="57">
        <f t="shared" si="6"/>
        <v>1</v>
      </c>
      <c r="AG371" s="59">
        <f t="shared" si="7"/>
        <v>0</v>
      </c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</row>
    <row r="372" ht="24.0" customHeight="1">
      <c r="A372" s="53">
        <v>4.0</v>
      </c>
      <c r="B372" s="54" t="s">
        <v>1457</v>
      </c>
      <c r="C372" s="55" t="s">
        <v>1451</v>
      </c>
      <c r="D372" s="55"/>
      <c r="E372" s="55" t="s">
        <v>1458</v>
      </c>
      <c r="F372" s="55" t="s">
        <v>1459</v>
      </c>
      <c r="G372" s="55">
        <v>30.0</v>
      </c>
      <c r="H372" s="55" t="s">
        <v>85</v>
      </c>
      <c r="I372" s="55" t="s">
        <v>86</v>
      </c>
      <c r="J372" s="56" t="s">
        <v>87</v>
      </c>
      <c r="K372" s="55" t="s">
        <v>1460</v>
      </c>
      <c r="L372" s="55" t="s">
        <v>34</v>
      </c>
      <c r="M372" s="55" t="s">
        <v>89</v>
      </c>
      <c r="N372" s="55" t="s">
        <v>90</v>
      </c>
      <c r="O372" s="55"/>
      <c r="P372" s="55" t="s">
        <v>91</v>
      </c>
      <c r="Q372" s="55"/>
      <c r="R372" s="55" t="s">
        <v>17</v>
      </c>
      <c r="S372" s="55"/>
      <c r="T372" s="55"/>
      <c r="U372" s="55"/>
      <c r="V372" s="55"/>
      <c r="W372" s="55"/>
      <c r="X372" s="57" t="str">
        <f t="shared" si="2"/>
        <v>--365-03-05</v>
      </c>
      <c r="Y372" s="58" t="str">
        <f t="shared" ref="Y372:AC372" si="370">TRIM(SUBSTITUTE(SUBSTITUTE(OFFSET($Q372,0,COLUMN()-COLUMN($AL$1)),CHAR(160)," "),_xludf.UNICHAR(8239)," "))</f>
        <v>#NAME?</v>
      </c>
      <c r="Z372" s="58" t="str">
        <f t="shared" si="370"/>
        <v>#NAME?</v>
      </c>
      <c r="AA372" s="58" t="str">
        <f t="shared" si="370"/>
        <v>#NAME?</v>
      </c>
      <c r="AB372" s="58" t="str">
        <f t="shared" si="370"/>
        <v>#NAME?</v>
      </c>
      <c r="AC372" s="58" t="str">
        <f t="shared" si="370"/>
        <v>#NAME?</v>
      </c>
      <c r="AD372" s="57">
        <f t="shared" si="4"/>
        <v>1</v>
      </c>
      <c r="AE372" s="57" t="str">
        <f t="shared" si="5"/>
        <v>2026-05</v>
      </c>
      <c r="AF372" s="57">
        <f t="shared" si="6"/>
        <v>1</v>
      </c>
      <c r="AG372" s="59">
        <f t="shared" si="7"/>
        <v>1</v>
      </c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</row>
    <row r="373" ht="24.0" customHeight="1">
      <c r="A373" s="53">
        <v>5.0</v>
      </c>
      <c r="B373" s="54" t="s">
        <v>1461</v>
      </c>
      <c r="C373" s="55" t="s">
        <v>1451</v>
      </c>
      <c r="D373" s="55"/>
      <c r="E373" s="55" t="s">
        <v>1462</v>
      </c>
      <c r="F373" s="55" t="s">
        <v>1463</v>
      </c>
      <c r="G373" s="55">
        <v>30.0</v>
      </c>
      <c r="H373" s="55" t="s">
        <v>85</v>
      </c>
      <c r="I373" s="55" t="s">
        <v>86</v>
      </c>
      <c r="J373" s="56" t="s">
        <v>87</v>
      </c>
      <c r="K373" s="55" t="s">
        <v>1464</v>
      </c>
      <c r="L373" s="55" t="s">
        <v>34</v>
      </c>
      <c r="M373" s="55" t="s">
        <v>89</v>
      </c>
      <c r="N373" s="55" t="s">
        <v>90</v>
      </c>
      <c r="O373" s="55"/>
      <c r="P373" s="55" t="s">
        <v>91</v>
      </c>
      <c r="Q373" s="55"/>
      <c r="R373" s="55" t="s">
        <v>36</v>
      </c>
      <c r="S373" s="55"/>
      <c r="T373" s="55"/>
      <c r="U373" s="55"/>
      <c r="V373" s="55"/>
      <c r="W373" s="55"/>
      <c r="X373" s="57" t="str">
        <f t="shared" si="2"/>
        <v>--366-03-05</v>
      </c>
      <c r="Y373" s="58" t="str">
        <f t="shared" ref="Y373:AC373" si="371">TRIM(SUBSTITUTE(SUBSTITUTE(OFFSET($Q373,0,COLUMN()-COLUMN($AL$1)),CHAR(160)," "),_xludf.UNICHAR(8239)," "))</f>
        <v>#NAME?</v>
      </c>
      <c r="Z373" s="58" t="str">
        <f t="shared" si="371"/>
        <v>#NAME?</v>
      </c>
      <c r="AA373" s="58" t="str">
        <f t="shared" si="371"/>
        <v>#NAME?</v>
      </c>
      <c r="AB373" s="58" t="str">
        <f t="shared" si="371"/>
        <v>#NAME?</v>
      </c>
      <c r="AC373" s="58" t="str">
        <f t="shared" si="371"/>
        <v>#NAME?</v>
      </c>
      <c r="AD373" s="57">
        <f t="shared" si="4"/>
        <v>1</v>
      </c>
      <c r="AE373" s="57" t="str">
        <f t="shared" si="5"/>
        <v>2026-05</v>
      </c>
      <c r="AF373" s="57">
        <f t="shared" si="6"/>
        <v>1</v>
      </c>
      <c r="AG373" s="59">
        <f t="shared" si="7"/>
        <v>1</v>
      </c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</row>
    <row r="374" ht="24.0" customHeight="1">
      <c r="A374" s="53">
        <v>6.0</v>
      </c>
      <c r="B374" s="54" t="s">
        <v>1465</v>
      </c>
      <c r="C374" s="55" t="s">
        <v>1451</v>
      </c>
      <c r="D374" s="55"/>
      <c r="E374" s="55" t="s">
        <v>1466</v>
      </c>
      <c r="F374" s="55" t="s">
        <v>1467</v>
      </c>
      <c r="G374" s="55">
        <v>33.0</v>
      </c>
      <c r="H374" s="55" t="s">
        <v>85</v>
      </c>
      <c r="I374" s="55" t="s">
        <v>86</v>
      </c>
      <c r="J374" s="56" t="s">
        <v>87</v>
      </c>
      <c r="K374" s="55" t="s">
        <v>1468</v>
      </c>
      <c r="L374" s="55" t="s">
        <v>34</v>
      </c>
      <c r="M374" s="55" t="s">
        <v>89</v>
      </c>
      <c r="N374" s="55" t="s">
        <v>90</v>
      </c>
      <c r="O374" s="55"/>
      <c r="P374" s="55" t="s">
        <v>91</v>
      </c>
      <c r="Q374" s="55"/>
      <c r="R374" s="55" t="s">
        <v>36</v>
      </c>
      <c r="S374" s="55"/>
      <c r="T374" s="55"/>
      <c r="U374" s="55"/>
      <c r="V374" s="55"/>
      <c r="W374" s="55"/>
      <c r="X374" s="57" t="str">
        <f t="shared" si="2"/>
        <v>--367-03-05</v>
      </c>
      <c r="Y374" s="58" t="str">
        <f t="shared" ref="Y374:AC374" si="372">TRIM(SUBSTITUTE(SUBSTITUTE(OFFSET($Q374,0,COLUMN()-COLUMN($AL$1)),CHAR(160)," "),_xludf.UNICHAR(8239)," "))</f>
        <v>#NAME?</v>
      </c>
      <c r="Z374" s="58" t="str">
        <f t="shared" si="372"/>
        <v>#NAME?</v>
      </c>
      <c r="AA374" s="58" t="str">
        <f t="shared" si="372"/>
        <v>#NAME?</v>
      </c>
      <c r="AB374" s="58" t="str">
        <f t="shared" si="372"/>
        <v>#NAME?</v>
      </c>
      <c r="AC374" s="58" t="str">
        <f t="shared" si="372"/>
        <v>#NAME?</v>
      </c>
      <c r="AD374" s="57">
        <f t="shared" si="4"/>
        <v>1</v>
      </c>
      <c r="AE374" s="57" t="str">
        <f t="shared" si="5"/>
        <v>2026-05</v>
      </c>
      <c r="AF374" s="57">
        <f t="shared" si="6"/>
        <v>1</v>
      </c>
      <c r="AG374" s="59">
        <f t="shared" si="7"/>
        <v>1</v>
      </c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</row>
    <row r="375" ht="24.0" customHeight="1">
      <c r="A375" s="53">
        <v>7.0</v>
      </c>
      <c r="B375" s="54" t="s">
        <v>1469</v>
      </c>
      <c r="C375" s="55" t="s">
        <v>1451</v>
      </c>
      <c r="D375" s="55"/>
      <c r="E375" s="55" t="s">
        <v>1470</v>
      </c>
      <c r="F375" s="55" t="s">
        <v>1471</v>
      </c>
      <c r="G375" s="55">
        <v>43.0</v>
      </c>
      <c r="H375" s="55" t="s">
        <v>85</v>
      </c>
      <c r="I375" s="55" t="s">
        <v>86</v>
      </c>
      <c r="J375" s="56" t="s">
        <v>87</v>
      </c>
      <c r="K375" s="55" t="s">
        <v>1472</v>
      </c>
      <c r="L375" s="55" t="s">
        <v>34</v>
      </c>
      <c r="M375" s="55" t="s">
        <v>398</v>
      </c>
      <c r="N375" s="55" t="s">
        <v>90</v>
      </c>
      <c r="O375" s="55"/>
      <c r="P375" s="55" t="s">
        <v>91</v>
      </c>
      <c r="Q375" s="55" t="s">
        <v>16</v>
      </c>
      <c r="R375" s="55"/>
      <c r="S375" s="55"/>
      <c r="T375" s="55"/>
      <c r="U375" s="55"/>
      <c r="V375" s="55"/>
      <c r="W375" s="55"/>
      <c r="X375" s="57" t="str">
        <f t="shared" si="2"/>
        <v>--368-03-05</v>
      </c>
      <c r="Y375" s="58" t="str">
        <f t="shared" ref="Y375:AC375" si="373">TRIM(SUBSTITUTE(SUBSTITUTE(OFFSET($Q375,0,COLUMN()-COLUMN($AL$1)),CHAR(160)," "),_xludf.UNICHAR(8239)," "))</f>
        <v>#NAME?</v>
      </c>
      <c r="Z375" s="58" t="str">
        <f t="shared" si="373"/>
        <v>#NAME?</v>
      </c>
      <c r="AA375" s="58" t="str">
        <f t="shared" si="373"/>
        <v>#NAME?</v>
      </c>
      <c r="AB375" s="58" t="str">
        <f t="shared" si="373"/>
        <v>#NAME?</v>
      </c>
      <c r="AC375" s="58" t="str">
        <f t="shared" si="373"/>
        <v>#NAME?</v>
      </c>
      <c r="AD375" s="57">
        <f t="shared" si="4"/>
        <v>1</v>
      </c>
      <c r="AE375" s="57" t="str">
        <f t="shared" si="5"/>
        <v>2026-05</v>
      </c>
      <c r="AF375" s="57">
        <f t="shared" si="6"/>
        <v>1</v>
      </c>
      <c r="AG375" s="59">
        <f t="shared" si="7"/>
        <v>1</v>
      </c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</row>
    <row r="376" ht="24.0" customHeight="1">
      <c r="A376" s="53">
        <v>8.0</v>
      </c>
      <c r="B376" s="54" t="s">
        <v>1473</v>
      </c>
      <c r="C376" s="55" t="s">
        <v>1451</v>
      </c>
      <c r="D376" s="55"/>
      <c r="E376" s="55" t="s">
        <v>1474</v>
      </c>
      <c r="F376" s="55" t="s">
        <v>1475</v>
      </c>
      <c r="G376" s="55">
        <v>55.0</v>
      </c>
      <c r="H376" s="55" t="s">
        <v>85</v>
      </c>
      <c r="I376" s="55" t="s">
        <v>86</v>
      </c>
      <c r="J376" s="56" t="s">
        <v>87</v>
      </c>
      <c r="K376" s="55" t="s">
        <v>1476</v>
      </c>
      <c r="L376" s="55" t="s">
        <v>34</v>
      </c>
      <c r="M376" s="55" t="s">
        <v>874</v>
      </c>
      <c r="N376" s="55" t="s">
        <v>90</v>
      </c>
      <c r="O376" s="55"/>
      <c r="P376" s="55" t="s">
        <v>91</v>
      </c>
      <c r="Q376" s="55" t="s">
        <v>4</v>
      </c>
      <c r="R376" s="55"/>
      <c r="S376" s="55"/>
      <c r="T376" s="55"/>
      <c r="U376" s="55"/>
      <c r="V376" s="55"/>
      <c r="W376" s="55"/>
      <c r="X376" s="57" t="str">
        <f t="shared" si="2"/>
        <v>--369-03-05</v>
      </c>
      <c r="Y376" s="58" t="str">
        <f t="shared" ref="Y376:AC376" si="374">TRIM(SUBSTITUTE(SUBSTITUTE(OFFSET($Q376,0,COLUMN()-COLUMN($AL$1)),CHAR(160)," "),_xludf.UNICHAR(8239)," "))</f>
        <v>#NAME?</v>
      </c>
      <c r="Z376" s="58" t="str">
        <f t="shared" si="374"/>
        <v>#NAME?</v>
      </c>
      <c r="AA376" s="58" t="str">
        <f t="shared" si="374"/>
        <v>#NAME?</v>
      </c>
      <c r="AB376" s="58" t="str">
        <f t="shared" si="374"/>
        <v>#NAME?</v>
      </c>
      <c r="AC376" s="58" t="str">
        <f t="shared" si="374"/>
        <v>#NAME?</v>
      </c>
      <c r="AD376" s="57">
        <f t="shared" si="4"/>
        <v>1</v>
      </c>
      <c r="AE376" s="57" t="str">
        <f t="shared" si="5"/>
        <v>2026-05</v>
      </c>
      <c r="AF376" s="57">
        <f t="shared" si="6"/>
        <v>1</v>
      </c>
      <c r="AG376" s="59">
        <f t="shared" si="7"/>
        <v>1</v>
      </c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</row>
    <row r="377" ht="24.0" customHeight="1">
      <c r="A377" s="53">
        <v>9.0</v>
      </c>
      <c r="B377" s="54" t="s">
        <v>1477</v>
      </c>
      <c r="C377" s="55" t="s">
        <v>1451</v>
      </c>
      <c r="D377" s="60">
        <v>46142.0</v>
      </c>
      <c r="E377" s="55" t="s">
        <v>1172</v>
      </c>
      <c r="F377" s="55" t="s">
        <v>1478</v>
      </c>
      <c r="G377" s="55">
        <v>8.0</v>
      </c>
      <c r="H377" s="55" t="s">
        <v>111</v>
      </c>
      <c r="I377" s="55" t="s">
        <v>112</v>
      </c>
      <c r="J377" s="56" t="s">
        <v>113</v>
      </c>
      <c r="K377" s="55" t="s">
        <v>1174</v>
      </c>
      <c r="L377" s="55" t="s">
        <v>34</v>
      </c>
      <c r="M377" s="55" t="s">
        <v>115</v>
      </c>
      <c r="N377" s="55" t="s">
        <v>90</v>
      </c>
      <c r="O377" s="55"/>
      <c r="P377" s="55" t="s">
        <v>91</v>
      </c>
      <c r="Q377" s="55" t="s">
        <v>4</v>
      </c>
      <c r="R377" s="55"/>
      <c r="S377" s="55" t="s">
        <v>6</v>
      </c>
      <c r="T377" s="55"/>
      <c r="U377" s="55"/>
      <c r="V377" s="55"/>
      <c r="W377" s="55"/>
      <c r="X377" s="57" t="str">
        <f t="shared" si="2"/>
        <v>--370-03-05</v>
      </c>
      <c r="Y377" s="58" t="str">
        <f t="shared" ref="Y377:AC377" si="375">TRIM(SUBSTITUTE(SUBSTITUTE(OFFSET($Q377,0,COLUMN()-COLUMN($AL$1)),CHAR(160)," "),_xludf.UNICHAR(8239)," "))</f>
        <v>#NAME?</v>
      </c>
      <c r="Z377" s="58" t="str">
        <f t="shared" si="375"/>
        <v>#NAME?</v>
      </c>
      <c r="AA377" s="58" t="str">
        <f t="shared" si="375"/>
        <v>#NAME?</v>
      </c>
      <c r="AB377" s="58" t="str">
        <f t="shared" si="375"/>
        <v>#NAME?</v>
      </c>
      <c r="AC377" s="58" t="str">
        <f t="shared" si="375"/>
        <v>#NAME?</v>
      </c>
      <c r="AD377" s="57">
        <f t="shared" si="4"/>
        <v>1</v>
      </c>
      <c r="AE377" s="57" t="str">
        <f t="shared" si="5"/>
        <v>2026-05</v>
      </c>
      <c r="AF377" s="57">
        <f t="shared" si="6"/>
        <v>1</v>
      </c>
      <c r="AG377" s="59">
        <f t="shared" si="7"/>
        <v>0</v>
      </c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</row>
    <row r="378" ht="24.0" customHeight="1">
      <c r="A378" s="53">
        <v>10.0</v>
      </c>
      <c r="B378" s="54" t="s">
        <v>1479</v>
      </c>
      <c r="C378" s="55" t="s">
        <v>1451</v>
      </c>
      <c r="D378" s="55"/>
      <c r="E378" s="55" t="s">
        <v>1480</v>
      </c>
      <c r="F378" s="55" t="s">
        <v>1481</v>
      </c>
      <c r="G378" s="55">
        <v>15.0</v>
      </c>
      <c r="H378" s="55" t="s">
        <v>111</v>
      </c>
      <c r="I378" s="55" t="s">
        <v>112</v>
      </c>
      <c r="J378" s="56" t="s">
        <v>113</v>
      </c>
      <c r="K378" s="55" t="s">
        <v>1482</v>
      </c>
      <c r="L378" s="55" t="s">
        <v>34</v>
      </c>
      <c r="M378" s="55" t="s">
        <v>133</v>
      </c>
      <c r="N378" s="55" t="s">
        <v>90</v>
      </c>
      <c r="O378" s="55"/>
      <c r="P378" s="55" t="s">
        <v>91</v>
      </c>
      <c r="Q378" s="55" t="s">
        <v>16</v>
      </c>
      <c r="R378" s="55"/>
      <c r="S378" s="55"/>
      <c r="T378" s="55"/>
      <c r="U378" s="55"/>
      <c r="V378" s="55"/>
      <c r="W378" s="55"/>
      <c r="X378" s="57" t="str">
        <f t="shared" si="2"/>
        <v>--371-03-05</v>
      </c>
      <c r="Y378" s="58" t="str">
        <f t="shared" ref="Y378:AC378" si="376">TRIM(SUBSTITUTE(SUBSTITUTE(OFFSET($Q378,0,COLUMN()-COLUMN($AL$1)),CHAR(160)," "),_xludf.UNICHAR(8239)," "))</f>
        <v>#NAME?</v>
      </c>
      <c r="Z378" s="58" t="str">
        <f t="shared" si="376"/>
        <v>#NAME?</v>
      </c>
      <c r="AA378" s="58" t="str">
        <f t="shared" si="376"/>
        <v>#NAME?</v>
      </c>
      <c r="AB378" s="58" t="str">
        <f t="shared" si="376"/>
        <v>#NAME?</v>
      </c>
      <c r="AC378" s="58" t="str">
        <f t="shared" si="376"/>
        <v>#NAME?</v>
      </c>
      <c r="AD378" s="57">
        <f t="shared" si="4"/>
        <v>1</v>
      </c>
      <c r="AE378" s="57" t="str">
        <f t="shared" si="5"/>
        <v>2026-05</v>
      </c>
      <c r="AF378" s="57">
        <f t="shared" si="6"/>
        <v>1</v>
      </c>
      <c r="AG378" s="59">
        <f t="shared" si="7"/>
        <v>1</v>
      </c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</row>
    <row r="379" ht="24.0" customHeight="1">
      <c r="A379" s="53">
        <v>11.0</v>
      </c>
      <c r="B379" s="54" t="s">
        <v>1483</v>
      </c>
      <c r="C379" s="55" t="s">
        <v>1451</v>
      </c>
      <c r="D379" s="55"/>
      <c r="E379" s="55" t="s">
        <v>1484</v>
      </c>
      <c r="F379" s="55" t="s">
        <v>1485</v>
      </c>
      <c r="G379" s="55">
        <v>38.0</v>
      </c>
      <c r="H379" s="55" t="s">
        <v>85</v>
      </c>
      <c r="I379" s="55" t="s">
        <v>112</v>
      </c>
      <c r="J379" s="56" t="s">
        <v>113</v>
      </c>
      <c r="K379" s="55" t="s">
        <v>1486</v>
      </c>
      <c r="L379" s="55" t="s">
        <v>34</v>
      </c>
      <c r="M379" s="55" t="s">
        <v>89</v>
      </c>
      <c r="N379" s="55" t="s">
        <v>90</v>
      </c>
      <c r="O379" s="55"/>
      <c r="P379" s="55" t="s">
        <v>91</v>
      </c>
      <c r="Q379" s="55" t="s">
        <v>16</v>
      </c>
      <c r="R379" s="55"/>
      <c r="S379" s="55"/>
      <c r="T379" s="55"/>
      <c r="U379" s="55"/>
      <c r="V379" s="55"/>
      <c r="W379" s="55"/>
      <c r="X379" s="57" t="str">
        <f t="shared" si="2"/>
        <v>--372-03-05</v>
      </c>
      <c r="Y379" s="58" t="str">
        <f t="shared" ref="Y379:AC379" si="377">TRIM(SUBSTITUTE(SUBSTITUTE(OFFSET($Q379,0,COLUMN()-COLUMN($AL$1)),CHAR(160)," "),_xludf.UNICHAR(8239)," "))</f>
        <v>#NAME?</v>
      </c>
      <c r="Z379" s="58" t="str">
        <f t="shared" si="377"/>
        <v>#NAME?</v>
      </c>
      <c r="AA379" s="58" t="str">
        <f t="shared" si="377"/>
        <v>#NAME?</v>
      </c>
      <c r="AB379" s="58" t="str">
        <f t="shared" si="377"/>
        <v>#NAME?</v>
      </c>
      <c r="AC379" s="58" t="str">
        <f t="shared" si="377"/>
        <v>#NAME?</v>
      </c>
      <c r="AD379" s="57">
        <f t="shared" si="4"/>
        <v>1</v>
      </c>
      <c r="AE379" s="57" t="str">
        <f t="shared" si="5"/>
        <v>2026-05</v>
      </c>
      <c r="AF379" s="57">
        <f t="shared" si="6"/>
        <v>1</v>
      </c>
      <c r="AG379" s="59">
        <f t="shared" si="7"/>
        <v>1</v>
      </c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</row>
    <row r="380" ht="24.0" customHeight="1">
      <c r="A380" s="53">
        <v>12.0</v>
      </c>
      <c r="B380" s="54" t="s">
        <v>221</v>
      </c>
      <c r="C380" s="55" t="s">
        <v>1451</v>
      </c>
      <c r="D380" s="60">
        <v>46138.0</v>
      </c>
      <c r="E380" s="55" t="s">
        <v>222</v>
      </c>
      <c r="F380" s="55" t="s">
        <v>1487</v>
      </c>
      <c r="G380" s="55">
        <v>38.0</v>
      </c>
      <c r="H380" s="55" t="s">
        <v>85</v>
      </c>
      <c r="I380" s="55" t="s">
        <v>86</v>
      </c>
      <c r="J380" s="56" t="s">
        <v>87</v>
      </c>
      <c r="K380" s="55" t="s">
        <v>224</v>
      </c>
      <c r="L380" s="55" t="s">
        <v>34</v>
      </c>
      <c r="M380" s="55" t="s">
        <v>89</v>
      </c>
      <c r="N380" s="55" t="s">
        <v>90</v>
      </c>
      <c r="O380" s="55"/>
      <c r="P380" s="55" t="s">
        <v>91</v>
      </c>
      <c r="Q380" s="55"/>
      <c r="R380" s="55" t="s">
        <v>36</v>
      </c>
      <c r="S380" s="55"/>
      <c r="T380" s="55"/>
      <c r="U380" s="55"/>
      <c r="V380" s="55"/>
      <c r="W380" s="55"/>
      <c r="X380" s="57" t="str">
        <f t="shared" si="2"/>
        <v>--373-03-05</v>
      </c>
      <c r="Y380" s="58" t="str">
        <f t="shared" ref="Y380:AC380" si="378">TRIM(SUBSTITUTE(SUBSTITUTE(OFFSET($Q380,0,COLUMN()-COLUMN($AL$1)),CHAR(160)," "),_xludf.UNICHAR(8239)," "))</f>
        <v>#NAME?</v>
      </c>
      <c r="Z380" s="58" t="str">
        <f t="shared" si="378"/>
        <v>#NAME?</v>
      </c>
      <c r="AA380" s="58" t="str">
        <f t="shared" si="378"/>
        <v>#NAME?</v>
      </c>
      <c r="AB380" s="58" t="str">
        <f t="shared" si="378"/>
        <v>#NAME?</v>
      </c>
      <c r="AC380" s="58" t="str">
        <f t="shared" si="378"/>
        <v>#NAME?</v>
      </c>
      <c r="AD380" s="57">
        <f t="shared" si="4"/>
        <v>1</v>
      </c>
      <c r="AE380" s="57" t="str">
        <f t="shared" si="5"/>
        <v>2026-05</v>
      </c>
      <c r="AF380" s="57">
        <f t="shared" si="6"/>
        <v>1</v>
      </c>
      <c r="AG380" s="59">
        <f t="shared" si="7"/>
        <v>0</v>
      </c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</row>
    <row r="381" ht="24.0" customHeight="1">
      <c r="A381" s="53">
        <v>13.0</v>
      </c>
      <c r="B381" s="54" t="s">
        <v>1488</v>
      </c>
      <c r="C381" s="55" t="s">
        <v>1451</v>
      </c>
      <c r="D381" s="55"/>
      <c r="E381" s="55" t="s">
        <v>1489</v>
      </c>
      <c r="F381" s="55" t="s">
        <v>1490</v>
      </c>
      <c r="G381" s="55">
        <v>30.0</v>
      </c>
      <c r="H381" s="55" t="s">
        <v>85</v>
      </c>
      <c r="I381" s="55" t="s">
        <v>86</v>
      </c>
      <c r="J381" s="56" t="s">
        <v>87</v>
      </c>
      <c r="K381" s="55" t="s">
        <v>1491</v>
      </c>
      <c r="L381" s="55" t="s">
        <v>44</v>
      </c>
      <c r="M381" s="55" t="s">
        <v>89</v>
      </c>
      <c r="N381" s="55" t="s">
        <v>90</v>
      </c>
      <c r="O381" s="55"/>
      <c r="P381" s="55" t="s">
        <v>91</v>
      </c>
      <c r="Q381" s="55"/>
      <c r="R381" s="55" t="s">
        <v>5</v>
      </c>
      <c r="S381" s="55"/>
      <c r="T381" s="55"/>
      <c r="U381" s="55" t="s">
        <v>7</v>
      </c>
      <c r="V381" s="55"/>
      <c r="W381" s="55"/>
      <c r="X381" s="57" t="str">
        <f t="shared" si="2"/>
        <v>--374-03-05</v>
      </c>
      <c r="Y381" s="58" t="str">
        <f t="shared" ref="Y381:AC381" si="379">TRIM(SUBSTITUTE(SUBSTITUTE(OFFSET($Q381,0,COLUMN()-COLUMN($AL$1)),CHAR(160)," "),_xludf.UNICHAR(8239)," "))</f>
        <v>#NAME?</v>
      </c>
      <c r="Z381" s="58" t="str">
        <f t="shared" si="379"/>
        <v>#NAME?</v>
      </c>
      <c r="AA381" s="58" t="str">
        <f t="shared" si="379"/>
        <v>#NAME?</v>
      </c>
      <c r="AB381" s="58" t="str">
        <f t="shared" si="379"/>
        <v>#NAME?</v>
      </c>
      <c r="AC381" s="58" t="str">
        <f t="shared" si="379"/>
        <v>#NAME?</v>
      </c>
      <c r="AD381" s="57">
        <f t="shared" si="4"/>
        <v>1</v>
      </c>
      <c r="AE381" s="57" t="str">
        <f t="shared" si="5"/>
        <v>2026-05</v>
      </c>
      <c r="AF381" s="57">
        <f t="shared" si="6"/>
        <v>1</v>
      </c>
      <c r="AG381" s="59">
        <f t="shared" si="7"/>
        <v>1</v>
      </c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</row>
    <row r="382" ht="24.0" customHeight="1">
      <c r="A382" s="53">
        <v>14.0</v>
      </c>
      <c r="B382" s="54" t="s">
        <v>1492</v>
      </c>
      <c r="C382" s="55" t="s">
        <v>1451</v>
      </c>
      <c r="D382" s="55"/>
      <c r="E382" s="55" t="s">
        <v>1493</v>
      </c>
      <c r="F382" s="55" t="s">
        <v>1494</v>
      </c>
      <c r="G382" s="55">
        <v>19.0</v>
      </c>
      <c r="H382" s="55" t="s">
        <v>85</v>
      </c>
      <c r="I382" s="55" t="s">
        <v>86</v>
      </c>
      <c r="J382" s="56" t="s">
        <v>87</v>
      </c>
      <c r="K382" s="55" t="s">
        <v>1495</v>
      </c>
      <c r="L382" s="55" t="s">
        <v>34</v>
      </c>
      <c r="M382" s="55" t="s">
        <v>89</v>
      </c>
      <c r="N382" s="55" t="s">
        <v>90</v>
      </c>
      <c r="O382" s="55"/>
      <c r="P382" s="55" t="s">
        <v>91</v>
      </c>
      <c r="Q382" s="55"/>
      <c r="R382" s="55" t="s">
        <v>5</v>
      </c>
      <c r="S382" s="55"/>
      <c r="T382" s="55"/>
      <c r="U382" s="55" t="s">
        <v>7</v>
      </c>
      <c r="V382" s="55"/>
      <c r="W382" s="55"/>
      <c r="X382" s="57" t="str">
        <f t="shared" si="2"/>
        <v>--375-03-05</v>
      </c>
      <c r="Y382" s="58" t="str">
        <f t="shared" ref="Y382:AC382" si="380">TRIM(SUBSTITUTE(SUBSTITUTE(OFFSET($Q382,0,COLUMN()-COLUMN($AL$1)),CHAR(160)," "),_xludf.UNICHAR(8239)," "))</f>
        <v>#NAME?</v>
      </c>
      <c r="Z382" s="58" t="str">
        <f t="shared" si="380"/>
        <v>#NAME?</v>
      </c>
      <c r="AA382" s="58" t="str">
        <f t="shared" si="380"/>
        <v>#NAME?</v>
      </c>
      <c r="AB382" s="58" t="str">
        <f t="shared" si="380"/>
        <v>#NAME?</v>
      </c>
      <c r="AC382" s="58" t="str">
        <f t="shared" si="380"/>
        <v>#NAME?</v>
      </c>
      <c r="AD382" s="57">
        <f t="shared" si="4"/>
        <v>1</v>
      </c>
      <c r="AE382" s="57" t="str">
        <f t="shared" si="5"/>
        <v>2026-05</v>
      </c>
      <c r="AF382" s="57">
        <f t="shared" si="6"/>
        <v>1</v>
      </c>
      <c r="AG382" s="59">
        <f t="shared" si="7"/>
        <v>1</v>
      </c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</row>
    <row r="383" ht="24.0" customHeight="1">
      <c r="A383" s="53">
        <v>15.0</v>
      </c>
      <c r="B383" s="54" t="s">
        <v>402</v>
      </c>
      <c r="C383" s="55" t="s">
        <v>1451</v>
      </c>
      <c r="D383" s="60">
        <v>46139.0</v>
      </c>
      <c r="E383" s="55" t="s">
        <v>403</v>
      </c>
      <c r="F383" s="55" t="s">
        <v>1496</v>
      </c>
      <c r="G383" s="55">
        <v>58.0</v>
      </c>
      <c r="H383" s="55" t="s">
        <v>85</v>
      </c>
      <c r="I383" s="55" t="s">
        <v>112</v>
      </c>
      <c r="J383" s="56" t="s">
        <v>113</v>
      </c>
      <c r="K383" s="55" t="s">
        <v>405</v>
      </c>
      <c r="L383" s="55" t="s">
        <v>34</v>
      </c>
      <c r="M383" s="55" t="s">
        <v>89</v>
      </c>
      <c r="N383" s="55" t="s">
        <v>90</v>
      </c>
      <c r="O383" s="55"/>
      <c r="P383" s="55" t="s">
        <v>91</v>
      </c>
      <c r="Q383" s="55" t="s">
        <v>4</v>
      </c>
      <c r="R383" s="55"/>
      <c r="S383" s="55"/>
      <c r="T383" s="55"/>
      <c r="U383" s="55"/>
      <c r="V383" s="55"/>
      <c r="W383" s="55"/>
      <c r="X383" s="57" t="str">
        <f t="shared" si="2"/>
        <v>--376-03-05</v>
      </c>
      <c r="Y383" s="58" t="str">
        <f t="shared" ref="Y383:AC383" si="381">TRIM(SUBSTITUTE(SUBSTITUTE(OFFSET($Q383,0,COLUMN()-COLUMN($AL$1)),CHAR(160)," "),_xludf.UNICHAR(8239)," "))</f>
        <v>#NAME?</v>
      </c>
      <c r="Z383" s="58" t="str">
        <f t="shared" si="381"/>
        <v>#NAME?</v>
      </c>
      <c r="AA383" s="58" t="str">
        <f t="shared" si="381"/>
        <v>#NAME?</v>
      </c>
      <c r="AB383" s="58" t="str">
        <f t="shared" si="381"/>
        <v>#NAME?</v>
      </c>
      <c r="AC383" s="58" t="str">
        <f t="shared" si="381"/>
        <v>#NAME?</v>
      </c>
      <c r="AD383" s="57">
        <f t="shared" si="4"/>
        <v>1</v>
      </c>
      <c r="AE383" s="57" t="str">
        <f t="shared" si="5"/>
        <v>2026-05</v>
      </c>
      <c r="AF383" s="57">
        <f t="shared" si="6"/>
        <v>1</v>
      </c>
      <c r="AG383" s="59">
        <f t="shared" si="7"/>
        <v>0</v>
      </c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</row>
    <row r="384" ht="24.0" customHeight="1">
      <c r="A384" s="53">
        <v>16.0</v>
      </c>
      <c r="B384" s="54" t="s">
        <v>121</v>
      </c>
      <c r="C384" s="55" t="s">
        <v>1451</v>
      </c>
      <c r="D384" s="60">
        <v>46138.0</v>
      </c>
      <c r="E384" s="55" t="s">
        <v>122</v>
      </c>
      <c r="F384" s="55" t="s">
        <v>1497</v>
      </c>
      <c r="G384" s="55">
        <v>45.0</v>
      </c>
      <c r="H384" s="55" t="s">
        <v>85</v>
      </c>
      <c r="I384" s="55" t="s">
        <v>86</v>
      </c>
      <c r="J384" s="56" t="s">
        <v>87</v>
      </c>
      <c r="K384" s="55" t="s">
        <v>124</v>
      </c>
      <c r="L384" s="55" t="s">
        <v>34</v>
      </c>
      <c r="M384" s="55" t="s">
        <v>89</v>
      </c>
      <c r="N384" s="55" t="s">
        <v>90</v>
      </c>
      <c r="O384" s="55"/>
      <c r="P384" s="55" t="s">
        <v>91</v>
      </c>
      <c r="Q384" s="55" t="s">
        <v>4</v>
      </c>
      <c r="R384" s="55"/>
      <c r="S384" s="55"/>
      <c r="T384" s="55"/>
      <c r="U384" s="55"/>
      <c r="V384" s="55"/>
      <c r="W384" s="55"/>
      <c r="X384" s="57" t="str">
        <f t="shared" si="2"/>
        <v>--377-03-05</v>
      </c>
      <c r="Y384" s="58" t="str">
        <f t="shared" ref="Y384:AC384" si="382">TRIM(SUBSTITUTE(SUBSTITUTE(OFFSET($Q384,0,COLUMN()-COLUMN($AL$1)),CHAR(160)," "),_xludf.UNICHAR(8239)," "))</f>
        <v>#NAME?</v>
      </c>
      <c r="Z384" s="58" t="str">
        <f t="shared" si="382"/>
        <v>#NAME?</v>
      </c>
      <c r="AA384" s="58" t="str">
        <f t="shared" si="382"/>
        <v>#NAME?</v>
      </c>
      <c r="AB384" s="58" t="str">
        <f t="shared" si="382"/>
        <v>#NAME?</v>
      </c>
      <c r="AC384" s="58" t="str">
        <f t="shared" si="382"/>
        <v>#NAME?</v>
      </c>
      <c r="AD384" s="57">
        <f t="shared" si="4"/>
        <v>1</v>
      </c>
      <c r="AE384" s="57" t="str">
        <f t="shared" si="5"/>
        <v>2026-05</v>
      </c>
      <c r="AF384" s="57">
        <f t="shared" si="6"/>
        <v>1</v>
      </c>
      <c r="AG384" s="59">
        <f t="shared" si="7"/>
        <v>0</v>
      </c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</row>
    <row r="385" ht="24.0" customHeight="1">
      <c r="A385" s="53">
        <v>17.0</v>
      </c>
      <c r="B385" s="54" t="s">
        <v>1498</v>
      </c>
      <c r="C385" s="55" t="s">
        <v>1451</v>
      </c>
      <c r="D385" s="55"/>
      <c r="E385" s="55" t="s">
        <v>1499</v>
      </c>
      <c r="F385" s="55" t="s">
        <v>1500</v>
      </c>
      <c r="G385" s="55">
        <v>1.0</v>
      </c>
      <c r="H385" s="55" t="s">
        <v>119</v>
      </c>
      <c r="I385" s="55" t="s">
        <v>86</v>
      </c>
      <c r="J385" s="56" t="s">
        <v>87</v>
      </c>
      <c r="K385" s="55" t="s">
        <v>1501</v>
      </c>
      <c r="L385" s="55" t="s">
        <v>34</v>
      </c>
      <c r="M385" s="55" t="s">
        <v>115</v>
      </c>
      <c r="N385" s="55" t="s">
        <v>90</v>
      </c>
      <c r="O385" s="55"/>
      <c r="P385" s="55" t="s">
        <v>91</v>
      </c>
      <c r="Q385" s="55" t="s">
        <v>16</v>
      </c>
      <c r="R385" s="55"/>
      <c r="S385" s="55"/>
      <c r="T385" s="55"/>
      <c r="U385" s="55"/>
      <c r="V385" s="55"/>
      <c r="W385" s="55"/>
      <c r="X385" s="57" t="str">
        <f t="shared" si="2"/>
        <v>--378-03-05</v>
      </c>
      <c r="Y385" s="58" t="str">
        <f t="shared" ref="Y385:AC385" si="383">TRIM(SUBSTITUTE(SUBSTITUTE(OFFSET($Q385,0,COLUMN()-COLUMN($AL$1)),CHAR(160)," "),_xludf.UNICHAR(8239)," "))</f>
        <v>#NAME?</v>
      </c>
      <c r="Z385" s="58" t="str">
        <f t="shared" si="383"/>
        <v>#NAME?</v>
      </c>
      <c r="AA385" s="58" t="str">
        <f t="shared" si="383"/>
        <v>#NAME?</v>
      </c>
      <c r="AB385" s="58" t="str">
        <f t="shared" si="383"/>
        <v>#NAME?</v>
      </c>
      <c r="AC385" s="58" t="str">
        <f t="shared" si="383"/>
        <v>#NAME?</v>
      </c>
      <c r="AD385" s="57">
        <f t="shared" si="4"/>
        <v>1</v>
      </c>
      <c r="AE385" s="57" t="str">
        <f t="shared" si="5"/>
        <v>2026-05</v>
      </c>
      <c r="AF385" s="57">
        <f t="shared" si="6"/>
        <v>1</v>
      </c>
      <c r="AG385" s="59">
        <f t="shared" si="7"/>
        <v>1</v>
      </c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</row>
    <row r="386" ht="24.0" customHeight="1">
      <c r="A386" s="53">
        <v>18.0</v>
      </c>
      <c r="B386" s="54" t="s">
        <v>1502</v>
      </c>
      <c r="C386" s="55" t="s">
        <v>1451</v>
      </c>
      <c r="D386" s="55"/>
      <c r="E386" s="55" t="s">
        <v>1503</v>
      </c>
      <c r="F386" s="55" t="s">
        <v>1504</v>
      </c>
      <c r="G386" s="55">
        <v>25.0</v>
      </c>
      <c r="H386" s="55" t="s">
        <v>85</v>
      </c>
      <c r="I386" s="55" t="s">
        <v>86</v>
      </c>
      <c r="J386" s="56" t="s">
        <v>87</v>
      </c>
      <c r="K386" s="55" t="s">
        <v>1505</v>
      </c>
      <c r="L386" s="55" t="s">
        <v>34</v>
      </c>
      <c r="M386" s="55" t="s">
        <v>115</v>
      </c>
      <c r="N386" s="55" t="s">
        <v>90</v>
      </c>
      <c r="O386" s="55"/>
      <c r="P386" s="55" t="s">
        <v>91</v>
      </c>
      <c r="Q386" s="55" t="s">
        <v>16</v>
      </c>
      <c r="R386" s="55"/>
      <c r="S386" s="55"/>
      <c r="T386" s="55"/>
      <c r="U386" s="55"/>
      <c r="V386" s="55"/>
      <c r="W386" s="55"/>
      <c r="X386" s="57" t="str">
        <f t="shared" si="2"/>
        <v>--379-03-05</v>
      </c>
      <c r="Y386" s="58" t="str">
        <f t="shared" ref="Y386:AC386" si="384">TRIM(SUBSTITUTE(SUBSTITUTE(OFFSET($Q386,0,COLUMN()-COLUMN($AL$1)),CHAR(160)," "),_xludf.UNICHAR(8239)," "))</f>
        <v>#NAME?</v>
      </c>
      <c r="Z386" s="58" t="str">
        <f t="shared" si="384"/>
        <v>#NAME?</v>
      </c>
      <c r="AA386" s="58" t="str">
        <f t="shared" si="384"/>
        <v>#NAME?</v>
      </c>
      <c r="AB386" s="58" t="str">
        <f t="shared" si="384"/>
        <v>#NAME?</v>
      </c>
      <c r="AC386" s="58" t="str">
        <f t="shared" si="384"/>
        <v>#NAME?</v>
      </c>
      <c r="AD386" s="57">
        <f t="shared" si="4"/>
        <v>1</v>
      </c>
      <c r="AE386" s="57" t="str">
        <f t="shared" si="5"/>
        <v>2026-05</v>
      </c>
      <c r="AF386" s="57">
        <f t="shared" si="6"/>
        <v>1</v>
      </c>
      <c r="AG386" s="59">
        <f t="shared" si="7"/>
        <v>1</v>
      </c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</row>
    <row r="387" ht="24.0" customHeight="1">
      <c r="A387" s="53">
        <v>19.0</v>
      </c>
      <c r="B387" s="54" t="s">
        <v>1506</v>
      </c>
      <c r="C387" s="55" t="s">
        <v>1451</v>
      </c>
      <c r="D387" s="55"/>
      <c r="E387" s="55" t="s">
        <v>1507</v>
      </c>
      <c r="F387" s="55" t="s">
        <v>1508</v>
      </c>
      <c r="G387" s="55">
        <v>27.0</v>
      </c>
      <c r="H387" s="55" t="s">
        <v>85</v>
      </c>
      <c r="I387" s="55" t="s">
        <v>86</v>
      </c>
      <c r="J387" s="56" t="s">
        <v>87</v>
      </c>
      <c r="K387" s="55" t="s">
        <v>1509</v>
      </c>
      <c r="L387" s="55" t="s">
        <v>34</v>
      </c>
      <c r="M387" s="55" t="s">
        <v>89</v>
      </c>
      <c r="N387" s="55" t="s">
        <v>90</v>
      </c>
      <c r="O387" s="55"/>
      <c r="P387" s="55" t="s">
        <v>91</v>
      </c>
      <c r="Q387" s="55"/>
      <c r="R387" s="55" t="s">
        <v>5</v>
      </c>
      <c r="S387" s="55"/>
      <c r="T387" s="55"/>
      <c r="U387" s="55" t="s">
        <v>7</v>
      </c>
      <c r="V387" s="55"/>
      <c r="W387" s="55"/>
      <c r="X387" s="57" t="str">
        <f t="shared" si="2"/>
        <v>--380-03-05</v>
      </c>
      <c r="Y387" s="58" t="str">
        <f t="shared" ref="Y387:AC387" si="385">TRIM(SUBSTITUTE(SUBSTITUTE(OFFSET($Q387,0,COLUMN()-COLUMN($AL$1)),CHAR(160)," "),_xludf.UNICHAR(8239)," "))</f>
        <v>#NAME?</v>
      </c>
      <c r="Z387" s="58" t="str">
        <f t="shared" si="385"/>
        <v>#NAME?</v>
      </c>
      <c r="AA387" s="58" t="str">
        <f t="shared" si="385"/>
        <v>#NAME?</v>
      </c>
      <c r="AB387" s="58" t="str">
        <f t="shared" si="385"/>
        <v>#NAME?</v>
      </c>
      <c r="AC387" s="58" t="str">
        <f t="shared" si="385"/>
        <v>#NAME?</v>
      </c>
      <c r="AD387" s="57">
        <f t="shared" si="4"/>
        <v>1</v>
      </c>
      <c r="AE387" s="57" t="str">
        <f t="shared" si="5"/>
        <v>2026-05</v>
      </c>
      <c r="AF387" s="57">
        <f t="shared" si="6"/>
        <v>1</v>
      </c>
      <c r="AG387" s="59">
        <f t="shared" si="7"/>
        <v>1</v>
      </c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</row>
    <row r="388" ht="24.0" customHeight="1">
      <c r="A388" s="53">
        <v>20.0</v>
      </c>
      <c r="B388" s="54" t="s">
        <v>1510</v>
      </c>
      <c r="C388" s="55" t="s">
        <v>1451</v>
      </c>
      <c r="D388" s="55"/>
      <c r="E388" s="55" t="s">
        <v>1511</v>
      </c>
      <c r="F388" s="55" t="s">
        <v>1512</v>
      </c>
      <c r="G388" s="55">
        <v>26.0</v>
      </c>
      <c r="H388" s="55" t="s">
        <v>85</v>
      </c>
      <c r="I388" s="55" t="s">
        <v>86</v>
      </c>
      <c r="J388" s="56" t="s">
        <v>87</v>
      </c>
      <c r="K388" s="55" t="s">
        <v>1513</v>
      </c>
      <c r="L388" s="55" t="s">
        <v>34</v>
      </c>
      <c r="M388" s="55" t="s">
        <v>89</v>
      </c>
      <c r="N388" s="55" t="s">
        <v>90</v>
      </c>
      <c r="O388" s="55"/>
      <c r="P388" s="55" t="s">
        <v>91</v>
      </c>
      <c r="Q388" s="55"/>
      <c r="R388" s="55" t="s">
        <v>5</v>
      </c>
      <c r="S388" s="55"/>
      <c r="T388" s="55"/>
      <c r="U388" s="55" t="s">
        <v>7</v>
      </c>
      <c r="V388" s="55"/>
      <c r="W388" s="55"/>
      <c r="X388" s="57" t="str">
        <f t="shared" si="2"/>
        <v>--381-03-05</v>
      </c>
      <c r="Y388" s="58" t="str">
        <f t="shared" ref="Y388:AC388" si="386">TRIM(SUBSTITUTE(SUBSTITUTE(OFFSET($Q388,0,COLUMN()-COLUMN($AL$1)),CHAR(160)," "),_xludf.UNICHAR(8239)," "))</f>
        <v>#NAME?</v>
      </c>
      <c r="Z388" s="58" t="str">
        <f t="shared" si="386"/>
        <v>#NAME?</v>
      </c>
      <c r="AA388" s="58" t="str">
        <f t="shared" si="386"/>
        <v>#NAME?</v>
      </c>
      <c r="AB388" s="58" t="str">
        <f t="shared" si="386"/>
        <v>#NAME?</v>
      </c>
      <c r="AC388" s="58" t="str">
        <f t="shared" si="386"/>
        <v>#NAME?</v>
      </c>
      <c r="AD388" s="57">
        <f t="shared" si="4"/>
        <v>1</v>
      </c>
      <c r="AE388" s="57" t="str">
        <f t="shared" si="5"/>
        <v>2026-05</v>
      </c>
      <c r="AF388" s="57">
        <f t="shared" si="6"/>
        <v>1</v>
      </c>
      <c r="AG388" s="59">
        <f t="shared" si="7"/>
        <v>1</v>
      </c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</row>
    <row r="389" ht="24.0" customHeight="1">
      <c r="A389" s="53">
        <v>21.0</v>
      </c>
      <c r="B389" s="54" t="s">
        <v>1514</v>
      </c>
      <c r="C389" s="55" t="s">
        <v>1451</v>
      </c>
      <c r="D389" s="55"/>
      <c r="E389" s="55" t="s">
        <v>1515</v>
      </c>
      <c r="F389" s="55" t="s">
        <v>1516</v>
      </c>
      <c r="G389" s="55">
        <v>19.0</v>
      </c>
      <c r="H389" s="55" t="s">
        <v>85</v>
      </c>
      <c r="I389" s="55" t="s">
        <v>86</v>
      </c>
      <c r="J389" s="56" t="s">
        <v>87</v>
      </c>
      <c r="K389" s="55" t="s">
        <v>1517</v>
      </c>
      <c r="L389" s="55" t="s">
        <v>34</v>
      </c>
      <c r="M389" s="55" t="s">
        <v>133</v>
      </c>
      <c r="N389" s="55" t="s">
        <v>90</v>
      </c>
      <c r="O389" s="55"/>
      <c r="P389" s="55" t="s">
        <v>91</v>
      </c>
      <c r="Q389" s="55" t="s">
        <v>16</v>
      </c>
      <c r="R389" s="55"/>
      <c r="S389" s="55"/>
      <c r="T389" s="55"/>
      <c r="U389" s="55"/>
      <c r="V389" s="55"/>
      <c r="W389" s="55"/>
      <c r="X389" s="57" t="str">
        <f t="shared" si="2"/>
        <v>--382-03-05</v>
      </c>
      <c r="Y389" s="58" t="str">
        <f t="shared" ref="Y389:AC389" si="387">TRIM(SUBSTITUTE(SUBSTITUTE(OFFSET($Q389,0,COLUMN()-COLUMN($AL$1)),CHAR(160)," "),_xludf.UNICHAR(8239)," "))</f>
        <v>#NAME?</v>
      </c>
      <c r="Z389" s="58" t="str">
        <f t="shared" si="387"/>
        <v>#NAME?</v>
      </c>
      <c r="AA389" s="58" t="str">
        <f t="shared" si="387"/>
        <v>#NAME?</v>
      </c>
      <c r="AB389" s="58" t="str">
        <f t="shared" si="387"/>
        <v>#NAME?</v>
      </c>
      <c r="AC389" s="58" t="str">
        <f t="shared" si="387"/>
        <v>#NAME?</v>
      </c>
      <c r="AD389" s="57">
        <f t="shared" si="4"/>
        <v>1</v>
      </c>
      <c r="AE389" s="57" t="str">
        <f t="shared" si="5"/>
        <v>2026-05</v>
      </c>
      <c r="AF389" s="57">
        <f t="shared" si="6"/>
        <v>1</v>
      </c>
      <c r="AG389" s="59">
        <f t="shared" si="7"/>
        <v>1</v>
      </c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</row>
    <row r="390" ht="24.0" customHeight="1">
      <c r="A390" s="53">
        <v>22.0</v>
      </c>
      <c r="B390" s="54" t="s">
        <v>765</v>
      </c>
      <c r="C390" s="55" t="s">
        <v>1451</v>
      </c>
      <c r="D390" s="60">
        <v>46140.0</v>
      </c>
      <c r="E390" s="55" t="s">
        <v>766</v>
      </c>
      <c r="F390" s="55" t="s">
        <v>767</v>
      </c>
      <c r="G390" s="55">
        <v>45.0</v>
      </c>
      <c r="H390" s="55" t="s">
        <v>85</v>
      </c>
      <c r="I390" s="55" t="s">
        <v>86</v>
      </c>
      <c r="J390" s="56" t="s">
        <v>87</v>
      </c>
      <c r="K390" s="55" t="s">
        <v>768</v>
      </c>
      <c r="L390" s="55" t="s">
        <v>34</v>
      </c>
      <c r="M390" s="55" t="s">
        <v>89</v>
      </c>
      <c r="N390" s="55" t="s">
        <v>90</v>
      </c>
      <c r="O390" s="55"/>
      <c r="P390" s="55" t="s">
        <v>91</v>
      </c>
      <c r="Q390" s="55" t="s">
        <v>16</v>
      </c>
      <c r="R390" s="55"/>
      <c r="S390" s="55"/>
      <c r="T390" s="55"/>
      <c r="U390" s="55"/>
      <c r="V390" s="55"/>
      <c r="W390" s="55"/>
      <c r="X390" s="57" t="str">
        <f t="shared" si="2"/>
        <v>--383-03-05</v>
      </c>
      <c r="Y390" s="58" t="str">
        <f t="shared" ref="Y390:AC390" si="388">TRIM(SUBSTITUTE(SUBSTITUTE(OFFSET($Q390,0,COLUMN()-COLUMN($AL$1)),CHAR(160)," "),_xludf.UNICHAR(8239)," "))</f>
        <v>#NAME?</v>
      </c>
      <c r="Z390" s="58" t="str">
        <f t="shared" si="388"/>
        <v>#NAME?</v>
      </c>
      <c r="AA390" s="58" t="str">
        <f t="shared" si="388"/>
        <v>#NAME?</v>
      </c>
      <c r="AB390" s="58" t="str">
        <f t="shared" si="388"/>
        <v>#NAME?</v>
      </c>
      <c r="AC390" s="58" t="str">
        <f t="shared" si="388"/>
        <v>#NAME?</v>
      </c>
      <c r="AD390" s="57">
        <f t="shared" si="4"/>
        <v>1</v>
      </c>
      <c r="AE390" s="57" t="str">
        <f t="shared" si="5"/>
        <v>2026-05</v>
      </c>
      <c r="AF390" s="57">
        <f t="shared" si="6"/>
        <v>1</v>
      </c>
      <c r="AG390" s="59">
        <f t="shared" si="7"/>
        <v>0</v>
      </c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</row>
    <row r="391" ht="24.0" customHeight="1">
      <c r="A391" s="53">
        <v>23.0</v>
      </c>
      <c r="B391" s="54" t="s">
        <v>944</v>
      </c>
      <c r="C391" s="55" t="s">
        <v>1451</v>
      </c>
      <c r="D391" s="60">
        <v>46141.0</v>
      </c>
      <c r="E391" s="55" t="s">
        <v>946</v>
      </c>
      <c r="F391" s="55" t="s">
        <v>1518</v>
      </c>
      <c r="G391" s="55">
        <v>48.0</v>
      </c>
      <c r="H391" s="55" t="s">
        <v>85</v>
      </c>
      <c r="I391" s="55" t="s">
        <v>86</v>
      </c>
      <c r="J391" s="56" t="s">
        <v>87</v>
      </c>
      <c r="K391" s="55" t="s">
        <v>948</v>
      </c>
      <c r="L391" s="55" t="s">
        <v>34</v>
      </c>
      <c r="M391" s="55" t="s">
        <v>89</v>
      </c>
      <c r="N391" s="55" t="s">
        <v>90</v>
      </c>
      <c r="O391" s="55"/>
      <c r="P391" s="55" t="s">
        <v>91</v>
      </c>
      <c r="Q391" s="55" t="s">
        <v>4</v>
      </c>
      <c r="R391" s="55"/>
      <c r="S391" s="55"/>
      <c r="T391" s="55"/>
      <c r="U391" s="55"/>
      <c r="V391" s="55"/>
      <c r="W391" s="55"/>
      <c r="X391" s="57" t="str">
        <f t="shared" si="2"/>
        <v>--384-03-05</v>
      </c>
      <c r="Y391" s="58" t="str">
        <f t="shared" ref="Y391:AC391" si="389">TRIM(SUBSTITUTE(SUBSTITUTE(OFFSET($Q391,0,COLUMN()-COLUMN($AL$1)),CHAR(160)," "),_xludf.UNICHAR(8239)," "))</f>
        <v>#NAME?</v>
      </c>
      <c r="Z391" s="58" t="str">
        <f t="shared" si="389"/>
        <v>#NAME?</v>
      </c>
      <c r="AA391" s="58" t="str">
        <f t="shared" si="389"/>
        <v>#NAME?</v>
      </c>
      <c r="AB391" s="58" t="str">
        <f t="shared" si="389"/>
        <v>#NAME?</v>
      </c>
      <c r="AC391" s="58" t="str">
        <f t="shared" si="389"/>
        <v>#NAME?</v>
      </c>
      <c r="AD391" s="57">
        <f t="shared" si="4"/>
        <v>1</v>
      </c>
      <c r="AE391" s="57" t="str">
        <f t="shared" si="5"/>
        <v>2026-05</v>
      </c>
      <c r="AF391" s="57">
        <f t="shared" si="6"/>
        <v>1</v>
      </c>
      <c r="AG391" s="59">
        <f t="shared" si="7"/>
        <v>0</v>
      </c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</row>
    <row r="392" ht="24.0" customHeight="1">
      <c r="A392" s="53">
        <v>24.0</v>
      </c>
      <c r="B392" s="54" t="s">
        <v>949</v>
      </c>
      <c r="C392" s="55" t="s">
        <v>1451</v>
      </c>
      <c r="D392" s="60">
        <v>46141.0</v>
      </c>
      <c r="E392" s="55" t="s">
        <v>950</v>
      </c>
      <c r="F392" s="55" t="s">
        <v>951</v>
      </c>
      <c r="G392" s="55">
        <v>35.0</v>
      </c>
      <c r="H392" s="55" t="s">
        <v>85</v>
      </c>
      <c r="I392" s="55" t="s">
        <v>86</v>
      </c>
      <c r="J392" s="56" t="s">
        <v>87</v>
      </c>
      <c r="K392" s="55" t="s">
        <v>948</v>
      </c>
      <c r="L392" s="55" t="s">
        <v>34</v>
      </c>
      <c r="M392" s="55" t="s">
        <v>89</v>
      </c>
      <c r="N392" s="55" t="s">
        <v>90</v>
      </c>
      <c r="O392" s="55"/>
      <c r="P392" s="55" t="s">
        <v>91</v>
      </c>
      <c r="Q392" s="55" t="s">
        <v>4</v>
      </c>
      <c r="R392" s="55"/>
      <c r="S392" s="55"/>
      <c r="T392" s="55"/>
      <c r="U392" s="55"/>
      <c r="V392" s="55"/>
      <c r="W392" s="55"/>
      <c r="X392" s="57" t="str">
        <f t="shared" si="2"/>
        <v>--385-03-05</v>
      </c>
      <c r="Y392" s="58" t="str">
        <f t="shared" ref="Y392:AC392" si="390">TRIM(SUBSTITUTE(SUBSTITUTE(OFFSET($Q392,0,COLUMN()-COLUMN($AL$1)),CHAR(160)," "),_xludf.UNICHAR(8239)," "))</f>
        <v>#NAME?</v>
      </c>
      <c r="Z392" s="58" t="str">
        <f t="shared" si="390"/>
        <v>#NAME?</v>
      </c>
      <c r="AA392" s="58" t="str">
        <f t="shared" si="390"/>
        <v>#NAME?</v>
      </c>
      <c r="AB392" s="58" t="str">
        <f t="shared" si="390"/>
        <v>#NAME?</v>
      </c>
      <c r="AC392" s="58" t="str">
        <f t="shared" si="390"/>
        <v>#NAME?</v>
      </c>
      <c r="AD392" s="57">
        <f t="shared" si="4"/>
        <v>1</v>
      </c>
      <c r="AE392" s="57" t="str">
        <f t="shared" si="5"/>
        <v>2026-05</v>
      </c>
      <c r="AF392" s="57">
        <f t="shared" si="6"/>
        <v>1</v>
      </c>
      <c r="AG392" s="59">
        <f t="shared" si="7"/>
        <v>0</v>
      </c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</row>
    <row r="393" ht="24.0" customHeight="1">
      <c r="A393" s="53">
        <v>25.0</v>
      </c>
      <c r="B393" s="54" t="s">
        <v>1519</v>
      </c>
      <c r="C393" s="55" t="s">
        <v>1451</v>
      </c>
      <c r="D393" s="55"/>
      <c r="E393" s="55" t="s">
        <v>1520</v>
      </c>
      <c r="F393" s="55" t="s">
        <v>1521</v>
      </c>
      <c r="G393" s="55">
        <v>9.0</v>
      </c>
      <c r="H393" s="55" t="s">
        <v>111</v>
      </c>
      <c r="I393" s="55" t="s">
        <v>112</v>
      </c>
      <c r="J393" s="56" t="s">
        <v>113</v>
      </c>
      <c r="K393" s="55" t="s">
        <v>1522</v>
      </c>
      <c r="L393" s="55" t="s">
        <v>34</v>
      </c>
      <c r="M393" s="55" t="s">
        <v>115</v>
      </c>
      <c r="N393" s="55" t="s">
        <v>90</v>
      </c>
      <c r="O393" s="55"/>
      <c r="P393" s="55" t="s">
        <v>91</v>
      </c>
      <c r="Q393" s="55" t="s">
        <v>16</v>
      </c>
      <c r="R393" s="55"/>
      <c r="S393" s="55"/>
      <c r="T393" s="55"/>
      <c r="U393" s="55"/>
      <c r="V393" s="55"/>
      <c r="W393" s="55"/>
      <c r="X393" s="57" t="str">
        <f t="shared" si="2"/>
        <v>--386-03-05</v>
      </c>
      <c r="Y393" s="58" t="str">
        <f t="shared" ref="Y393:AC393" si="391">TRIM(SUBSTITUTE(SUBSTITUTE(OFFSET($Q393,0,COLUMN()-COLUMN($AL$1)),CHAR(160)," "),_xludf.UNICHAR(8239)," "))</f>
        <v>#NAME?</v>
      </c>
      <c r="Z393" s="58" t="str">
        <f t="shared" si="391"/>
        <v>#NAME?</v>
      </c>
      <c r="AA393" s="58" t="str">
        <f t="shared" si="391"/>
        <v>#NAME?</v>
      </c>
      <c r="AB393" s="58" t="str">
        <f t="shared" si="391"/>
        <v>#NAME?</v>
      </c>
      <c r="AC393" s="58" t="str">
        <f t="shared" si="391"/>
        <v>#NAME?</v>
      </c>
      <c r="AD393" s="57">
        <f t="shared" si="4"/>
        <v>1</v>
      </c>
      <c r="AE393" s="57" t="str">
        <f t="shared" si="5"/>
        <v>2026-05</v>
      </c>
      <c r="AF393" s="57">
        <f t="shared" si="6"/>
        <v>1</v>
      </c>
      <c r="AG393" s="59">
        <f t="shared" si="7"/>
        <v>1</v>
      </c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</row>
    <row r="394" ht="24.0" customHeight="1">
      <c r="A394" s="53">
        <v>26.0</v>
      </c>
      <c r="B394" s="54" t="s">
        <v>1523</v>
      </c>
      <c r="C394" s="55" t="s">
        <v>1451</v>
      </c>
      <c r="D394" s="55"/>
      <c r="E394" s="55" t="s">
        <v>1524</v>
      </c>
      <c r="F394" s="55" t="s">
        <v>1525</v>
      </c>
      <c r="G394" s="55">
        <v>29.0</v>
      </c>
      <c r="H394" s="55" t="s">
        <v>85</v>
      </c>
      <c r="I394" s="55" t="s">
        <v>86</v>
      </c>
      <c r="J394" s="56" t="s">
        <v>87</v>
      </c>
      <c r="K394" s="55" t="s">
        <v>1526</v>
      </c>
      <c r="L394" s="55"/>
      <c r="M394" s="55" t="s">
        <v>89</v>
      </c>
      <c r="N394" s="55" t="s">
        <v>90</v>
      </c>
      <c r="O394" s="55"/>
      <c r="P394" s="55" t="s">
        <v>91</v>
      </c>
      <c r="Q394" s="55"/>
      <c r="R394" s="55" t="s">
        <v>5</v>
      </c>
      <c r="S394" s="55"/>
      <c r="T394" s="55"/>
      <c r="U394" s="55" t="s">
        <v>7</v>
      </c>
      <c r="V394" s="55"/>
      <c r="W394" s="55"/>
      <c r="X394" s="57" t="str">
        <f t="shared" si="2"/>
        <v>--387-03-05</v>
      </c>
      <c r="Y394" s="58" t="str">
        <f t="shared" ref="Y394:AC394" si="392">TRIM(SUBSTITUTE(SUBSTITUTE(OFFSET($Q394,0,COLUMN()-COLUMN($AL$1)),CHAR(160)," "),_xludf.UNICHAR(8239)," "))</f>
        <v>#NAME?</v>
      </c>
      <c r="Z394" s="58" t="str">
        <f t="shared" si="392"/>
        <v>#NAME?</v>
      </c>
      <c r="AA394" s="58" t="str">
        <f t="shared" si="392"/>
        <v>#NAME?</v>
      </c>
      <c r="AB394" s="58" t="str">
        <f t="shared" si="392"/>
        <v>#NAME?</v>
      </c>
      <c r="AC394" s="58" t="str">
        <f t="shared" si="392"/>
        <v>#NAME?</v>
      </c>
      <c r="AD394" s="57">
        <f t="shared" si="4"/>
        <v>1</v>
      </c>
      <c r="AE394" s="57" t="str">
        <f t="shared" si="5"/>
        <v>2026-05</v>
      </c>
      <c r="AF394" s="57">
        <f t="shared" si="6"/>
        <v>1</v>
      </c>
      <c r="AG394" s="59">
        <f t="shared" si="7"/>
        <v>1</v>
      </c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</row>
    <row r="395" ht="24.0" customHeight="1">
      <c r="A395" s="53">
        <v>27.0</v>
      </c>
      <c r="B395" s="54" t="s">
        <v>1527</v>
      </c>
      <c r="C395" s="55" t="s">
        <v>1451</v>
      </c>
      <c r="D395" s="55"/>
      <c r="E395" s="55" t="s">
        <v>1528</v>
      </c>
      <c r="F395" s="55" t="s">
        <v>1529</v>
      </c>
      <c r="G395" s="55">
        <v>37.0</v>
      </c>
      <c r="H395" s="55" t="s">
        <v>85</v>
      </c>
      <c r="I395" s="55" t="s">
        <v>86</v>
      </c>
      <c r="J395" s="56" t="s">
        <v>87</v>
      </c>
      <c r="K395" s="55" t="s">
        <v>1530</v>
      </c>
      <c r="L395" s="55" t="s">
        <v>34</v>
      </c>
      <c r="M395" s="55" t="s">
        <v>115</v>
      </c>
      <c r="N395" s="55" t="s">
        <v>90</v>
      </c>
      <c r="O395" s="55"/>
      <c r="P395" s="55" t="s">
        <v>91</v>
      </c>
      <c r="Q395" s="55"/>
      <c r="R395" s="55" t="s">
        <v>36</v>
      </c>
      <c r="S395" s="55"/>
      <c r="T395" s="55"/>
      <c r="U395" s="55"/>
      <c r="V395" s="55"/>
      <c r="W395" s="55"/>
      <c r="X395" s="57" t="str">
        <f t="shared" si="2"/>
        <v>--388-03-05</v>
      </c>
      <c r="Y395" s="58" t="str">
        <f t="shared" ref="Y395:AC395" si="393">TRIM(SUBSTITUTE(SUBSTITUTE(OFFSET($Q395,0,COLUMN()-COLUMN($AL$1)),CHAR(160)," "),_xludf.UNICHAR(8239)," "))</f>
        <v>#NAME?</v>
      </c>
      <c r="Z395" s="58" t="str">
        <f t="shared" si="393"/>
        <v>#NAME?</v>
      </c>
      <c r="AA395" s="58" t="str">
        <f t="shared" si="393"/>
        <v>#NAME?</v>
      </c>
      <c r="AB395" s="58" t="str">
        <f t="shared" si="393"/>
        <v>#NAME?</v>
      </c>
      <c r="AC395" s="58" t="str">
        <f t="shared" si="393"/>
        <v>#NAME?</v>
      </c>
      <c r="AD395" s="57">
        <f t="shared" si="4"/>
        <v>1</v>
      </c>
      <c r="AE395" s="57" t="str">
        <f t="shared" si="5"/>
        <v>2026-05</v>
      </c>
      <c r="AF395" s="57">
        <f t="shared" si="6"/>
        <v>1</v>
      </c>
      <c r="AG395" s="59">
        <f t="shared" si="7"/>
        <v>1</v>
      </c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</row>
    <row r="396" ht="24.0" customHeight="1">
      <c r="A396" s="53">
        <v>28.0</v>
      </c>
      <c r="B396" s="54" t="s">
        <v>1531</v>
      </c>
      <c r="C396" s="55" t="s">
        <v>1451</v>
      </c>
      <c r="D396" s="55"/>
      <c r="E396" s="55" t="s">
        <v>1532</v>
      </c>
      <c r="F396" s="55" t="s">
        <v>1533</v>
      </c>
      <c r="G396" s="55">
        <v>9.0</v>
      </c>
      <c r="H396" s="55" t="s">
        <v>111</v>
      </c>
      <c r="I396" s="55" t="s">
        <v>86</v>
      </c>
      <c r="J396" s="56" t="s">
        <v>87</v>
      </c>
      <c r="K396" s="55" t="s">
        <v>1530</v>
      </c>
      <c r="L396" s="55" t="s">
        <v>34</v>
      </c>
      <c r="M396" s="55" t="s">
        <v>115</v>
      </c>
      <c r="N396" s="55" t="s">
        <v>90</v>
      </c>
      <c r="O396" s="55"/>
      <c r="P396" s="55" t="s">
        <v>91</v>
      </c>
      <c r="Q396" s="55" t="s">
        <v>16</v>
      </c>
      <c r="R396" s="55"/>
      <c r="S396" s="55"/>
      <c r="T396" s="55"/>
      <c r="U396" s="55"/>
      <c r="V396" s="55"/>
      <c r="W396" s="55"/>
      <c r="X396" s="57" t="str">
        <f t="shared" si="2"/>
        <v>--389-03-05</v>
      </c>
      <c r="Y396" s="58" t="str">
        <f t="shared" ref="Y396:AC396" si="394">TRIM(SUBSTITUTE(SUBSTITUTE(OFFSET($Q396,0,COLUMN()-COLUMN($AL$1)),CHAR(160)," "),_xludf.UNICHAR(8239)," "))</f>
        <v>#NAME?</v>
      </c>
      <c r="Z396" s="58" t="str">
        <f t="shared" si="394"/>
        <v>#NAME?</v>
      </c>
      <c r="AA396" s="58" t="str">
        <f t="shared" si="394"/>
        <v>#NAME?</v>
      </c>
      <c r="AB396" s="58" t="str">
        <f t="shared" si="394"/>
        <v>#NAME?</v>
      </c>
      <c r="AC396" s="58" t="str">
        <f t="shared" si="394"/>
        <v>#NAME?</v>
      </c>
      <c r="AD396" s="57">
        <f t="shared" si="4"/>
        <v>1</v>
      </c>
      <c r="AE396" s="57" t="str">
        <f t="shared" si="5"/>
        <v>2026-05</v>
      </c>
      <c r="AF396" s="57">
        <f t="shared" si="6"/>
        <v>1</v>
      </c>
      <c r="AG396" s="59">
        <f t="shared" si="7"/>
        <v>1</v>
      </c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</row>
    <row r="397" ht="24.0" customHeight="1">
      <c r="A397" s="53">
        <v>29.0</v>
      </c>
      <c r="B397" s="54" t="s">
        <v>1534</v>
      </c>
      <c r="C397" s="55" t="s">
        <v>1451</v>
      </c>
      <c r="D397" s="55"/>
      <c r="E397" s="55" t="s">
        <v>1535</v>
      </c>
      <c r="F397" s="55" t="s">
        <v>1536</v>
      </c>
      <c r="G397" s="55">
        <v>44.0</v>
      </c>
      <c r="H397" s="55" t="s">
        <v>85</v>
      </c>
      <c r="I397" s="55" t="s">
        <v>112</v>
      </c>
      <c r="J397" s="56" t="s">
        <v>113</v>
      </c>
      <c r="K397" s="55" t="s">
        <v>1537</v>
      </c>
      <c r="L397" s="55" t="s">
        <v>34</v>
      </c>
      <c r="M397" s="55" t="s">
        <v>89</v>
      </c>
      <c r="N397" s="55" t="s">
        <v>90</v>
      </c>
      <c r="O397" s="55"/>
      <c r="P397" s="55" t="s">
        <v>91</v>
      </c>
      <c r="Q397" s="55" t="s">
        <v>4</v>
      </c>
      <c r="R397" s="55"/>
      <c r="S397" s="55"/>
      <c r="T397" s="55"/>
      <c r="U397" s="55"/>
      <c r="V397" s="55"/>
      <c r="W397" s="55"/>
      <c r="X397" s="57" t="str">
        <f t="shared" si="2"/>
        <v>--390-03-05</v>
      </c>
      <c r="Y397" s="58" t="str">
        <f t="shared" ref="Y397:AC397" si="395">TRIM(SUBSTITUTE(SUBSTITUTE(OFFSET($Q397,0,COLUMN()-COLUMN($AL$1)),CHAR(160)," "),_xludf.UNICHAR(8239)," "))</f>
        <v>#NAME?</v>
      </c>
      <c r="Z397" s="58" t="str">
        <f t="shared" si="395"/>
        <v>#NAME?</v>
      </c>
      <c r="AA397" s="58" t="str">
        <f t="shared" si="395"/>
        <v>#NAME?</v>
      </c>
      <c r="AB397" s="58" t="str">
        <f t="shared" si="395"/>
        <v>#NAME?</v>
      </c>
      <c r="AC397" s="58" t="str">
        <f t="shared" si="395"/>
        <v>#NAME?</v>
      </c>
      <c r="AD397" s="57">
        <f t="shared" si="4"/>
        <v>1</v>
      </c>
      <c r="AE397" s="57" t="str">
        <f t="shared" si="5"/>
        <v>2026-05</v>
      </c>
      <c r="AF397" s="57">
        <f t="shared" si="6"/>
        <v>1</v>
      </c>
      <c r="AG397" s="59">
        <f t="shared" si="7"/>
        <v>1</v>
      </c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</row>
    <row r="398" ht="24.0" customHeight="1">
      <c r="A398" s="53">
        <v>30.0</v>
      </c>
      <c r="B398" s="54" t="s">
        <v>1538</v>
      </c>
      <c r="C398" s="55" t="s">
        <v>1451</v>
      </c>
      <c r="D398" s="55"/>
      <c r="E398" s="55" t="s">
        <v>1539</v>
      </c>
      <c r="F398" s="55" t="s">
        <v>1279</v>
      </c>
      <c r="G398" s="55">
        <v>21.0</v>
      </c>
      <c r="H398" s="55" t="s">
        <v>85</v>
      </c>
      <c r="I398" s="55" t="s">
        <v>86</v>
      </c>
      <c r="J398" s="56" t="s">
        <v>87</v>
      </c>
      <c r="K398" s="55" t="s">
        <v>1540</v>
      </c>
      <c r="L398" s="55" t="s">
        <v>34</v>
      </c>
      <c r="M398" s="55" t="s">
        <v>89</v>
      </c>
      <c r="N398" s="55" t="s">
        <v>90</v>
      </c>
      <c r="O398" s="55"/>
      <c r="P398" s="55" t="s">
        <v>91</v>
      </c>
      <c r="Q398" s="55"/>
      <c r="R398" s="55" t="s">
        <v>36</v>
      </c>
      <c r="S398" s="55"/>
      <c r="T398" s="55"/>
      <c r="U398" s="55"/>
      <c r="V398" s="55"/>
      <c r="W398" s="55"/>
      <c r="X398" s="57" t="str">
        <f t="shared" si="2"/>
        <v>--391-03-05</v>
      </c>
      <c r="Y398" s="58" t="str">
        <f t="shared" ref="Y398:AC398" si="396">TRIM(SUBSTITUTE(SUBSTITUTE(OFFSET($Q398,0,COLUMN()-COLUMN($AL$1)),CHAR(160)," "),_xludf.UNICHAR(8239)," "))</f>
        <v>#NAME?</v>
      </c>
      <c r="Z398" s="58" t="str">
        <f t="shared" si="396"/>
        <v>#NAME?</v>
      </c>
      <c r="AA398" s="58" t="str">
        <f t="shared" si="396"/>
        <v>#NAME?</v>
      </c>
      <c r="AB398" s="58" t="str">
        <f t="shared" si="396"/>
        <v>#NAME?</v>
      </c>
      <c r="AC398" s="58" t="str">
        <f t="shared" si="396"/>
        <v>#NAME?</v>
      </c>
      <c r="AD398" s="57">
        <f t="shared" si="4"/>
        <v>1</v>
      </c>
      <c r="AE398" s="57" t="str">
        <f t="shared" si="5"/>
        <v>2026-05</v>
      </c>
      <c r="AF398" s="57">
        <f t="shared" si="6"/>
        <v>1</v>
      </c>
      <c r="AG398" s="59">
        <f t="shared" si="7"/>
        <v>1</v>
      </c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</row>
    <row r="399" ht="24.0" customHeight="1">
      <c r="A399" s="53">
        <v>31.0</v>
      </c>
      <c r="B399" s="54" t="s">
        <v>1541</v>
      </c>
      <c r="C399" s="55" t="s">
        <v>1451</v>
      </c>
      <c r="D399" s="55"/>
      <c r="E399" s="55" t="s">
        <v>1542</v>
      </c>
      <c r="F399" s="55" t="s">
        <v>1543</v>
      </c>
      <c r="G399" s="55">
        <v>23.0</v>
      </c>
      <c r="H399" s="55" t="s">
        <v>85</v>
      </c>
      <c r="I399" s="55" t="s">
        <v>112</v>
      </c>
      <c r="J399" s="56" t="s">
        <v>113</v>
      </c>
      <c r="K399" s="55" t="s">
        <v>1544</v>
      </c>
      <c r="L399" s="55" t="s">
        <v>34</v>
      </c>
      <c r="M399" s="55" t="s">
        <v>133</v>
      </c>
      <c r="N399" s="55" t="s">
        <v>90</v>
      </c>
      <c r="O399" s="55"/>
      <c r="P399" s="55" t="s">
        <v>91</v>
      </c>
      <c r="Q399" s="55" t="s">
        <v>16</v>
      </c>
      <c r="R399" s="55"/>
      <c r="S399" s="55"/>
      <c r="T399" s="55"/>
      <c r="U399" s="55"/>
      <c r="V399" s="55"/>
      <c r="W399" s="55"/>
      <c r="X399" s="57" t="str">
        <f t="shared" si="2"/>
        <v>--392-03-05</v>
      </c>
      <c r="Y399" s="58" t="str">
        <f t="shared" ref="Y399:AC399" si="397">TRIM(SUBSTITUTE(SUBSTITUTE(OFFSET($Q399,0,COLUMN()-COLUMN($AL$1)),CHAR(160)," "),_xludf.UNICHAR(8239)," "))</f>
        <v>#NAME?</v>
      </c>
      <c r="Z399" s="58" t="str">
        <f t="shared" si="397"/>
        <v>#NAME?</v>
      </c>
      <c r="AA399" s="58" t="str">
        <f t="shared" si="397"/>
        <v>#NAME?</v>
      </c>
      <c r="AB399" s="58" t="str">
        <f t="shared" si="397"/>
        <v>#NAME?</v>
      </c>
      <c r="AC399" s="58" t="str">
        <f t="shared" si="397"/>
        <v>#NAME?</v>
      </c>
      <c r="AD399" s="57">
        <f t="shared" si="4"/>
        <v>1</v>
      </c>
      <c r="AE399" s="57" t="str">
        <f t="shared" si="5"/>
        <v>2026-05</v>
      </c>
      <c r="AF399" s="57">
        <f t="shared" si="6"/>
        <v>1</v>
      </c>
      <c r="AG399" s="59">
        <f t="shared" si="7"/>
        <v>1</v>
      </c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</row>
    <row r="400" ht="24.0" customHeight="1">
      <c r="A400" s="53">
        <v>32.0</v>
      </c>
      <c r="B400" s="54" t="s">
        <v>1545</v>
      </c>
      <c r="C400" s="55" t="s">
        <v>1451</v>
      </c>
      <c r="D400" s="55"/>
      <c r="E400" s="55" t="s">
        <v>1546</v>
      </c>
      <c r="F400" s="55" t="s">
        <v>1547</v>
      </c>
      <c r="G400" s="55">
        <v>1.0</v>
      </c>
      <c r="H400" s="55" t="s">
        <v>119</v>
      </c>
      <c r="I400" s="55" t="s">
        <v>86</v>
      </c>
      <c r="J400" s="56" t="s">
        <v>87</v>
      </c>
      <c r="K400" s="55" t="s">
        <v>1548</v>
      </c>
      <c r="L400" s="55" t="s">
        <v>34</v>
      </c>
      <c r="M400" s="55" t="s">
        <v>115</v>
      </c>
      <c r="N400" s="55" t="s">
        <v>90</v>
      </c>
      <c r="O400" s="55"/>
      <c r="P400" s="55" t="s">
        <v>91</v>
      </c>
      <c r="Q400" s="55" t="s">
        <v>16</v>
      </c>
      <c r="R400" s="55"/>
      <c r="S400" s="55"/>
      <c r="T400" s="55"/>
      <c r="U400" s="55"/>
      <c r="V400" s="55"/>
      <c r="W400" s="55"/>
      <c r="X400" s="57" t="str">
        <f t="shared" si="2"/>
        <v>--393-03-05</v>
      </c>
      <c r="Y400" s="58" t="str">
        <f t="shared" ref="Y400:AC400" si="398">TRIM(SUBSTITUTE(SUBSTITUTE(OFFSET($Q400,0,COLUMN()-COLUMN($AL$1)),CHAR(160)," "),_xludf.UNICHAR(8239)," "))</f>
        <v>#NAME?</v>
      </c>
      <c r="Z400" s="58" t="str">
        <f t="shared" si="398"/>
        <v>#NAME?</v>
      </c>
      <c r="AA400" s="58" t="str">
        <f t="shared" si="398"/>
        <v>#NAME?</v>
      </c>
      <c r="AB400" s="58" t="str">
        <f t="shared" si="398"/>
        <v>#NAME?</v>
      </c>
      <c r="AC400" s="58" t="str">
        <f t="shared" si="398"/>
        <v>#NAME?</v>
      </c>
      <c r="AD400" s="57">
        <f t="shared" si="4"/>
        <v>1</v>
      </c>
      <c r="AE400" s="57" t="str">
        <f t="shared" si="5"/>
        <v>2026-05</v>
      </c>
      <c r="AF400" s="57">
        <f t="shared" si="6"/>
        <v>1</v>
      </c>
      <c r="AG400" s="59">
        <f t="shared" si="7"/>
        <v>1</v>
      </c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</row>
    <row r="401" ht="24.0" customHeight="1">
      <c r="A401" s="53">
        <v>33.0</v>
      </c>
      <c r="B401" s="54" t="s">
        <v>1549</v>
      </c>
      <c r="C401" s="55" t="s">
        <v>1451</v>
      </c>
      <c r="D401" s="55"/>
      <c r="E401" s="55" t="s">
        <v>1550</v>
      </c>
      <c r="F401" s="55" t="s">
        <v>1551</v>
      </c>
      <c r="G401" s="55">
        <v>37.0</v>
      </c>
      <c r="H401" s="55" t="s">
        <v>85</v>
      </c>
      <c r="I401" s="55" t="s">
        <v>86</v>
      </c>
      <c r="J401" s="56" t="s">
        <v>87</v>
      </c>
      <c r="K401" s="55" t="s">
        <v>1552</v>
      </c>
      <c r="L401" s="55"/>
      <c r="M401" s="55" t="s">
        <v>89</v>
      </c>
      <c r="N401" s="55" t="s">
        <v>90</v>
      </c>
      <c r="O401" s="55"/>
      <c r="P401" s="55" t="s">
        <v>91</v>
      </c>
      <c r="Q401" s="55"/>
      <c r="R401" s="55" t="s">
        <v>36</v>
      </c>
      <c r="S401" s="55"/>
      <c r="T401" s="55"/>
      <c r="U401" s="55"/>
      <c r="V401" s="55"/>
      <c r="W401" s="55"/>
      <c r="X401" s="57" t="str">
        <f t="shared" si="2"/>
        <v>--394-03-05</v>
      </c>
      <c r="Y401" s="58" t="str">
        <f t="shared" ref="Y401:AC401" si="399">TRIM(SUBSTITUTE(SUBSTITUTE(OFFSET($Q401,0,COLUMN()-COLUMN($AL$1)),CHAR(160)," "),_xludf.UNICHAR(8239)," "))</f>
        <v>#NAME?</v>
      </c>
      <c r="Z401" s="58" t="str">
        <f t="shared" si="399"/>
        <v>#NAME?</v>
      </c>
      <c r="AA401" s="58" t="str">
        <f t="shared" si="399"/>
        <v>#NAME?</v>
      </c>
      <c r="AB401" s="58" t="str">
        <f t="shared" si="399"/>
        <v>#NAME?</v>
      </c>
      <c r="AC401" s="58" t="str">
        <f t="shared" si="399"/>
        <v>#NAME?</v>
      </c>
      <c r="AD401" s="57">
        <f t="shared" si="4"/>
        <v>1</v>
      </c>
      <c r="AE401" s="57" t="str">
        <f t="shared" si="5"/>
        <v>2026-05</v>
      </c>
      <c r="AF401" s="57">
        <f t="shared" si="6"/>
        <v>1</v>
      </c>
      <c r="AG401" s="59">
        <f t="shared" si="7"/>
        <v>1</v>
      </c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</row>
    <row r="402" ht="24.0" customHeight="1">
      <c r="A402" s="53">
        <v>34.0</v>
      </c>
      <c r="B402" s="54" t="s">
        <v>1553</v>
      </c>
      <c r="C402" s="55" t="s">
        <v>1451</v>
      </c>
      <c r="D402" s="55"/>
      <c r="E402" s="55" t="s">
        <v>1554</v>
      </c>
      <c r="F402" s="55" t="s">
        <v>1555</v>
      </c>
      <c r="G402" s="55">
        <v>30.0</v>
      </c>
      <c r="H402" s="55" t="s">
        <v>85</v>
      </c>
      <c r="I402" s="55" t="s">
        <v>112</v>
      </c>
      <c r="J402" s="56" t="s">
        <v>113</v>
      </c>
      <c r="K402" s="55" t="s">
        <v>1556</v>
      </c>
      <c r="L402" s="55" t="s">
        <v>34</v>
      </c>
      <c r="M402" s="55" t="s">
        <v>89</v>
      </c>
      <c r="N402" s="55" t="s">
        <v>90</v>
      </c>
      <c r="O402" s="55"/>
      <c r="P402" s="55" t="s">
        <v>91</v>
      </c>
      <c r="Q402" s="55" t="s">
        <v>16</v>
      </c>
      <c r="R402" s="55"/>
      <c r="S402" s="55"/>
      <c r="T402" s="55"/>
      <c r="U402" s="55"/>
      <c r="V402" s="55"/>
      <c r="W402" s="55"/>
      <c r="X402" s="57" t="str">
        <f t="shared" si="2"/>
        <v>--395-03-05</v>
      </c>
      <c r="Y402" s="58" t="str">
        <f t="shared" ref="Y402:AC402" si="400">TRIM(SUBSTITUTE(SUBSTITUTE(OFFSET($Q402,0,COLUMN()-COLUMN($AL$1)),CHAR(160)," "),_xludf.UNICHAR(8239)," "))</f>
        <v>#NAME?</v>
      </c>
      <c r="Z402" s="58" t="str">
        <f t="shared" si="400"/>
        <v>#NAME?</v>
      </c>
      <c r="AA402" s="58" t="str">
        <f t="shared" si="400"/>
        <v>#NAME?</v>
      </c>
      <c r="AB402" s="58" t="str">
        <f t="shared" si="400"/>
        <v>#NAME?</v>
      </c>
      <c r="AC402" s="58" t="str">
        <f t="shared" si="400"/>
        <v>#NAME?</v>
      </c>
      <c r="AD402" s="57">
        <f t="shared" si="4"/>
        <v>1</v>
      </c>
      <c r="AE402" s="57" t="str">
        <f t="shared" si="5"/>
        <v>2026-05</v>
      </c>
      <c r="AF402" s="57">
        <f t="shared" si="6"/>
        <v>1</v>
      </c>
      <c r="AG402" s="59">
        <f t="shared" si="7"/>
        <v>1</v>
      </c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</row>
    <row r="403" ht="24.0" customHeight="1">
      <c r="A403" s="53">
        <v>35.0</v>
      </c>
      <c r="B403" s="54" t="s">
        <v>1557</v>
      </c>
      <c r="C403" s="55" t="s">
        <v>1451</v>
      </c>
      <c r="D403" s="55"/>
      <c r="E403" s="55" t="s">
        <v>1558</v>
      </c>
      <c r="F403" s="55" t="s">
        <v>1559</v>
      </c>
      <c r="G403" s="55">
        <v>40.0</v>
      </c>
      <c r="H403" s="55" t="s">
        <v>85</v>
      </c>
      <c r="I403" s="55" t="s">
        <v>86</v>
      </c>
      <c r="J403" s="56" t="s">
        <v>87</v>
      </c>
      <c r="K403" s="55" t="s">
        <v>1560</v>
      </c>
      <c r="L403" s="55" t="s">
        <v>34</v>
      </c>
      <c r="M403" s="55" t="s">
        <v>89</v>
      </c>
      <c r="N403" s="55" t="s">
        <v>90</v>
      </c>
      <c r="O403" s="55"/>
      <c r="P403" s="55" t="s">
        <v>91</v>
      </c>
      <c r="Q403" s="55" t="s">
        <v>4</v>
      </c>
      <c r="R403" s="55"/>
      <c r="S403" s="55"/>
      <c r="T403" s="55"/>
      <c r="U403" s="55"/>
      <c r="V403" s="55"/>
      <c r="W403" s="55"/>
      <c r="X403" s="57" t="str">
        <f t="shared" si="2"/>
        <v>--396-03-05</v>
      </c>
      <c r="Y403" s="58" t="str">
        <f t="shared" ref="Y403:AC403" si="401">TRIM(SUBSTITUTE(SUBSTITUTE(OFFSET($Q403,0,COLUMN()-COLUMN($AL$1)),CHAR(160)," "),_xludf.UNICHAR(8239)," "))</f>
        <v>#NAME?</v>
      </c>
      <c r="Z403" s="58" t="str">
        <f t="shared" si="401"/>
        <v>#NAME?</v>
      </c>
      <c r="AA403" s="58" t="str">
        <f t="shared" si="401"/>
        <v>#NAME?</v>
      </c>
      <c r="AB403" s="58" t="str">
        <f t="shared" si="401"/>
        <v>#NAME?</v>
      </c>
      <c r="AC403" s="58" t="str">
        <f t="shared" si="401"/>
        <v>#NAME?</v>
      </c>
      <c r="AD403" s="57">
        <f t="shared" si="4"/>
        <v>1</v>
      </c>
      <c r="AE403" s="57" t="str">
        <f t="shared" si="5"/>
        <v>2026-05</v>
      </c>
      <c r="AF403" s="57">
        <f t="shared" si="6"/>
        <v>1</v>
      </c>
      <c r="AG403" s="59">
        <f t="shared" si="7"/>
        <v>1</v>
      </c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</row>
    <row r="404" ht="24.0" customHeight="1">
      <c r="A404" s="53">
        <v>36.0</v>
      </c>
      <c r="B404" s="54" t="s">
        <v>1561</v>
      </c>
      <c r="C404" s="55" t="s">
        <v>1451</v>
      </c>
      <c r="D404" s="55"/>
      <c r="E404" s="55">
        <v>4.31715375E8</v>
      </c>
      <c r="F404" s="55" t="s">
        <v>1562</v>
      </c>
      <c r="G404" s="55">
        <v>9.0</v>
      </c>
      <c r="H404" s="55" t="s">
        <v>111</v>
      </c>
      <c r="I404" s="55" t="s">
        <v>86</v>
      </c>
      <c r="J404" s="56" t="s">
        <v>87</v>
      </c>
      <c r="K404" s="55" t="s">
        <v>1560</v>
      </c>
      <c r="L404" s="55" t="s">
        <v>34</v>
      </c>
      <c r="M404" s="55" t="s">
        <v>115</v>
      </c>
      <c r="N404" s="55" t="s">
        <v>90</v>
      </c>
      <c r="O404" s="55"/>
      <c r="P404" s="55" t="s">
        <v>91</v>
      </c>
      <c r="Q404" s="55" t="s">
        <v>16</v>
      </c>
      <c r="R404" s="55"/>
      <c r="S404" s="55"/>
      <c r="T404" s="55"/>
      <c r="U404" s="55"/>
      <c r="V404" s="55"/>
      <c r="W404" s="55"/>
      <c r="X404" s="57" t="str">
        <f t="shared" si="2"/>
        <v>--397-03-05</v>
      </c>
      <c r="Y404" s="58" t="str">
        <f t="shared" ref="Y404:AC404" si="402">TRIM(SUBSTITUTE(SUBSTITUTE(OFFSET($Q404,0,COLUMN()-COLUMN($AL$1)),CHAR(160)," "),_xludf.UNICHAR(8239)," "))</f>
        <v>#NAME?</v>
      </c>
      <c r="Z404" s="58" t="str">
        <f t="shared" si="402"/>
        <v>#NAME?</v>
      </c>
      <c r="AA404" s="58" t="str">
        <f t="shared" si="402"/>
        <v>#NAME?</v>
      </c>
      <c r="AB404" s="58" t="str">
        <f t="shared" si="402"/>
        <v>#NAME?</v>
      </c>
      <c r="AC404" s="58" t="str">
        <f t="shared" si="402"/>
        <v>#NAME?</v>
      </c>
      <c r="AD404" s="57">
        <f t="shared" si="4"/>
        <v>1</v>
      </c>
      <c r="AE404" s="57" t="str">
        <f t="shared" si="5"/>
        <v>2026-05</v>
      </c>
      <c r="AF404" s="57">
        <f t="shared" si="6"/>
        <v>1</v>
      </c>
      <c r="AG404" s="59">
        <f t="shared" si="7"/>
        <v>1</v>
      </c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</row>
    <row r="405" ht="24.0" customHeight="1">
      <c r="A405" s="53">
        <v>37.0</v>
      </c>
      <c r="B405" s="54" t="s">
        <v>1563</v>
      </c>
      <c r="C405" s="55" t="s">
        <v>1451</v>
      </c>
      <c r="D405" s="55"/>
      <c r="E405" s="55" t="s">
        <v>1564</v>
      </c>
      <c r="F405" s="55" t="s">
        <v>1565</v>
      </c>
      <c r="G405" s="55">
        <v>11.0</v>
      </c>
      <c r="H405" s="55" t="s">
        <v>111</v>
      </c>
      <c r="I405" s="55" t="s">
        <v>112</v>
      </c>
      <c r="J405" s="56" t="s">
        <v>113</v>
      </c>
      <c r="K405" s="55" t="s">
        <v>577</v>
      </c>
      <c r="L405" s="55" t="s">
        <v>34</v>
      </c>
      <c r="M405" s="55" t="s">
        <v>115</v>
      </c>
      <c r="N405" s="55" t="s">
        <v>90</v>
      </c>
      <c r="O405" s="55"/>
      <c r="P405" s="55" t="s">
        <v>91</v>
      </c>
      <c r="Q405" s="55" t="s">
        <v>4</v>
      </c>
      <c r="R405" s="55"/>
      <c r="S405" s="55" t="s">
        <v>6</v>
      </c>
      <c r="T405" s="55"/>
      <c r="U405" s="55"/>
      <c r="V405" s="55"/>
      <c r="W405" s="55"/>
      <c r="X405" s="57" t="str">
        <f t="shared" si="2"/>
        <v>--398-03-05</v>
      </c>
      <c r="Y405" s="58" t="str">
        <f t="shared" ref="Y405:AC405" si="403">TRIM(SUBSTITUTE(SUBSTITUTE(OFFSET($Q405,0,COLUMN()-COLUMN($AL$1)),CHAR(160)," "),_xludf.UNICHAR(8239)," "))</f>
        <v>#NAME?</v>
      </c>
      <c r="Z405" s="58" t="str">
        <f t="shared" si="403"/>
        <v>#NAME?</v>
      </c>
      <c r="AA405" s="58" t="str">
        <f t="shared" si="403"/>
        <v>#NAME?</v>
      </c>
      <c r="AB405" s="58" t="str">
        <f t="shared" si="403"/>
        <v>#NAME?</v>
      </c>
      <c r="AC405" s="58" t="str">
        <f t="shared" si="403"/>
        <v>#NAME?</v>
      </c>
      <c r="AD405" s="57">
        <f t="shared" si="4"/>
        <v>1</v>
      </c>
      <c r="AE405" s="57" t="str">
        <f t="shared" si="5"/>
        <v>2026-05</v>
      </c>
      <c r="AF405" s="57">
        <f t="shared" si="6"/>
        <v>1</v>
      </c>
      <c r="AG405" s="59">
        <f t="shared" si="7"/>
        <v>1</v>
      </c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</row>
    <row r="406" ht="24.0" customHeight="1">
      <c r="A406" s="53">
        <v>38.0</v>
      </c>
      <c r="B406" s="54" t="s">
        <v>1566</v>
      </c>
      <c r="C406" s="55" t="s">
        <v>1451</v>
      </c>
      <c r="D406" s="55"/>
      <c r="E406" s="55" t="s">
        <v>1567</v>
      </c>
      <c r="F406" s="55" t="s">
        <v>1568</v>
      </c>
      <c r="G406" s="55">
        <v>66.0</v>
      </c>
      <c r="H406" s="55" t="s">
        <v>260</v>
      </c>
      <c r="I406" s="55" t="s">
        <v>86</v>
      </c>
      <c r="J406" s="56" t="s">
        <v>87</v>
      </c>
      <c r="K406" s="55" t="s">
        <v>1569</v>
      </c>
      <c r="L406" s="55" t="s">
        <v>34</v>
      </c>
      <c r="M406" s="55" t="s">
        <v>89</v>
      </c>
      <c r="N406" s="55" t="s">
        <v>90</v>
      </c>
      <c r="O406" s="55"/>
      <c r="P406" s="55" t="s">
        <v>91</v>
      </c>
      <c r="Q406" s="55" t="s">
        <v>4</v>
      </c>
      <c r="R406" s="55"/>
      <c r="S406" s="55"/>
      <c r="T406" s="55"/>
      <c r="U406" s="55"/>
      <c r="V406" s="55"/>
      <c r="W406" s="55"/>
      <c r="X406" s="57" t="str">
        <f t="shared" si="2"/>
        <v>--399-03-05</v>
      </c>
      <c r="Y406" s="58" t="str">
        <f t="shared" ref="Y406:AC406" si="404">TRIM(SUBSTITUTE(SUBSTITUTE(OFFSET($Q406,0,COLUMN()-COLUMN($AL$1)),CHAR(160)," "),_xludf.UNICHAR(8239)," "))</f>
        <v>#NAME?</v>
      </c>
      <c r="Z406" s="58" t="str">
        <f t="shared" si="404"/>
        <v>#NAME?</v>
      </c>
      <c r="AA406" s="58" t="str">
        <f t="shared" si="404"/>
        <v>#NAME?</v>
      </c>
      <c r="AB406" s="58" t="str">
        <f t="shared" si="404"/>
        <v>#NAME?</v>
      </c>
      <c r="AC406" s="58" t="str">
        <f t="shared" si="404"/>
        <v>#NAME?</v>
      </c>
      <c r="AD406" s="57">
        <f t="shared" si="4"/>
        <v>1</v>
      </c>
      <c r="AE406" s="57" t="str">
        <f t="shared" si="5"/>
        <v>2026-05</v>
      </c>
      <c r="AF406" s="57">
        <f t="shared" si="6"/>
        <v>1</v>
      </c>
      <c r="AG406" s="59">
        <f t="shared" si="7"/>
        <v>1</v>
      </c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</row>
    <row r="407" ht="24.0" customHeight="1">
      <c r="A407" s="53">
        <v>39.0</v>
      </c>
      <c r="B407" s="54" t="s">
        <v>1570</v>
      </c>
      <c r="C407" s="55" t="s">
        <v>1451</v>
      </c>
      <c r="D407" s="55"/>
      <c r="E407" s="55" t="s">
        <v>1571</v>
      </c>
      <c r="F407" s="55" t="s">
        <v>1572</v>
      </c>
      <c r="G407" s="55">
        <v>43.0</v>
      </c>
      <c r="H407" s="55" t="s">
        <v>85</v>
      </c>
      <c r="I407" s="55" t="s">
        <v>86</v>
      </c>
      <c r="J407" s="56" t="s">
        <v>87</v>
      </c>
      <c r="K407" s="55" t="s">
        <v>1573</v>
      </c>
      <c r="L407" s="55" t="s">
        <v>34</v>
      </c>
      <c r="M407" s="55" t="s">
        <v>89</v>
      </c>
      <c r="N407" s="55" t="s">
        <v>90</v>
      </c>
      <c r="O407" s="55"/>
      <c r="P407" s="55" t="s">
        <v>91</v>
      </c>
      <c r="Q407" s="55"/>
      <c r="R407" s="55" t="s">
        <v>36</v>
      </c>
      <c r="S407" s="55"/>
      <c r="T407" s="55"/>
      <c r="U407" s="55" t="s">
        <v>7</v>
      </c>
      <c r="V407" s="55"/>
      <c r="W407" s="55"/>
      <c r="X407" s="57" t="str">
        <f t="shared" si="2"/>
        <v>--400-03-05</v>
      </c>
      <c r="Y407" s="58" t="str">
        <f t="shared" ref="Y407:AC407" si="405">TRIM(SUBSTITUTE(SUBSTITUTE(OFFSET($Q407,0,COLUMN()-COLUMN($AL$1)),CHAR(160)," "),_xludf.UNICHAR(8239)," "))</f>
        <v>#NAME?</v>
      </c>
      <c r="Z407" s="58" t="str">
        <f t="shared" si="405"/>
        <v>#NAME?</v>
      </c>
      <c r="AA407" s="58" t="str">
        <f t="shared" si="405"/>
        <v>#NAME?</v>
      </c>
      <c r="AB407" s="58" t="str">
        <f t="shared" si="405"/>
        <v>#NAME?</v>
      </c>
      <c r="AC407" s="58" t="str">
        <f t="shared" si="405"/>
        <v>#NAME?</v>
      </c>
      <c r="AD407" s="57">
        <f t="shared" si="4"/>
        <v>1</v>
      </c>
      <c r="AE407" s="57" t="str">
        <f t="shared" si="5"/>
        <v>2026-05</v>
      </c>
      <c r="AF407" s="57">
        <f t="shared" si="6"/>
        <v>1</v>
      </c>
      <c r="AG407" s="59">
        <f t="shared" si="7"/>
        <v>1</v>
      </c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</row>
    <row r="408" ht="24.0" customHeight="1">
      <c r="A408" s="53">
        <v>40.0</v>
      </c>
      <c r="B408" s="54" t="s">
        <v>1574</v>
      </c>
      <c r="C408" s="55" t="s">
        <v>1451</v>
      </c>
      <c r="D408" s="55"/>
      <c r="E408" s="55" t="s">
        <v>1575</v>
      </c>
      <c r="F408" s="55" t="s">
        <v>1576</v>
      </c>
      <c r="G408" s="55">
        <v>52.0</v>
      </c>
      <c r="H408" s="55" t="s">
        <v>85</v>
      </c>
      <c r="I408" s="55" t="s">
        <v>86</v>
      </c>
      <c r="J408" s="56" t="s">
        <v>87</v>
      </c>
      <c r="K408" s="55" t="s">
        <v>1577</v>
      </c>
      <c r="L408" s="55" t="s">
        <v>34</v>
      </c>
      <c r="M408" s="55" t="s">
        <v>89</v>
      </c>
      <c r="N408" s="55" t="s">
        <v>90</v>
      </c>
      <c r="O408" s="55"/>
      <c r="P408" s="55" t="s">
        <v>91</v>
      </c>
      <c r="Q408" s="55" t="s">
        <v>16</v>
      </c>
      <c r="R408" s="55"/>
      <c r="S408" s="55"/>
      <c r="T408" s="55"/>
      <c r="U408" s="55"/>
      <c r="V408" s="55"/>
      <c r="W408" s="55"/>
      <c r="X408" s="57" t="str">
        <f t="shared" si="2"/>
        <v>--401-03-05</v>
      </c>
      <c r="Y408" s="58" t="str">
        <f t="shared" ref="Y408:AC408" si="406">TRIM(SUBSTITUTE(SUBSTITUTE(OFFSET($Q408,0,COLUMN()-COLUMN($AL$1)),CHAR(160)," "),_xludf.UNICHAR(8239)," "))</f>
        <v>#NAME?</v>
      </c>
      <c r="Z408" s="58" t="str">
        <f t="shared" si="406"/>
        <v>#NAME?</v>
      </c>
      <c r="AA408" s="58" t="str">
        <f t="shared" si="406"/>
        <v>#NAME?</v>
      </c>
      <c r="AB408" s="58" t="str">
        <f t="shared" si="406"/>
        <v>#NAME?</v>
      </c>
      <c r="AC408" s="58" t="str">
        <f t="shared" si="406"/>
        <v>#NAME?</v>
      </c>
      <c r="AD408" s="57">
        <f t="shared" si="4"/>
        <v>1</v>
      </c>
      <c r="AE408" s="57" t="str">
        <f t="shared" si="5"/>
        <v>2026-05</v>
      </c>
      <c r="AF408" s="57">
        <f t="shared" si="6"/>
        <v>1</v>
      </c>
      <c r="AG408" s="59">
        <f t="shared" si="7"/>
        <v>1</v>
      </c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</row>
    <row r="409" ht="24.0" customHeight="1">
      <c r="A409" s="53">
        <v>41.0</v>
      </c>
      <c r="B409" s="54" t="s">
        <v>1578</v>
      </c>
      <c r="C409" s="55" t="s">
        <v>1451</v>
      </c>
      <c r="D409" s="55"/>
      <c r="E409" s="55" t="s">
        <v>1579</v>
      </c>
      <c r="F409" s="55" t="s">
        <v>1580</v>
      </c>
      <c r="G409" s="55">
        <v>4.0</v>
      </c>
      <c r="H409" s="55" t="s">
        <v>119</v>
      </c>
      <c r="I409" s="55" t="s">
        <v>112</v>
      </c>
      <c r="J409" s="56" t="s">
        <v>113</v>
      </c>
      <c r="K409" s="55" t="s">
        <v>1581</v>
      </c>
      <c r="L409" s="55" t="s">
        <v>34</v>
      </c>
      <c r="M409" s="55" t="s">
        <v>115</v>
      </c>
      <c r="N409" s="55" t="s">
        <v>90</v>
      </c>
      <c r="O409" s="55"/>
      <c r="P409" s="55" t="s">
        <v>91</v>
      </c>
      <c r="Q409" s="55" t="s">
        <v>16</v>
      </c>
      <c r="R409" s="55"/>
      <c r="S409" s="55"/>
      <c r="T409" s="55"/>
      <c r="U409" s="55"/>
      <c r="V409" s="55"/>
      <c r="W409" s="55"/>
      <c r="X409" s="57" t="str">
        <f t="shared" si="2"/>
        <v>--402-03-05</v>
      </c>
      <c r="Y409" s="58" t="str">
        <f t="shared" ref="Y409:AC409" si="407">TRIM(SUBSTITUTE(SUBSTITUTE(OFFSET($Q409,0,COLUMN()-COLUMN($AL$1)),CHAR(160)," "),_xludf.UNICHAR(8239)," "))</f>
        <v>#NAME?</v>
      </c>
      <c r="Z409" s="58" t="str">
        <f t="shared" si="407"/>
        <v>#NAME?</v>
      </c>
      <c r="AA409" s="58" t="str">
        <f t="shared" si="407"/>
        <v>#NAME?</v>
      </c>
      <c r="AB409" s="58" t="str">
        <f t="shared" si="407"/>
        <v>#NAME?</v>
      </c>
      <c r="AC409" s="58" t="str">
        <f t="shared" si="407"/>
        <v>#NAME?</v>
      </c>
      <c r="AD409" s="57">
        <f t="shared" si="4"/>
        <v>1</v>
      </c>
      <c r="AE409" s="57" t="str">
        <f t="shared" si="5"/>
        <v>2026-05</v>
      </c>
      <c r="AF409" s="57">
        <f t="shared" si="6"/>
        <v>1</v>
      </c>
      <c r="AG409" s="59">
        <f t="shared" si="7"/>
        <v>1</v>
      </c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</row>
    <row r="410" ht="24.0" customHeight="1">
      <c r="A410" s="53">
        <v>42.0</v>
      </c>
      <c r="B410" s="54" t="s">
        <v>1582</v>
      </c>
      <c r="C410" s="55" t="s">
        <v>1451</v>
      </c>
      <c r="D410" s="55"/>
      <c r="E410" s="55" t="s">
        <v>1583</v>
      </c>
      <c r="F410" s="55" t="s">
        <v>1584</v>
      </c>
      <c r="G410" s="55">
        <v>42.0</v>
      </c>
      <c r="H410" s="55" t="s">
        <v>85</v>
      </c>
      <c r="I410" s="55" t="s">
        <v>112</v>
      </c>
      <c r="J410" s="56" t="s">
        <v>113</v>
      </c>
      <c r="K410" s="55" t="s">
        <v>1585</v>
      </c>
      <c r="L410" s="55" t="s">
        <v>34</v>
      </c>
      <c r="M410" s="55" t="s">
        <v>89</v>
      </c>
      <c r="N410" s="55" t="s">
        <v>90</v>
      </c>
      <c r="O410" s="55"/>
      <c r="P410" s="55" t="s">
        <v>91</v>
      </c>
      <c r="Q410" s="55" t="s">
        <v>16</v>
      </c>
      <c r="R410" s="55"/>
      <c r="S410" s="55"/>
      <c r="T410" s="55"/>
      <c r="U410" s="55"/>
      <c r="V410" s="55"/>
      <c r="W410" s="55"/>
      <c r="X410" s="57" t="str">
        <f t="shared" si="2"/>
        <v>--403-03-05</v>
      </c>
      <c r="Y410" s="58" t="str">
        <f t="shared" ref="Y410:AC410" si="408">TRIM(SUBSTITUTE(SUBSTITUTE(OFFSET($Q410,0,COLUMN()-COLUMN($AL$1)),CHAR(160)," "),_xludf.UNICHAR(8239)," "))</f>
        <v>#NAME?</v>
      </c>
      <c r="Z410" s="58" t="str">
        <f t="shared" si="408"/>
        <v>#NAME?</v>
      </c>
      <c r="AA410" s="58" t="str">
        <f t="shared" si="408"/>
        <v>#NAME?</v>
      </c>
      <c r="AB410" s="58" t="str">
        <f t="shared" si="408"/>
        <v>#NAME?</v>
      </c>
      <c r="AC410" s="58" t="str">
        <f t="shared" si="408"/>
        <v>#NAME?</v>
      </c>
      <c r="AD410" s="57">
        <f t="shared" si="4"/>
        <v>1</v>
      </c>
      <c r="AE410" s="57" t="str">
        <f t="shared" si="5"/>
        <v>2026-05</v>
      </c>
      <c r="AF410" s="57">
        <f t="shared" si="6"/>
        <v>1</v>
      </c>
      <c r="AG410" s="59">
        <f t="shared" si="7"/>
        <v>1</v>
      </c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</row>
    <row r="411" ht="24.0" customHeight="1">
      <c r="A411" s="53">
        <v>43.0</v>
      </c>
      <c r="B411" s="54" t="s">
        <v>1586</v>
      </c>
      <c r="C411" s="55" t="s">
        <v>1451</v>
      </c>
      <c r="D411" s="55"/>
      <c r="E411" s="55" t="s">
        <v>1587</v>
      </c>
      <c r="F411" s="55" t="s">
        <v>1588</v>
      </c>
      <c r="G411" s="55">
        <v>37.0</v>
      </c>
      <c r="H411" s="55" t="s">
        <v>85</v>
      </c>
      <c r="I411" s="55" t="s">
        <v>86</v>
      </c>
      <c r="J411" s="56" t="s">
        <v>87</v>
      </c>
      <c r="K411" s="55" t="s">
        <v>1589</v>
      </c>
      <c r="L411" s="55" t="s">
        <v>34</v>
      </c>
      <c r="M411" s="55" t="s">
        <v>874</v>
      </c>
      <c r="N411" s="55" t="s">
        <v>90</v>
      </c>
      <c r="O411" s="55"/>
      <c r="P411" s="55" t="s">
        <v>91</v>
      </c>
      <c r="Q411" s="55" t="s">
        <v>4</v>
      </c>
      <c r="R411" s="55"/>
      <c r="S411" s="55"/>
      <c r="T411" s="55"/>
      <c r="U411" s="55"/>
      <c r="V411" s="55"/>
      <c r="W411" s="55"/>
      <c r="X411" s="57" t="str">
        <f t="shared" si="2"/>
        <v>--404-03-05</v>
      </c>
      <c r="Y411" s="58" t="str">
        <f t="shared" ref="Y411:AC411" si="409">TRIM(SUBSTITUTE(SUBSTITUTE(OFFSET($Q411,0,COLUMN()-COLUMN($AL$1)),CHAR(160)," "),_xludf.UNICHAR(8239)," "))</f>
        <v>#NAME?</v>
      </c>
      <c r="Z411" s="58" t="str">
        <f t="shared" si="409"/>
        <v>#NAME?</v>
      </c>
      <c r="AA411" s="58" t="str">
        <f t="shared" si="409"/>
        <v>#NAME?</v>
      </c>
      <c r="AB411" s="58" t="str">
        <f t="shared" si="409"/>
        <v>#NAME?</v>
      </c>
      <c r="AC411" s="58" t="str">
        <f t="shared" si="409"/>
        <v>#NAME?</v>
      </c>
      <c r="AD411" s="57">
        <f t="shared" si="4"/>
        <v>1</v>
      </c>
      <c r="AE411" s="57" t="str">
        <f t="shared" si="5"/>
        <v>2026-05</v>
      </c>
      <c r="AF411" s="57">
        <f t="shared" si="6"/>
        <v>1</v>
      </c>
      <c r="AG411" s="59">
        <f t="shared" si="7"/>
        <v>1</v>
      </c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</row>
    <row r="412" ht="24.0" customHeight="1">
      <c r="A412" s="53">
        <v>44.0</v>
      </c>
      <c r="B412" s="54" t="s">
        <v>1590</v>
      </c>
      <c r="C412" s="55" t="s">
        <v>1451</v>
      </c>
      <c r="D412" s="55"/>
      <c r="E412" s="55" t="s">
        <v>1591</v>
      </c>
      <c r="F412" s="55" t="s">
        <v>1592</v>
      </c>
      <c r="G412" s="55">
        <v>30.0</v>
      </c>
      <c r="H412" s="55" t="s">
        <v>85</v>
      </c>
      <c r="I412" s="55" t="s">
        <v>86</v>
      </c>
      <c r="J412" s="56" t="s">
        <v>87</v>
      </c>
      <c r="K412" s="55" t="s">
        <v>1593</v>
      </c>
      <c r="L412" s="55" t="s">
        <v>34</v>
      </c>
      <c r="M412" s="55" t="s">
        <v>89</v>
      </c>
      <c r="N412" s="55" t="s">
        <v>90</v>
      </c>
      <c r="O412" s="55"/>
      <c r="P412" s="55" t="s">
        <v>91</v>
      </c>
      <c r="Q412" s="55"/>
      <c r="R412" s="55" t="s">
        <v>5</v>
      </c>
      <c r="S412" s="55"/>
      <c r="T412" s="55"/>
      <c r="U412" s="55" t="s">
        <v>7</v>
      </c>
      <c r="V412" s="55"/>
      <c r="W412" s="55"/>
      <c r="X412" s="57" t="str">
        <f t="shared" si="2"/>
        <v>--405-03-05</v>
      </c>
      <c r="Y412" s="58" t="str">
        <f t="shared" ref="Y412:AC412" si="410">TRIM(SUBSTITUTE(SUBSTITUTE(OFFSET($Q412,0,COLUMN()-COLUMN($AL$1)),CHAR(160)," "),_xludf.UNICHAR(8239)," "))</f>
        <v>#NAME?</v>
      </c>
      <c r="Z412" s="58" t="str">
        <f t="shared" si="410"/>
        <v>#NAME?</v>
      </c>
      <c r="AA412" s="58" t="str">
        <f t="shared" si="410"/>
        <v>#NAME?</v>
      </c>
      <c r="AB412" s="58" t="str">
        <f t="shared" si="410"/>
        <v>#NAME?</v>
      </c>
      <c r="AC412" s="58" t="str">
        <f t="shared" si="410"/>
        <v>#NAME?</v>
      </c>
      <c r="AD412" s="57">
        <f t="shared" si="4"/>
        <v>1</v>
      </c>
      <c r="AE412" s="57" t="str">
        <f t="shared" si="5"/>
        <v>2026-05</v>
      </c>
      <c r="AF412" s="57">
        <f t="shared" si="6"/>
        <v>1</v>
      </c>
      <c r="AG412" s="59">
        <f t="shared" si="7"/>
        <v>1</v>
      </c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</row>
    <row r="413" ht="24.0" customHeight="1">
      <c r="A413" s="53">
        <v>45.0</v>
      </c>
      <c r="B413" s="54" t="s">
        <v>1594</v>
      </c>
      <c r="C413" s="55" t="s">
        <v>1451</v>
      </c>
      <c r="D413" s="55"/>
      <c r="E413" s="55" t="s">
        <v>1595</v>
      </c>
      <c r="F413" s="55" t="s">
        <v>1596</v>
      </c>
      <c r="G413" s="55">
        <v>31.0</v>
      </c>
      <c r="H413" s="55" t="s">
        <v>85</v>
      </c>
      <c r="I413" s="55" t="s">
        <v>86</v>
      </c>
      <c r="J413" s="56" t="s">
        <v>87</v>
      </c>
      <c r="K413" s="55" t="s">
        <v>1597</v>
      </c>
      <c r="L413" s="55" t="s">
        <v>34</v>
      </c>
      <c r="M413" s="55" t="s">
        <v>89</v>
      </c>
      <c r="N413" s="55" t="s">
        <v>90</v>
      </c>
      <c r="O413" s="55"/>
      <c r="P413" s="55" t="s">
        <v>91</v>
      </c>
      <c r="Q413" s="55" t="s">
        <v>16</v>
      </c>
      <c r="R413" s="55"/>
      <c r="S413" s="55"/>
      <c r="T413" s="55"/>
      <c r="U413" s="55"/>
      <c r="V413" s="55"/>
      <c r="W413" s="55"/>
      <c r="X413" s="57" t="str">
        <f t="shared" si="2"/>
        <v>--406-03-05</v>
      </c>
      <c r="Y413" s="58" t="str">
        <f t="shared" ref="Y413:AC413" si="411">TRIM(SUBSTITUTE(SUBSTITUTE(OFFSET($Q413,0,COLUMN()-COLUMN($AL$1)),CHAR(160)," "),_xludf.UNICHAR(8239)," "))</f>
        <v>#NAME?</v>
      </c>
      <c r="Z413" s="58" t="str">
        <f t="shared" si="411"/>
        <v>#NAME?</v>
      </c>
      <c r="AA413" s="58" t="str">
        <f t="shared" si="411"/>
        <v>#NAME?</v>
      </c>
      <c r="AB413" s="58" t="str">
        <f t="shared" si="411"/>
        <v>#NAME?</v>
      </c>
      <c r="AC413" s="58" t="str">
        <f t="shared" si="411"/>
        <v>#NAME?</v>
      </c>
      <c r="AD413" s="57">
        <f t="shared" si="4"/>
        <v>1</v>
      </c>
      <c r="AE413" s="57" t="str">
        <f t="shared" si="5"/>
        <v>2026-05</v>
      </c>
      <c r="AF413" s="57">
        <f t="shared" si="6"/>
        <v>1</v>
      </c>
      <c r="AG413" s="59">
        <f t="shared" si="7"/>
        <v>1</v>
      </c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</row>
    <row r="414" ht="24.0" customHeight="1">
      <c r="A414" s="53">
        <v>46.0</v>
      </c>
      <c r="B414" s="54" t="s">
        <v>1598</v>
      </c>
      <c r="C414" s="55" t="s">
        <v>1451</v>
      </c>
      <c r="D414" s="55"/>
      <c r="E414" s="55" t="s">
        <v>1599</v>
      </c>
      <c r="F414" s="55" t="s">
        <v>1600</v>
      </c>
      <c r="G414" s="55">
        <v>50.0</v>
      </c>
      <c r="H414" s="55" t="s">
        <v>85</v>
      </c>
      <c r="I414" s="55" t="s">
        <v>86</v>
      </c>
      <c r="J414" s="56" t="s">
        <v>87</v>
      </c>
      <c r="K414" s="55" t="s">
        <v>1601</v>
      </c>
      <c r="L414" s="55" t="s">
        <v>34</v>
      </c>
      <c r="M414" s="55" t="s">
        <v>89</v>
      </c>
      <c r="N414" s="55" t="s">
        <v>90</v>
      </c>
      <c r="O414" s="55"/>
      <c r="P414" s="55" t="s">
        <v>91</v>
      </c>
      <c r="Q414" s="55" t="s">
        <v>16</v>
      </c>
      <c r="R414" s="55"/>
      <c r="S414" s="55"/>
      <c r="T414" s="55"/>
      <c r="U414" s="55"/>
      <c r="V414" s="55"/>
      <c r="W414" s="55"/>
      <c r="X414" s="57" t="str">
        <f t="shared" si="2"/>
        <v>--407-03-05</v>
      </c>
      <c r="Y414" s="58" t="str">
        <f t="shared" ref="Y414:AC414" si="412">TRIM(SUBSTITUTE(SUBSTITUTE(OFFSET($Q414,0,COLUMN()-COLUMN($AL$1)),CHAR(160)," "),_xludf.UNICHAR(8239)," "))</f>
        <v>#NAME?</v>
      </c>
      <c r="Z414" s="58" t="str">
        <f t="shared" si="412"/>
        <v>#NAME?</v>
      </c>
      <c r="AA414" s="58" t="str">
        <f t="shared" si="412"/>
        <v>#NAME?</v>
      </c>
      <c r="AB414" s="58" t="str">
        <f t="shared" si="412"/>
        <v>#NAME?</v>
      </c>
      <c r="AC414" s="58" t="str">
        <f t="shared" si="412"/>
        <v>#NAME?</v>
      </c>
      <c r="AD414" s="57">
        <f t="shared" si="4"/>
        <v>1</v>
      </c>
      <c r="AE414" s="57" t="str">
        <f t="shared" si="5"/>
        <v>2026-05</v>
      </c>
      <c r="AF414" s="57">
        <f t="shared" si="6"/>
        <v>1</v>
      </c>
      <c r="AG414" s="59">
        <f t="shared" si="7"/>
        <v>1</v>
      </c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</row>
    <row r="415" ht="24.0" customHeight="1">
      <c r="A415" s="53">
        <v>47.0</v>
      </c>
      <c r="B415" s="54" t="s">
        <v>1602</v>
      </c>
      <c r="C415" s="55" t="s">
        <v>1451</v>
      </c>
      <c r="D415" s="55"/>
      <c r="E415" s="55" t="s">
        <v>1603</v>
      </c>
      <c r="F415" s="55" t="s">
        <v>1604</v>
      </c>
      <c r="G415" s="55">
        <v>45.0</v>
      </c>
      <c r="H415" s="55" t="s">
        <v>85</v>
      </c>
      <c r="I415" s="55" t="s">
        <v>112</v>
      </c>
      <c r="J415" s="56" t="s">
        <v>113</v>
      </c>
      <c r="K415" s="55" t="s">
        <v>1605</v>
      </c>
      <c r="L415" s="55" t="s">
        <v>34</v>
      </c>
      <c r="M415" s="55" t="s">
        <v>89</v>
      </c>
      <c r="N415" s="55" t="s">
        <v>90</v>
      </c>
      <c r="O415" s="55"/>
      <c r="P415" s="55" t="s">
        <v>91</v>
      </c>
      <c r="Q415" s="55" t="s">
        <v>16</v>
      </c>
      <c r="R415" s="55"/>
      <c r="S415" s="55"/>
      <c r="T415" s="55"/>
      <c r="U415" s="55"/>
      <c r="V415" s="55"/>
      <c r="W415" s="55"/>
      <c r="X415" s="57" t="str">
        <f t="shared" si="2"/>
        <v>--408-03-05</v>
      </c>
      <c r="Y415" s="58" t="str">
        <f t="shared" ref="Y415:AC415" si="413">TRIM(SUBSTITUTE(SUBSTITUTE(OFFSET($Q415,0,COLUMN()-COLUMN($AL$1)),CHAR(160)," "),_xludf.UNICHAR(8239)," "))</f>
        <v>#NAME?</v>
      </c>
      <c r="Z415" s="58" t="str">
        <f t="shared" si="413"/>
        <v>#NAME?</v>
      </c>
      <c r="AA415" s="58" t="str">
        <f t="shared" si="413"/>
        <v>#NAME?</v>
      </c>
      <c r="AB415" s="58" t="str">
        <f t="shared" si="413"/>
        <v>#NAME?</v>
      </c>
      <c r="AC415" s="58" t="str">
        <f t="shared" si="413"/>
        <v>#NAME?</v>
      </c>
      <c r="AD415" s="57">
        <f t="shared" si="4"/>
        <v>1</v>
      </c>
      <c r="AE415" s="57" t="str">
        <f t="shared" si="5"/>
        <v>2026-05</v>
      </c>
      <c r="AF415" s="57">
        <f t="shared" si="6"/>
        <v>1</v>
      </c>
      <c r="AG415" s="59">
        <f t="shared" si="7"/>
        <v>1</v>
      </c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</row>
    <row r="416" ht="24.0" customHeight="1">
      <c r="A416" s="53">
        <v>48.0</v>
      </c>
      <c r="B416" s="54" t="s">
        <v>1606</v>
      </c>
      <c r="C416" s="55" t="s">
        <v>1451</v>
      </c>
      <c r="D416" s="55"/>
      <c r="E416" s="55" t="s">
        <v>1607</v>
      </c>
      <c r="F416" s="55" t="s">
        <v>1608</v>
      </c>
      <c r="G416" s="55">
        <v>64.0</v>
      </c>
      <c r="H416" s="55" t="s">
        <v>260</v>
      </c>
      <c r="I416" s="55" t="s">
        <v>86</v>
      </c>
      <c r="J416" s="56" t="s">
        <v>87</v>
      </c>
      <c r="K416" s="55" t="s">
        <v>1609</v>
      </c>
      <c r="L416" s="55" t="s">
        <v>41</v>
      </c>
      <c r="M416" s="55" t="s">
        <v>133</v>
      </c>
      <c r="N416" s="55" t="s">
        <v>90</v>
      </c>
      <c r="O416" s="55"/>
      <c r="P416" s="55" t="s">
        <v>91</v>
      </c>
      <c r="Q416" s="55" t="s">
        <v>4</v>
      </c>
      <c r="R416" s="55"/>
      <c r="S416" s="55"/>
      <c r="T416" s="55"/>
      <c r="U416" s="55"/>
      <c r="V416" s="55"/>
      <c r="W416" s="55"/>
      <c r="X416" s="57" t="str">
        <f t="shared" si="2"/>
        <v>--409-03-05</v>
      </c>
      <c r="Y416" s="58" t="str">
        <f t="shared" ref="Y416:AC416" si="414">TRIM(SUBSTITUTE(SUBSTITUTE(OFFSET($Q416,0,COLUMN()-COLUMN($AL$1)),CHAR(160)," "),_xludf.UNICHAR(8239)," "))</f>
        <v>#NAME?</v>
      </c>
      <c r="Z416" s="58" t="str">
        <f t="shared" si="414"/>
        <v>#NAME?</v>
      </c>
      <c r="AA416" s="58" t="str">
        <f t="shared" si="414"/>
        <v>#NAME?</v>
      </c>
      <c r="AB416" s="58" t="str">
        <f t="shared" si="414"/>
        <v>#NAME?</v>
      </c>
      <c r="AC416" s="58" t="str">
        <f t="shared" si="414"/>
        <v>#NAME?</v>
      </c>
      <c r="AD416" s="57">
        <f t="shared" si="4"/>
        <v>1</v>
      </c>
      <c r="AE416" s="57" t="str">
        <f t="shared" si="5"/>
        <v>2026-05</v>
      </c>
      <c r="AF416" s="57">
        <f t="shared" si="6"/>
        <v>1</v>
      </c>
      <c r="AG416" s="59">
        <f t="shared" si="7"/>
        <v>1</v>
      </c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</row>
    <row r="417" ht="24.0" customHeight="1">
      <c r="A417" s="53">
        <v>49.0</v>
      </c>
      <c r="B417" s="54" t="s">
        <v>1610</v>
      </c>
      <c r="C417" s="55" t="s">
        <v>1451</v>
      </c>
      <c r="D417" s="55"/>
      <c r="E417" s="55" t="s">
        <v>1611</v>
      </c>
      <c r="F417" s="55" t="s">
        <v>1612</v>
      </c>
      <c r="G417" s="55">
        <v>19.0</v>
      </c>
      <c r="H417" s="55" t="s">
        <v>85</v>
      </c>
      <c r="I417" s="55" t="s">
        <v>86</v>
      </c>
      <c r="J417" s="56" t="s">
        <v>87</v>
      </c>
      <c r="K417" s="55" t="s">
        <v>1613</v>
      </c>
      <c r="L417" s="55" t="s">
        <v>34</v>
      </c>
      <c r="M417" s="55" t="s">
        <v>89</v>
      </c>
      <c r="N417" s="55" t="s">
        <v>90</v>
      </c>
      <c r="O417" s="55"/>
      <c r="P417" s="55" t="s">
        <v>91</v>
      </c>
      <c r="Q417" s="55"/>
      <c r="R417" s="55" t="s">
        <v>5</v>
      </c>
      <c r="S417" s="55"/>
      <c r="T417" s="55"/>
      <c r="U417" s="55" t="s">
        <v>7</v>
      </c>
      <c r="V417" s="55"/>
      <c r="W417" s="55"/>
      <c r="X417" s="57" t="str">
        <f t="shared" si="2"/>
        <v>--410-03-05</v>
      </c>
      <c r="Y417" s="58" t="str">
        <f t="shared" ref="Y417:AC417" si="415">TRIM(SUBSTITUTE(SUBSTITUTE(OFFSET($Q417,0,COLUMN()-COLUMN($AL$1)),CHAR(160)," "),_xludf.UNICHAR(8239)," "))</f>
        <v>#NAME?</v>
      </c>
      <c r="Z417" s="58" t="str">
        <f t="shared" si="415"/>
        <v>#NAME?</v>
      </c>
      <c r="AA417" s="58" t="str">
        <f t="shared" si="415"/>
        <v>#NAME?</v>
      </c>
      <c r="AB417" s="58" t="str">
        <f t="shared" si="415"/>
        <v>#NAME?</v>
      </c>
      <c r="AC417" s="58" t="str">
        <f t="shared" si="415"/>
        <v>#NAME?</v>
      </c>
      <c r="AD417" s="57">
        <f t="shared" si="4"/>
        <v>1</v>
      </c>
      <c r="AE417" s="57" t="str">
        <f t="shared" si="5"/>
        <v>2026-05</v>
      </c>
      <c r="AF417" s="57">
        <f t="shared" si="6"/>
        <v>1</v>
      </c>
      <c r="AG417" s="59">
        <f t="shared" si="7"/>
        <v>1</v>
      </c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</row>
    <row r="418" ht="24.0" customHeight="1">
      <c r="A418" s="53">
        <v>50.0</v>
      </c>
      <c r="B418" s="54" t="s">
        <v>1614</v>
      </c>
      <c r="C418" s="55" t="s">
        <v>1451</v>
      </c>
      <c r="D418" s="55"/>
      <c r="E418" s="55" t="s">
        <v>1615</v>
      </c>
      <c r="F418" s="55" t="s">
        <v>1616</v>
      </c>
      <c r="G418" s="55">
        <v>33.0</v>
      </c>
      <c r="H418" s="55" t="s">
        <v>85</v>
      </c>
      <c r="I418" s="55" t="s">
        <v>86</v>
      </c>
      <c r="J418" s="56" t="s">
        <v>87</v>
      </c>
      <c r="K418" s="55" t="s">
        <v>1617</v>
      </c>
      <c r="L418" s="55" t="s">
        <v>34</v>
      </c>
      <c r="M418" s="55" t="s">
        <v>89</v>
      </c>
      <c r="N418" s="55" t="s">
        <v>90</v>
      </c>
      <c r="O418" s="55"/>
      <c r="P418" s="55" t="s">
        <v>91</v>
      </c>
      <c r="Q418" s="55"/>
      <c r="R418" s="55" t="s">
        <v>36</v>
      </c>
      <c r="S418" s="55"/>
      <c r="T418" s="55"/>
      <c r="U418" s="55"/>
      <c r="V418" s="55"/>
      <c r="W418" s="55"/>
      <c r="X418" s="57" t="str">
        <f t="shared" si="2"/>
        <v>--411-03-05</v>
      </c>
      <c r="Y418" s="58" t="str">
        <f t="shared" ref="Y418:AC418" si="416">TRIM(SUBSTITUTE(SUBSTITUTE(OFFSET($Q418,0,COLUMN()-COLUMN($AL$1)),CHAR(160)," "),_xludf.UNICHAR(8239)," "))</f>
        <v>#NAME?</v>
      </c>
      <c r="Z418" s="58" t="str">
        <f t="shared" si="416"/>
        <v>#NAME?</v>
      </c>
      <c r="AA418" s="58" t="str">
        <f t="shared" si="416"/>
        <v>#NAME?</v>
      </c>
      <c r="AB418" s="58" t="str">
        <f t="shared" si="416"/>
        <v>#NAME?</v>
      </c>
      <c r="AC418" s="58" t="str">
        <f t="shared" si="416"/>
        <v>#NAME?</v>
      </c>
      <c r="AD418" s="57">
        <f t="shared" si="4"/>
        <v>1</v>
      </c>
      <c r="AE418" s="57" t="str">
        <f t="shared" si="5"/>
        <v>2026-05</v>
      </c>
      <c r="AF418" s="57">
        <f t="shared" si="6"/>
        <v>1</v>
      </c>
      <c r="AG418" s="59">
        <f t="shared" si="7"/>
        <v>1</v>
      </c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</row>
    <row r="419" ht="24.0" customHeight="1">
      <c r="A419" s="53">
        <v>51.0</v>
      </c>
      <c r="B419" s="54" t="s">
        <v>1618</v>
      </c>
      <c r="C419" s="55" t="s">
        <v>1451</v>
      </c>
      <c r="D419" s="55"/>
      <c r="E419" s="55" t="s">
        <v>1619</v>
      </c>
      <c r="F419" s="55" t="s">
        <v>1620</v>
      </c>
      <c r="G419" s="55">
        <v>37.0</v>
      </c>
      <c r="H419" s="55" t="s">
        <v>85</v>
      </c>
      <c r="I419" s="55" t="s">
        <v>86</v>
      </c>
      <c r="J419" s="56" t="s">
        <v>87</v>
      </c>
      <c r="K419" s="55" t="s">
        <v>1621</v>
      </c>
      <c r="L419" s="55" t="s">
        <v>34</v>
      </c>
      <c r="M419" s="55" t="s">
        <v>89</v>
      </c>
      <c r="N419" s="55" t="s">
        <v>90</v>
      </c>
      <c r="O419" s="55"/>
      <c r="P419" s="55" t="s">
        <v>91</v>
      </c>
      <c r="Q419" s="55"/>
      <c r="R419" s="55" t="s">
        <v>36</v>
      </c>
      <c r="S419" s="55"/>
      <c r="T419" s="55"/>
      <c r="U419" s="55"/>
      <c r="V419" s="55"/>
      <c r="W419" s="55"/>
      <c r="X419" s="57" t="str">
        <f t="shared" si="2"/>
        <v>--412-03-05</v>
      </c>
      <c r="Y419" s="58" t="str">
        <f t="shared" ref="Y419:AC419" si="417">TRIM(SUBSTITUTE(SUBSTITUTE(OFFSET($Q419,0,COLUMN()-COLUMN($AL$1)),CHAR(160)," "),_xludf.UNICHAR(8239)," "))</f>
        <v>#NAME?</v>
      </c>
      <c r="Z419" s="58" t="str">
        <f t="shared" si="417"/>
        <v>#NAME?</v>
      </c>
      <c r="AA419" s="58" t="str">
        <f t="shared" si="417"/>
        <v>#NAME?</v>
      </c>
      <c r="AB419" s="58" t="str">
        <f t="shared" si="417"/>
        <v>#NAME?</v>
      </c>
      <c r="AC419" s="58" t="str">
        <f t="shared" si="417"/>
        <v>#NAME?</v>
      </c>
      <c r="AD419" s="57">
        <f t="shared" si="4"/>
        <v>1</v>
      </c>
      <c r="AE419" s="57" t="str">
        <f t="shared" si="5"/>
        <v>2026-05</v>
      </c>
      <c r="AF419" s="57">
        <f t="shared" si="6"/>
        <v>1</v>
      </c>
      <c r="AG419" s="59">
        <f t="shared" si="7"/>
        <v>1</v>
      </c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</row>
    <row r="420" ht="24.0" customHeight="1">
      <c r="A420" s="53">
        <v>52.0</v>
      </c>
      <c r="B420" s="54" t="s">
        <v>1622</v>
      </c>
      <c r="C420" s="55" t="s">
        <v>1451</v>
      </c>
      <c r="D420" s="55"/>
      <c r="E420" s="55" t="s">
        <v>1623</v>
      </c>
      <c r="F420" s="55" t="s">
        <v>1624</v>
      </c>
      <c r="G420" s="55">
        <v>18.0</v>
      </c>
      <c r="H420" s="55" t="s">
        <v>111</v>
      </c>
      <c r="I420" s="55" t="s">
        <v>86</v>
      </c>
      <c r="J420" s="56" t="s">
        <v>87</v>
      </c>
      <c r="K420" s="55" t="s">
        <v>1625</v>
      </c>
      <c r="L420" s="55" t="s">
        <v>34</v>
      </c>
      <c r="M420" s="55" t="s">
        <v>89</v>
      </c>
      <c r="N420" s="55" t="s">
        <v>90</v>
      </c>
      <c r="O420" s="55"/>
      <c r="P420" s="55" t="s">
        <v>91</v>
      </c>
      <c r="Q420" s="55"/>
      <c r="R420" s="55" t="s">
        <v>5</v>
      </c>
      <c r="S420" s="55"/>
      <c r="T420" s="55"/>
      <c r="U420" s="55" t="s">
        <v>7</v>
      </c>
      <c r="V420" s="55"/>
      <c r="W420" s="55"/>
      <c r="X420" s="57" t="str">
        <f t="shared" si="2"/>
        <v>--413-03-05</v>
      </c>
      <c r="Y420" s="58" t="str">
        <f t="shared" ref="Y420:AC420" si="418">TRIM(SUBSTITUTE(SUBSTITUTE(OFFSET($Q420,0,COLUMN()-COLUMN($AL$1)),CHAR(160)," "),_xludf.UNICHAR(8239)," "))</f>
        <v>#NAME?</v>
      </c>
      <c r="Z420" s="58" t="str">
        <f t="shared" si="418"/>
        <v>#NAME?</v>
      </c>
      <c r="AA420" s="58" t="str">
        <f t="shared" si="418"/>
        <v>#NAME?</v>
      </c>
      <c r="AB420" s="58" t="str">
        <f t="shared" si="418"/>
        <v>#NAME?</v>
      </c>
      <c r="AC420" s="58" t="str">
        <f t="shared" si="418"/>
        <v>#NAME?</v>
      </c>
      <c r="AD420" s="57">
        <f t="shared" si="4"/>
        <v>1</v>
      </c>
      <c r="AE420" s="57" t="str">
        <f t="shared" si="5"/>
        <v>2026-05</v>
      </c>
      <c r="AF420" s="57">
        <f t="shared" si="6"/>
        <v>1</v>
      </c>
      <c r="AG420" s="59">
        <f t="shared" si="7"/>
        <v>1</v>
      </c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</row>
    <row r="421" ht="24.0" customHeight="1">
      <c r="A421" s="53">
        <v>53.0</v>
      </c>
      <c r="B421" s="54" t="s">
        <v>1626</v>
      </c>
      <c r="C421" s="55" t="s">
        <v>1451</v>
      </c>
      <c r="D421" s="55"/>
      <c r="E421" s="55" t="s">
        <v>1627</v>
      </c>
      <c r="F421" s="55" t="s">
        <v>1628</v>
      </c>
      <c r="G421" s="55">
        <v>17.0</v>
      </c>
      <c r="H421" s="55" t="s">
        <v>111</v>
      </c>
      <c r="I421" s="55" t="s">
        <v>86</v>
      </c>
      <c r="J421" s="56" t="s">
        <v>87</v>
      </c>
      <c r="K421" s="55" t="s">
        <v>1629</v>
      </c>
      <c r="L421" s="55" t="s">
        <v>41</v>
      </c>
      <c r="M421" s="55" t="s">
        <v>89</v>
      </c>
      <c r="N421" s="55" t="s">
        <v>90</v>
      </c>
      <c r="O421" s="55"/>
      <c r="P421" s="55" t="s">
        <v>91</v>
      </c>
      <c r="Q421" s="55"/>
      <c r="R421" s="55" t="s">
        <v>5</v>
      </c>
      <c r="S421" s="55" t="s">
        <v>6</v>
      </c>
      <c r="T421" s="55"/>
      <c r="U421" s="55" t="s">
        <v>7</v>
      </c>
      <c r="V421" s="55"/>
      <c r="W421" s="55"/>
      <c r="X421" s="57" t="str">
        <f t="shared" si="2"/>
        <v>--414-03-05</v>
      </c>
      <c r="Y421" s="58" t="str">
        <f t="shared" ref="Y421:AC421" si="419">TRIM(SUBSTITUTE(SUBSTITUTE(OFFSET($Q421,0,COLUMN()-COLUMN($AL$1)),CHAR(160)," "),_xludf.UNICHAR(8239)," "))</f>
        <v>#NAME?</v>
      </c>
      <c r="Z421" s="58" t="str">
        <f t="shared" si="419"/>
        <v>#NAME?</v>
      </c>
      <c r="AA421" s="58" t="str">
        <f t="shared" si="419"/>
        <v>#NAME?</v>
      </c>
      <c r="AB421" s="58" t="str">
        <f t="shared" si="419"/>
        <v>#NAME?</v>
      </c>
      <c r="AC421" s="58" t="str">
        <f t="shared" si="419"/>
        <v>#NAME?</v>
      </c>
      <c r="AD421" s="57">
        <f t="shared" si="4"/>
        <v>1</v>
      </c>
      <c r="AE421" s="57" t="str">
        <f t="shared" si="5"/>
        <v>2026-05</v>
      </c>
      <c r="AF421" s="57">
        <f t="shared" si="6"/>
        <v>1</v>
      </c>
      <c r="AG421" s="59">
        <f t="shared" si="7"/>
        <v>1</v>
      </c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</row>
    <row r="422" ht="24.0" customHeight="1">
      <c r="A422" s="53">
        <v>54.0</v>
      </c>
      <c r="B422" s="54" t="s">
        <v>1630</v>
      </c>
      <c r="C422" s="55" t="s">
        <v>1451</v>
      </c>
      <c r="D422" s="55"/>
      <c r="E422" s="55" t="s">
        <v>1631</v>
      </c>
      <c r="F422" s="55" t="s">
        <v>1632</v>
      </c>
      <c r="G422" s="55">
        <v>29.0</v>
      </c>
      <c r="H422" s="55" t="s">
        <v>85</v>
      </c>
      <c r="I422" s="55" t="s">
        <v>86</v>
      </c>
      <c r="J422" s="56" t="s">
        <v>87</v>
      </c>
      <c r="K422" s="55" t="s">
        <v>1633</v>
      </c>
      <c r="L422" s="55" t="s">
        <v>34</v>
      </c>
      <c r="M422" s="55" t="s">
        <v>89</v>
      </c>
      <c r="N422" s="55" t="s">
        <v>90</v>
      </c>
      <c r="O422" s="55"/>
      <c r="P422" s="55" t="s">
        <v>91</v>
      </c>
      <c r="Q422" s="55"/>
      <c r="R422" s="55" t="s">
        <v>5</v>
      </c>
      <c r="S422" s="55"/>
      <c r="T422" s="55"/>
      <c r="U422" s="55" t="s">
        <v>7</v>
      </c>
      <c r="V422" s="55"/>
      <c r="W422" s="55"/>
      <c r="X422" s="57" t="str">
        <f t="shared" si="2"/>
        <v>--415-03-05</v>
      </c>
      <c r="Y422" s="58" t="str">
        <f t="shared" ref="Y422:AC422" si="420">TRIM(SUBSTITUTE(SUBSTITUTE(OFFSET($Q422,0,COLUMN()-COLUMN($AL$1)),CHAR(160)," "),_xludf.UNICHAR(8239)," "))</f>
        <v>#NAME?</v>
      </c>
      <c r="Z422" s="58" t="str">
        <f t="shared" si="420"/>
        <v>#NAME?</v>
      </c>
      <c r="AA422" s="58" t="str">
        <f t="shared" si="420"/>
        <v>#NAME?</v>
      </c>
      <c r="AB422" s="58" t="str">
        <f t="shared" si="420"/>
        <v>#NAME?</v>
      </c>
      <c r="AC422" s="58" t="str">
        <f t="shared" si="420"/>
        <v>#NAME?</v>
      </c>
      <c r="AD422" s="57">
        <f t="shared" si="4"/>
        <v>1</v>
      </c>
      <c r="AE422" s="57" t="str">
        <f t="shared" si="5"/>
        <v>2026-05</v>
      </c>
      <c r="AF422" s="57">
        <f t="shared" si="6"/>
        <v>1</v>
      </c>
      <c r="AG422" s="59">
        <f t="shared" si="7"/>
        <v>1</v>
      </c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</row>
    <row r="423" ht="24.0" customHeight="1">
      <c r="A423" s="53">
        <v>55.0</v>
      </c>
      <c r="B423" s="54" t="s">
        <v>1634</v>
      </c>
      <c r="C423" s="55" t="s">
        <v>1451</v>
      </c>
      <c r="D423" s="55"/>
      <c r="E423" s="55" t="s">
        <v>1635</v>
      </c>
      <c r="F423" s="55" t="s">
        <v>1636</v>
      </c>
      <c r="G423" s="55">
        <v>46.0</v>
      </c>
      <c r="H423" s="55" t="s">
        <v>85</v>
      </c>
      <c r="I423" s="55" t="s">
        <v>86</v>
      </c>
      <c r="J423" s="56" t="s">
        <v>87</v>
      </c>
      <c r="K423" s="55" t="s">
        <v>1637</v>
      </c>
      <c r="L423" s="55" t="s">
        <v>34</v>
      </c>
      <c r="M423" s="55" t="s">
        <v>89</v>
      </c>
      <c r="N423" s="55" t="s">
        <v>90</v>
      </c>
      <c r="O423" s="55"/>
      <c r="P423" s="55" t="s">
        <v>91</v>
      </c>
      <c r="Q423" s="55"/>
      <c r="R423" s="55" t="s">
        <v>36</v>
      </c>
      <c r="S423" s="55"/>
      <c r="T423" s="55"/>
      <c r="U423" s="55"/>
      <c r="V423" s="55"/>
      <c r="W423" s="55"/>
      <c r="X423" s="57" t="str">
        <f t="shared" si="2"/>
        <v>--416-03-05</v>
      </c>
      <c r="Y423" s="58" t="str">
        <f t="shared" ref="Y423:AC423" si="421">TRIM(SUBSTITUTE(SUBSTITUTE(OFFSET($Q423,0,COLUMN()-COLUMN($AL$1)),CHAR(160)," "),_xludf.UNICHAR(8239)," "))</f>
        <v>#NAME?</v>
      </c>
      <c r="Z423" s="58" t="str">
        <f t="shared" si="421"/>
        <v>#NAME?</v>
      </c>
      <c r="AA423" s="58" t="str">
        <f t="shared" si="421"/>
        <v>#NAME?</v>
      </c>
      <c r="AB423" s="58" t="str">
        <f t="shared" si="421"/>
        <v>#NAME?</v>
      </c>
      <c r="AC423" s="58" t="str">
        <f t="shared" si="421"/>
        <v>#NAME?</v>
      </c>
      <c r="AD423" s="57">
        <f t="shared" si="4"/>
        <v>1</v>
      </c>
      <c r="AE423" s="57" t="str">
        <f t="shared" si="5"/>
        <v>2026-05</v>
      </c>
      <c r="AF423" s="57">
        <f t="shared" si="6"/>
        <v>1</v>
      </c>
      <c r="AG423" s="59">
        <f t="shared" si="7"/>
        <v>1</v>
      </c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</row>
    <row r="424" ht="24.0" customHeight="1">
      <c r="A424" s="53">
        <v>56.0</v>
      </c>
      <c r="B424" s="54" t="s">
        <v>1638</v>
      </c>
      <c r="C424" s="55" t="s">
        <v>1451</v>
      </c>
      <c r="D424" s="55"/>
      <c r="E424" s="55" t="s">
        <v>1639</v>
      </c>
      <c r="F424" s="55" t="s">
        <v>1640</v>
      </c>
      <c r="G424" s="55">
        <v>1.0</v>
      </c>
      <c r="H424" s="55" t="s">
        <v>119</v>
      </c>
      <c r="I424" s="55" t="s">
        <v>112</v>
      </c>
      <c r="J424" s="56" t="s">
        <v>113</v>
      </c>
      <c r="K424" s="55" t="s">
        <v>1641</v>
      </c>
      <c r="L424" s="55" t="s">
        <v>34</v>
      </c>
      <c r="M424" s="55" t="s">
        <v>115</v>
      </c>
      <c r="N424" s="55" t="s">
        <v>90</v>
      </c>
      <c r="O424" s="55"/>
      <c r="P424" s="55" t="s">
        <v>91</v>
      </c>
      <c r="Q424" s="55" t="s">
        <v>16</v>
      </c>
      <c r="R424" s="55"/>
      <c r="S424" s="55"/>
      <c r="T424" s="55"/>
      <c r="U424" s="55"/>
      <c r="V424" s="55"/>
      <c r="W424" s="55"/>
      <c r="X424" s="57" t="str">
        <f t="shared" si="2"/>
        <v>--417-03-05</v>
      </c>
      <c r="Y424" s="58" t="str">
        <f t="shared" ref="Y424:AC424" si="422">TRIM(SUBSTITUTE(SUBSTITUTE(OFFSET($Q424,0,COLUMN()-COLUMN($AL$1)),CHAR(160)," "),_xludf.UNICHAR(8239)," "))</f>
        <v>#NAME?</v>
      </c>
      <c r="Z424" s="58" t="str">
        <f t="shared" si="422"/>
        <v>#NAME?</v>
      </c>
      <c r="AA424" s="58" t="str">
        <f t="shared" si="422"/>
        <v>#NAME?</v>
      </c>
      <c r="AB424" s="58" t="str">
        <f t="shared" si="422"/>
        <v>#NAME?</v>
      </c>
      <c r="AC424" s="58" t="str">
        <f t="shared" si="422"/>
        <v>#NAME?</v>
      </c>
      <c r="AD424" s="57">
        <f t="shared" si="4"/>
        <v>1</v>
      </c>
      <c r="AE424" s="57" t="str">
        <f t="shared" si="5"/>
        <v>2026-05</v>
      </c>
      <c r="AF424" s="57">
        <f t="shared" si="6"/>
        <v>1</v>
      </c>
      <c r="AG424" s="59">
        <f t="shared" si="7"/>
        <v>1</v>
      </c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</row>
    <row r="425" ht="24.0" customHeight="1">
      <c r="A425" s="53">
        <v>57.0</v>
      </c>
      <c r="B425" s="54" t="s">
        <v>1642</v>
      </c>
      <c r="C425" s="55" t="s">
        <v>1451</v>
      </c>
      <c r="D425" s="55"/>
      <c r="E425" s="55" t="s">
        <v>1643</v>
      </c>
      <c r="F425" s="55" t="s">
        <v>1644</v>
      </c>
      <c r="G425" s="55">
        <v>30.0</v>
      </c>
      <c r="H425" s="55" t="s">
        <v>85</v>
      </c>
      <c r="I425" s="55" t="s">
        <v>112</v>
      </c>
      <c r="J425" s="56" t="s">
        <v>113</v>
      </c>
      <c r="K425" s="55" t="s">
        <v>1641</v>
      </c>
      <c r="L425" s="55" t="s">
        <v>34</v>
      </c>
      <c r="M425" s="55" t="s">
        <v>115</v>
      </c>
      <c r="N425" s="55" t="s">
        <v>90</v>
      </c>
      <c r="O425" s="55"/>
      <c r="P425" s="55" t="s">
        <v>91</v>
      </c>
      <c r="Q425" s="55" t="s">
        <v>4</v>
      </c>
      <c r="R425" s="55"/>
      <c r="S425" s="55"/>
      <c r="T425" s="55"/>
      <c r="U425" s="55"/>
      <c r="V425" s="55"/>
      <c r="W425" s="55"/>
      <c r="X425" s="57" t="str">
        <f t="shared" si="2"/>
        <v>--418-03-05</v>
      </c>
      <c r="Y425" s="58" t="str">
        <f t="shared" ref="Y425:AC425" si="423">TRIM(SUBSTITUTE(SUBSTITUTE(OFFSET($Q425,0,COLUMN()-COLUMN($AL$1)),CHAR(160)," "),_xludf.UNICHAR(8239)," "))</f>
        <v>#NAME?</v>
      </c>
      <c r="Z425" s="58" t="str">
        <f t="shared" si="423"/>
        <v>#NAME?</v>
      </c>
      <c r="AA425" s="58" t="str">
        <f t="shared" si="423"/>
        <v>#NAME?</v>
      </c>
      <c r="AB425" s="58" t="str">
        <f t="shared" si="423"/>
        <v>#NAME?</v>
      </c>
      <c r="AC425" s="58" t="str">
        <f t="shared" si="423"/>
        <v>#NAME?</v>
      </c>
      <c r="AD425" s="57">
        <f t="shared" si="4"/>
        <v>1</v>
      </c>
      <c r="AE425" s="57" t="str">
        <f t="shared" si="5"/>
        <v>2026-05</v>
      </c>
      <c r="AF425" s="57">
        <f t="shared" si="6"/>
        <v>1</v>
      </c>
      <c r="AG425" s="59">
        <f t="shared" si="7"/>
        <v>1</v>
      </c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</row>
    <row r="426" ht="24.0" customHeight="1">
      <c r="A426" s="53">
        <v>58.0</v>
      </c>
      <c r="B426" s="54" t="s">
        <v>1645</v>
      </c>
      <c r="C426" s="55" t="s">
        <v>1451</v>
      </c>
      <c r="D426" s="55"/>
      <c r="E426" s="55" t="s">
        <v>1646</v>
      </c>
      <c r="F426" s="55" t="s">
        <v>1647</v>
      </c>
      <c r="G426" s="55">
        <v>29.0</v>
      </c>
      <c r="H426" s="55" t="s">
        <v>85</v>
      </c>
      <c r="I426" s="55" t="s">
        <v>86</v>
      </c>
      <c r="J426" s="56" t="s">
        <v>87</v>
      </c>
      <c r="K426" s="55" t="s">
        <v>1648</v>
      </c>
      <c r="L426" s="55"/>
      <c r="M426" s="55" t="s">
        <v>89</v>
      </c>
      <c r="N426" s="55" t="s">
        <v>90</v>
      </c>
      <c r="O426" s="55"/>
      <c r="P426" s="55" t="s">
        <v>91</v>
      </c>
      <c r="Q426" s="55"/>
      <c r="R426" s="55" t="s">
        <v>5</v>
      </c>
      <c r="S426" s="55"/>
      <c r="T426" s="55"/>
      <c r="U426" s="55" t="s">
        <v>7</v>
      </c>
      <c r="V426" s="55"/>
      <c r="W426" s="55"/>
      <c r="X426" s="57" t="str">
        <f t="shared" si="2"/>
        <v>--419-03-05</v>
      </c>
      <c r="Y426" s="58" t="str">
        <f t="shared" ref="Y426:AC426" si="424">TRIM(SUBSTITUTE(SUBSTITUTE(OFFSET($Q426,0,COLUMN()-COLUMN($AL$1)),CHAR(160)," "),_xludf.UNICHAR(8239)," "))</f>
        <v>#NAME?</v>
      </c>
      <c r="Z426" s="58" t="str">
        <f t="shared" si="424"/>
        <v>#NAME?</v>
      </c>
      <c r="AA426" s="58" t="str">
        <f t="shared" si="424"/>
        <v>#NAME?</v>
      </c>
      <c r="AB426" s="58" t="str">
        <f t="shared" si="424"/>
        <v>#NAME?</v>
      </c>
      <c r="AC426" s="58" t="str">
        <f t="shared" si="424"/>
        <v>#NAME?</v>
      </c>
      <c r="AD426" s="57">
        <f t="shared" si="4"/>
        <v>1</v>
      </c>
      <c r="AE426" s="57" t="str">
        <f t="shared" si="5"/>
        <v>2026-05</v>
      </c>
      <c r="AF426" s="57">
        <f t="shared" si="6"/>
        <v>1</v>
      </c>
      <c r="AG426" s="59">
        <f t="shared" si="7"/>
        <v>1</v>
      </c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</row>
    <row r="427" ht="24.0" customHeight="1">
      <c r="A427" s="53">
        <v>59.0</v>
      </c>
      <c r="B427" s="54" t="s">
        <v>1649</v>
      </c>
      <c r="C427" s="55" t="s">
        <v>1451</v>
      </c>
      <c r="D427" s="55"/>
      <c r="E427" s="55" t="s">
        <v>1650</v>
      </c>
      <c r="F427" s="55" t="s">
        <v>1651</v>
      </c>
      <c r="G427" s="55">
        <v>29.0</v>
      </c>
      <c r="H427" s="55" t="s">
        <v>85</v>
      </c>
      <c r="I427" s="55" t="s">
        <v>86</v>
      </c>
      <c r="J427" s="56" t="s">
        <v>87</v>
      </c>
      <c r="K427" s="55" t="s">
        <v>1652</v>
      </c>
      <c r="L427" s="55" t="s">
        <v>34</v>
      </c>
      <c r="M427" s="55" t="s">
        <v>89</v>
      </c>
      <c r="N427" s="55" t="s">
        <v>90</v>
      </c>
      <c r="O427" s="55"/>
      <c r="P427" s="55" t="s">
        <v>91</v>
      </c>
      <c r="Q427" s="55"/>
      <c r="R427" s="55" t="s">
        <v>5</v>
      </c>
      <c r="S427" s="55"/>
      <c r="T427" s="55"/>
      <c r="U427" s="55" t="s">
        <v>7</v>
      </c>
      <c r="V427" s="55"/>
      <c r="W427" s="55"/>
      <c r="X427" s="57" t="str">
        <f t="shared" si="2"/>
        <v>--420-03-05</v>
      </c>
      <c r="Y427" s="58" t="str">
        <f t="shared" ref="Y427:AC427" si="425">TRIM(SUBSTITUTE(SUBSTITUTE(OFFSET($Q427,0,COLUMN()-COLUMN($AL$1)),CHAR(160)," "),_xludf.UNICHAR(8239)," "))</f>
        <v>#NAME?</v>
      </c>
      <c r="Z427" s="58" t="str">
        <f t="shared" si="425"/>
        <v>#NAME?</v>
      </c>
      <c r="AA427" s="58" t="str">
        <f t="shared" si="425"/>
        <v>#NAME?</v>
      </c>
      <c r="AB427" s="58" t="str">
        <f t="shared" si="425"/>
        <v>#NAME?</v>
      </c>
      <c r="AC427" s="58" t="str">
        <f t="shared" si="425"/>
        <v>#NAME?</v>
      </c>
      <c r="AD427" s="57">
        <f t="shared" si="4"/>
        <v>1</v>
      </c>
      <c r="AE427" s="57" t="str">
        <f t="shared" si="5"/>
        <v>2026-05</v>
      </c>
      <c r="AF427" s="57">
        <f t="shared" si="6"/>
        <v>1</v>
      </c>
      <c r="AG427" s="59">
        <f t="shared" si="7"/>
        <v>1</v>
      </c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</row>
    <row r="428" ht="24.0" customHeight="1">
      <c r="A428" s="53">
        <v>60.0</v>
      </c>
      <c r="B428" s="54" t="s">
        <v>1653</v>
      </c>
      <c r="C428" s="55" t="s">
        <v>1451</v>
      </c>
      <c r="D428" s="55"/>
      <c r="E428" s="55" t="s">
        <v>1654</v>
      </c>
      <c r="F428" s="55" t="s">
        <v>1655</v>
      </c>
      <c r="G428" s="55">
        <v>41.0</v>
      </c>
      <c r="H428" s="55" t="s">
        <v>85</v>
      </c>
      <c r="I428" s="55" t="s">
        <v>86</v>
      </c>
      <c r="J428" s="56" t="s">
        <v>87</v>
      </c>
      <c r="K428" s="55" t="s">
        <v>1656</v>
      </c>
      <c r="L428" s="55" t="s">
        <v>34</v>
      </c>
      <c r="M428" s="55" t="s">
        <v>89</v>
      </c>
      <c r="N428" s="55" t="s">
        <v>90</v>
      </c>
      <c r="O428" s="55"/>
      <c r="P428" s="55" t="s">
        <v>91</v>
      </c>
      <c r="Q428" s="55"/>
      <c r="R428" s="55" t="s">
        <v>36</v>
      </c>
      <c r="S428" s="55"/>
      <c r="T428" s="55"/>
      <c r="U428" s="55"/>
      <c r="V428" s="55"/>
      <c r="W428" s="55"/>
      <c r="X428" s="57" t="str">
        <f t="shared" si="2"/>
        <v>--421-03-05</v>
      </c>
      <c r="Y428" s="58" t="str">
        <f t="shared" ref="Y428:AC428" si="426">TRIM(SUBSTITUTE(SUBSTITUTE(OFFSET($Q428,0,COLUMN()-COLUMN($AL$1)),CHAR(160)," "),_xludf.UNICHAR(8239)," "))</f>
        <v>#NAME?</v>
      </c>
      <c r="Z428" s="58" t="str">
        <f t="shared" si="426"/>
        <v>#NAME?</v>
      </c>
      <c r="AA428" s="58" t="str">
        <f t="shared" si="426"/>
        <v>#NAME?</v>
      </c>
      <c r="AB428" s="58" t="str">
        <f t="shared" si="426"/>
        <v>#NAME?</v>
      </c>
      <c r="AC428" s="58" t="str">
        <f t="shared" si="426"/>
        <v>#NAME?</v>
      </c>
      <c r="AD428" s="57">
        <f t="shared" si="4"/>
        <v>1</v>
      </c>
      <c r="AE428" s="57" t="str">
        <f t="shared" si="5"/>
        <v>2026-05</v>
      </c>
      <c r="AF428" s="57">
        <f t="shared" si="6"/>
        <v>1</v>
      </c>
      <c r="AG428" s="59">
        <f t="shared" si="7"/>
        <v>1</v>
      </c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</row>
    <row r="429" ht="24.0" customHeight="1">
      <c r="A429" s="53">
        <v>61.0</v>
      </c>
      <c r="B429" s="54" t="s">
        <v>1657</v>
      </c>
      <c r="C429" s="55" t="s">
        <v>1451</v>
      </c>
      <c r="D429" s="55"/>
      <c r="E429" s="55" t="s">
        <v>1658</v>
      </c>
      <c r="F429" s="55" t="s">
        <v>1659</v>
      </c>
      <c r="G429" s="55">
        <v>38.0</v>
      </c>
      <c r="H429" s="55" t="s">
        <v>85</v>
      </c>
      <c r="I429" s="55" t="s">
        <v>86</v>
      </c>
      <c r="J429" s="56" t="s">
        <v>87</v>
      </c>
      <c r="K429" s="55" t="s">
        <v>920</v>
      </c>
      <c r="L429" s="55" t="s">
        <v>41</v>
      </c>
      <c r="M429" s="55" t="s">
        <v>89</v>
      </c>
      <c r="N429" s="55" t="s">
        <v>90</v>
      </c>
      <c r="O429" s="55"/>
      <c r="P429" s="55" t="s">
        <v>91</v>
      </c>
      <c r="Q429" s="55" t="s">
        <v>4</v>
      </c>
      <c r="R429" s="55"/>
      <c r="S429" s="55"/>
      <c r="T429" s="55"/>
      <c r="U429" s="55"/>
      <c r="V429" s="55"/>
      <c r="W429" s="55"/>
      <c r="X429" s="57" t="str">
        <f t="shared" si="2"/>
        <v>--422-03-05</v>
      </c>
      <c r="Y429" s="58" t="str">
        <f t="shared" ref="Y429:AC429" si="427">TRIM(SUBSTITUTE(SUBSTITUTE(OFFSET($Q429,0,COLUMN()-COLUMN($AL$1)),CHAR(160)," "),_xludf.UNICHAR(8239)," "))</f>
        <v>#NAME?</v>
      </c>
      <c r="Z429" s="58" t="str">
        <f t="shared" si="427"/>
        <v>#NAME?</v>
      </c>
      <c r="AA429" s="58" t="str">
        <f t="shared" si="427"/>
        <v>#NAME?</v>
      </c>
      <c r="AB429" s="58" t="str">
        <f t="shared" si="427"/>
        <v>#NAME?</v>
      </c>
      <c r="AC429" s="58" t="str">
        <f t="shared" si="427"/>
        <v>#NAME?</v>
      </c>
      <c r="AD429" s="57">
        <f t="shared" si="4"/>
        <v>1</v>
      </c>
      <c r="AE429" s="57" t="str">
        <f t="shared" si="5"/>
        <v>2026-05</v>
      </c>
      <c r="AF429" s="57">
        <f t="shared" si="6"/>
        <v>1</v>
      </c>
      <c r="AG429" s="59">
        <f t="shared" si="7"/>
        <v>1</v>
      </c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</row>
    <row r="430" ht="24.0" customHeight="1">
      <c r="A430" s="53">
        <v>62.0</v>
      </c>
      <c r="B430" s="54" t="s">
        <v>1660</v>
      </c>
      <c r="C430" s="55" t="s">
        <v>1451</v>
      </c>
      <c r="D430" s="55"/>
      <c r="E430" s="55" t="s">
        <v>1661</v>
      </c>
      <c r="F430" s="55" t="s">
        <v>1662</v>
      </c>
      <c r="G430" s="55">
        <v>44.0</v>
      </c>
      <c r="H430" s="55" t="s">
        <v>85</v>
      </c>
      <c r="I430" s="55" t="s">
        <v>86</v>
      </c>
      <c r="J430" s="56" t="s">
        <v>87</v>
      </c>
      <c r="K430" s="55" t="s">
        <v>1663</v>
      </c>
      <c r="L430" s="55" t="s">
        <v>34</v>
      </c>
      <c r="M430" s="55" t="s">
        <v>89</v>
      </c>
      <c r="N430" s="55" t="s">
        <v>90</v>
      </c>
      <c r="O430" s="55"/>
      <c r="P430" s="55" t="s">
        <v>91</v>
      </c>
      <c r="Q430" s="55"/>
      <c r="R430" s="55" t="s">
        <v>36</v>
      </c>
      <c r="S430" s="55"/>
      <c r="T430" s="55"/>
      <c r="U430" s="55"/>
      <c r="V430" s="55"/>
      <c r="W430" s="55"/>
      <c r="X430" s="57" t="str">
        <f t="shared" si="2"/>
        <v>--423-03-05</v>
      </c>
      <c r="Y430" s="58" t="str">
        <f t="shared" ref="Y430:AC430" si="428">TRIM(SUBSTITUTE(SUBSTITUTE(OFFSET($Q430,0,COLUMN()-COLUMN($AL$1)),CHAR(160)," "),_xludf.UNICHAR(8239)," "))</f>
        <v>#NAME?</v>
      </c>
      <c r="Z430" s="58" t="str">
        <f t="shared" si="428"/>
        <v>#NAME?</v>
      </c>
      <c r="AA430" s="58" t="str">
        <f t="shared" si="428"/>
        <v>#NAME?</v>
      </c>
      <c r="AB430" s="58" t="str">
        <f t="shared" si="428"/>
        <v>#NAME?</v>
      </c>
      <c r="AC430" s="58" t="str">
        <f t="shared" si="428"/>
        <v>#NAME?</v>
      </c>
      <c r="AD430" s="57">
        <f t="shared" si="4"/>
        <v>1</v>
      </c>
      <c r="AE430" s="57" t="str">
        <f t="shared" si="5"/>
        <v>2026-05</v>
      </c>
      <c r="AF430" s="57">
        <f t="shared" si="6"/>
        <v>1</v>
      </c>
      <c r="AG430" s="59">
        <f t="shared" si="7"/>
        <v>1</v>
      </c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</row>
    <row r="431" ht="24.0" customHeight="1">
      <c r="A431" s="53">
        <v>63.0</v>
      </c>
      <c r="B431" s="54" t="s">
        <v>1664</v>
      </c>
      <c r="C431" s="55" t="s">
        <v>1451</v>
      </c>
      <c r="D431" s="55"/>
      <c r="E431" s="55" t="s">
        <v>1665</v>
      </c>
      <c r="F431" s="55" t="s">
        <v>1666</v>
      </c>
      <c r="G431" s="55">
        <v>34.0</v>
      </c>
      <c r="H431" s="55" t="s">
        <v>85</v>
      </c>
      <c r="I431" s="55" t="s">
        <v>86</v>
      </c>
      <c r="J431" s="56" t="s">
        <v>87</v>
      </c>
      <c r="K431" s="55" t="s">
        <v>1667</v>
      </c>
      <c r="L431" s="55" t="s">
        <v>34</v>
      </c>
      <c r="M431" s="55" t="s">
        <v>133</v>
      </c>
      <c r="N431" s="55" t="s">
        <v>90</v>
      </c>
      <c r="O431" s="55"/>
      <c r="P431" s="55" t="s">
        <v>91</v>
      </c>
      <c r="Q431" s="55" t="s">
        <v>4</v>
      </c>
      <c r="R431" s="55"/>
      <c r="S431" s="55"/>
      <c r="T431" s="55"/>
      <c r="U431" s="55"/>
      <c r="V431" s="55"/>
      <c r="W431" s="55"/>
      <c r="X431" s="57" t="str">
        <f t="shared" si="2"/>
        <v>--424-03-05</v>
      </c>
      <c r="Y431" s="58" t="str">
        <f t="shared" ref="Y431:AC431" si="429">TRIM(SUBSTITUTE(SUBSTITUTE(OFFSET($Q431,0,COLUMN()-COLUMN($AL$1)),CHAR(160)," "),_xludf.UNICHAR(8239)," "))</f>
        <v>#NAME?</v>
      </c>
      <c r="Z431" s="58" t="str">
        <f t="shared" si="429"/>
        <v>#NAME?</v>
      </c>
      <c r="AA431" s="58" t="str">
        <f t="shared" si="429"/>
        <v>#NAME?</v>
      </c>
      <c r="AB431" s="58" t="str">
        <f t="shared" si="429"/>
        <v>#NAME?</v>
      </c>
      <c r="AC431" s="58" t="str">
        <f t="shared" si="429"/>
        <v>#NAME?</v>
      </c>
      <c r="AD431" s="57">
        <f t="shared" si="4"/>
        <v>1</v>
      </c>
      <c r="AE431" s="57" t="str">
        <f t="shared" si="5"/>
        <v>2026-05</v>
      </c>
      <c r="AF431" s="57">
        <f t="shared" si="6"/>
        <v>1</v>
      </c>
      <c r="AG431" s="59">
        <f t="shared" si="7"/>
        <v>1</v>
      </c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</row>
    <row r="432" ht="24.0" customHeight="1">
      <c r="A432" s="53">
        <v>64.0</v>
      </c>
      <c r="B432" s="54" t="s">
        <v>1668</v>
      </c>
      <c r="C432" s="55" t="s">
        <v>1451</v>
      </c>
      <c r="D432" s="55"/>
      <c r="E432" s="55" t="s">
        <v>1669</v>
      </c>
      <c r="F432" s="55" t="s">
        <v>1670</v>
      </c>
      <c r="G432" s="55">
        <v>45.0</v>
      </c>
      <c r="H432" s="55" t="s">
        <v>85</v>
      </c>
      <c r="I432" s="55" t="s">
        <v>86</v>
      </c>
      <c r="J432" s="56" t="s">
        <v>87</v>
      </c>
      <c r="K432" s="55" t="s">
        <v>1671</v>
      </c>
      <c r="L432" s="55" t="s">
        <v>34</v>
      </c>
      <c r="M432" s="55" t="s">
        <v>89</v>
      </c>
      <c r="N432" s="55" t="s">
        <v>90</v>
      </c>
      <c r="O432" s="55"/>
      <c r="P432" s="55" t="s">
        <v>91</v>
      </c>
      <c r="Q432" s="55" t="s">
        <v>4</v>
      </c>
      <c r="R432" s="55"/>
      <c r="S432" s="55"/>
      <c r="T432" s="55"/>
      <c r="U432" s="55"/>
      <c r="V432" s="55"/>
      <c r="W432" s="55"/>
      <c r="X432" s="57" t="str">
        <f t="shared" si="2"/>
        <v>--425-03-05</v>
      </c>
      <c r="Y432" s="58" t="str">
        <f t="shared" ref="Y432:AC432" si="430">TRIM(SUBSTITUTE(SUBSTITUTE(OFFSET($Q432,0,COLUMN()-COLUMN($AL$1)),CHAR(160)," "),_xludf.UNICHAR(8239)," "))</f>
        <v>#NAME?</v>
      </c>
      <c r="Z432" s="58" t="str">
        <f t="shared" si="430"/>
        <v>#NAME?</v>
      </c>
      <c r="AA432" s="58" t="str">
        <f t="shared" si="430"/>
        <v>#NAME?</v>
      </c>
      <c r="AB432" s="58" t="str">
        <f t="shared" si="430"/>
        <v>#NAME?</v>
      </c>
      <c r="AC432" s="58" t="str">
        <f t="shared" si="430"/>
        <v>#NAME?</v>
      </c>
      <c r="AD432" s="57">
        <f t="shared" si="4"/>
        <v>1</v>
      </c>
      <c r="AE432" s="57" t="str">
        <f t="shared" si="5"/>
        <v>2026-05</v>
      </c>
      <c r="AF432" s="57">
        <f t="shared" si="6"/>
        <v>1</v>
      </c>
      <c r="AG432" s="59">
        <f t="shared" si="7"/>
        <v>1</v>
      </c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</row>
    <row r="433" ht="24.0" customHeight="1">
      <c r="A433" s="53">
        <v>65.0</v>
      </c>
      <c r="B433" s="54" t="s">
        <v>1672</v>
      </c>
      <c r="C433" s="55" t="s">
        <v>1451</v>
      </c>
      <c r="D433" s="55"/>
      <c r="E433" s="55" t="s">
        <v>1673</v>
      </c>
      <c r="F433" s="55" t="s">
        <v>1674</v>
      </c>
      <c r="G433" s="55">
        <v>55.0</v>
      </c>
      <c r="H433" s="55" t="s">
        <v>85</v>
      </c>
      <c r="I433" s="55" t="s">
        <v>86</v>
      </c>
      <c r="J433" s="56" t="s">
        <v>87</v>
      </c>
      <c r="K433" s="55" t="s">
        <v>1675</v>
      </c>
      <c r="L433" s="55" t="s">
        <v>34</v>
      </c>
      <c r="M433" s="55" t="s">
        <v>89</v>
      </c>
      <c r="N433" s="55" t="s">
        <v>90</v>
      </c>
      <c r="O433" s="55"/>
      <c r="P433" s="55" t="s">
        <v>91</v>
      </c>
      <c r="Q433" s="55" t="s">
        <v>4</v>
      </c>
      <c r="R433" s="55"/>
      <c r="S433" s="55"/>
      <c r="T433" s="55"/>
      <c r="U433" s="55"/>
      <c r="V433" s="55"/>
      <c r="W433" s="55"/>
      <c r="X433" s="57" t="str">
        <f t="shared" si="2"/>
        <v>--426-03-05</v>
      </c>
      <c r="Y433" s="58" t="str">
        <f t="shared" ref="Y433:AC433" si="431">TRIM(SUBSTITUTE(SUBSTITUTE(OFFSET($Q433,0,COLUMN()-COLUMN($AL$1)),CHAR(160)," "),_xludf.UNICHAR(8239)," "))</f>
        <v>#NAME?</v>
      </c>
      <c r="Z433" s="58" t="str">
        <f t="shared" si="431"/>
        <v>#NAME?</v>
      </c>
      <c r="AA433" s="58" t="str">
        <f t="shared" si="431"/>
        <v>#NAME?</v>
      </c>
      <c r="AB433" s="58" t="str">
        <f t="shared" si="431"/>
        <v>#NAME?</v>
      </c>
      <c r="AC433" s="58" t="str">
        <f t="shared" si="431"/>
        <v>#NAME?</v>
      </c>
      <c r="AD433" s="57">
        <f t="shared" si="4"/>
        <v>1</v>
      </c>
      <c r="AE433" s="57" t="str">
        <f t="shared" si="5"/>
        <v>2026-05</v>
      </c>
      <c r="AF433" s="57">
        <f t="shared" si="6"/>
        <v>1</v>
      </c>
      <c r="AG433" s="59">
        <f t="shared" si="7"/>
        <v>1</v>
      </c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</row>
    <row r="434" ht="24.0" customHeight="1">
      <c r="A434" s="53">
        <v>66.0</v>
      </c>
      <c r="B434" s="54" t="s">
        <v>1676</v>
      </c>
      <c r="C434" s="55" t="s">
        <v>1451</v>
      </c>
      <c r="D434" s="55"/>
      <c r="E434" s="55" t="s">
        <v>1677</v>
      </c>
      <c r="F434" s="55" t="s">
        <v>1678</v>
      </c>
      <c r="G434" s="55">
        <v>4.0</v>
      </c>
      <c r="H434" s="55" t="s">
        <v>119</v>
      </c>
      <c r="I434" s="55" t="s">
        <v>112</v>
      </c>
      <c r="J434" s="56" t="s">
        <v>113</v>
      </c>
      <c r="K434" s="55" t="s">
        <v>1679</v>
      </c>
      <c r="L434" s="55" t="s">
        <v>34</v>
      </c>
      <c r="M434" s="55" t="s">
        <v>115</v>
      </c>
      <c r="N434" s="55" t="s">
        <v>90</v>
      </c>
      <c r="O434" s="55"/>
      <c r="P434" s="55" t="s">
        <v>91</v>
      </c>
      <c r="Q434" s="55" t="s">
        <v>16</v>
      </c>
      <c r="R434" s="55"/>
      <c r="S434" s="55"/>
      <c r="T434" s="55"/>
      <c r="U434" s="55"/>
      <c r="V434" s="55"/>
      <c r="W434" s="55"/>
      <c r="X434" s="57" t="str">
        <f t="shared" si="2"/>
        <v>--427-03-05</v>
      </c>
      <c r="Y434" s="58" t="str">
        <f t="shared" ref="Y434:AC434" si="432">TRIM(SUBSTITUTE(SUBSTITUTE(OFFSET($Q434,0,COLUMN()-COLUMN($AL$1)),CHAR(160)," "),_xludf.UNICHAR(8239)," "))</f>
        <v>#NAME?</v>
      </c>
      <c r="Z434" s="58" t="str">
        <f t="shared" si="432"/>
        <v>#NAME?</v>
      </c>
      <c r="AA434" s="58" t="str">
        <f t="shared" si="432"/>
        <v>#NAME?</v>
      </c>
      <c r="AB434" s="58" t="str">
        <f t="shared" si="432"/>
        <v>#NAME?</v>
      </c>
      <c r="AC434" s="58" t="str">
        <f t="shared" si="432"/>
        <v>#NAME?</v>
      </c>
      <c r="AD434" s="57">
        <f t="shared" si="4"/>
        <v>1</v>
      </c>
      <c r="AE434" s="57" t="str">
        <f t="shared" si="5"/>
        <v>2026-05</v>
      </c>
      <c r="AF434" s="57">
        <f t="shared" si="6"/>
        <v>1</v>
      </c>
      <c r="AG434" s="59">
        <f t="shared" si="7"/>
        <v>1</v>
      </c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</row>
    <row r="435" ht="24.0" customHeight="1">
      <c r="A435" s="53">
        <v>67.0</v>
      </c>
      <c r="B435" s="54" t="s">
        <v>1680</v>
      </c>
      <c r="C435" s="55" t="s">
        <v>1451</v>
      </c>
      <c r="D435" s="55"/>
      <c r="E435" s="55" t="s">
        <v>1681</v>
      </c>
      <c r="F435" s="55" t="s">
        <v>1682</v>
      </c>
      <c r="G435" s="55">
        <v>35.0</v>
      </c>
      <c r="H435" s="55" t="s">
        <v>85</v>
      </c>
      <c r="I435" s="55" t="s">
        <v>86</v>
      </c>
      <c r="J435" s="56" t="s">
        <v>87</v>
      </c>
      <c r="K435" s="55" t="s">
        <v>1683</v>
      </c>
      <c r="L435" s="55" t="s">
        <v>34</v>
      </c>
      <c r="M435" s="55" t="s">
        <v>89</v>
      </c>
      <c r="N435" s="55" t="s">
        <v>90</v>
      </c>
      <c r="O435" s="55"/>
      <c r="P435" s="55" t="s">
        <v>91</v>
      </c>
      <c r="Q435" s="55" t="s">
        <v>16</v>
      </c>
      <c r="R435" s="55"/>
      <c r="S435" s="55"/>
      <c r="T435" s="55"/>
      <c r="U435" s="55"/>
      <c r="V435" s="55"/>
      <c r="W435" s="55"/>
      <c r="X435" s="57" t="str">
        <f t="shared" si="2"/>
        <v>--428-03-05</v>
      </c>
      <c r="Y435" s="58" t="str">
        <f t="shared" ref="Y435:AC435" si="433">TRIM(SUBSTITUTE(SUBSTITUTE(OFFSET($Q435,0,COLUMN()-COLUMN($AL$1)),CHAR(160)," "),_xludf.UNICHAR(8239)," "))</f>
        <v>#NAME?</v>
      </c>
      <c r="Z435" s="58" t="str">
        <f t="shared" si="433"/>
        <v>#NAME?</v>
      </c>
      <c r="AA435" s="58" t="str">
        <f t="shared" si="433"/>
        <v>#NAME?</v>
      </c>
      <c r="AB435" s="58" t="str">
        <f t="shared" si="433"/>
        <v>#NAME?</v>
      </c>
      <c r="AC435" s="58" t="str">
        <f t="shared" si="433"/>
        <v>#NAME?</v>
      </c>
      <c r="AD435" s="57">
        <f t="shared" si="4"/>
        <v>1</v>
      </c>
      <c r="AE435" s="57" t="str">
        <f t="shared" si="5"/>
        <v>2026-05</v>
      </c>
      <c r="AF435" s="57">
        <f t="shared" si="6"/>
        <v>1</v>
      </c>
      <c r="AG435" s="59">
        <f t="shared" si="7"/>
        <v>1</v>
      </c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</row>
    <row r="436" ht="24.0" customHeight="1">
      <c r="A436" s="53">
        <v>68.0</v>
      </c>
      <c r="B436" s="54" t="s">
        <v>1684</v>
      </c>
      <c r="C436" s="55" t="s">
        <v>1451</v>
      </c>
      <c r="D436" s="55"/>
      <c r="E436" s="55" t="s">
        <v>1685</v>
      </c>
      <c r="F436" s="55" t="s">
        <v>1686</v>
      </c>
      <c r="G436" s="55">
        <v>34.0</v>
      </c>
      <c r="H436" s="55" t="s">
        <v>85</v>
      </c>
      <c r="I436" s="55" t="s">
        <v>112</v>
      </c>
      <c r="J436" s="56" t="s">
        <v>113</v>
      </c>
      <c r="K436" s="55" t="s">
        <v>425</v>
      </c>
      <c r="L436" s="55" t="s">
        <v>34</v>
      </c>
      <c r="M436" s="55" t="s">
        <v>89</v>
      </c>
      <c r="N436" s="55" t="s">
        <v>780</v>
      </c>
      <c r="O436" s="55" t="s">
        <v>1687</v>
      </c>
      <c r="P436" s="55" t="s">
        <v>91</v>
      </c>
      <c r="Q436" s="55" t="s">
        <v>4</v>
      </c>
      <c r="R436" s="55"/>
      <c r="S436" s="55" t="s">
        <v>6</v>
      </c>
      <c r="T436" s="55"/>
      <c r="U436" s="55"/>
      <c r="V436" s="55"/>
      <c r="W436" s="55"/>
      <c r="X436" s="57" t="str">
        <f t="shared" si="2"/>
        <v>--429-03-05</v>
      </c>
      <c r="Y436" s="58" t="str">
        <f t="shared" ref="Y436:AC436" si="434">TRIM(SUBSTITUTE(SUBSTITUTE(OFFSET($Q436,0,COLUMN()-COLUMN($AL$1)),CHAR(160)," "),_xludf.UNICHAR(8239)," "))</f>
        <v>#NAME?</v>
      </c>
      <c r="Z436" s="58" t="str">
        <f t="shared" si="434"/>
        <v>#NAME?</v>
      </c>
      <c r="AA436" s="58" t="str">
        <f t="shared" si="434"/>
        <v>#NAME?</v>
      </c>
      <c r="AB436" s="58" t="str">
        <f t="shared" si="434"/>
        <v>#NAME?</v>
      </c>
      <c r="AC436" s="58" t="str">
        <f t="shared" si="434"/>
        <v>#NAME?</v>
      </c>
      <c r="AD436" s="57">
        <f t="shared" si="4"/>
        <v>1</v>
      </c>
      <c r="AE436" s="57" t="str">
        <f t="shared" si="5"/>
        <v>2026-05</v>
      </c>
      <c r="AF436" s="57">
        <f t="shared" si="6"/>
        <v>1</v>
      </c>
      <c r="AG436" s="59">
        <f t="shared" si="7"/>
        <v>1</v>
      </c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</row>
    <row r="437" ht="24.0" customHeight="1">
      <c r="A437" s="53">
        <v>69.0</v>
      </c>
      <c r="B437" s="54" t="s">
        <v>1688</v>
      </c>
      <c r="C437" s="55" t="s">
        <v>1451</v>
      </c>
      <c r="D437" s="55"/>
      <c r="E437" s="55" t="s">
        <v>1689</v>
      </c>
      <c r="F437" s="55" t="s">
        <v>1690</v>
      </c>
      <c r="G437" s="55">
        <v>21.0</v>
      </c>
      <c r="H437" s="55" t="s">
        <v>85</v>
      </c>
      <c r="I437" s="55" t="s">
        <v>86</v>
      </c>
      <c r="J437" s="56" t="s">
        <v>87</v>
      </c>
      <c r="K437" s="55" t="s">
        <v>1691</v>
      </c>
      <c r="L437" s="55" t="s">
        <v>34</v>
      </c>
      <c r="M437" s="55" t="s">
        <v>133</v>
      </c>
      <c r="N437" s="55" t="s">
        <v>90</v>
      </c>
      <c r="O437" s="55"/>
      <c r="P437" s="55" t="s">
        <v>91</v>
      </c>
      <c r="Q437" s="55"/>
      <c r="R437" s="55" t="s">
        <v>36</v>
      </c>
      <c r="S437" s="55"/>
      <c r="T437" s="55"/>
      <c r="U437" s="55"/>
      <c r="V437" s="55"/>
      <c r="W437" s="55"/>
      <c r="X437" s="57" t="str">
        <f t="shared" si="2"/>
        <v>--430-03-05</v>
      </c>
      <c r="Y437" s="58" t="str">
        <f t="shared" ref="Y437:AC437" si="435">TRIM(SUBSTITUTE(SUBSTITUTE(OFFSET($Q437,0,COLUMN()-COLUMN($AL$1)),CHAR(160)," "),_xludf.UNICHAR(8239)," "))</f>
        <v>#NAME?</v>
      </c>
      <c r="Z437" s="58" t="str">
        <f t="shared" si="435"/>
        <v>#NAME?</v>
      </c>
      <c r="AA437" s="58" t="str">
        <f t="shared" si="435"/>
        <v>#NAME?</v>
      </c>
      <c r="AB437" s="58" t="str">
        <f t="shared" si="435"/>
        <v>#NAME?</v>
      </c>
      <c r="AC437" s="58" t="str">
        <f t="shared" si="435"/>
        <v>#NAME?</v>
      </c>
      <c r="AD437" s="57">
        <f t="shared" si="4"/>
        <v>1</v>
      </c>
      <c r="AE437" s="57" t="str">
        <f t="shared" si="5"/>
        <v>2026-05</v>
      </c>
      <c r="AF437" s="57">
        <f t="shared" si="6"/>
        <v>1</v>
      </c>
      <c r="AG437" s="59">
        <f t="shared" si="7"/>
        <v>1</v>
      </c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</row>
    <row r="438" ht="24.0" customHeight="1">
      <c r="A438" s="53">
        <v>70.0</v>
      </c>
      <c r="B438" s="54" t="s">
        <v>1692</v>
      </c>
      <c r="C438" s="55" t="s">
        <v>1451</v>
      </c>
      <c r="D438" s="55"/>
      <c r="E438" s="55" t="s">
        <v>1693</v>
      </c>
      <c r="F438" s="55" t="s">
        <v>1694</v>
      </c>
      <c r="G438" s="55">
        <v>12.0</v>
      </c>
      <c r="H438" s="55" t="s">
        <v>111</v>
      </c>
      <c r="I438" s="55" t="s">
        <v>86</v>
      </c>
      <c r="J438" s="56" t="s">
        <v>87</v>
      </c>
      <c r="K438" s="55" t="s">
        <v>1695</v>
      </c>
      <c r="L438" s="55" t="s">
        <v>34</v>
      </c>
      <c r="M438" s="55" t="s">
        <v>115</v>
      </c>
      <c r="N438" s="55" t="s">
        <v>90</v>
      </c>
      <c r="O438" s="55"/>
      <c r="P438" s="55" t="s">
        <v>91</v>
      </c>
      <c r="Q438" s="55" t="s">
        <v>16</v>
      </c>
      <c r="R438" s="55"/>
      <c r="S438" s="55"/>
      <c r="T438" s="55"/>
      <c r="U438" s="55"/>
      <c r="V438" s="55"/>
      <c r="W438" s="55"/>
      <c r="X438" s="57" t="str">
        <f t="shared" si="2"/>
        <v>--431-03-05</v>
      </c>
      <c r="Y438" s="58" t="str">
        <f t="shared" ref="Y438:AC438" si="436">TRIM(SUBSTITUTE(SUBSTITUTE(OFFSET($Q438,0,COLUMN()-COLUMN($AL$1)),CHAR(160)," "),_xludf.UNICHAR(8239)," "))</f>
        <v>#NAME?</v>
      </c>
      <c r="Z438" s="58" t="str">
        <f t="shared" si="436"/>
        <v>#NAME?</v>
      </c>
      <c r="AA438" s="58" t="str">
        <f t="shared" si="436"/>
        <v>#NAME?</v>
      </c>
      <c r="AB438" s="58" t="str">
        <f t="shared" si="436"/>
        <v>#NAME?</v>
      </c>
      <c r="AC438" s="58" t="str">
        <f t="shared" si="436"/>
        <v>#NAME?</v>
      </c>
      <c r="AD438" s="57">
        <f t="shared" si="4"/>
        <v>1</v>
      </c>
      <c r="AE438" s="57" t="str">
        <f t="shared" si="5"/>
        <v>2026-05</v>
      </c>
      <c r="AF438" s="57">
        <f t="shared" si="6"/>
        <v>1</v>
      </c>
      <c r="AG438" s="59">
        <f t="shared" si="7"/>
        <v>1</v>
      </c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</row>
    <row r="439" ht="24.0" customHeight="1">
      <c r="A439" s="53">
        <v>71.0</v>
      </c>
      <c r="B439" s="54" t="s">
        <v>1696</v>
      </c>
      <c r="C439" s="55" t="s">
        <v>1451</v>
      </c>
      <c r="D439" s="55"/>
      <c r="E439" s="55" t="s">
        <v>1697</v>
      </c>
      <c r="F439" s="55" t="s">
        <v>1698</v>
      </c>
      <c r="G439" s="55">
        <v>53.0</v>
      </c>
      <c r="H439" s="55" t="s">
        <v>85</v>
      </c>
      <c r="I439" s="55" t="s">
        <v>112</v>
      </c>
      <c r="J439" s="56" t="s">
        <v>113</v>
      </c>
      <c r="K439" s="55" t="s">
        <v>1699</v>
      </c>
      <c r="L439" s="55" t="s">
        <v>34</v>
      </c>
      <c r="M439" s="55" t="s">
        <v>89</v>
      </c>
      <c r="N439" s="55" t="s">
        <v>90</v>
      </c>
      <c r="O439" s="55"/>
      <c r="P439" s="55" t="s">
        <v>91</v>
      </c>
      <c r="Q439" s="55" t="s">
        <v>4</v>
      </c>
      <c r="R439" s="55"/>
      <c r="S439" s="55"/>
      <c r="T439" s="55"/>
      <c r="U439" s="55"/>
      <c r="V439" s="55"/>
      <c r="W439" s="55"/>
      <c r="X439" s="57" t="str">
        <f t="shared" si="2"/>
        <v>--432-03-05</v>
      </c>
      <c r="Y439" s="58" t="str">
        <f t="shared" ref="Y439:AC439" si="437">TRIM(SUBSTITUTE(SUBSTITUTE(OFFSET($Q439,0,COLUMN()-COLUMN($AL$1)),CHAR(160)," "),_xludf.UNICHAR(8239)," "))</f>
        <v>#NAME?</v>
      </c>
      <c r="Z439" s="58" t="str">
        <f t="shared" si="437"/>
        <v>#NAME?</v>
      </c>
      <c r="AA439" s="58" t="str">
        <f t="shared" si="437"/>
        <v>#NAME?</v>
      </c>
      <c r="AB439" s="58" t="str">
        <f t="shared" si="437"/>
        <v>#NAME?</v>
      </c>
      <c r="AC439" s="58" t="str">
        <f t="shared" si="437"/>
        <v>#NAME?</v>
      </c>
      <c r="AD439" s="57">
        <f t="shared" si="4"/>
        <v>1</v>
      </c>
      <c r="AE439" s="57" t="str">
        <f t="shared" si="5"/>
        <v>2026-05</v>
      </c>
      <c r="AF439" s="57">
        <f t="shared" si="6"/>
        <v>1</v>
      </c>
      <c r="AG439" s="59">
        <f t="shared" si="7"/>
        <v>1</v>
      </c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</row>
    <row r="440" ht="24.0" customHeight="1">
      <c r="A440" s="53">
        <v>72.0</v>
      </c>
      <c r="B440" s="54" t="s">
        <v>1700</v>
      </c>
      <c r="C440" s="55" t="s">
        <v>1451</v>
      </c>
      <c r="D440" s="55"/>
      <c r="E440" s="55" t="s">
        <v>1701</v>
      </c>
      <c r="F440" s="55" t="s">
        <v>1702</v>
      </c>
      <c r="G440" s="55">
        <v>63.0</v>
      </c>
      <c r="H440" s="55" t="s">
        <v>260</v>
      </c>
      <c r="I440" s="55" t="s">
        <v>86</v>
      </c>
      <c r="J440" s="56" t="s">
        <v>87</v>
      </c>
      <c r="K440" s="55">
        <v>5.97880881E8</v>
      </c>
      <c r="L440" s="55" t="s">
        <v>34</v>
      </c>
      <c r="M440" s="55" t="s">
        <v>398</v>
      </c>
      <c r="N440" s="55" t="s">
        <v>90</v>
      </c>
      <c r="O440" s="55"/>
      <c r="P440" s="55" t="s">
        <v>91</v>
      </c>
      <c r="Q440" s="55" t="s">
        <v>16</v>
      </c>
      <c r="R440" s="55"/>
      <c r="S440" s="55"/>
      <c r="T440" s="55"/>
      <c r="U440" s="55"/>
      <c r="V440" s="55"/>
      <c r="W440" s="55"/>
      <c r="X440" s="57" t="str">
        <f t="shared" si="2"/>
        <v>--433-03-05</v>
      </c>
      <c r="Y440" s="58" t="str">
        <f t="shared" ref="Y440:AC440" si="438">TRIM(SUBSTITUTE(SUBSTITUTE(OFFSET($Q440,0,COLUMN()-COLUMN($AL$1)),CHAR(160)," "),_xludf.UNICHAR(8239)," "))</f>
        <v>#NAME?</v>
      </c>
      <c r="Z440" s="58" t="str">
        <f t="shared" si="438"/>
        <v>#NAME?</v>
      </c>
      <c r="AA440" s="58" t="str">
        <f t="shared" si="438"/>
        <v>#NAME?</v>
      </c>
      <c r="AB440" s="58" t="str">
        <f t="shared" si="438"/>
        <v>#NAME?</v>
      </c>
      <c r="AC440" s="58" t="str">
        <f t="shared" si="438"/>
        <v>#NAME?</v>
      </c>
      <c r="AD440" s="57">
        <f t="shared" si="4"/>
        <v>1</v>
      </c>
      <c r="AE440" s="57" t="str">
        <f t="shared" si="5"/>
        <v>2026-05</v>
      </c>
      <c r="AF440" s="57">
        <f t="shared" si="6"/>
        <v>1</v>
      </c>
      <c r="AG440" s="59">
        <f t="shared" si="7"/>
        <v>1</v>
      </c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</row>
    <row r="441" ht="24.0" customHeight="1">
      <c r="A441" s="53">
        <v>73.0</v>
      </c>
      <c r="B441" s="54" t="s">
        <v>1703</v>
      </c>
      <c r="C441" s="55" t="s">
        <v>1451</v>
      </c>
      <c r="D441" s="55"/>
      <c r="E441" s="55" t="s">
        <v>1704</v>
      </c>
      <c r="F441" s="55" t="s">
        <v>1705</v>
      </c>
      <c r="G441" s="55">
        <v>14.0</v>
      </c>
      <c r="H441" s="55" t="s">
        <v>111</v>
      </c>
      <c r="I441" s="55" t="s">
        <v>86</v>
      </c>
      <c r="J441" s="56" t="s">
        <v>87</v>
      </c>
      <c r="K441" s="55" t="s">
        <v>1706</v>
      </c>
      <c r="L441" s="55" t="s">
        <v>34</v>
      </c>
      <c r="M441" s="55" t="s">
        <v>133</v>
      </c>
      <c r="N441" s="55" t="s">
        <v>90</v>
      </c>
      <c r="O441" s="55"/>
      <c r="P441" s="55" t="s">
        <v>91</v>
      </c>
      <c r="Q441" s="55" t="s">
        <v>4</v>
      </c>
      <c r="R441" s="55"/>
      <c r="S441" s="55"/>
      <c r="T441" s="55"/>
      <c r="U441" s="55"/>
      <c r="V441" s="55"/>
      <c r="W441" s="55"/>
      <c r="X441" s="57" t="str">
        <f t="shared" si="2"/>
        <v>--434-03-05</v>
      </c>
      <c r="Y441" s="58" t="str">
        <f t="shared" ref="Y441:AC441" si="439">TRIM(SUBSTITUTE(SUBSTITUTE(OFFSET($Q441,0,COLUMN()-COLUMN($AL$1)),CHAR(160)," "),_xludf.UNICHAR(8239)," "))</f>
        <v>#NAME?</v>
      </c>
      <c r="Z441" s="58" t="str">
        <f t="shared" si="439"/>
        <v>#NAME?</v>
      </c>
      <c r="AA441" s="58" t="str">
        <f t="shared" si="439"/>
        <v>#NAME?</v>
      </c>
      <c r="AB441" s="58" t="str">
        <f t="shared" si="439"/>
        <v>#NAME?</v>
      </c>
      <c r="AC441" s="58" t="str">
        <f t="shared" si="439"/>
        <v>#NAME?</v>
      </c>
      <c r="AD441" s="57">
        <f t="shared" si="4"/>
        <v>1</v>
      </c>
      <c r="AE441" s="57" t="str">
        <f t="shared" si="5"/>
        <v>2026-05</v>
      </c>
      <c r="AF441" s="57">
        <f t="shared" si="6"/>
        <v>1</v>
      </c>
      <c r="AG441" s="59">
        <f t="shared" si="7"/>
        <v>1</v>
      </c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</row>
    <row r="442" ht="24.0" customHeight="1">
      <c r="A442" s="53">
        <v>74.0</v>
      </c>
      <c r="B442" s="54" t="s">
        <v>1707</v>
      </c>
      <c r="C442" s="55" t="s">
        <v>1451</v>
      </c>
      <c r="D442" s="55"/>
      <c r="E442" s="55" t="s">
        <v>1708</v>
      </c>
      <c r="F442" s="55" t="s">
        <v>1709</v>
      </c>
      <c r="G442" s="55">
        <v>41.0</v>
      </c>
      <c r="H442" s="55" t="s">
        <v>85</v>
      </c>
      <c r="I442" s="55" t="s">
        <v>86</v>
      </c>
      <c r="J442" s="56" t="s">
        <v>87</v>
      </c>
      <c r="K442" s="55" t="s">
        <v>1710</v>
      </c>
      <c r="L442" s="55" t="s">
        <v>34</v>
      </c>
      <c r="M442" s="55" t="s">
        <v>89</v>
      </c>
      <c r="N442" s="55" t="s">
        <v>90</v>
      </c>
      <c r="O442" s="55"/>
      <c r="P442" s="55" t="s">
        <v>91</v>
      </c>
      <c r="Q442" s="55" t="s">
        <v>16</v>
      </c>
      <c r="R442" s="55"/>
      <c r="S442" s="55"/>
      <c r="T442" s="55"/>
      <c r="U442" s="55"/>
      <c r="V442" s="55"/>
      <c r="W442" s="55"/>
      <c r="X442" s="57" t="str">
        <f t="shared" si="2"/>
        <v>--435-03-05</v>
      </c>
      <c r="Y442" s="58" t="str">
        <f t="shared" ref="Y442:AC442" si="440">TRIM(SUBSTITUTE(SUBSTITUTE(OFFSET($Q442,0,COLUMN()-COLUMN($AL$1)),CHAR(160)," "),_xludf.UNICHAR(8239)," "))</f>
        <v>#NAME?</v>
      </c>
      <c r="Z442" s="58" t="str">
        <f t="shared" si="440"/>
        <v>#NAME?</v>
      </c>
      <c r="AA442" s="58" t="str">
        <f t="shared" si="440"/>
        <v>#NAME?</v>
      </c>
      <c r="AB442" s="58" t="str">
        <f t="shared" si="440"/>
        <v>#NAME?</v>
      </c>
      <c r="AC442" s="58" t="str">
        <f t="shared" si="440"/>
        <v>#NAME?</v>
      </c>
      <c r="AD442" s="57">
        <f t="shared" si="4"/>
        <v>1</v>
      </c>
      <c r="AE442" s="57" t="str">
        <f t="shared" si="5"/>
        <v>2026-05</v>
      </c>
      <c r="AF442" s="57">
        <f t="shared" si="6"/>
        <v>1</v>
      </c>
      <c r="AG442" s="59">
        <f t="shared" si="7"/>
        <v>1</v>
      </c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</row>
    <row r="443" ht="24.0" customHeight="1">
      <c r="A443" s="53">
        <v>75.0</v>
      </c>
      <c r="B443" s="54" t="s">
        <v>1711</v>
      </c>
      <c r="C443" s="55" t="s">
        <v>1451</v>
      </c>
      <c r="D443" s="55"/>
      <c r="E443" s="55" t="s">
        <v>1712</v>
      </c>
      <c r="F443" s="55" t="s">
        <v>1713</v>
      </c>
      <c r="G443" s="55">
        <v>32.0</v>
      </c>
      <c r="H443" s="55" t="s">
        <v>85</v>
      </c>
      <c r="I443" s="55" t="s">
        <v>86</v>
      </c>
      <c r="J443" s="56" t="s">
        <v>87</v>
      </c>
      <c r="K443" s="55" t="s">
        <v>1714</v>
      </c>
      <c r="L443" s="55" t="s">
        <v>34</v>
      </c>
      <c r="M443" s="55" t="s">
        <v>89</v>
      </c>
      <c r="N443" s="55" t="s">
        <v>90</v>
      </c>
      <c r="O443" s="55"/>
      <c r="P443" s="55" t="s">
        <v>91</v>
      </c>
      <c r="Q443" s="55"/>
      <c r="R443" s="55" t="s">
        <v>5</v>
      </c>
      <c r="S443" s="55"/>
      <c r="T443" s="55"/>
      <c r="U443" s="55" t="s">
        <v>7</v>
      </c>
      <c r="V443" s="55"/>
      <c r="W443" s="55"/>
      <c r="X443" s="57" t="str">
        <f t="shared" si="2"/>
        <v>--436-03-05</v>
      </c>
      <c r="Y443" s="58" t="str">
        <f t="shared" ref="Y443:AC443" si="441">TRIM(SUBSTITUTE(SUBSTITUTE(OFFSET($Q443,0,COLUMN()-COLUMN($AL$1)),CHAR(160)," "),_xludf.UNICHAR(8239)," "))</f>
        <v>#NAME?</v>
      </c>
      <c r="Z443" s="58" t="str">
        <f t="shared" si="441"/>
        <v>#NAME?</v>
      </c>
      <c r="AA443" s="58" t="str">
        <f t="shared" si="441"/>
        <v>#NAME?</v>
      </c>
      <c r="AB443" s="58" t="str">
        <f t="shared" si="441"/>
        <v>#NAME?</v>
      </c>
      <c r="AC443" s="58" t="str">
        <f t="shared" si="441"/>
        <v>#NAME?</v>
      </c>
      <c r="AD443" s="57">
        <f t="shared" si="4"/>
        <v>1</v>
      </c>
      <c r="AE443" s="57" t="str">
        <f t="shared" si="5"/>
        <v>2026-05</v>
      </c>
      <c r="AF443" s="57">
        <f t="shared" si="6"/>
        <v>1</v>
      </c>
      <c r="AG443" s="59">
        <f t="shared" si="7"/>
        <v>1</v>
      </c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</row>
    <row r="444" ht="24.0" customHeight="1">
      <c r="A444" s="53">
        <v>76.0</v>
      </c>
      <c r="B444" s="54" t="s">
        <v>1715</v>
      </c>
      <c r="C444" s="55" t="s">
        <v>1451</v>
      </c>
      <c r="D444" s="55"/>
      <c r="E444" s="55" t="s">
        <v>1716</v>
      </c>
      <c r="F444" s="55" t="s">
        <v>1717</v>
      </c>
      <c r="G444" s="55">
        <v>9.0</v>
      </c>
      <c r="H444" s="55" t="s">
        <v>111</v>
      </c>
      <c r="I444" s="55" t="s">
        <v>86</v>
      </c>
      <c r="J444" s="56" t="s">
        <v>87</v>
      </c>
      <c r="K444" s="55" t="s">
        <v>1714</v>
      </c>
      <c r="L444" s="55" t="s">
        <v>34</v>
      </c>
      <c r="M444" s="55" t="s">
        <v>115</v>
      </c>
      <c r="N444" s="55" t="s">
        <v>90</v>
      </c>
      <c r="O444" s="55"/>
      <c r="P444" s="55" t="s">
        <v>91</v>
      </c>
      <c r="Q444" s="55" t="s">
        <v>16</v>
      </c>
      <c r="R444" s="55"/>
      <c r="S444" s="55"/>
      <c r="T444" s="55"/>
      <c r="U444" s="55"/>
      <c r="V444" s="55"/>
      <c r="W444" s="55"/>
      <c r="X444" s="57" t="str">
        <f t="shared" si="2"/>
        <v>--437-03-05</v>
      </c>
      <c r="Y444" s="58" t="str">
        <f t="shared" ref="Y444:AC444" si="442">TRIM(SUBSTITUTE(SUBSTITUTE(OFFSET($Q444,0,COLUMN()-COLUMN($AL$1)),CHAR(160)," "),_xludf.UNICHAR(8239)," "))</f>
        <v>#NAME?</v>
      </c>
      <c r="Z444" s="58" t="str">
        <f t="shared" si="442"/>
        <v>#NAME?</v>
      </c>
      <c r="AA444" s="58" t="str">
        <f t="shared" si="442"/>
        <v>#NAME?</v>
      </c>
      <c r="AB444" s="58" t="str">
        <f t="shared" si="442"/>
        <v>#NAME?</v>
      </c>
      <c r="AC444" s="58" t="str">
        <f t="shared" si="442"/>
        <v>#NAME?</v>
      </c>
      <c r="AD444" s="57">
        <f t="shared" si="4"/>
        <v>1</v>
      </c>
      <c r="AE444" s="57" t="str">
        <f t="shared" si="5"/>
        <v>2026-05</v>
      </c>
      <c r="AF444" s="57">
        <f t="shared" si="6"/>
        <v>1</v>
      </c>
      <c r="AG444" s="59">
        <f t="shared" si="7"/>
        <v>1</v>
      </c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</row>
    <row r="445" ht="24.0" customHeight="1">
      <c r="A445" s="53">
        <v>77.0</v>
      </c>
      <c r="B445" s="54" t="s">
        <v>169</v>
      </c>
      <c r="C445" s="55" t="s">
        <v>1451</v>
      </c>
      <c r="D445" s="60">
        <v>46141.0</v>
      </c>
      <c r="E445" s="55" t="s">
        <v>170</v>
      </c>
      <c r="F445" s="55" t="s">
        <v>1718</v>
      </c>
      <c r="G445" s="55">
        <v>22.0</v>
      </c>
      <c r="H445" s="55" t="s">
        <v>85</v>
      </c>
      <c r="I445" s="55" t="s">
        <v>86</v>
      </c>
      <c r="J445" s="56" t="s">
        <v>87</v>
      </c>
      <c r="K445" s="55" t="s">
        <v>172</v>
      </c>
      <c r="L445" s="55" t="s">
        <v>34</v>
      </c>
      <c r="M445" s="55" t="s">
        <v>89</v>
      </c>
      <c r="N445" s="55" t="s">
        <v>90</v>
      </c>
      <c r="O445" s="55"/>
      <c r="P445" s="55" t="s">
        <v>91</v>
      </c>
      <c r="Q445" s="55"/>
      <c r="R445" s="55"/>
      <c r="S445" s="55" t="s">
        <v>18</v>
      </c>
      <c r="T445" s="55"/>
      <c r="U445" s="55"/>
      <c r="V445" s="55"/>
      <c r="W445" s="55"/>
      <c r="X445" s="57" t="str">
        <f t="shared" si="2"/>
        <v>--438-03-05</v>
      </c>
      <c r="Y445" s="58" t="str">
        <f t="shared" ref="Y445:AC445" si="443">TRIM(SUBSTITUTE(SUBSTITUTE(OFFSET($Q445,0,COLUMN()-COLUMN($AL$1)),CHAR(160)," "),_xludf.UNICHAR(8239)," "))</f>
        <v>#NAME?</v>
      </c>
      <c r="Z445" s="58" t="str">
        <f t="shared" si="443"/>
        <v>#NAME?</v>
      </c>
      <c r="AA445" s="58" t="str">
        <f t="shared" si="443"/>
        <v>#NAME?</v>
      </c>
      <c r="AB445" s="58" t="str">
        <f t="shared" si="443"/>
        <v>#NAME?</v>
      </c>
      <c r="AC445" s="58" t="str">
        <f t="shared" si="443"/>
        <v>#NAME?</v>
      </c>
      <c r="AD445" s="57">
        <f t="shared" si="4"/>
        <v>1</v>
      </c>
      <c r="AE445" s="57" t="str">
        <f t="shared" si="5"/>
        <v>2026-05</v>
      </c>
      <c r="AF445" s="57">
        <f t="shared" si="6"/>
        <v>1</v>
      </c>
      <c r="AG445" s="59">
        <f t="shared" si="7"/>
        <v>0</v>
      </c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</row>
    <row r="446" ht="24.0" customHeight="1">
      <c r="A446" s="53">
        <v>78.0</v>
      </c>
      <c r="B446" s="54" t="s">
        <v>1719</v>
      </c>
      <c r="C446" s="55" t="s">
        <v>1451</v>
      </c>
      <c r="D446" s="55"/>
      <c r="E446" s="55" t="s">
        <v>1720</v>
      </c>
      <c r="F446" s="55" t="s">
        <v>1721</v>
      </c>
      <c r="G446" s="55">
        <v>24.0</v>
      </c>
      <c r="H446" s="55" t="s">
        <v>85</v>
      </c>
      <c r="I446" s="55" t="s">
        <v>86</v>
      </c>
      <c r="J446" s="56" t="s">
        <v>87</v>
      </c>
      <c r="K446" s="55" t="s">
        <v>1722</v>
      </c>
      <c r="L446" s="55" t="s">
        <v>34</v>
      </c>
      <c r="M446" s="55" t="s">
        <v>89</v>
      </c>
      <c r="N446" s="55" t="s">
        <v>90</v>
      </c>
      <c r="O446" s="55"/>
      <c r="P446" s="55" t="s">
        <v>91</v>
      </c>
      <c r="Q446" s="55"/>
      <c r="R446" s="55" t="s">
        <v>36</v>
      </c>
      <c r="S446" s="55"/>
      <c r="T446" s="55"/>
      <c r="U446" s="55"/>
      <c r="V446" s="55"/>
      <c r="W446" s="55"/>
      <c r="X446" s="57" t="str">
        <f t="shared" si="2"/>
        <v>--439-03-05</v>
      </c>
      <c r="Y446" s="58" t="str">
        <f t="shared" ref="Y446:AC446" si="444">TRIM(SUBSTITUTE(SUBSTITUTE(OFFSET($Q446,0,COLUMN()-COLUMN($AL$1)),CHAR(160)," "),_xludf.UNICHAR(8239)," "))</f>
        <v>#NAME?</v>
      </c>
      <c r="Z446" s="58" t="str">
        <f t="shared" si="444"/>
        <v>#NAME?</v>
      </c>
      <c r="AA446" s="58" t="str">
        <f t="shared" si="444"/>
        <v>#NAME?</v>
      </c>
      <c r="AB446" s="58" t="str">
        <f t="shared" si="444"/>
        <v>#NAME?</v>
      </c>
      <c r="AC446" s="58" t="str">
        <f t="shared" si="444"/>
        <v>#NAME?</v>
      </c>
      <c r="AD446" s="57">
        <f t="shared" si="4"/>
        <v>1</v>
      </c>
      <c r="AE446" s="57" t="str">
        <f t="shared" si="5"/>
        <v>2026-05</v>
      </c>
      <c r="AF446" s="57">
        <f t="shared" si="6"/>
        <v>1</v>
      </c>
      <c r="AG446" s="59">
        <f t="shared" si="7"/>
        <v>1</v>
      </c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</row>
    <row r="447" ht="24.0" customHeight="1">
      <c r="A447" s="53">
        <v>79.0</v>
      </c>
      <c r="B447" s="54" t="s">
        <v>1723</v>
      </c>
      <c r="C447" s="55" t="s">
        <v>1451</v>
      </c>
      <c r="D447" s="55"/>
      <c r="E447" s="55" t="s">
        <v>1724</v>
      </c>
      <c r="F447" s="55" t="s">
        <v>1725</v>
      </c>
      <c r="G447" s="55">
        <v>36.0</v>
      </c>
      <c r="H447" s="55" t="s">
        <v>85</v>
      </c>
      <c r="I447" s="55" t="s">
        <v>112</v>
      </c>
      <c r="J447" s="56" t="s">
        <v>113</v>
      </c>
      <c r="K447" s="55" t="s">
        <v>1726</v>
      </c>
      <c r="L447" s="55" t="s">
        <v>34</v>
      </c>
      <c r="M447" s="55" t="s">
        <v>89</v>
      </c>
      <c r="N447" s="55" t="s">
        <v>90</v>
      </c>
      <c r="O447" s="55"/>
      <c r="P447" s="55" t="s">
        <v>91</v>
      </c>
      <c r="Q447" s="55" t="s">
        <v>16</v>
      </c>
      <c r="R447" s="55"/>
      <c r="S447" s="55"/>
      <c r="T447" s="55"/>
      <c r="U447" s="55"/>
      <c r="V447" s="55"/>
      <c r="W447" s="55"/>
      <c r="X447" s="57" t="str">
        <f t="shared" si="2"/>
        <v>--440-03-05</v>
      </c>
      <c r="Y447" s="58" t="str">
        <f t="shared" ref="Y447:AC447" si="445">TRIM(SUBSTITUTE(SUBSTITUTE(OFFSET($Q447,0,COLUMN()-COLUMN($AL$1)),CHAR(160)," "),_xludf.UNICHAR(8239)," "))</f>
        <v>#NAME?</v>
      </c>
      <c r="Z447" s="58" t="str">
        <f t="shared" si="445"/>
        <v>#NAME?</v>
      </c>
      <c r="AA447" s="58" t="str">
        <f t="shared" si="445"/>
        <v>#NAME?</v>
      </c>
      <c r="AB447" s="58" t="str">
        <f t="shared" si="445"/>
        <v>#NAME?</v>
      </c>
      <c r="AC447" s="58" t="str">
        <f t="shared" si="445"/>
        <v>#NAME?</v>
      </c>
      <c r="AD447" s="57">
        <f t="shared" si="4"/>
        <v>1</v>
      </c>
      <c r="AE447" s="57" t="str">
        <f t="shared" si="5"/>
        <v>2026-05</v>
      </c>
      <c r="AF447" s="57">
        <f t="shared" si="6"/>
        <v>1</v>
      </c>
      <c r="AG447" s="59">
        <f t="shared" si="7"/>
        <v>1</v>
      </c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</row>
    <row r="448" ht="24.0" customHeight="1">
      <c r="A448" s="53">
        <v>80.0</v>
      </c>
      <c r="B448" s="54" t="s">
        <v>858</v>
      </c>
      <c r="C448" s="55" t="s">
        <v>1451</v>
      </c>
      <c r="D448" s="60">
        <v>46140.0</v>
      </c>
      <c r="E448" s="55" t="s">
        <v>859</v>
      </c>
      <c r="F448" s="55" t="s">
        <v>1727</v>
      </c>
      <c r="G448" s="55">
        <v>32.0</v>
      </c>
      <c r="H448" s="55" t="s">
        <v>85</v>
      </c>
      <c r="I448" s="55" t="s">
        <v>86</v>
      </c>
      <c r="J448" s="56" t="s">
        <v>87</v>
      </c>
      <c r="K448" s="55" t="s">
        <v>861</v>
      </c>
      <c r="L448" s="55" t="s">
        <v>34</v>
      </c>
      <c r="M448" s="55" t="s">
        <v>89</v>
      </c>
      <c r="N448" s="55" t="s">
        <v>90</v>
      </c>
      <c r="O448" s="55"/>
      <c r="P448" s="55" t="s">
        <v>91</v>
      </c>
      <c r="Q448" s="55"/>
      <c r="R448" s="55" t="s">
        <v>5</v>
      </c>
      <c r="S448" s="55"/>
      <c r="T448" s="55"/>
      <c r="U448" s="55" t="s">
        <v>7</v>
      </c>
      <c r="V448" s="55"/>
      <c r="W448" s="55"/>
      <c r="X448" s="57" t="str">
        <f t="shared" si="2"/>
        <v>--441-03-05</v>
      </c>
      <c r="Y448" s="58" t="str">
        <f t="shared" ref="Y448:AC448" si="446">TRIM(SUBSTITUTE(SUBSTITUTE(OFFSET($Q448,0,COLUMN()-COLUMN($AL$1)),CHAR(160)," "),_xludf.UNICHAR(8239)," "))</f>
        <v>#NAME?</v>
      </c>
      <c r="Z448" s="58" t="str">
        <f t="shared" si="446"/>
        <v>#NAME?</v>
      </c>
      <c r="AA448" s="58" t="str">
        <f t="shared" si="446"/>
        <v>#NAME?</v>
      </c>
      <c r="AB448" s="58" t="str">
        <f t="shared" si="446"/>
        <v>#NAME?</v>
      </c>
      <c r="AC448" s="58" t="str">
        <f t="shared" si="446"/>
        <v>#NAME?</v>
      </c>
      <c r="AD448" s="57">
        <f t="shared" si="4"/>
        <v>1</v>
      </c>
      <c r="AE448" s="57" t="str">
        <f t="shared" si="5"/>
        <v>2026-05</v>
      </c>
      <c r="AF448" s="57">
        <f t="shared" si="6"/>
        <v>1</v>
      </c>
      <c r="AG448" s="59">
        <f t="shared" si="7"/>
        <v>0</v>
      </c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</row>
    <row r="449" ht="24.0" customHeight="1">
      <c r="A449" s="53">
        <v>81.0</v>
      </c>
      <c r="B449" s="54" t="s">
        <v>1110</v>
      </c>
      <c r="C449" s="55" t="s">
        <v>1451</v>
      </c>
      <c r="D449" s="60">
        <v>46141.0</v>
      </c>
      <c r="E449" s="55" t="s">
        <v>1111</v>
      </c>
      <c r="F449" s="55" t="s">
        <v>1728</v>
      </c>
      <c r="G449" s="55">
        <v>42.0</v>
      </c>
      <c r="H449" s="55" t="s">
        <v>85</v>
      </c>
      <c r="I449" s="55" t="s">
        <v>86</v>
      </c>
      <c r="J449" s="56" t="s">
        <v>87</v>
      </c>
      <c r="K449" s="55" t="s">
        <v>1113</v>
      </c>
      <c r="L449" s="55" t="s">
        <v>34</v>
      </c>
      <c r="M449" s="55" t="s">
        <v>89</v>
      </c>
      <c r="N449" s="55" t="s">
        <v>90</v>
      </c>
      <c r="O449" s="55"/>
      <c r="P449" s="55" t="s">
        <v>91</v>
      </c>
      <c r="Q449" s="55"/>
      <c r="R449" s="55" t="s">
        <v>36</v>
      </c>
      <c r="S449" s="55"/>
      <c r="T449" s="55"/>
      <c r="U449" s="55"/>
      <c r="V449" s="55"/>
      <c r="W449" s="55"/>
      <c r="X449" s="57" t="str">
        <f t="shared" si="2"/>
        <v>--442-03-05</v>
      </c>
      <c r="Y449" s="58" t="str">
        <f t="shared" ref="Y449:AC449" si="447">TRIM(SUBSTITUTE(SUBSTITUTE(OFFSET($Q449,0,COLUMN()-COLUMN($AL$1)),CHAR(160)," "),_xludf.UNICHAR(8239)," "))</f>
        <v>#NAME?</v>
      </c>
      <c r="Z449" s="58" t="str">
        <f t="shared" si="447"/>
        <v>#NAME?</v>
      </c>
      <c r="AA449" s="58" t="str">
        <f t="shared" si="447"/>
        <v>#NAME?</v>
      </c>
      <c r="AB449" s="58" t="str">
        <f t="shared" si="447"/>
        <v>#NAME?</v>
      </c>
      <c r="AC449" s="58" t="str">
        <f t="shared" si="447"/>
        <v>#NAME?</v>
      </c>
      <c r="AD449" s="57">
        <f t="shared" si="4"/>
        <v>1</v>
      </c>
      <c r="AE449" s="57" t="str">
        <f t="shared" si="5"/>
        <v>2026-05</v>
      </c>
      <c r="AF449" s="57">
        <f t="shared" si="6"/>
        <v>1</v>
      </c>
      <c r="AG449" s="59">
        <f t="shared" si="7"/>
        <v>0</v>
      </c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</row>
    <row r="450" ht="24.0" customHeight="1">
      <c r="A450" s="53">
        <v>82.0</v>
      </c>
      <c r="B450" s="54" t="s">
        <v>1729</v>
      </c>
      <c r="C450" s="55" t="s">
        <v>1451</v>
      </c>
      <c r="D450" s="55"/>
      <c r="E450" s="55" t="s">
        <v>1730</v>
      </c>
      <c r="F450" s="55" t="s">
        <v>1731</v>
      </c>
      <c r="G450" s="55">
        <v>3.0</v>
      </c>
      <c r="H450" s="55" t="s">
        <v>119</v>
      </c>
      <c r="I450" s="55" t="s">
        <v>112</v>
      </c>
      <c r="J450" s="56" t="s">
        <v>113</v>
      </c>
      <c r="K450" s="55" t="s">
        <v>1113</v>
      </c>
      <c r="L450" s="55" t="s">
        <v>34</v>
      </c>
      <c r="M450" s="55" t="s">
        <v>115</v>
      </c>
      <c r="N450" s="55" t="s">
        <v>90</v>
      </c>
      <c r="O450" s="55"/>
      <c r="P450" s="55" t="s">
        <v>91</v>
      </c>
      <c r="Q450" s="55" t="s">
        <v>16</v>
      </c>
      <c r="R450" s="55"/>
      <c r="S450" s="55"/>
      <c r="T450" s="55"/>
      <c r="U450" s="55"/>
      <c r="V450" s="55"/>
      <c r="W450" s="55"/>
      <c r="X450" s="57" t="str">
        <f t="shared" si="2"/>
        <v>--443-03-05</v>
      </c>
      <c r="Y450" s="58" t="str">
        <f t="shared" ref="Y450:AC450" si="448">TRIM(SUBSTITUTE(SUBSTITUTE(OFFSET($Q450,0,COLUMN()-COLUMN($AL$1)),CHAR(160)," "),_xludf.UNICHAR(8239)," "))</f>
        <v>#NAME?</v>
      </c>
      <c r="Z450" s="58" t="str">
        <f t="shared" si="448"/>
        <v>#NAME?</v>
      </c>
      <c r="AA450" s="58" t="str">
        <f t="shared" si="448"/>
        <v>#NAME?</v>
      </c>
      <c r="AB450" s="58" t="str">
        <f t="shared" si="448"/>
        <v>#NAME?</v>
      </c>
      <c r="AC450" s="58" t="str">
        <f t="shared" si="448"/>
        <v>#NAME?</v>
      </c>
      <c r="AD450" s="57">
        <f t="shared" si="4"/>
        <v>1</v>
      </c>
      <c r="AE450" s="57" t="str">
        <f t="shared" si="5"/>
        <v>2026-05</v>
      </c>
      <c r="AF450" s="57">
        <f t="shared" si="6"/>
        <v>1</v>
      </c>
      <c r="AG450" s="59">
        <f t="shared" si="7"/>
        <v>1</v>
      </c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</row>
    <row r="451" ht="24.0" customHeight="1">
      <c r="A451" s="53">
        <v>83.0</v>
      </c>
      <c r="B451" s="54" t="s">
        <v>1732</v>
      </c>
      <c r="C451" s="55" t="s">
        <v>1451</v>
      </c>
      <c r="D451" s="55"/>
      <c r="E451" s="55" t="s">
        <v>1733</v>
      </c>
      <c r="F451" s="55" t="s">
        <v>1734</v>
      </c>
      <c r="G451" s="55">
        <v>46.0</v>
      </c>
      <c r="H451" s="55" t="s">
        <v>85</v>
      </c>
      <c r="I451" s="55" t="s">
        <v>86</v>
      </c>
      <c r="J451" s="56" t="s">
        <v>87</v>
      </c>
      <c r="K451" s="55" t="s">
        <v>1735</v>
      </c>
      <c r="L451" s="55" t="s">
        <v>34</v>
      </c>
      <c r="M451" s="55" t="s">
        <v>89</v>
      </c>
      <c r="N451" s="55" t="s">
        <v>90</v>
      </c>
      <c r="O451" s="55"/>
      <c r="P451" s="55" t="s">
        <v>91</v>
      </c>
      <c r="Q451" s="55" t="s">
        <v>4</v>
      </c>
      <c r="R451" s="55"/>
      <c r="S451" s="55"/>
      <c r="T451" s="55"/>
      <c r="U451" s="55"/>
      <c r="V451" s="55"/>
      <c r="W451" s="55"/>
      <c r="X451" s="57" t="str">
        <f t="shared" si="2"/>
        <v>--444-03-05</v>
      </c>
      <c r="Y451" s="58" t="str">
        <f t="shared" ref="Y451:AC451" si="449">TRIM(SUBSTITUTE(SUBSTITUTE(OFFSET($Q451,0,COLUMN()-COLUMN($AL$1)),CHAR(160)," "),_xludf.UNICHAR(8239)," "))</f>
        <v>#NAME?</v>
      </c>
      <c r="Z451" s="58" t="str">
        <f t="shared" si="449"/>
        <v>#NAME?</v>
      </c>
      <c r="AA451" s="58" t="str">
        <f t="shared" si="449"/>
        <v>#NAME?</v>
      </c>
      <c r="AB451" s="58" t="str">
        <f t="shared" si="449"/>
        <v>#NAME?</v>
      </c>
      <c r="AC451" s="58" t="str">
        <f t="shared" si="449"/>
        <v>#NAME?</v>
      </c>
      <c r="AD451" s="57">
        <f t="shared" si="4"/>
        <v>1</v>
      </c>
      <c r="AE451" s="57" t="str">
        <f t="shared" si="5"/>
        <v>2026-05</v>
      </c>
      <c r="AF451" s="57">
        <f t="shared" si="6"/>
        <v>1</v>
      </c>
      <c r="AG451" s="59">
        <f t="shared" si="7"/>
        <v>1</v>
      </c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</row>
    <row r="452" ht="24.0" customHeight="1">
      <c r="A452" s="53">
        <v>84.0</v>
      </c>
      <c r="B452" s="54" t="s">
        <v>1736</v>
      </c>
      <c r="C452" s="55" t="s">
        <v>1451</v>
      </c>
      <c r="D452" s="55"/>
      <c r="E452" s="55" t="s">
        <v>1737</v>
      </c>
      <c r="F452" s="55" t="s">
        <v>1738</v>
      </c>
      <c r="G452" s="55">
        <v>32.0</v>
      </c>
      <c r="H452" s="55" t="s">
        <v>85</v>
      </c>
      <c r="I452" s="55" t="s">
        <v>86</v>
      </c>
      <c r="J452" s="56" t="s">
        <v>87</v>
      </c>
      <c r="K452" s="55" t="s">
        <v>1739</v>
      </c>
      <c r="L452" s="55" t="s">
        <v>41</v>
      </c>
      <c r="M452" s="55" t="s">
        <v>89</v>
      </c>
      <c r="N452" s="55" t="s">
        <v>90</v>
      </c>
      <c r="O452" s="55"/>
      <c r="P452" s="55" t="s">
        <v>91</v>
      </c>
      <c r="Q452" s="55"/>
      <c r="R452" s="55" t="s">
        <v>5</v>
      </c>
      <c r="S452" s="55"/>
      <c r="T452" s="55"/>
      <c r="U452" s="55" t="s">
        <v>7</v>
      </c>
      <c r="V452" s="55"/>
      <c r="W452" s="55"/>
      <c r="X452" s="57" t="str">
        <f t="shared" si="2"/>
        <v>--445-03-05</v>
      </c>
      <c r="Y452" s="58" t="str">
        <f t="shared" ref="Y452:AC452" si="450">TRIM(SUBSTITUTE(SUBSTITUTE(OFFSET($Q452,0,COLUMN()-COLUMN($AL$1)),CHAR(160)," "),_xludf.UNICHAR(8239)," "))</f>
        <v>#NAME?</v>
      </c>
      <c r="Z452" s="58" t="str">
        <f t="shared" si="450"/>
        <v>#NAME?</v>
      </c>
      <c r="AA452" s="58" t="str">
        <f t="shared" si="450"/>
        <v>#NAME?</v>
      </c>
      <c r="AB452" s="58" t="str">
        <f t="shared" si="450"/>
        <v>#NAME?</v>
      </c>
      <c r="AC452" s="58" t="str">
        <f t="shared" si="450"/>
        <v>#NAME?</v>
      </c>
      <c r="AD452" s="57">
        <f t="shared" si="4"/>
        <v>1</v>
      </c>
      <c r="AE452" s="57" t="str">
        <f t="shared" si="5"/>
        <v>2026-05</v>
      </c>
      <c r="AF452" s="57">
        <f t="shared" si="6"/>
        <v>1</v>
      </c>
      <c r="AG452" s="59">
        <f t="shared" si="7"/>
        <v>1</v>
      </c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</row>
    <row r="453" ht="24.0" customHeight="1">
      <c r="A453" s="53">
        <v>85.0</v>
      </c>
      <c r="B453" s="54" t="s">
        <v>1740</v>
      </c>
      <c r="C453" s="55" t="s">
        <v>1451</v>
      </c>
      <c r="D453" s="55"/>
      <c r="E453" s="55" t="s">
        <v>1741</v>
      </c>
      <c r="F453" s="55" t="s">
        <v>1742</v>
      </c>
      <c r="G453" s="55">
        <v>51.0</v>
      </c>
      <c r="H453" s="55" t="s">
        <v>85</v>
      </c>
      <c r="I453" s="55" t="s">
        <v>86</v>
      </c>
      <c r="J453" s="56" t="s">
        <v>87</v>
      </c>
      <c r="K453" s="55" t="s">
        <v>1743</v>
      </c>
      <c r="L453" s="55" t="s">
        <v>41</v>
      </c>
      <c r="M453" s="55" t="s">
        <v>89</v>
      </c>
      <c r="N453" s="55" t="s">
        <v>90</v>
      </c>
      <c r="O453" s="55"/>
      <c r="P453" s="55" t="s">
        <v>91</v>
      </c>
      <c r="Q453" s="55" t="s">
        <v>4</v>
      </c>
      <c r="R453" s="55"/>
      <c r="S453" s="55"/>
      <c r="T453" s="55"/>
      <c r="U453" s="55"/>
      <c r="V453" s="55"/>
      <c r="W453" s="55"/>
      <c r="X453" s="57" t="str">
        <f t="shared" si="2"/>
        <v>--446-03-05</v>
      </c>
      <c r="Y453" s="58" t="str">
        <f t="shared" ref="Y453:AC453" si="451">TRIM(SUBSTITUTE(SUBSTITUTE(OFFSET($Q453,0,COLUMN()-COLUMN($AL$1)),CHAR(160)," "),_xludf.UNICHAR(8239)," "))</f>
        <v>#NAME?</v>
      </c>
      <c r="Z453" s="58" t="str">
        <f t="shared" si="451"/>
        <v>#NAME?</v>
      </c>
      <c r="AA453" s="58" t="str">
        <f t="shared" si="451"/>
        <v>#NAME?</v>
      </c>
      <c r="AB453" s="58" t="str">
        <f t="shared" si="451"/>
        <v>#NAME?</v>
      </c>
      <c r="AC453" s="58" t="str">
        <f t="shared" si="451"/>
        <v>#NAME?</v>
      </c>
      <c r="AD453" s="57">
        <f t="shared" si="4"/>
        <v>1</v>
      </c>
      <c r="AE453" s="57" t="str">
        <f t="shared" si="5"/>
        <v>2026-05</v>
      </c>
      <c r="AF453" s="57">
        <f t="shared" si="6"/>
        <v>1</v>
      </c>
      <c r="AG453" s="59">
        <f t="shared" si="7"/>
        <v>1</v>
      </c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</row>
    <row r="454" ht="24.0" customHeight="1">
      <c r="A454" s="53">
        <v>86.0</v>
      </c>
      <c r="B454" s="54" t="s">
        <v>1744</v>
      </c>
      <c r="C454" s="55" t="s">
        <v>1451</v>
      </c>
      <c r="D454" s="55"/>
      <c r="E454" s="55" t="s">
        <v>1745</v>
      </c>
      <c r="F454" s="55" t="s">
        <v>1746</v>
      </c>
      <c r="G454" s="55">
        <v>61.0</v>
      </c>
      <c r="H454" s="55" t="s">
        <v>260</v>
      </c>
      <c r="I454" s="55" t="s">
        <v>86</v>
      </c>
      <c r="J454" s="56" t="s">
        <v>87</v>
      </c>
      <c r="K454" s="55" t="s">
        <v>1747</v>
      </c>
      <c r="L454" s="55" t="s">
        <v>34</v>
      </c>
      <c r="M454" s="55" t="s">
        <v>89</v>
      </c>
      <c r="N454" s="55" t="s">
        <v>90</v>
      </c>
      <c r="O454" s="55"/>
      <c r="P454" s="55" t="s">
        <v>91</v>
      </c>
      <c r="Q454" s="55" t="s">
        <v>4</v>
      </c>
      <c r="R454" s="55"/>
      <c r="S454" s="55"/>
      <c r="T454" s="55"/>
      <c r="U454" s="55"/>
      <c r="V454" s="55"/>
      <c r="W454" s="55"/>
      <c r="X454" s="57" t="str">
        <f t="shared" si="2"/>
        <v>--447-03-05</v>
      </c>
      <c r="Y454" s="58" t="str">
        <f t="shared" ref="Y454:AC454" si="452">TRIM(SUBSTITUTE(SUBSTITUTE(OFFSET($Q454,0,COLUMN()-COLUMN($AL$1)),CHAR(160)," "),_xludf.UNICHAR(8239)," "))</f>
        <v>#NAME?</v>
      </c>
      <c r="Z454" s="58" t="str">
        <f t="shared" si="452"/>
        <v>#NAME?</v>
      </c>
      <c r="AA454" s="58" t="str">
        <f t="shared" si="452"/>
        <v>#NAME?</v>
      </c>
      <c r="AB454" s="58" t="str">
        <f t="shared" si="452"/>
        <v>#NAME?</v>
      </c>
      <c r="AC454" s="58" t="str">
        <f t="shared" si="452"/>
        <v>#NAME?</v>
      </c>
      <c r="AD454" s="57">
        <f t="shared" si="4"/>
        <v>1</v>
      </c>
      <c r="AE454" s="57" t="str">
        <f t="shared" si="5"/>
        <v>2026-05</v>
      </c>
      <c r="AF454" s="57">
        <f t="shared" si="6"/>
        <v>1</v>
      </c>
      <c r="AG454" s="59">
        <f t="shared" si="7"/>
        <v>1</v>
      </c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</row>
    <row r="455" ht="24.0" customHeight="1">
      <c r="A455" s="53">
        <v>87.0</v>
      </c>
      <c r="B455" s="54" t="s">
        <v>1748</v>
      </c>
      <c r="C455" s="55" t="s">
        <v>1451</v>
      </c>
      <c r="D455" s="55"/>
      <c r="E455" s="55" t="s">
        <v>1749</v>
      </c>
      <c r="F455" s="55" t="s">
        <v>1750</v>
      </c>
      <c r="G455" s="55">
        <v>19.0</v>
      </c>
      <c r="H455" s="55" t="s">
        <v>85</v>
      </c>
      <c r="I455" s="55" t="s">
        <v>86</v>
      </c>
      <c r="J455" s="56" t="s">
        <v>87</v>
      </c>
      <c r="K455" s="55" t="s">
        <v>1751</v>
      </c>
      <c r="L455" s="55" t="s">
        <v>34</v>
      </c>
      <c r="M455" s="55" t="s">
        <v>89</v>
      </c>
      <c r="N455" s="55" t="s">
        <v>90</v>
      </c>
      <c r="O455" s="55"/>
      <c r="P455" s="55" t="s">
        <v>91</v>
      </c>
      <c r="Q455" s="55"/>
      <c r="R455" s="55" t="s">
        <v>5</v>
      </c>
      <c r="S455" s="55"/>
      <c r="T455" s="55"/>
      <c r="U455" s="55" t="s">
        <v>7</v>
      </c>
      <c r="V455" s="55"/>
      <c r="W455" s="55"/>
      <c r="X455" s="57" t="str">
        <f t="shared" si="2"/>
        <v>--448-03-05</v>
      </c>
      <c r="Y455" s="58" t="str">
        <f t="shared" ref="Y455:AC455" si="453">TRIM(SUBSTITUTE(SUBSTITUTE(OFFSET($Q455,0,COLUMN()-COLUMN($AL$1)),CHAR(160)," "),_xludf.UNICHAR(8239)," "))</f>
        <v>#NAME?</v>
      </c>
      <c r="Z455" s="58" t="str">
        <f t="shared" si="453"/>
        <v>#NAME?</v>
      </c>
      <c r="AA455" s="58" t="str">
        <f t="shared" si="453"/>
        <v>#NAME?</v>
      </c>
      <c r="AB455" s="58" t="str">
        <f t="shared" si="453"/>
        <v>#NAME?</v>
      </c>
      <c r="AC455" s="58" t="str">
        <f t="shared" si="453"/>
        <v>#NAME?</v>
      </c>
      <c r="AD455" s="57">
        <f t="shared" si="4"/>
        <v>1</v>
      </c>
      <c r="AE455" s="57" t="str">
        <f t="shared" si="5"/>
        <v>2026-05</v>
      </c>
      <c r="AF455" s="57">
        <f t="shared" si="6"/>
        <v>1</v>
      </c>
      <c r="AG455" s="59">
        <f t="shared" si="7"/>
        <v>1</v>
      </c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</row>
    <row r="456" ht="24.0" customHeight="1">
      <c r="A456" s="53">
        <v>88.0</v>
      </c>
      <c r="B456" s="54" t="s">
        <v>1752</v>
      </c>
      <c r="C456" s="55" t="s">
        <v>1451</v>
      </c>
      <c r="D456" s="55"/>
      <c r="E456" s="55" t="s">
        <v>1753</v>
      </c>
      <c r="F456" s="55" t="s">
        <v>1754</v>
      </c>
      <c r="G456" s="55">
        <v>18.0</v>
      </c>
      <c r="H456" s="55" t="s">
        <v>111</v>
      </c>
      <c r="I456" s="55" t="s">
        <v>86</v>
      </c>
      <c r="J456" s="56" t="s">
        <v>87</v>
      </c>
      <c r="K456" s="55" t="s">
        <v>1751</v>
      </c>
      <c r="L456" s="55" t="s">
        <v>34</v>
      </c>
      <c r="M456" s="55" t="s">
        <v>133</v>
      </c>
      <c r="N456" s="55" t="s">
        <v>90</v>
      </c>
      <c r="O456" s="55"/>
      <c r="P456" s="55" t="s">
        <v>91</v>
      </c>
      <c r="Q456" s="55" t="s">
        <v>16</v>
      </c>
      <c r="R456" s="55"/>
      <c r="S456" s="55"/>
      <c r="T456" s="55"/>
      <c r="U456" s="55"/>
      <c r="V456" s="55"/>
      <c r="W456" s="55"/>
      <c r="X456" s="57" t="str">
        <f t="shared" si="2"/>
        <v>--449-03-05</v>
      </c>
      <c r="Y456" s="58" t="str">
        <f t="shared" ref="Y456:AC456" si="454">TRIM(SUBSTITUTE(SUBSTITUTE(OFFSET($Q456,0,COLUMN()-COLUMN($AL$1)),CHAR(160)," "),_xludf.UNICHAR(8239)," "))</f>
        <v>#NAME?</v>
      </c>
      <c r="Z456" s="58" t="str">
        <f t="shared" si="454"/>
        <v>#NAME?</v>
      </c>
      <c r="AA456" s="58" t="str">
        <f t="shared" si="454"/>
        <v>#NAME?</v>
      </c>
      <c r="AB456" s="58" t="str">
        <f t="shared" si="454"/>
        <v>#NAME?</v>
      </c>
      <c r="AC456" s="58" t="str">
        <f t="shared" si="454"/>
        <v>#NAME?</v>
      </c>
      <c r="AD456" s="57">
        <f t="shared" si="4"/>
        <v>1</v>
      </c>
      <c r="AE456" s="57" t="str">
        <f t="shared" si="5"/>
        <v>2026-05</v>
      </c>
      <c r="AF456" s="57">
        <f t="shared" si="6"/>
        <v>1</v>
      </c>
      <c r="AG456" s="59">
        <f t="shared" si="7"/>
        <v>1</v>
      </c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</row>
    <row r="457" ht="24.0" customHeight="1">
      <c r="A457" s="53">
        <v>89.0</v>
      </c>
      <c r="B457" s="54" t="s">
        <v>1755</v>
      </c>
      <c r="C457" s="55" t="s">
        <v>1451</v>
      </c>
      <c r="D457" s="55"/>
      <c r="E457" s="55" t="s">
        <v>1756</v>
      </c>
      <c r="F457" s="55" t="s">
        <v>1757</v>
      </c>
      <c r="G457" s="55">
        <v>75.0</v>
      </c>
      <c r="H457" s="55" t="s">
        <v>260</v>
      </c>
      <c r="I457" s="55" t="s">
        <v>112</v>
      </c>
      <c r="J457" s="56" t="s">
        <v>113</v>
      </c>
      <c r="K457" s="55" t="s">
        <v>1758</v>
      </c>
      <c r="L457" s="55" t="s">
        <v>34</v>
      </c>
      <c r="M457" s="55" t="s">
        <v>115</v>
      </c>
      <c r="N457" s="55" t="s">
        <v>90</v>
      </c>
      <c r="O457" s="55"/>
      <c r="P457" s="55" t="s">
        <v>91</v>
      </c>
      <c r="Q457" s="55" t="s">
        <v>4</v>
      </c>
      <c r="R457" s="55"/>
      <c r="S457" s="55"/>
      <c r="T457" s="55"/>
      <c r="U457" s="55"/>
      <c r="V457" s="55"/>
      <c r="W457" s="55"/>
      <c r="X457" s="57" t="str">
        <f t="shared" si="2"/>
        <v>--450-03-05</v>
      </c>
      <c r="Y457" s="58" t="str">
        <f t="shared" ref="Y457:AC457" si="455">TRIM(SUBSTITUTE(SUBSTITUTE(OFFSET($Q457,0,COLUMN()-COLUMN($AL$1)),CHAR(160)," "),_xludf.UNICHAR(8239)," "))</f>
        <v>#NAME?</v>
      </c>
      <c r="Z457" s="58" t="str">
        <f t="shared" si="455"/>
        <v>#NAME?</v>
      </c>
      <c r="AA457" s="58" t="str">
        <f t="shared" si="455"/>
        <v>#NAME?</v>
      </c>
      <c r="AB457" s="58" t="str">
        <f t="shared" si="455"/>
        <v>#NAME?</v>
      </c>
      <c r="AC457" s="58" t="str">
        <f t="shared" si="455"/>
        <v>#NAME?</v>
      </c>
      <c r="AD457" s="57">
        <f t="shared" si="4"/>
        <v>1</v>
      </c>
      <c r="AE457" s="57" t="str">
        <f t="shared" si="5"/>
        <v>2026-05</v>
      </c>
      <c r="AF457" s="57">
        <f t="shared" si="6"/>
        <v>1</v>
      </c>
      <c r="AG457" s="59">
        <f t="shared" si="7"/>
        <v>1</v>
      </c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</row>
    <row r="458" ht="24.0" customHeight="1">
      <c r="A458" s="53">
        <v>90.0</v>
      </c>
      <c r="B458" s="54" t="s">
        <v>1759</v>
      </c>
      <c r="C458" s="55" t="s">
        <v>1451</v>
      </c>
      <c r="D458" s="55"/>
      <c r="E458" s="55" t="s">
        <v>1760</v>
      </c>
      <c r="F458" s="55" t="s">
        <v>1761</v>
      </c>
      <c r="G458" s="55">
        <v>28.0</v>
      </c>
      <c r="H458" s="55" t="s">
        <v>85</v>
      </c>
      <c r="I458" s="55" t="s">
        <v>86</v>
      </c>
      <c r="J458" s="56" t="s">
        <v>87</v>
      </c>
      <c r="K458" s="55" t="s">
        <v>1762</v>
      </c>
      <c r="L458" s="55" t="s">
        <v>34</v>
      </c>
      <c r="M458" s="55" t="s">
        <v>89</v>
      </c>
      <c r="N458" s="55" t="s">
        <v>90</v>
      </c>
      <c r="O458" s="55"/>
      <c r="P458" s="55" t="s">
        <v>91</v>
      </c>
      <c r="Q458" s="55"/>
      <c r="R458" s="55" t="s">
        <v>5</v>
      </c>
      <c r="S458" s="55"/>
      <c r="T458" s="55"/>
      <c r="U458" s="55" t="s">
        <v>7</v>
      </c>
      <c r="V458" s="55"/>
      <c r="W458" s="55"/>
      <c r="X458" s="57" t="str">
        <f t="shared" si="2"/>
        <v>--451-03-05</v>
      </c>
      <c r="Y458" s="58" t="str">
        <f t="shared" ref="Y458:AC458" si="456">TRIM(SUBSTITUTE(SUBSTITUTE(OFFSET($Q458,0,COLUMN()-COLUMN($AL$1)),CHAR(160)," "),_xludf.UNICHAR(8239)," "))</f>
        <v>#NAME?</v>
      </c>
      <c r="Z458" s="58" t="str">
        <f t="shared" si="456"/>
        <v>#NAME?</v>
      </c>
      <c r="AA458" s="58" t="str">
        <f t="shared" si="456"/>
        <v>#NAME?</v>
      </c>
      <c r="AB458" s="58" t="str">
        <f t="shared" si="456"/>
        <v>#NAME?</v>
      </c>
      <c r="AC458" s="58" t="str">
        <f t="shared" si="456"/>
        <v>#NAME?</v>
      </c>
      <c r="AD458" s="57">
        <f t="shared" si="4"/>
        <v>1</v>
      </c>
      <c r="AE458" s="57" t="str">
        <f t="shared" si="5"/>
        <v>2026-05</v>
      </c>
      <c r="AF458" s="57">
        <f t="shared" si="6"/>
        <v>1</v>
      </c>
      <c r="AG458" s="59">
        <f t="shared" si="7"/>
        <v>1</v>
      </c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</row>
    <row r="459" ht="24.0" customHeight="1">
      <c r="A459" s="53">
        <v>91.0</v>
      </c>
      <c r="B459" s="54" t="s">
        <v>1763</v>
      </c>
      <c r="C459" s="55" t="s">
        <v>1451</v>
      </c>
      <c r="D459" s="55"/>
      <c r="E459" s="55" t="s">
        <v>1764</v>
      </c>
      <c r="F459" s="55" t="s">
        <v>1765</v>
      </c>
      <c r="G459" s="55">
        <v>16.0</v>
      </c>
      <c r="H459" s="55" t="s">
        <v>111</v>
      </c>
      <c r="I459" s="55" t="s">
        <v>86</v>
      </c>
      <c r="J459" s="56" t="s">
        <v>87</v>
      </c>
      <c r="K459" s="55" t="s">
        <v>1735</v>
      </c>
      <c r="L459" s="55" t="s">
        <v>34</v>
      </c>
      <c r="M459" s="55" t="s">
        <v>133</v>
      </c>
      <c r="N459" s="55" t="s">
        <v>90</v>
      </c>
      <c r="O459" s="55"/>
      <c r="P459" s="55" t="s">
        <v>91</v>
      </c>
      <c r="Q459" s="55" t="s">
        <v>4</v>
      </c>
      <c r="R459" s="55"/>
      <c r="S459" s="55"/>
      <c r="T459" s="55"/>
      <c r="U459" s="55"/>
      <c r="V459" s="55"/>
      <c r="W459" s="55"/>
      <c r="X459" s="57" t="str">
        <f t="shared" si="2"/>
        <v>--452-03-05</v>
      </c>
      <c r="Y459" s="58" t="str">
        <f t="shared" ref="Y459:AC459" si="457">TRIM(SUBSTITUTE(SUBSTITUTE(OFFSET($Q459,0,COLUMN()-COLUMN($AL$1)),CHAR(160)," "),_xludf.UNICHAR(8239)," "))</f>
        <v>#NAME?</v>
      </c>
      <c r="Z459" s="58" t="str">
        <f t="shared" si="457"/>
        <v>#NAME?</v>
      </c>
      <c r="AA459" s="58" t="str">
        <f t="shared" si="457"/>
        <v>#NAME?</v>
      </c>
      <c r="AB459" s="58" t="str">
        <f t="shared" si="457"/>
        <v>#NAME?</v>
      </c>
      <c r="AC459" s="58" t="str">
        <f t="shared" si="457"/>
        <v>#NAME?</v>
      </c>
      <c r="AD459" s="57">
        <f t="shared" si="4"/>
        <v>1</v>
      </c>
      <c r="AE459" s="57" t="str">
        <f t="shared" si="5"/>
        <v>2026-05</v>
      </c>
      <c r="AF459" s="57">
        <f t="shared" si="6"/>
        <v>1</v>
      </c>
      <c r="AG459" s="59">
        <f t="shared" si="7"/>
        <v>1</v>
      </c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</row>
    <row r="460" ht="24.0" customHeight="1">
      <c r="A460" s="53">
        <v>92.0</v>
      </c>
      <c r="B460" s="54" t="s">
        <v>1766</v>
      </c>
      <c r="C460" s="55" t="s">
        <v>1451</v>
      </c>
      <c r="D460" s="55"/>
      <c r="E460" s="55" t="s">
        <v>1767</v>
      </c>
      <c r="F460" s="55" t="s">
        <v>1768</v>
      </c>
      <c r="G460" s="55">
        <v>1.0</v>
      </c>
      <c r="H460" s="55" t="s">
        <v>119</v>
      </c>
      <c r="I460" s="55" t="s">
        <v>112</v>
      </c>
      <c r="J460" s="56" t="s">
        <v>113</v>
      </c>
      <c r="K460" s="55" t="s">
        <v>1769</v>
      </c>
      <c r="L460" s="55" t="s">
        <v>34</v>
      </c>
      <c r="M460" s="55" t="s">
        <v>115</v>
      </c>
      <c r="N460" s="55" t="s">
        <v>90</v>
      </c>
      <c r="O460" s="55"/>
      <c r="P460" s="55" t="s">
        <v>91</v>
      </c>
      <c r="Q460" s="55" t="s">
        <v>16</v>
      </c>
      <c r="R460" s="55"/>
      <c r="S460" s="55"/>
      <c r="T460" s="55"/>
      <c r="U460" s="55"/>
      <c r="V460" s="55"/>
      <c r="W460" s="55"/>
      <c r="X460" s="57" t="str">
        <f t="shared" si="2"/>
        <v>--453-03-05</v>
      </c>
      <c r="Y460" s="58" t="str">
        <f t="shared" ref="Y460:AC460" si="458">TRIM(SUBSTITUTE(SUBSTITUTE(OFFSET($Q460,0,COLUMN()-COLUMN($AL$1)),CHAR(160)," "),_xludf.UNICHAR(8239)," "))</f>
        <v>#NAME?</v>
      </c>
      <c r="Z460" s="58" t="str">
        <f t="shared" si="458"/>
        <v>#NAME?</v>
      </c>
      <c r="AA460" s="58" t="str">
        <f t="shared" si="458"/>
        <v>#NAME?</v>
      </c>
      <c r="AB460" s="58" t="str">
        <f t="shared" si="458"/>
        <v>#NAME?</v>
      </c>
      <c r="AC460" s="58" t="str">
        <f t="shared" si="458"/>
        <v>#NAME?</v>
      </c>
      <c r="AD460" s="57">
        <f t="shared" si="4"/>
        <v>1</v>
      </c>
      <c r="AE460" s="57" t="str">
        <f t="shared" si="5"/>
        <v>2026-05</v>
      </c>
      <c r="AF460" s="57">
        <f t="shared" si="6"/>
        <v>1</v>
      </c>
      <c r="AG460" s="59">
        <f t="shared" si="7"/>
        <v>1</v>
      </c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</row>
    <row r="461" ht="24.0" customHeight="1">
      <c r="A461" s="53">
        <v>93.0</v>
      </c>
      <c r="B461" s="54" t="s">
        <v>1770</v>
      </c>
      <c r="C461" s="55" t="s">
        <v>1451</v>
      </c>
      <c r="D461" s="55"/>
      <c r="E461" s="55" t="s">
        <v>1771</v>
      </c>
      <c r="F461" s="55" t="s">
        <v>1772</v>
      </c>
      <c r="G461" s="55">
        <v>22.0</v>
      </c>
      <c r="H461" s="55" t="s">
        <v>85</v>
      </c>
      <c r="I461" s="55" t="s">
        <v>112</v>
      </c>
      <c r="J461" s="56" t="s">
        <v>113</v>
      </c>
      <c r="K461" s="55" t="s">
        <v>1773</v>
      </c>
      <c r="L461" s="55" t="s">
        <v>12</v>
      </c>
      <c r="M461" s="55" t="s">
        <v>89</v>
      </c>
      <c r="N461" s="55" t="s">
        <v>90</v>
      </c>
      <c r="O461" s="55"/>
      <c r="P461" s="55" t="s">
        <v>91</v>
      </c>
      <c r="Q461" s="55" t="s">
        <v>4</v>
      </c>
      <c r="R461" s="55"/>
      <c r="S461" s="55" t="s">
        <v>6</v>
      </c>
      <c r="T461" s="55"/>
      <c r="U461" s="55"/>
      <c r="V461" s="55"/>
      <c r="W461" s="55"/>
      <c r="X461" s="57" t="str">
        <f t="shared" si="2"/>
        <v>--454-03-05</v>
      </c>
      <c r="Y461" s="58" t="str">
        <f t="shared" ref="Y461:AC461" si="459">TRIM(SUBSTITUTE(SUBSTITUTE(OFFSET($Q461,0,COLUMN()-COLUMN($AL$1)),CHAR(160)," "),_xludf.UNICHAR(8239)," "))</f>
        <v>#NAME?</v>
      </c>
      <c r="Z461" s="58" t="str">
        <f t="shared" si="459"/>
        <v>#NAME?</v>
      </c>
      <c r="AA461" s="58" t="str">
        <f t="shared" si="459"/>
        <v>#NAME?</v>
      </c>
      <c r="AB461" s="58" t="str">
        <f t="shared" si="459"/>
        <v>#NAME?</v>
      </c>
      <c r="AC461" s="58" t="str">
        <f t="shared" si="459"/>
        <v>#NAME?</v>
      </c>
      <c r="AD461" s="57">
        <f t="shared" si="4"/>
        <v>1</v>
      </c>
      <c r="AE461" s="57" t="str">
        <f t="shared" si="5"/>
        <v>2026-05</v>
      </c>
      <c r="AF461" s="57">
        <f t="shared" si="6"/>
        <v>1</v>
      </c>
      <c r="AG461" s="59">
        <f t="shared" si="7"/>
        <v>1</v>
      </c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</row>
    <row r="462" ht="24.0" customHeight="1">
      <c r="A462" s="53">
        <v>94.0</v>
      </c>
      <c r="B462" s="54" t="s">
        <v>1774</v>
      </c>
      <c r="C462" s="55" t="s">
        <v>1451</v>
      </c>
      <c r="D462" s="55"/>
      <c r="E462" s="55" t="s">
        <v>1775</v>
      </c>
      <c r="F462" s="55" t="s">
        <v>1776</v>
      </c>
      <c r="G462" s="55">
        <v>23.0</v>
      </c>
      <c r="H462" s="55" t="s">
        <v>85</v>
      </c>
      <c r="I462" s="55" t="s">
        <v>86</v>
      </c>
      <c r="J462" s="56" t="s">
        <v>87</v>
      </c>
      <c r="K462" s="55" t="s">
        <v>1777</v>
      </c>
      <c r="L462" s="55" t="s">
        <v>34</v>
      </c>
      <c r="M462" s="55" t="s">
        <v>133</v>
      </c>
      <c r="N462" s="55" t="s">
        <v>90</v>
      </c>
      <c r="O462" s="55"/>
      <c r="P462" s="55" t="s">
        <v>91</v>
      </c>
      <c r="Q462" s="55" t="s">
        <v>4</v>
      </c>
      <c r="R462" s="55"/>
      <c r="S462" s="55"/>
      <c r="T462" s="55"/>
      <c r="U462" s="55"/>
      <c r="V462" s="55"/>
      <c r="W462" s="55"/>
      <c r="X462" s="57" t="str">
        <f t="shared" si="2"/>
        <v>--455-03-05</v>
      </c>
      <c r="Y462" s="58" t="str">
        <f t="shared" ref="Y462:AC462" si="460">TRIM(SUBSTITUTE(SUBSTITUTE(OFFSET($Q462,0,COLUMN()-COLUMN($AL$1)),CHAR(160)," "),_xludf.UNICHAR(8239)," "))</f>
        <v>#NAME?</v>
      </c>
      <c r="Z462" s="58" t="str">
        <f t="shared" si="460"/>
        <v>#NAME?</v>
      </c>
      <c r="AA462" s="58" t="str">
        <f t="shared" si="460"/>
        <v>#NAME?</v>
      </c>
      <c r="AB462" s="58" t="str">
        <f t="shared" si="460"/>
        <v>#NAME?</v>
      </c>
      <c r="AC462" s="58" t="str">
        <f t="shared" si="460"/>
        <v>#NAME?</v>
      </c>
      <c r="AD462" s="57">
        <f t="shared" si="4"/>
        <v>1</v>
      </c>
      <c r="AE462" s="57" t="str">
        <f t="shared" si="5"/>
        <v>2026-05</v>
      </c>
      <c r="AF462" s="57">
        <f t="shared" si="6"/>
        <v>1</v>
      </c>
      <c r="AG462" s="59">
        <f t="shared" si="7"/>
        <v>1</v>
      </c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</row>
    <row r="463" ht="24.0" customHeight="1">
      <c r="A463" s="53">
        <v>1.0</v>
      </c>
      <c r="B463" s="54" t="s">
        <v>1778</v>
      </c>
      <c r="C463" s="55" t="s">
        <v>1779</v>
      </c>
      <c r="D463" s="55"/>
      <c r="E463" s="55" t="s">
        <v>1780</v>
      </c>
      <c r="F463" s="55" t="s">
        <v>1781</v>
      </c>
      <c r="G463" s="55">
        <v>36.0</v>
      </c>
      <c r="H463" s="55" t="s">
        <v>85</v>
      </c>
      <c r="I463" s="55" t="s">
        <v>86</v>
      </c>
      <c r="J463" s="56" t="s">
        <v>87</v>
      </c>
      <c r="K463" s="55" t="s">
        <v>1782</v>
      </c>
      <c r="L463" s="55" t="s">
        <v>34</v>
      </c>
      <c r="M463" s="55" t="s">
        <v>89</v>
      </c>
      <c r="N463" s="55" t="s">
        <v>90</v>
      </c>
      <c r="O463" s="55"/>
      <c r="P463" s="55" t="s">
        <v>91</v>
      </c>
      <c r="Q463" s="55"/>
      <c r="R463" s="55" t="s">
        <v>27</v>
      </c>
      <c r="S463" s="55"/>
      <c r="T463" s="55"/>
      <c r="U463" s="55"/>
      <c r="V463" s="55"/>
      <c r="W463" s="55"/>
      <c r="X463" s="57" t="str">
        <f t="shared" si="2"/>
        <v>--456-04-05</v>
      </c>
      <c r="Y463" s="58" t="str">
        <f t="shared" ref="Y463:AC463" si="461">TRIM(SUBSTITUTE(SUBSTITUTE(OFFSET($Q463,0,COLUMN()-COLUMN($AL$1)),CHAR(160)," "),_xludf.UNICHAR(8239)," "))</f>
        <v>#NAME?</v>
      </c>
      <c r="Z463" s="58" t="str">
        <f t="shared" si="461"/>
        <v>#NAME?</v>
      </c>
      <c r="AA463" s="58" t="str">
        <f t="shared" si="461"/>
        <v>#NAME?</v>
      </c>
      <c r="AB463" s="58" t="str">
        <f t="shared" si="461"/>
        <v>#NAME?</v>
      </c>
      <c r="AC463" s="58" t="str">
        <f t="shared" si="461"/>
        <v>#NAME?</v>
      </c>
      <c r="AD463" s="57">
        <f t="shared" si="4"/>
        <v>1</v>
      </c>
      <c r="AE463" s="57" t="str">
        <f t="shared" si="5"/>
        <v>2026-05</v>
      </c>
      <c r="AF463" s="57">
        <f t="shared" si="6"/>
        <v>1</v>
      </c>
      <c r="AG463" s="59">
        <f t="shared" si="7"/>
        <v>1</v>
      </c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</row>
    <row r="464" ht="24.0" customHeight="1">
      <c r="A464" s="53">
        <v>2.0</v>
      </c>
      <c r="B464" s="54" t="s">
        <v>1783</v>
      </c>
      <c r="C464" s="55" t="s">
        <v>1779</v>
      </c>
      <c r="D464" s="55"/>
      <c r="E464" s="55" t="s">
        <v>1784</v>
      </c>
      <c r="F464" s="55" t="s">
        <v>1785</v>
      </c>
      <c r="G464" s="55">
        <v>35.0</v>
      </c>
      <c r="H464" s="55" t="s">
        <v>85</v>
      </c>
      <c r="I464" s="55" t="s">
        <v>86</v>
      </c>
      <c r="J464" s="56" t="s">
        <v>87</v>
      </c>
      <c r="K464" s="55" t="s">
        <v>1786</v>
      </c>
      <c r="L464" s="55" t="s">
        <v>41</v>
      </c>
      <c r="M464" s="55" t="s">
        <v>89</v>
      </c>
      <c r="N464" s="55" t="s">
        <v>90</v>
      </c>
      <c r="O464" s="55"/>
      <c r="P464" s="55" t="s">
        <v>91</v>
      </c>
      <c r="Q464" s="55"/>
      <c r="R464" s="55" t="s">
        <v>5</v>
      </c>
      <c r="S464" s="55"/>
      <c r="T464" s="55"/>
      <c r="U464" s="55" t="s">
        <v>7</v>
      </c>
      <c r="V464" s="55"/>
      <c r="W464" s="55"/>
      <c r="X464" s="57" t="str">
        <f t="shared" si="2"/>
        <v>--457-04-05</v>
      </c>
      <c r="Y464" s="58" t="str">
        <f t="shared" ref="Y464:AC464" si="462">TRIM(SUBSTITUTE(SUBSTITUTE(OFFSET($Q464,0,COLUMN()-COLUMN($AL$1)),CHAR(160)," "),_xludf.UNICHAR(8239)," "))</f>
        <v>#NAME?</v>
      </c>
      <c r="Z464" s="58" t="str">
        <f t="shared" si="462"/>
        <v>#NAME?</v>
      </c>
      <c r="AA464" s="58" t="str">
        <f t="shared" si="462"/>
        <v>#NAME?</v>
      </c>
      <c r="AB464" s="58" t="str">
        <f t="shared" si="462"/>
        <v>#NAME?</v>
      </c>
      <c r="AC464" s="58" t="str">
        <f t="shared" si="462"/>
        <v>#NAME?</v>
      </c>
      <c r="AD464" s="57">
        <f t="shared" si="4"/>
        <v>1</v>
      </c>
      <c r="AE464" s="57" t="str">
        <f t="shared" si="5"/>
        <v>2026-05</v>
      </c>
      <c r="AF464" s="57">
        <f t="shared" si="6"/>
        <v>1</v>
      </c>
      <c r="AG464" s="59">
        <f t="shared" si="7"/>
        <v>1</v>
      </c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</row>
    <row r="465" ht="24.0" customHeight="1">
      <c r="A465" s="53">
        <v>3.0</v>
      </c>
      <c r="B465" s="54" t="s">
        <v>1787</v>
      </c>
      <c r="C465" s="55" t="s">
        <v>1779</v>
      </c>
      <c r="D465" s="55"/>
      <c r="E465" s="55" t="s">
        <v>1788</v>
      </c>
      <c r="F465" s="55" t="s">
        <v>1789</v>
      </c>
      <c r="G465" s="55">
        <v>16.0</v>
      </c>
      <c r="H465" s="55" t="s">
        <v>111</v>
      </c>
      <c r="I465" s="55" t="s">
        <v>86</v>
      </c>
      <c r="J465" s="56" t="s">
        <v>87</v>
      </c>
      <c r="K465" s="55" t="s">
        <v>1790</v>
      </c>
      <c r="L465" s="55" t="s">
        <v>34</v>
      </c>
      <c r="M465" s="55" t="s">
        <v>89</v>
      </c>
      <c r="N465" s="55" t="s">
        <v>90</v>
      </c>
      <c r="O465" s="55"/>
      <c r="P465" s="55" t="s">
        <v>91</v>
      </c>
      <c r="Q465" s="55"/>
      <c r="R465" s="55" t="s">
        <v>5</v>
      </c>
      <c r="S465" s="55"/>
      <c r="T465" s="55"/>
      <c r="U465" s="55" t="s">
        <v>7</v>
      </c>
      <c r="V465" s="55"/>
      <c r="W465" s="55"/>
      <c r="X465" s="57" t="str">
        <f t="shared" si="2"/>
        <v>--458-04-05</v>
      </c>
      <c r="Y465" s="58" t="str">
        <f t="shared" ref="Y465:AC465" si="463">TRIM(SUBSTITUTE(SUBSTITUTE(OFFSET($Q465,0,COLUMN()-COLUMN($AL$1)),CHAR(160)," "),_xludf.UNICHAR(8239)," "))</f>
        <v>#NAME?</v>
      </c>
      <c r="Z465" s="58" t="str">
        <f t="shared" si="463"/>
        <v>#NAME?</v>
      </c>
      <c r="AA465" s="58" t="str">
        <f t="shared" si="463"/>
        <v>#NAME?</v>
      </c>
      <c r="AB465" s="58" t="str">
        <f t="shared" si="463"/>
        <v>#NAME?</v>
      </c>
      <c r="AC465" s="58" t="str">
        <f t="shared" si="463"/>
        <v>#NAME?</v>
      </c>
      <c r="AD465" s="57">
        <f t="shared" si="4"/>
        <v>1</v>
      </c>
      <c r="AE465" s="57" t="str">
        <f t="shared" si="5"/>
        <v>2026-05</v>
      </c>
      <c r="AF465" s="57">
        <f t="shared" si="6"/>
        <v>1</v>
      </c>
      <c r="AG465" s="59">
        <f t="shared" si="7"/>
        <v>1</v>
      </c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</row>
    <row r="466" ht="24.0" customHeight="1">
      <c r="A466" s="53">
        <v>4.0</v>
      </c>
      <c r="B466" s="54" t="s">
        <v>1791</v>
      </c>
      <c r="C466" s="55" t="s">
        <v>1779</v>
      </c>
      <c r="D466" s="55"/>
      <c r="E466" s="55" t="s">
        <v>1792</v>
      </c>
      <c r="F466" s="55" t="s">
        <v>1793</v>
      </c>
      <c r="G466" s="55">
        <v>32.0</v>
      </c>
      <c r="H466" s="55" t="s">
        <v>85</v>
      </c>
      <c r="I466" s="55" t="s">
        <v>86</v>
      </c>
      <c r="J466" s="56" t="s">
        <v>87</v>
      </c>
      <c r="K466" s="55" t="s">
        <v>1794</v>
      </c>
      <c r="L466" s="55" t="s">
        <v>34</v>
      </c>
      <c r="M466" s="55" t="s">
        <v>89</v>
      </c>
      <c r="N466" s="55" t="s">
        <v>90</v>
      </c>
      <c r="O466" s="55"/>
      <c r="P466" s="55" t="s">
        <v>91</v>
      </c>
      <c r="Q466" s="55"/>
      <c r="R466" s="55" t="s">
        <v>5</v>
      </c>
      <c r="S466" s="55"/>
      <c r="T466" s="55"/>
      <c r="U466" s="55" t="s">
        <v>7</v>
      </c>
      <c r="V466" s="55"/>
      <c r="W466" s="55"/>
      <c r="X466" s="57" t="str">
        <f t="shared" si="2"/>
        <v>--459-04-05</v>
      </c>
      <c r="Y466" s="58" t="str">
        <f t="shared" ref="Y466:AC466" si="464">TRIM(SUBSTITUTE(SUBSTITUTE(OFFSET($Q466,0,COLUMN()-COLUMN($AL$1)),CHAR(160)," "),_xludf.UNICHAR(8239)," "))</f>
        <v>#NAME?</v>
      </c>
      <c r="Z466" s="58" t="str">
        <f t="shared" si="464"/>
        <v>#NAME?</v>
      </c>
      <c r="AA466" s="58" t="str">
        <f t="shared" si="464"/>
        <v>#NAME?</v>
      </c>
      <c r="AB466" s="58" t="str">
        <f t="shared" si="464"/>
        <v>#NAME?</v>
      </c>
      <c r="AC466" s="58" t="str">
        <f t="shared" si="464"/>
        <v>#NAME?</v>
      </c>
      <c r="AD466" s="57">
        <f t="shared" si="4"/>
        <v>1</v>
      </c>
      <c r="AE466" s="57" t="str">
        <f t="shared" si="5"/>
        <v>2026-05</v>
      </c>
      <c r="AF466" s="57">
        <f t="shared" si="6"/>
        <v>1</v>
      </c>
      <c r="AG466" s="59">
        <f t="shared" si="7"/>
        <v>1</v>
      </c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</row>
    <row r="467" ht="24.0" customHeight="1">
      <c r="A467" s="53">
        <v>5.0</v>
      </c>
      <c r="B467" s="54" t="s">
        <v>1795</v>
      </c>
      <c r="C467" s="55" t="s">
        <v>1779</v>
      </c>
      <c r="D467" s="55"/>
      <c r="E467" s="55" t="s">
        <v>1796</v>
      </c>
      <c r="F467" s="55" t="s">
        <v>1797</v>
      </c>
      <c r="G467" s="55">
        <v>17.0</v>
      </c>
      <c r="H467" s="55" t="s">
        <v>111</v>
      </c>
      <c r="I467" s="55" t="s">
        <v>86</v>
      </c>
      <c r="J467" s="56" t="s">
        <v>87</v>
      </c>
      <c r="K467" s="55">
        <v>5.99280116E8</v>
      </c>
      <c r="L467" s="55" t="s">
        <v>34</v>
      </c>
      <c r="M467" s="55" t="s">
        <v>133</v>
      </c>
      <c r="N467" s="55" t="s">
        <v>90</v>
      </c>
      <c r="O467" s="55"/>
      <c r="P467" s="55" t="s">
        <v>91</v>
      </c>
      <c r="Q467" s="55"/>
      <c r="R467" s="55" t="s">
        <v>36</v>
      </c>
      <c r="S467" s="55"/>
      <c r="T467" s="55"/>
      <c r="U467" s="55"/>
      <c r="V467" s="55"/>
      <c r="W467" s="55"/>
      <c r="X467" s="57" t="str">
        <f t="shared" si="2"/>
        <v>--460-04-05</v>
      </c>
      <c r="Y467" s="58" t="str">
        <f t="shared" ref="Y467:AC467" si="465">TRIM(SUBSTITUTE(SUBSTITUTE(OFFSET($Q467,0,COLUMN()-COLUMN($AL$1)),CHAR(160)," "),_xludf.UNICHAR(8239)," "))</f>
        <v>#NAME?</v>
      </c>
      <c r="Z467" s="58" t="str">
        <f t="shared" si="465"/>
        <v>#NAME?</v>
      </c>
      <c r="AA467" s="58" t="str">
        <f t="shared" si="465"/>
        <v>#NAME?</v>
      </c>
      <c r="AB467" s="58" t="str">
        <f t="shared" si="465"/>
        <v>#NAME?</v>
      </c>
      <c r="AC467" s="58" t="str">
        <f t="shared" si="465"/>
        <v>#NAME?</v>
      </c>
      <c r="AD467" s="57">
        <f t="shared" si="4"/>
        <v>1</v>
      </c>
      <c r="AE467" s="57" t="str">
        <f t="shared" si="5"/>
        <v>2026-05</v>
      </c>
      <c r="AF467" s="57">
        <f t="shared" si="6"/>
        <v>1</v>
      </c>
      <c r="AG467" s="59">
        <f t="shared" si="7"/>
        <v>1</v>
      </c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</row>
    <row r="468" ht="24.0" customHeight="1">
      <c r="A468" s="53">
        <v>6.0</v>
      </c>
      <c r="B468" s="54" t="s">
        <v>1798</v>
      </c>
      <c r="C468" s="55" t="s">
        <v>1779</v>
      </c>
      <c r="D468" s="55"/>
      <c r="E468" s="55" t="s">
        <v>1799</v>
      </c>
      <c r="F468" s="55" t="s">
        <v>1800</v>
      </c>
      <c r="G468" s="55">
        <v>19.0</v>
      </c>
      <c r="H468" s="55" t="s">
        <v>85</v>
      </c>
      <c r="I468" s="55" t="s">
        <v>86</v>
      </c>
      <c r="J468" s="56" t="s">
        <v>87</v>
      </c>
      <c r="K468" s="55" t="s">
        <v>1801</v>
      </c>
      <c r="L468" s="55" t="s">
        <v>12</v>
      </c>
      <c r="M468" s="55" t="s">
        <v>89</v>
      </c>
      <c r="N468" s="55" t="s">
        <v>90</v>
      </c>
      <c r="O468" s="55"/>
      <c r="P468" s="55" t="s">
        <v>91</v>
      </c>
      <c r="Q468" s="55"/>
      <c r="R468" s="55" t="s">
        <v>5</v>
      </c>
      <c r="S468" s="55"/>
      <c r="T468" s="55"/>
      <c r="U468" s="55" t="s">
        <v>7</v>
      </c>
      <c r="V468" s="55"/>
      <c r="W468" s="55"/>
      <c r="X468" s="57" t="str">
        <f t="shared" si="2"/>
        <v>--461-04-05</v>
      </c>
      <c r="Y468" s="58" t="str">
        <f t="shared" ref="Y468:AC468" si="466">TRIM(SUBSTITUTE(SUBSTITUTE(OFFSET($Q468,0,COLUMN()-COLUMN($AL$1)),CHAR(160)," "),_xludf.UNICHAR(8239)," "))</f>
        <v>#NAME?</v>
      </c>
      <c r="Z468" s="58" t="str">
        <f t="shared" si="466"/>
        <v>#NAME?</v>
      </c>
      <c r="AA468" s="58" t="str">
        <f t="shared" si="466"/>
        <v>#NAME?</v>
      </c>
      <c r="AB468" s="58" t="str">
        <f t="shared" si="466"/>
        <v>#NAME?</v>
      </c>
      <c r="AC468" s="58" t="str">
        <f t="shared" si="466"/>
        <v>#NAME?</v>
      </c>
      <c r="AD468" s="57">
        <f t="shared" si="4"/>
        <v>1</v>
      </c>
      <c r="AE468" s="57" t="str">
        <f t="shared" si="5"/>
        <v>2026-05</v>
      </c>
      <c r="AF468" s="57">
        <f t="shared" si="6"/>
        <v>1</v>
      </c>
      <c r="AG468" s="59">
        <f t="shared" si="7"/>
        <v>1</v>
      </c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</row>
    <row r="469" ht="24.0" customHeight="1">
      <c r="A469" s="53">
        <v>7.0</v>
      </c>
      <c r="B469" s="54" t="s">
        <v>1802</v>
      </c>
      <c r="C469" s="55" t="s">
        <v>1779</v>
      </c>
      <c r="D469" s="55"/>
      <c r="E469" s="55" t="s">
        <v>1803</v>
      </c>
      <c r="F469" s="55" t="s">
        <v>1804</v>
      </c>
      <c r="G469" s="55">
        <v>36.0</v>
      </c>
      <c r="H469" s="55" t="s">
        <v>85</v>
      </c>
      <c r="I469" s="55" t="s">
        <v>86</v>
      </c>
      <c r="J469" s="56" t="s">
        <v>87</v>
      </c>
      <c r="K469" s="55" t="s">
        <v>1805</v>
      </c>
      <c r="L469" s="55" t="s">
        <v>34</v>
      </c>
      <c r="M469" s="55" t="s">
        <v>89</v>
      </c>
      <c r="N469" s="55" t="s">
        <v>90</v>
      </c>
      <c r="O469" s="55"/>
      <c r="P469" s="55" t="s">
        <v>91</v>
      </c>
      <c r="Q469" s="55"/>
      <c r="R469" s="55" t="s">
        <v>36</v>
      </c>
      <c r="S469" s="55"/>
      <c r="T469" s="55"/>
      <c r="U469" s="55"/>
      <c r="V469" s="55"/>
      <c r="W469" s="55"/>
      <c r="X469" s="57" t="str">
        <f t="shared" si="2"/>
        <v>--462-04-05</v>
      </c>
      <c r="Y469" s="58" t="str">
        <f t="shared" ref="Y469:AC469" si="467">TRIM(SUBSTITUTE(SUBSTITUTE(OFFSET($Q469,0,COLUMN()-COLUMN($AL$1)),CHAR(160)," "),_xludf.UNICHAR(8239)," "))</f>
        <v>#NAME?</v>
      </c>
      <c r="Z469" s="58" t="str">
        <f t="shared" si="467"/>
        <v>#NAME?</v>
      </c>
      <c r="AA469" s="58" t="str">
        <f t="shared" si="467"/>
        <v>#NAME?</v>
      </c>
      <c r="AB469" s="58" t="str">
        <f t="shared" si="467"/>
        <v>#NAME?</v>
      </c>
      <c r="AC469" s="58" t="str">
        <f t="shared" si="467"/>
        <v>#NAME?</v>
      </c>
      <c r="AD469" s="57">
        <f t="shared" si="4"/>
        <v>1</v>
      </c>
      <c r="AE469" s="57" t="str">
        <f t="shared" si="5"/>
        <v>2026-05</v>
      </c>
      <c r="AF469" s="57">
        <f t="shared" si="6"/>
        <v>1</v>
      </c>
      <c r="AG469" s="59">
        <f t="shared" si="7"/>
        <v>1</v>
      </c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</row>
    <row r="470" ht="24.0" customHeight="1">
      <c r="A470" s="53">
        <v>8.0</v>
      </c>
      <c r="B470" s="54" t="s">
        <v>1806</v>
      </c>
      <c r="C470" s="55" t="s">
        <v>1779</v>
      </c>
      <c r="D470" s="55"/>
      <c r="E470" s="55" t="s">
        <v>1807</v>
      </c>
      <c r="F470" s="55" t="s">
        <v>1808</v>
      </c>
      <c r="G470" s="55">
        <v>31.0</v>
      </c>
      <c r="H470" s="55" t="s">
        <v>85</v>
      </c>
      <c r="I470" s="55" t="s">
        <v>86</v>
      </c>
      <c r="J470" s="56" t="s">
        <v>87</v>
      </c>
      <c r="K470" s="55" t="s">
        <v>1809</v>
      </c>
      <c r="L470" s="55" t="s">
        <v>34</v>
      </c>
      <c r="M470" s="55" t="s">
        <v>89</v>
      </c>
      <c r="N470" s="55" t="s">
        <v>90</v>
      </c>
      <c r="O470" s="55"/>
      <c r="P470" s="55" t="s">
        <v>91</v>
      </c>
      <c r="Q470" s="55"/>
      <c r="R470" s="55" t="s">
        <v>27</v>
      </c>
      <c r="S470" s="55"/>
      <c r="T470" s="55"/>
      <c r="U470" s="55"/>
      <c r="V470" s="55"/>
      <c r="W470" s="55"/>
      <c r="X470" s="57" t="str">
        <f t="shared" si="2"/>
        <v>--463-04-05</v>
      </c>
      <c r="Y470" s="58" t="str">
        <f t="shared" ref="Y470:AC470" si="468">TRIM(SUBSTITUTE(SUBSTITUTE(OFFSET($Q470,0,COLUMN()-COLUMN($AL$1)),CHAR(160)," "),_xludf.UNICHAR(8239)," "))</f>
        <v>#NAME?</v>
      </c>
      <c r="Z470" s="58" t="str">
        <f t="shared" si="468"/>
        <v>#NAME?</v>
      </c>
      <c r="AA470" s="58" t="str">
        <f t="shared" si="468"/>
        <v>#NAME?</v>
      </c>
      <c r="AB470" s="58" t="str">
        <f t="shared" si="468"/>
        <v>#NAME?</v>
      </c>
      <c r="AC470" s="58" t="str">
        <f t="shared" si="468"/>
        <v>#NAME?</v>
      </c>
      <c r="AD470" s="57">
        <f t="shared" si="4"/>
        <v>1</v>
      </c>
      <c r="AE470" s="57" t="str">
        <f t="shared" si="5"/>
        <v>2026-05</v>
      </c>
      <c r="AF470" s="57">
        <f t="shared" si="6"/>
        <v>1</v>
      </c>
      <c r="AG470" s="59">
        <f t="shared" si="7"/>
        <v>1</v>
      </c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</row>
    <row r="471" ht="24.0" customHeight="1">
      <c r="A471" s="53">
        <v>9.0</v>
      </c>
      <c r="B471" s="54" t="s">
        <v>1810</v>
      </c>
      <c r="C471" s="55" t="s">
        <v>1779</v>
      </c>
      <c r="D471" s="55"/>
      <c r="E471" s="55" t="s">
        <v>1811</v>
      </c>
      <c r="F471" s="55" t="s">
        <v>1812</v>
      </c>
      <c r="G471" s="55">
        <v>30.0</v>
      </c>
      <c r="H471" s="55" t="s">
        <v>85</v>
      </c>
      <c r="I471" s="55" t="s">
        <v>86</v>
      </c>
      <c r="J471" s="56" t="s">
        <v>87</v>
      </c>
      <c r="K471" s="55" t="s">
        <v>1813</v>
      </c>
      <c r="L471" s="55" t="s">
        <v>34</v>
      </c>
      <c r="M471" s="55" t="s">
        <v>89</v>
      </c>
      <c r="N471" s="55" t="s">
        <v>90</v>
      </c>
      <c r="O471" s="55"/>
      <c r="P471" s="55" t="s">
        <v>91</v>
      </c>
      <c r="Q471" s="55"/>
      <c r="R471" s="55" t="s">
        <v>5</v>
      </c>
      <c r="S471" s="55"/>
      <c r="T471" s="55"/>
      <c r="U471" s="55" t="s">
        <v>7</v>
      </c>
      <c r="V471" s="55"/>
      <c r="W471" s="55"/>
      <c r="X471" s="57" t="str">
        <f t="shared" si="2"/>
        <v>--464-04-05</v>
      </c>
      <c r="Y471" s="58" t="str">
        <f t="shared" ref="Y471:AC471" si="469">TRIM(SUBSTITUTE(SUBSTITUTE(OFFSET($Q471,0,COLUMN()-COLUMN($AL$1)),CHAR(160)," "),_xludf.UNICHAR(8239)," "))</f>
        <v>#NAME?</v>
      </c>
      <c r="Z471" s="58" t="str">
        <f t="shared" si="469"/>
        <v>#NAME?</v>
      </c>
      <c r="AA471" s="58" t="str">
        <f t="shared" si="469"/>
        <v>#NAME?</v>
      </c>
      <c r="AB471" s="58" t="str">
        <f t="shared" si="469"/>
        <v>#NAME?</v>
      </c>
      <c r="AC471" s="58" t="str">
        <f t="shared" si="469"/>
        <v>#NAME?</v>
      </c>
      <c r="AD471" s="57">
        <f t="shared" si="4"/>
        <v>1</v>
      </c>
      <c r="AE471" s="57" t="str">
        <f t="shared" si="5"/>
        <v>2026-05</v>
      </c>
      <c r="AF471" s="57">
        <f t="shared" si="6"/>
        <v>1</v>
      </c>
      <c r="AG471" s="59">
        <f t="shared" si="7"/>
        <v>1</v>
      </c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</row>
    <row r="472" ht="24.0" customHeight="1">
      <c r="A472" s="53">
        <v>10.0</v>
      </c>
      <c r="B472" s="54" t="s">
        <v>1814</v>
      </c>
      <c r="C472" s="55" t="s">
        <v>1779</v>
      </c>
      <c r="D472" s="55"/>
      <c r="E472" s="55" t="s">
        <v>1815</v>
      </c>
      <c r="F472" s="55" t="s">
        <v>1363</v>
      </c>
      <c r="G472" s="55">
        <v>40.0</v>
      </c>
      <c r="H472" s="55" t="s">
        <v>85</v>
      </c>
      <c r="I472" s="55" t="s">
        <v>86</v>
      </c>
      <c r="J472" s="56" t="s">
        <v>87</v>
      </c>
      <c r="K472" s="55" t="s">
        <v>1816</v>
      </c>
      <c r="L472" s="55" t="s">
        <v>44</v>
      </c>
      <c r="M472" s="55" t="s">
        <v>89</v>
      </c>
      <c r="N472" s="55" t="s">
        <v>90</v>
      </c>
      <c r="O472" s="55"/>
      <c r="P472" s="55" t="s">
        <v>91</v>
      </c>
      <c r="Q472" s="55"/>
      <c r="R472" s="55" t="s">
        <v>27</v>
      </c>
      <c r="S472" s="55"/>
      <c r="T472" s="55"/>
      <c r="U472" s="55"/>
      <c r="V472" s="55"/>
      <c r="W472" s="55"/>
      <c r="X472" s="57" t="str">
        <f t="shared" si="2"/>
        <v>--465-04-05</v>
      </c>
      <c r="Y472" s="58" t="str">
        <f t="shared" ref="Y472:AC472" si="470">TRIM(SUBSTITUTE(SUBSTITUTE(OFFSET($Q472,0,COLUMN()-COLUMN($AL$1)),CHAR(160)," "),_xludf.UNICHAR(8239)," "))</f>
        <v>#NAME?</v>
      </c>
      <c r="Z472" s="58" t="str">
        <f t="shared" si="470"/>
        <v>#NAME?</v>
      </c>
      <c r="AA472" s="58" t="str">
        <f t="shared" si="470"/>
        <v>#NAME?</v>
      </c>
      <c r="AB472" s="58" t="str">
        <f t="shared" si="470"/>
        <v>#NAME?</v>
      </c>
      <c r="AC472" s="58" t="str">
        <f t="shared" si="470"/>
        <v>#NAME?</v>
      </c>
      <c r="AD472" s="57">
        <f t="shared" si="4"/>
        <v>1</v>
      </c>
      <c r="AE472" s="57" t="str">
        <f t="shared" si="5"/>
        <v>2026-05</v>
      </c>
      <c r="AF472" s="57">
        <f t="shared" si="6"/>
        <v>1</v>
      </c>
      <c r="AG472" s="59">
        <f t="shared" si="7"/>
        <v>1</v>
      </c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</row>
    <row r="473" ht="24.0" customHeight="1">
      <c r="A473" s="53">
        <v>11.0</v>
      </c>
      <c r="B473" s="54" t="s">
        <v>165</v>
      </c>
      <c r="C473" s="55" t="s">
        <v>1779</v>
      </c>
      <c r="D473" s="60">
        <v>46138.0</v>
      </c>
      <c r="E473" s="55" t="s">
        <v>166</v>
      </c>
      <c r="F473" s="55" t="s">
        <v>1817</v>
      </c>
      <c r="G473" s="55">
        <v>42.0</v>
      </c>
      <c r="H473" s="55" t="s">
        <v>85</v>
      </c>
      <c r="I473" s="55" t="s">
        <v>86</v>
      </c>
      <c r="J473" s="56" t="s">
        <v>87</v>
      </c>
      <c r="K473" s="55" t="s">
        <v>168</v>
      </c>
      <c r="L473" s="55" t="s">
        <v>34</v>
      </c>
      <c r="M473" s="55" t="s">
        <v>89</v>
      </c>
      <c r="N473" s="55" t="s">
        <v>90</v>
      </c>
      <c r="O473" s="55"/>
      <c r="P473" s="55" t="s">
        <v>91</v>
      </c>
      <c r="Q473" s="55"/>
      <c r="R473" s="55" t="s">
        <v>36</v>
      </c>
      <c r="S473" s="55"/>
      <c r="T473" s="55"/>
      <c r="U473" s="55"/>
      <c r="V473" s="55"/>
      <c r="W473" s="55"/>
      <c r="X473" s="57" t="str">
        <f t="shared" si="2"/>
        <v>--466-04-05</v>
      </c>
      <c r="Y473" s="58" t="str">
        <f t="shared" ref="Y473:AC473" si="471">TRIM(SUBSTITUTE(SUBSTITUTE(OFFSET($Q473,0,COLUMN()-COLUMN($AL$1)),CHAR(160)," "),_xludf.UNICHAR(8239)," "))</f>
        <v>#NAME?</v>
      </c>
      <c r="Z473" s="58" t="str">
        <f t="shared" si="471"/>
        <v>#NAME?</v>
      </c>
      <c r="AA473" s="58" t="str">
        <f t="shared" si="471"/>
        <v>#NAME?</v>
      </c>
      <c r="AB473" s="58" t="str">
        <f t="shared" si="471"/>
        <v>#NAME?</v>
      </c>
      <c r="AC473" s="58" t="str">
        <f t="shared" si="471"/>
        <v>#NAME?</v>
      </c>
      <c r="AD473" s="57">
        <f t="shared" si="4"/>
        <v>1</v>
      </c>
      <c r="AE473" s="57" t="str">
        <f t="shared" si="5"/>
        <v>2026-05</v>
      </c>
      <c r="AF473" s="57">
        <f t="shared" si="6"/>
        <v>1</v>
      </c>
      <c r="AG473" s="59">
        <f t="shared" si="7"/>
        <v>0</v>
      </c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</row>
    <row r="474" ht="24.0" customHeight="1">
      <c r="A474" s="53">
        <v>12.0</v>
      </c>
      <c r="B474" s="54" t="s">
        <v>1039</v>
      </c>
      <c r="C474" s="55" t="s">
        <v>1779</v>
      </c>
      <c r="D474" s="60">
        <v>46141.0</v>
      </c>
      <c r="E474" s="55" t="s">
        <v>1040</v>
      </c>
      <c r="F474" s="55" t="s">
        <v>1818</v>
      </c>
      <c r="G474" s="55">
        <v>32.0</v>
      </c>
      <c r="H474" s="55" t="s">
        <v>85</v>
      </c>
      <c r="I474" s="55" t="s">
        <v>86</v>
      </c>
      <c r="J474" s="56" t="s">
        <v>87</v>
      </c>
      <c r="K474" s="55" t="s">
        <v>179</v>
      </c>
      <c r="L474" s="55" t="s">
        <v>34</v>
      </c>
      <c r="M474" s="55" t="s">
        <v>89</v>
      </c>
      <c r="N474" s="55" t="s">
        <v>90</v>
      </c>
      <c r="O474" s="55"/>
      <c r="P474" s="55" t="s">
        <v>91</v>
      </c>
      <c r="Q474" s="55"/>
      <c r="R474" s="55" t="s">
        <v>5</v>
      </c>
      <c r="S474" s="55"/>
      <c r="T474" s="55"/>
      <c r="U474" s="55" t="s">
        <v>7</v>
      </c>
      <c r="V474" s="55"/>
      <c r="W474" s="55"/>
      <c r="X474" s="57" t="str">
        <f t="shared" si="2"/>
        <v>--467-04-05</v>
      </c>
      <c r="Y474" s="58" t="str">
        <f t="shared" ref="Y474:AC474" si="472">TRIM(SUBSTITUTE(SUBSTITUTE(OFFSET($Q474,0,COLUMN()-COLUMN($AL$1)),CHAR(160)," "),_xludf.UNICHAR(8239)," "))</f>
        <v>#NAME?</v>
      </c>
      <c r="Z474" s="58" t="str">
        <f t="shared" si="472"/>
        <v>#NAME?</v>
      </c>
      <c r="AA474" s="58" t="str">
        <f t="shared" si="472"/>
        <v>#NAME?</v>
      </c>
      <c r="AB474" s="58" t="str">
        <f t="shared" si="472"/>
        <v>#NAME?</v>
      </c>
      <c r="AC474" s="58" t="str">
        <f t="shared" si="472"/>
        <v>#NAME?</v>
      </c>
      <c r="AD474" s="57">
        <f t="shared" si="4"/>
        <v>1</v>
      </c>
      <c r="AE474" s="57" t="str">
        <f t="shared" si="5"/>
        <v>2026-05</v>
      </c>
      <c r="AF474" s="57">
        <f t="shared" si="6"/>
        <v>1</v>
      </c>
      <c r="AG474" s="59">
        <f t="shared" si="7"/>
        <v>0</v>
      </c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</row>
    <row r="475" ht="24.0" customHeight="1">
      <c r="A475" s="53">
        <v>13.0</v>
      </c>
      <c r="B475" s="54" t="s">
        <v>1819</v>
      </c>
      <c r="C475" s="55" t="s">
        <v>1779</v>
      </c>
      <c r="D475" s="55"/>
      <c r="E475" s="55" t="s">
        <v>1820</v>
      </c>
      <c r="F475" s="55" t="s">
        <v>1821</v>
      </c>
      <c r="G475" s="55">
        <v>37.0</v>
      </c>
      <c r="H475" s="55" t="s">
        <v>85</v>
      </c>
      <c r="I475" s="55" t="s">
        <v>86</v>
      </c>
      <c r="J475" s="56" t="s">
        <v>87</v>
      </c>
      <c r="K475" s="55" t="s">
        <v>1822</v>
      </c>
      <c r="L475" s="55" t="s">
        <v>34</v>
      </c>
      <c r="M475" s="55" t="s">
        <v>89</v>
      </c>
      <c r="N475" s="55" t="s">
        <v>90</v>
      </c>
      <c r="O475" s="55"/>
      <c r="P475" s="55" t="s">
        <v>91</v>
      </c>
      <c r="Q475" s="55"/>
      <c r="R475" s="55" t="s">
        <v>36</v>
      </c>
      <c r="S475" s="55"/>
      <c r="T475" s="55"/>
      <c r="U475" s="55"/>
      <c r="V475" s="55"/>
      <c r="W475" s="55"/>
      <c r="X475" s="57" t="str">
        <f t="shared" si="2"/>
        <v>--468-04-05</v>
      </c>
      <c r="Y475" s="58" t="str">
        <f t="shared" ref="Y475:AC475" si="473">TRIM(SUBSTITUTE(SUBSTITUTE(OFFSET($Q475,0,COLUMN()-COLUMN($AL$1)),CHAR(160)," "),_xludf.UNICHAR(8239)," "))</f>
        <v>#NAME?</v>
      </c>
      <c r="Z475" s="58" t="str">
        <f t="shared" si="473"/>
        <v>#NAME?</v>
      </c>
      <c r="AA475" s="58" t="str">
        <f t="shared" si="473"/>
        <v>#NAME?</v>
      </c>
      <c r="AB475" s="58" t="str">
        <f t="shared" si="473"/>
        <v>#NAME?</v>
      </c>
      <c r="AC475" s="58" t="str">
        <f t="shared" si="473"/>
        <v>#NAME?</v>
      </c>
      <c r="AD475" s="57">
        <f t="shared" si="4"/>
        <v>1</v>
      </c>
      <c r="AE475" s="57" t="str">
        <f t="shared" si="5"/>
        <v>2026-05</v>
      </c>
      <c r="AF475" s="57">
        <f t="shared" si="6"/>
        <v>1</v>
      </c>
      <c r="AG475" s="59">
        <f t="shared" si="7"/>
        <v>1</v>
      </c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</row>
    <row r="476" ht="24.0" customHeight="1">
      <c r="A476" s="53">
        <v>14.0</v>
      </c>
      <c r="B476" s="54" t="s">
        <v>1823</v>
      </c>
      <c r="C476" s="55" t="s">
        <v>1779</v>
      </c>
      <c r="D476" s="55"/>
      <c r="E476" s="55" t="s">
        <v>1824</v>
      </c>
      <c r="F476" s="55" t="s">
        <v>1825</v>
      </c>
      <c r="G476" s="55">
        <v>28.0</v>
      </c>
      <c r="H476" s="55" t="s">
        <v>85</v>
      </c>
      <c r="I476" s="55" t="s">
        <v>86</v>
      </c>
      <c r="J476" s="56" t="s">
        <v>87</v>
      </c>
      <c r="K476" s="55" t="s">
        <v>1826</v>
      </c>
      <c r="L476" s="55" t="s">
        <v>34</v>
      </c>
      <c r="M476" s="55" t="s">
        <v>89</v>
      </c>
      <c r="N476" s="55" t="s">
        <v>90</v>
      </c>
      <c r="O476" s="55"/>
      <c r="P476" s="55" t="s">
        <v>91</v>
      </c>
      <c r="Q476" s="55"/>
      <c r="R476" s="55" t="s">
        <v>27</v>
      </c>
      <c r="S476" s="55"/>
      <c r="T476" s="55"/>
      <c r="U476" s="55"/>
      <c r="V476" s="55"/>
      <c r="W476" s="55"/>
      <c r="X476" s="57" t="str">
        <f t="shared" si="2"/>
        <v>--469-04-05</v>
      </c>
      <c r="Y476" s="58" t="str">
        <f t="shared" ref="Y476:AC476" si="474">TRIM(SUBSTITUTE(SUBSTITUTE(OFFSET($Q476,0,COLUMN()-COLUMN($AL$1)),CHAR(160)," "),_xludf.UNICHAR(8239)," "))</f>
        <v>#NAME?</v>
      </c>
      <c r="Z476" s="58" t="str">
        <f t="shared" si="474"/>
        <v>#NAME?</v>
      </c>
      <c r="AA476" s="58" t="str">
        <f t="shared" si="474"/>
        <v>#NAME?</v>
      </c>
      <c r="AB476" s="58" t="str">
        <f t="shared" si="474"/>
        <v>#NAME?</v>
      </c>
      <c r="AC476" s="58" t="str">
        <f t="shared" si="474"/>
        <v>#NAME?</v>
      </c>
      <c r="AD476" s="57">
        <f t="shared" si="4"/>
        <v>1</v>
      </c>
      <c r="AE476" s="57" t="str">
        <f t="shared" si="5"/>
        <v>2026-05</v>
      </c>
      <c r="AF476" s="57">
        <f t="shared" si="6"/>
        <v>1</v>
      </c>
      <c r="AG476" s="59">
        <f t="shared" si="7"/>
        <v>1</v>
      </c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</row>
    <row r="477" ht="24.0" customHeight="1">
      <c r="A477" s="53">
        <v>15.0</v>
      </c>
      <c r="B477" s="54" t="s">
        <v>1827</v>
      </c>
      <c r="C477" s="55" t="s">
        <v>1779</v>
      </c>
      <c r="D477" s="55"/>
      <c r="E477" s="55" t="s">
        <v>1828</v>
      </c>
      <c r="F477" s="55" t="s">
        <v>1666</v>
      </c>
      <c r="G477" s="55">
        <v>34.0</v>
      </c>
      <c r="H477" s="55" t="s">
        <v>85</v>
      </c>
      <c r="I477" s="55" t="s">
        <v>86</v>
      </c>
      <c r="J477" s="56" t="s">
        <v>87</v>
      </c>
      <c r="K477" s="55" t="s">
        <v>1829</v>
      </c>
      <c r="L477" s="55" t="s">
        <v>34</v>
      </c>
      <c r="M477" s="55" t="s">
        <v>89</v>
      </c>
      <c r="N477" s="55" t="s">
        <v>90</v>
      </c>
      <c r="O477" s="55"/>
      <c r="P477" s="55" t="s">
        <v>91</v>
      </c>
      <c r="Q477" s="55"/>
      <c r="R477" s="55" t="s">
        <v>36</v>
      </c>
      <c r="S477" s="55"/>
      <c r="T477" s="55"/>
      <c r="U477" s="55"/>
      <c r="V477" s="55"/>
      <c r="W477" s="55"/>
      <c r="X477" s="57" t="str">
        <f t="shared" si="2"/>
        <v>--470-04-05</v>
      </c>
      <c r="Y477" s="58" t="str">
        <f t="shared" ref="Y477:AC477" si="475">TRIM(SUBSTITUTE(SUBSTITUTE(OFFSET($Q477,0,COLUMN()-COLUMN($AL$1)),CHAR(160)," "),_xludf.UNICHAR(8239)," "))</f>
        <v>#NAME?</v>
      </c>
      <c r="Z477" s="58" t="str">
        <f t="shared" si="475"/>
        <v>#NAME?</v>
      </c>
      <c r="AA477" s="58" t="str">
        <f t="shared" si="475"/>
        <v>#NAME?</v>
      </c>
      <c r="AB477" s="58" t="str">
        <f t="shared" si="475"/>
        <v>#NAME?</v>
      </c>
      <c r="AC477" s="58" t="str">
        <f t="shared" si="475"/>
        <v>#NAME?</v>
      </c>
      <c r="AD477" s="57">
        <f t="shared" si="4"/>
        <v>1</v>
      </c>
      <c r="AE477" s="57" t="str">
        <f t="shared" si="5"/>
        <v>2026-05</v>
      </c>
      <c r="AF477" s="57">
        <f t="shared" si="6"/>
        <v>1</v>
      </c>
      <c r="AG477" s="59">
        <f t="shared" si="7"/>
        <v>1</v>
      </c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</row>
    <row r="478" ht="24.0" customHeight="1">
      <c r="A478" s="53">
        <v>16.0</v>
      </c>
      <c r="B478" s="54" t="s">
        <v>1830</v>
      </c>
      <c r="C478" s="55" t="s">
        <v>1779</v>
      </c>
      <c r="D478" s="55"/>
      <c r="E478" s="55" t="s">
        <v>1831</v>
      </c>
      <c r="F478" s="55" t="s">
        <v>1832</v>
      </c>
      <c r="G478" s="55">
        <v>21.0</v>
      </c>
      <c r="H478" s="55" t="s">
        <v>85</v>
      </c>
      <c r="I478" s="55" t="s">
        <v>86</v>
      </c>
      <c r="J478" s="56" t="s">
        <v>87</v>
      </c>
      <c r="K478" s="55" t="s">
        <v>1833</v>
      </c>
      <c r="L478" s="55" t="s">
        <v>34</v>
      </c>
      <c r="M478" s="55" t="s">
        <v>89</v>
      </c>
      <c r="N478" s="55" t="s">
        <v>90</v>
      </c>
      <c r="O478" s="55"/>
      <c r="P478" s="55" t="s">
        <v>91</v>
      </c>
      <c r="Q478" s="55"/>
      <c r="R478" s="55" t="s">
        <v>36</v>
      </c>
      <c r="S478" s="55"/>
      <c r="T478" s="55"/>
      <c r="U478" s="55"/>
      <c r="V478" s="55"/>
      <c r="W478" s="55"/>
      <c r="X478" s="57" t="str">
        <f t="shared" si="2"/>
        <v>--471-04-05</v>
      </c>
      <c r="Y478" s="58" t="str">
        <f t="shared" ref="Y478:AC478" si="476">TRIM(SUBSTITUTE(SUBSTITUTE(OFFSET($Q478,0,COLUMN()-COLUMN($AL$1)),CHAR(160)," "),_xludf.UNICHAR(8239)," "))</f>
        <v>#NAME?</v>
      </c>
      <c r="Z478" s="58" t="str">
        <f t="shared" si="476"/>
        <v>#NAME?</v>
      </c>
      <c r="AA478" s="58" t="str">
        <f t="shared" si="476"/>
        <v>#NAME?</v>
      </c>
      <c r="AB478" s="58" t="str">
        <f t="shared" si="476"/>
        <v>#NAME?</v>
      </c>
      <c r="AC478" s="58" t="str">
        <f t="shared" si="476"/>
        <v>#NAME?</v>
      </c>
      <c r="AD478" s="57">
        <f t="shared" si="4"/>
        <v>1</v>
      </c>
      <c r="AE478" s="57" t="str">
        <f t="shared" si="5"/>
        <v>2026-05</v>
      </c>
      <c r="AF478" s="57">
        <f t="shared" si="6"/>
        <v>1</v>
      </c>
      <c r="AG478" s="59">
        <f t="shared" si="7"/>
        <v>1</v>
      </c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</row>
    <row r="479" ht="24.0" customHeight="1">
      <c r="A479" s="53">
        <v>17.0</v>
      </c>
      <c r="B479" s="54" t="s">
        <v>1834</v>
      </c>
      <c r="C479" s="55" t="s">
        <v>1779</v>
      </c>
      <c r="D479" s="55"/>
      <c r="E479" s="55" t="s">
        <v>1835</v>
      </c>
      <c r="F479" s="55" t="s">
        <v>1836</v>
      </c>
      <c r="G479" s="55">
        <v>23.0</v>
      </c>
      <c r="H479" s="55" t="s">
        <v>85</v>
      </c>
      <c r="I479" s="55" t="s">
        <v>86</v>
      </c>
      <c r="J479" s="56" t="s">
        <v>87</v>
      </c>
      <c r="K479" s="55" t="s">
        <v>1837</v>
      </c>
      <c r="L479" s="55" t="s">
        <v>34</v>
      </c>
      <c r="M479" s="55" t="s">
        <v>89</v>
      </c>
      <c r="N479" s="55" t="s">
        <v>90</v>
      </c>
      <c r="O479" s="55"/>
      <c r="P479" s="55" t="s">
        <v>91</v>
      </c>
      <c r="Q479" s="55"/>
      <c r="R479" s="55" t="s">
        <v>5</v>
      </c>
      <c r="S479" s="55"/>
      <c r="T479" s="55"/>
      <c r="U479" s="55" t="s">
        <v>7</v>
      </c>
      <c r="V479" s="55"/>
      <c r="W479" s="55"/>
      <c r="X479" s="57" t="str">
        <f t="shared" si="2"/>
        <v>--472-04-05</v>
      </c>
      <c r="Y479" s="58" t="str">
        <f t="shared" ref="Y479:AC479" si="477">TRIM(SUBSTITUTE(SUBSTITUTE(OFFSET($Q479,0,COLUMN()-COLUMN($AL$1)),CHAR(160)," "),_xludf.UNICHAR(8239)," "))</f>
        <v>#NAME?</v>
      </c>
      <c r="Z479" s="58" t="str">
        <f t="shared" si="477"/>
        <v>#NAME?</v>
      </c>
      <c r="AA479" s="58" t="str">
        <f t="shared" si="477"/>
        <v>#NAME?</v>
      </c>
      <c r="AB479" s="58" t="str">
        <f t="shared" si="477"/>
        <v>#NAME?</v>
      </c>
      <c r="AC479" s="58" t="str">
        <f t="shared" si="477"/>
        <v>#NAME?</v>
      </c>
      <c r="AD479" s="57">
        <f t="shared" si="4"/>
        <v>1</v>
      </c>
      <c r="AE479" s="57" t="str">
        <f t="shared" si="5"/>
        <v>2026-05</v>
      </c>
      <c r="AF479" s="57">
        <f t="shared" si="6"/>
        <v>1</v>
      </c>
      <c r="AG479" s="59">
        <f t="shared" si="7"/>
        <v>1</v>
      </c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</row>
    <row r="480" ht="24.0" customHeight="1">
      <c r="A480" s="53">
        <v>18.0</v>
      </c>
      <c r="B480" s="54" t="s">
        <v>1838</v>
      </c>
      <c r="C480" s="55" t="s">
        <v>1779</v>
      </c>
      <c r="D480" s="55"/>
      <c r="E480" s="55" t="s">
        <v>1839</v>
      </c>
      <c r="F480" s="55" t="s">
        <v>1840</v>
      </c>
      <c r="G480" s="55">
        <v>19.0</v>
      </c>
      <c r="H480" s="55" t="s">
        <v>85</v>
      </c>
      <c r="I480" s="55" t="s">
        <v>86</v>
      </c>
      <c r="J480" s="56" t="s">
        <v>87</v>
      </c>
      <c r="K480" s="55" t="s">
        <v>1841</v>
      </c>
      <c r="L480" s="55" t="s">
        <v>34</v>
      </c>
      <c r="M480" s="55" t="s">
        <v>89</v>
      </c>
      <c r="N480" s="55" t="s">
        <v>90</v>
      </c>
      <c r="O480" s="55"/>
      <c r="P480" s="55" t="s">
        <v>91</v>
      </c>
      <c r="Q480" s="55"/>
      <c r="R480" s="55" t="s">
        <v>5</v>
      </c>
      <c r="S480" s="55"/>
      <c r="T480" s="55"/>
      <c r="U480" s="55" t="s">
        <v>7</v>
      </c>
      <c r="V480" s="55"/>
      <c r="W480" s="55"/>
      <c r="X480" s="57" t="str">
        <f t="shared" si="2"/>
        <v>--473-04-05</v>
      </c>
      <c r="Y480" s="58" t="str">
        <f t="shared" ref="Y480:AC480" si="478">TRIM(SUBSTITUTE(SUBSTITUTE(OFFSET($Q480,0,COLUMN()-COLUMN($AL$1)),CHAR(160)," "),_xludf.UNICHAR(8239)," "))</f>
        <v>#NAME?</v>
      </c>
      <c r="Z480" s="58" t="str">
        <f t="shared" si="478"/>
        <v>#NAME?</v>
      </c>
      <c r="AA480" s="58" t="str">
        <f t="shared" si="478"/>
        <v>#NAME?</v>
      </c>
      <c r="AB480" s="58" t="str">
        <f t="shared" si="478"/>
        <v>#NAME?</v>
      </c>
      <c r="AC480" s="58" t="str">
        <f t="shared" si="478"/>
        <v>#NAME?</v>
      </c>
      <c r="AD480" s="57">
        <f t="shared" si="4"/>
        <v>1</v>
      </c>
      <c r="AE480" s="57" t="str">
        <f t="shared" si="5"/>
        <v>2026-05</v>
      </c>
      <c r="AF480" s="57">
        <f t="shared" si="6"/>
        <v>1</v>
      </c>
      <c r="AG480" s="59">
        <f t="shared" si="7"/>
        <v>1</v>
      </c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</row>
    <row r="481" ht="24.0" customHeight="1">
      <c r="A481" s="53">
        <v>19.0</v>
      </c>
      <c r="B481" s="54" t="s">
        <v>515</v>
      </c>
      <c r="C481" s="55" t="s">
        <v>1779</v>
      </c>
      <c r="D481" s="60">
        <v>46139.0</v>
      </c>
      <c r="E481" s="55" t="s">
        <v>516</v>
      </c>
      <c r="F481" s="55" t="s">
        <v>1842</v>
      </c>
      <c r="G481" s="55">
        <v>19.0</v>
      </c>
      <c r="H481" s="55" t="s">
        <v>85</v>
      </c>
      <c r="I481" s="55" t="s">
        <v>86</v>
      </c>
      <c r="J481" s="56" t="s">
        <v>87</v>
      </c>
      <c r="K481" s="55" t="s">
        <v>518</v>
      </c>
      <c r="L481" s="55" t="s">
        <v>34</v>
      </c>
      <c r="M481" s="55" t="s">
        <v>89</v>
      </c>
      <c r="N481" s="55" t="s">
        <v>90</v>
      </c>
      <c r="O481" s="55"/>
      <c r="P481" s="55" t="s">
        <v>91</v>
      </c>
      <c r="Q481" s="55"/>
      <c r="R481" s="55" t="s">
        <v>5</v>
      </c>
      <c r="S481" s="55"/>
      <c r="T481" s="55"/>
      <c r="U481" s="55" t="s">
        <v>7</v>
      </c>
      <c r="V481" s="55"/>
      <c r="W481" s="55"/>
      <c r="X481" s="57" t="str">
        <f t="shared" si="2"/>
        <v>--474-04-05</v>
      </c>
      <c r="Y481" s="58" t="str">
        <f t="shared" ref="Y481:AC481" si="479">TRIM(SUBSTITUTE(SUBSTITUTE(OFFSET($Q481,0,COLUMN()-COLUMN($AL$1)),CHAR(160)," "),_xludf.UNICHAR(8239)," "))</f>
        <v>#NAME?</v>
      </c>
      <c r="Z481" s="58" t="str">
        <f t="shared" si="479"/>
        <v>#NAME?</v>
      </c>
      <c r="AA481" s="58" t="str">
        <f t="shared" si="479"/>
        <v>#NAME?</v>
      </c>
      <c r="AB481" s="58" t="str">
        <f t="shared" si="479"/>
        <v>#NAME?</v>
      </c>
      <c r="AC481" s="58" t="str">
        <f t="shared" si="479"/>
        <v>#NAME?</v>
      </c>
      <c r="AD481" s="57">
        <f t="shared" si="4"/>
        <v>1</v>
      </c>
      <c r="AE481" s="57" t="str">
        <f t="shared" si="5"/>
        <v>2026-05</v>
      </c>
      <c r="AF481" s="57">
        <f t="shared" si="6"/>
        <v>1</v>
      </c>
      <c r="AG481" s="59">
        <f t="shared" si="7"/>
        <v>0</v>
      </c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</row>
    <row r="482" ht="24.0" customHeight="1">
      <c r="A482" s="53">
        <v>20.0</v>
      </c>
      <c r="B482" s="54" t="s">
        <v>1843</v>
      </c>
      <c r="C482" s="55" t="s">
        <v>1779</v>
      </c>
      <c r="D482" s="55"/>
      <c r="E482" s="55" t="s">
        <v>1844</v>
      </c>
      <c r="F482" s="55" t="s">
        <v>1845</v>
      </c>
      <c r="G482" s="55">
        <v>29.0</v>
      </c>
      <c r="H482" s="55" t="s">
        <v>85</v>
      </c>
      <c r="I482" s="55" t="s">
        <v>86</v>
      </c>
      <c r="J482" s="56" t="s">
        <v>87</v>
      </c>
      <c r="K482" s="55" t="s">
        <v>1846</v>
      </c>
      <c r="L482" s="55" t="s">
        <v>41</v>
      </c>
      <c r="M482" s="55" t="s">
        <v>89</v>
      </c>
      <c r="N482" s="55" t="s">
        <v>90</v>
      </c>
      <c r="O482" s="55"/>
      <c r="P482" s="55" t="s">
        <v>91</v>
      </c>
      <c r="Q482" s="55"/>
      <c r="R482" s="55" t="s">
        <v>5</v>
      </c>
      <c r="S482" s="55"/>
      <c r="T482" s="55"/>
      <c r="U482" s="55" t="s">
        <v>7</v>
      </c>
      <c r="V482" s="55"/>
      <c r="W482" s="55"/>
      <c r="X482" s="57" t="str">
        <f t="shared" si="2"/>
        <v>--475-04-05</v>
      </c>
      <c r="Y482" s="58" t="str">
        <f t="shared" ref="Y482:AC482" si="480">TRIM(SUBSTITUTE(SUBSTITUTE(OFFSET($Q482,0,COLUMN()-COLUMN($AL$1)),CHAR(160)," "),_xludf.UNICHAR(8239)," "))</f>
        <v>#NAME?</v>
      </c>
      <c r="Z482" s="58" t="str">
        <f t="shared" si="480"/>
        <v>#NAME?</v>
      </c>
      <c r="AA482" s="58" t="str">
        <f t="shared" si="480"/>
        <v>#NAME?</v>
      </c>
      <c r="AB482" s="58" t="str">
        <f t="shared" si="480"/>
        <v>#NAME?</v>
      </c>
      <c r="AC482" s="58" t="str">
        <f t="shared" si="480"/>
        <v>#NAME?</v>
      </c>
      <c r="AD482" s="57">
        <f t="shared" si="4"/>
        <v>1</v>
      </c>
      <c r="AE482" s="57" t="str">
        <f t="shared" si="5"/>
        <v>2026-05</v>
      </c>
      <c r="AF482" s="57">
        <f t="shared" si="6"/>
        <v>1</v>
      </c>
      <c r="AG482" s="59">
        <f t="shared" si="7"/>
        <v>1</v>
      </c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</row>
    <row r="483" ht="24.0" customHeight="1">
      <c r="A483" s="53">
        <v>21.0</v>
      </c>
      <c r="B483" s="54" t="s">
        <v>1847</v>
      </c>
      <c r="C483" s="55" t="s">
        <v>1779</v>
      </c>
      <c r="D483" s="55"/>
      <c r="E483" s="55" t="s">
        <v>1848</v>
      </c>
      <c r="F483" s="55" t="s">
        <v>1849</v>
      </c>
      <c r="G483" s="55">
        <v>41.0</v>
      </c>
      <c r="H483" s="55" t="s">
        <v>85</v>
      </c>
      <c r="I483" s="55" t="s">
        <v>86</v>
      </c>
      <c r="J483" s="56" t="s">
        <v>87</v>
      </c>
      <c r="K483" s="55" t="s">
        <v>1850</v>
      </c>
      <c r="L483" s="55" t="s">
        <v>34</v>
      </c>
      <c r="M483" s="55" t="s">
        <v>89</v>
      </c>
      <c r="N483" s="55" t="s">
        <v>90</v>
      </c>
      <c r="O483" s="55"/>
      <c r="P483" s="55" t="s">
        <v>91</v>
      </c>
      <c r="Q483" s="55"/>
      <c r="R483" s="55" t="s">
        <v>36</v>
      </c>
      <c r="S483" s="55"/>
      <c r="T483" s="55"/>
      <c r="U483" s="55"/>
      <c r="V483" s="55"/>
      <c r="W483" s="55"/>
      <c r="X483" s="57" t="str">
        <f t="shared" si="2"/>
        <v>--476-04-05</v>
      </c>
      <c r="Y483" s="58" t="str">
        <f t="shared" ref="Y483:AC483" si="481">TRIM(SUBSTITUTE(SUBSTITUTE(OFFSET($Q483,0,COLUMN()-COLUMN($AL$1)),CHAR(160)," "),_xludf.UNICHAR(8239)," "))</f>
        <v>#NAME?</v>
      </c>
      <c r="Z483" s="58" t="str">
        <f t="shared" si="481"/>
        <v>#NAME?</v>
      </c>
      <c r="AA483" s="58" t="str">
        <f t="shared" si="481"/>
        <v>#NAME?</v>
      </c>
      <c r="AB483" s="58" t="str">
        <f t="shared" si="481"/>
        <v>#NAME?</v>
      </c>
      <c r="AC483" s="58" t="str">
        <f t="shared" si="481"/>
        <v>#NAME?</v>
      </c>
      <c r="AD483" s="57">
        <f t="shared" si="4"/>
        <v>1</v>
      </c>
      <c r="AE483" s="57" t="str">
        <f t="shared" si="5"/>
        <v>2026-05</v>
      </c>
      <c r="AF483" s="57">
        <f t="shared" si="6"/>
        <v>1</v>
      </c>
      <c r="AG483" s="59">
        <f t="shared" si="7"/>
        <v>1</v>
      </c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</row>
    <row r="484" ht="24.0" customHeight="1">
      <c r="A484" s="53">
        <v>22.0</v>
      </c>
      <c r="B484" s="54" t="s">
        <v>1851</v>
      </c>
      <c r="C484" s="55" t="s">
        <v>1779</v>
      </c>
      <c r="D484" s="55"/>
      <c r="E484" s="55" t="s">
        <v>1852</v>
      </c>
      <c r="F484" s="55" t="s">
        <v>1853</v>
      </c>
      <c r="G484" s="55">
        <v>27.0</v>
      </c>
      <c r="H484" s="55" t="s">
        <v>85</v>
      </c>
      <c r="I484" s="55" t="s">
        <v>86</v>
      </c>
      <c r="J484" s="56" t="s">
        <v>87</v>
      </c>
      <c r="K484" s="55" t="s">
        <v>1854</v>
      </c>
      <c r="L484" s="55" t="s">
        <v>34</v>
      </c>
      <c r="M484" s="55" t="s">
        <v>89</v>
      </c>
      <c r="N484" s="55" t="s">
        <v>90</v>
      </c>
      <c r="O484" s="55"/>
      <c r="P484" s="55" t="s">
        <v>91</v>
      </c>
      <c r="Q484" s="55"/>
      <c r="R484" s="55" t="s">
        <v>5</v>
      </c>
      <c r="S484" s="55"/>
      <c r="T484" s="55"/>
      <c r="U484" s="55" t="s">
        <v>7</v>
      </c>
      <c r="V484" s="55"/>
      <c r="W484" s="55"/>
      <c r="X484" s="57" t="str">
        <f t="shared" si="2"/>
        <v>--477-04-05</v>
      </c>
      <c r="Y484" s="58" t="str">
        <f t="shared" ref="Y484:AC484" si="482">TRIM(SUBSTITUTE(SUBSTITUTE(OFFSET($Q484,0,COLUMN()-COLUMN($AL$1)),CHAR(160)," "),_xludf.UNICHAR(8239)," "))</f>
        <v>#NAME?</v>
      </c>
      <c r="Z484" s="58" t="str">
        <f t="shared" si="482"/>
        <v>#NAME?</v>
      </c>
      <c r="AA484" s="58" t="str">
        <f t="shared" si="482"/>
        <v>#NAME?</v>
      </c>
      <c r="AB484" s="58" t="str">
        <f t="shared" si="482"/>
        <v>#NAME?</v>
      </c>
      <c r="AC484" s="58" t="str">
        <f t="shared" si="482"/>
        <v>#NAME?</v>
      </c>
      <c r="AD484" s="57">
        <f t="shared" si="4"/>
        <v>1</v>
      </c>
      <c r="AE484" s="57" t="str">
        <f t="shared" si="5"/>
        <v>2026-05</v>
      </c>
      <c r="AF484" s="57">
        <f t="shared" si="6"/>
        <v>1</v>
      </c>
      <c r="AG484" s="59">
        <f t="shared" si="7"/>
        <v>1</v>
      </c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</row>
    <row r="485" ht="24.0" customHeight="1">
      <c r="A485" s="53">
        <v>23.0</v>
      </c>
      <c r="B485" s="54" t="s">
        <v>1855</v>
      </c>
      <c r="C485" s="55" t="s">
        <v>1779</v>
      </c>
      <c r="D485" s="55"/>
      <c r="E485" s="55" t="s">
        <v>1856</v>
      </c>
      <c r="F485" s="55" t="s">
        <v>1857</v>
      </c>
      <c r="G485" s="55">
        <v>24.0</v>
      </c>
      <c r="H485" s="55" t="s">
        <v>85</v>
      </c>
      <c r="I485" s="55" t="s">
        <v>86</v>
      </c>
      <c r="J485" s="56" t="s">
        <v>87</v>
      </c>
      <c r="K485" s="55" t="s">
        <v>1858</v>
      </c>
      <c r="L485" s="55" t="s">
        <v>34</v>
      </c>
      <c r="M485" s="55" t="s">
        <v>89</v>
      </c>
      <c r="N485" s="55" t="s">
        <v>90</v>
      </c>
      <c r="O485" s="55"/>
      <c r="P485" s="55" t="s">
        <v>91</v>
      </c>
      <c r="Q485" s="55"/>
      <c r="R485" s="55" t="s">
        <v>27</v>
      </c>
      <c r="S485" s="55"/>
      <c r="T485" s="55"/>
      <c r="U485" s="55"/>
      <c r="V485" s="55"/>
      <c r="W485" s="55"/>
      <c r="X485" s="57" t="str">
        <f t="shared" si="2"/>
        <v>--478-04-05</v>
      </c>
      <c r="Y485" s="58" t="str">
        <f t="shared" ref="Y485:AC485" si="483">TRIM(SUBSTITUTE(SUBSTITUTE(OFFSET($Q485,0,COLUMN()-COLUMN($AL$1)),CHAR(160)," "),_xludf.UNICHAR(8239)," "))</f>
        <v>#NAME?</v>
      </c>
      <c r="Z485" s="58" t="str">
        <f t="shared" si="483"/>
        <v>#NAME?</v>
      </c>
      <c r="AA485" s="58" t="str">
        <f t="shared" si="483"/>
        <v>#NAME?</v>
      </c>
      <c r="AB485" s="58" t="str">
        <f t="shared" si="483"/>
        <v>#NAME?</v>
      </c>
      <c r="AC485" s="58" t="str">
        <f t="shared" si="483"/>
        <v>#NAME?</v>
      </c>
      <c r="AD485" s="57">
        <f t="shared" si="4"/>
        <v>1</v>
      </c>
      <c r="AE485" s="57" t="str">
        <f t="shared" si="5"/>
        <v>2026-05</v>
      </c>
      <c r="AF485" s="57">
        <f t="shared" si="6"/>
        <v>1</v>
      </c>
      <c r="AG485" s="59">
        <f t="shared" si="7"/>
        <v>1</v>
      </c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</row>
    <row r="486" ht="24.0" customHeight="1">
      <c r="A486" s="53">
        <v>24.0</v>
      </c>
      <c r="B486" s="54" t="s">
        <v>1859</v>
      </c>
      <c r="C486" s="55" t="s">
        <v>1779</v>
      </c>
      <c r="D486" s="55"/>
      <c r="E486" s="55" t="s">
        <v>1860</v>
      </c>
      <c r="F486" s="55" t="s">
        <v>1861</v>
      </c>
      <c r="G486" s="55">
        <v>25.0</v>
      </c>
      <c r="H486" s="55" t="s">
        <v>85</v>
      </c>
      <c r="I486" s="55" t="s">
        <v>86</v>
      </c>
      <c r="J486" s="56" t="s">
        <v>87</v>
      </c>
      <c r="K486" s="55" t="s">
        <v>1862</v>
      </c>
      <c r="L486" s="55" t="s">
        <v>34</v>
      </c>
      <c r="M486" s="55" t="s">
        <v>89</v>
      </c>
      <c r="N486" s="55" t="s">
        <v>90</v>
      </c>
      <c r="O486" s="55"/>
      <c r="P486" s="55" t="s">
        <v>91</v>
      </c>
      <c r="Q486" s="55"/>
      <c r="R486" s="55" t="s">
        <v>5</v>
      </c>
      <c r="S486" s="55"/>
      <c r="T486" s="55"/>
      <c r="U486" s="55" t="s">
        <v>7</v>
      </c>
      <c r="V486" s="55"/>
      <c r="W486" s="55"/>
      <c r="X486" s="57" t="str">
        <f t="shared" si="2"/>
        <v>--479-04-05</v>
      </c>
      <c r="Y486" s="58" t="str">
        <f t="shared" ref="Y486:AC486" si="484">TRIM(SUBSTITUTE(SUBSTITUTE(OFFSET($Q486,0,COLUMN()-COLUMN($AL$1)),CHAR(160)," "),_xludf.UNICHAR(8239)," "))</f>
        <v>#NAME?</v>
      </c>
      <c r="Z486" s="58" t="str">
        <f t="shared" si="484"/>
        <v>#NAME?</v>
      </c>
      <c r="AA486" s="58" t="str">
        <f t="shared" si="484"/>
        <v>#NAME?</v>
      </c>
      <c r="AB486" s="58" t="str">
        <f t="shared" si="484"/>
        <v>#NAME?</v>
      </c>
      <c r="AC486" s="58" t="str">
        <f t="shared" si="484"/>
        <v>#NAME?</v>
      </c>
      <c r="AD486" s="57">
        <f t="shared" si="4"/>
        <v>1</v>
      </c>
      <c r="AE486" s="57" t="str">
        <f t="shared" si="5"/>
        <v>2026-05</v>
      </c>
      <c r="AF486" s="57">
        <f t="shared" si="6"/>
        <v>1</v>
      </c>
      <c r="AG486" s="59">
        <f t="shared" si="7"/>
        <v>1</v>
      </c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</row>
    <row r="487" ht="24.0" customHeight="1">
      <c r="A487" s="53">
        <v>25.0</v>
      </c>
      <c r="B487" s="54" t="s">
        <v>781</v>
      </c>
      <c r="C487" s="55" t="s">
        <v>1779</v>
      </c>
      <c r="D487" s="60">
        <v>46140.0</v>
      </c>
      <c r="E487" s="55" t="s">
        <v>782</v>
      </c>
      <c r="F487" s="55" t="s">
        <v>1863</v>
      </c>
      <c r="G487" s="55">
        <v>18.0</v>
      </c>
      <c r="H487" s="55" t="s">
        <v>111</v>
      </c>
      <c r="I487" s="55" t="s">
        <v>112</v>
      </c>
      <c r="J487" s="56" t="s">
        <v>113</v>
      </c>
      <c r="K487" s="55" t="s">
        <v>784</v>
      </c>
      <c r="L487" s="55" t="s">
        <v>34</v>
      </c>
      <c r="M487" s="55" t="s">
        <v>133</v>
      </c>
      <c r="N487" s="55" t="s">
        <v>90</v>
      </c>
      <c r="O487" s="55"/>
      <c r="P487" s="55" t="s">
        <v>91</v>
      </c>
      <c r="Q487" s="55" t="s">
        <v>4</v>
      </c>
      <c r="R487" s="55"/>
      <c r="S487" s="55" t="s">
        <v>6</v>
      </c>
      <c r="T487" s="55"/>
      <c r="U487" s="55"/>
      <c r="V487" s="55"/>
      <c r="W487" s="55"/>
      <c r="X487" s="57" t="str">
        <f t="shared" si="2"/>
        <v>--480-04-05</v>
      </c>
      <c r="Y487" s="58" t="str">
        <f t="shared" ref="Y487:AC487" si="485">TRIM(SUBSTITUTE(SUBSTITUTE(OFFSET($Q487,0,COLUMN()-COLUMN($AL$1)),CHAR(160)," "),_xludf.UNICHAR(8239)," "))</f>
        <v>#NAME?</v>
      </c>
      <c r="Z487" s="58" t="str">
        <f t="shared" si="485"/>
        <v>#NAME?</v>
      </c>
      <c r="AA487" s="58" t="str">
        <f t="shared" si="485"/>
        <v>#NAME?</v>
      </c>
      <c r="AB487" s="58" t="str">
        <f t="shared" si="485"/>
        <v>#NAME?</v>
      </c>
      <c r="AC487" s="58" t="str">
        <f t="shared" si="485"/>
        <v>#NAME?</v>
      </c>
      <c r="AD487" s="57">
        <f t="shared" si="4"/>
        <v>1</v>
      </c>
      <c r="AE487" s="57" t="str">
        <f t="shared" si="5"/>
        <v>2026-05</v>
      </c>
      <c r="AF487" s="57">
        <f t="shared" si="6"/>
        <v>1</v>
      </c>
      <c r="AG487" s="59">
        <f t="shared" si="7"/>
        <v>0</v>
      </c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</row>
    <row r="488" ht="24.0" customHeight="1">
      <c r="A488" s="53">
        <v>26.0</v>
      </c>
      <c r="B488" s="54" t="s">
        <v>1864</v>
      </c>
      <c r="C488" s="55" t="s">
        <v>1779</v>
      </c>
      <c r="D488" s="55"/>
      <c r="E488" s="55" t="s">
        <v>1865</v>
      </c>
      <c r="F488" s="55" t="s">
        <v>1866</v>
      </c>
      <c r="G488" s="55">
        <v>60.0</v>
      </c>
      <c r="H488" s="55" t="s">
        <v>85</v>
      </c>
      <c r="I488" s="55" t="s">
        <v>86</v>
      </c>
      <c r="J488" s="56" t="s">
        <v>87</v>
      </c>
      <c r="K488" s="55" t="s">
        <v>1442</v>
      </c>
      <c r="L488" s="55" t="s">
        <v>34</v>
      </c>
      <c r="M488" s="55" t="s">
        <v>89</v>
      </c>
      <c r="N488" s="55" t="s">
        <v>90</v>
      </c>
      <c r="O488" s="55"/>
      <c r="P488" s="55" t="s">
        <v>91</v>
      </c>
      <c r="Q488" s="55" t="s">
        <v>4</v>
      </c>
      <c r="R488" s="55"/>
      <c r="S488" s="55"/>
      <c r="T488" s="55"/>
      <c r="U488" s="55"/>
      <c r="V488" s="55"/>
      <c r="W488" s="55"/>
      <c r="X488" s="57" t="str">
        <f t="shared" si="2"/>
        <v>--481-04-05</v>
      </c>
      <c r="Y488" s="58" t="str">
        <f t="shared" ref="Y488:AC488" si="486">TRIM(SUBSTITUTE(SUBSTITUTE(OFFSET($Q488,0,COLUMN()-COLUMN($AL$1)),CHAR(160)," "),_xludf.UNICHAR(8239)," "))</f>
        <v>#NAME?</v>
      </c>
      <c r="Z488" s="58" t="str">
        <f t="shared" si="486"/>
        <v>#NAME?</v>
      </c>
      <c r="AA488" s="58" t="str">
        <f t="shared" si="486"/>
        <v>#NAME?</v>
      </c>
      <c r="AB488" s="58" t="str">
        <f t="shared" si="486"/>
        <v>#NAME?</v>
      </c>
      <c r="AC488" s="58" t="str">
        <f t="shared" si="486"/>
        <v>#NAME?</v>
      </c>
      <c r="AD488" s="57">
        <f t="shared" si="4"/>
        <v>1</v>
      </c>
      <c r="AE488" s="57" t="str">
        <f t="shared" si="5"/>
        <v>2026-05</v>
      </c>
      <c r="AF488" s="57">
        <f t="shared" si="6"/>
        <v>1</v>
      </c>
      <c r="AG488" s="59">
        <f t="shared" si="7"/>
        <v>1</v>
      </c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</row>
    <row r="489" ht="24.0" customHeight="1">
      <c r="A489" s="53">
        <v>27.0</v>
      </c>
      <c r="B489" s="54" t="s">
        <v>1707</v>
      </c>
      <c r="C489" s="55" t="s">
        <v>1779</v>
      </c>
      <c r="D489" s="60">
        <v>46145.0</v>
      </c>
      <c r="E489" s="55" t="s">
        <v>1708</v>
      </c>
      <c r="F489" s="55" t="s">
        <v>1709</v>
      </c>
      <c r="G489" s="55">
        <v>40.0</v>
      </c>
      <c r="H489" s="55" t="s">
        <v>85</v>
      </c>
      <c r="I489" s="55" t="s">
        <v>86</v>
      </c>
      <c r="J489" s="56" t="s">
        <v>87</v>
      </c>
      <c r="K489" s="55" t="s">
        <v>1710</v>
      </c>
      <c r="L489" s="55" t="s">
        <v>34</v>
      </c>
      <c r="M489" s="55" t="s">
        <v>89</v>
      </c>
      <c r="N489" s="55" t="s">
        <v>90</v>
      </c>
      <c r="O489" s="55"/>
      <c r="P489" s="55" t="s">
        <v>91</v>
      </c>
      <c r="Q489" s="55"/>
      <c r="R489" s="55" t="s">
        <v>36</v>
      </c>
      <c r="S489" s="55"/>
      <c r="T489" s="55"/>
      <c r="U489" s="55"/>
      <c r="V489" s="55"/>
      <c r="W489" s="55"/>
      <c r="X489" s="57" t="str">
        <f t="shared" si="2"/>
        <v>--482-04-05</v>
      </c>
      <c r="Y489" s="58" t="str">
        <f t="shared" ref="Y489:AC489" si="487">TRIM(SUBSTITUTE(SUBSTITUTE(OFFSET($Q489,0,COLUMN()-COLUMN($AL$1)),CHAR(160)," "),_xludf.UNICHAR(8239)," "))</f>
        <v>#NAME?</v>
      </c>
      <c r="Z489" s="58" t="str">
        <f t="shared" si="487"/>
        <v>#NAME?</v>
      </c>
      <c r="AA489" s="58" t="str">
        <f t="shared" si="487"/>
        <v>#NAME?</v>
      </c>
      <c r="AB489" s="58" t="str">
        <f t="shared" si="487"/>
        <v>#NAME?</v>
      </c>
      <c r="AC489" s="58" t="str">
        <f t="shared" si="487"/>
        <v>#NAME?</v>
      </c>
      <c r="AD489" s="57">
        <f t="shared" si="4"/>
        <v>1</v>
      </c>
      <c r="AE489" s="57" t="str">
        <f t="shared" si="5"/>
        <v>2026-05</v>
      </c>
      <c r="AF489" s="57">
        <f t="shared" si="6"/>
        <v>0</v>
      </c>
      <c r="AG489" s="59">
        <f t="shared" si="7"/>
        <v>0</v>
      </c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</row>
    <row r="490" ht="24.0" customHeight="1">
      <c r="A490" s="53">
        <v>28.0</v>
      </c>
      <c r="B490" s="54" t="s">
        <v>1867</v>
      </c>
      <c r="C490" s="55" t="s">
        <v>1779</v>
      </c>
      <c r="D490" s="55"/>
      <c r="E490" s="55" t="s">
        <v>1868</v>
      </c>
      <c r="F490" s="55" t="s">
        <v>1869</v>
      </c>
      <c r="G490" s="55">
        <v>21.0</v>
      </c>
      <c r="H490" s="55" t="s">
        <v>85</v>
      </c>
      <c r="I490" s="55" t="s">
        <v>86</v>
      </c>
      <c r="J490" s="56" t="s">
        <v>87</v>
      </c>
      <c r="K490" s="55" t="s">
        <v>1870</v>
      </c>
      <c r="L490" s="55" t="s">
        <v>34</v>
      </c>
      <c r="M490" s="55" t="s">
        <v>89</v>
      </c>
      <c r="N490" s="55" t="s">
        <v>90</v>
      </c>
      <c r="O490" s="55"/>
      <c r="P490" s="55" t="s">
        <v>91</v>
      </c>
      <c r="Q490" s="55"/>
      <c r="R490" s="55" t="s">
        <v>5</v>
      </c>
      <c r="S490" s="55"/>
      <c r="T490" s="55"/>
      <c r="U490" s="55" t="s">
        <v>7</v>
      </c>
      <c r="V490" s="55"/>
      <c r="W490" s="55"/>
      <c r="X490" s="57" t="str">
        <f t="shared" si="2"/>
        <v>--483-04-05</v>
      </c>
      <c r="Y490" s="58" t="str">
        <f t="shared" ref="Y490:AC490" si="488">TRIM(SUBSTITUTE(SUBSTITUTE(OFFSET($Q490,0,COLUMN()-COLUMN($AL$1)),CHAR(160)," "),_xludf.UNICHAR(8239)," "))</f>
        <v>#NAME?</v>
      </c>
      <c r="Z490" s="58" t="str">
        <f t="shared" si="488"/>
        <v>#NAME?</v>
      </c>
      <c r="AA490" s="58" t="str">
        <f t="shared" si="488"/>
        <v>#NAME?</v>
      </c>
      <c r="AB490" s="58" t="str">
        <f t="shared" si="488"/>
        <v>#NAME?</v>
      </c>
      <c r="AC490" s="58" t="str">
        <f t="shared" si="488"/>
        <v>#NAME?</v>
      </c>
      <c r="AD490" s="57">
        <f t="shared" si="4"/>
        <v>1</v>
      </c>
      <c r="AE490" s="57" t="str">
        <f t="shared" si="5"/>
        <v>2026-05</v>
      </c>
      <c r="AF490" s="57">
        <f t="shared" si="6"/>
        <v>1</v>
      </c>
      <c r="AG490" s="59">
        <f t="shared" si="7"/>
        <v>1</v>
      </c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</row>
    <row r="491" ht="24.0" customHeight="1">
      <c r="A491" s="53">
        <v>29.0</v>
      </c>
      <c r="B491" s="54" t="s">
        <v>1871</v>
      </c>
      <c r="C491" s="55" t="s">
        <v>1779</v>
      </c>
      <c r="D491" s="55"/>
      <c r="E491" s="55" t="s">
        <v>1872</v>
      </c>
      <c r="F491" s="55" t="s">
        <v>1873</v>
      </c>
      <c r="G491" s="55">
        <v>29.0</v>
      </c>
      <c r="H491" s="55" t="s">
        <v>85</v>
      </c>
      <c r="I491" s="55" t="s">
        <v>86</v>
      </c>
      <c r="J491" s="56" t="s">
        <v>87</v>
      </c>
      <c r="K491" s="55" t="s">
        <v>1874</v>
      </c>
      <c r="L491" s="55" t="s">
        <v>34</v>
      </c>
      <c r="M491" s="55" t="s">
        <v>89</v>
      </c>
      <c r="N491" s="55" t="s">
        <v>90</v>
      </c>
      <c r="O491" s="55"/>
      <c r="P491" s="55" t="s">
        <v>91</v>
      </c>
      <c r="Q491" s="55"/>
      <c r="R491" s="55" t="s">
        <v>27</v>
      </c>
      <c r="S491" s="55"/>
      <c r="T491" s="55"/>
      <c r="U491" s="55"/>
      <c r="V491" s="55"/>
      <c r="W491" s="55"/>
      <c r="X491" s="57" t="str">
        <f t="shared" si="2"/>
        <v>--484-04-05</v>
      </c>
      <c r="Y491" s="58" t="str">
        <f t="shared" ref="Y491:AC491" si="489">TRIM(SUBSTITUTE(SUBSTITUTE(OFFSET($Q491,0,COLUMN()-COLUMN($AL$1)),CHAR(160)," "),_xludf.UNICHAR(8239)," "))</f>
        <v>#NAME?</v>
      </c>
      <c r="Z491" s="58" t="str">
        <f t="shared" si="489"/>
        <v>#NAME?</v>
      </c>
      <c r="AA491" s="58" t="str">
        <f t="shared" si="489"/>
        <v>#NAME?</v>
      </c>
      <c r="AB491" s="58" t="str">
        <f t="shared" si="489"/>
        <v>#NAME?</v>
      </c>
      <c r="AC491" s="58" t="str">
        <f t="shared" si="489"/>
        <v>#NAME?</v>
      </c>
      <c r="AD491" s="57">
        <f t="shared" si="4"/>
        <v>1</v>
      </c>
      <c r="AE491" s="57" t="str">
        <f t="shared" si="5"/>
        <v>2026-05</v>
      </c>
      <c r="AF491" s="57">
        <f t="shared" si="6"/>
        <v>1</v>
      </c>
      <c r="AG491" s="59">
        <f t="shared" si="7"/>
        <v>1</v>
      </c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</row>
    <row r="492" ht="24.0" customHeight="1">
      <c r="A492" s="53">
        <v>30.0</v>
      </c>
      <c r="B492" s="54" t="s">
        <v>1875</v>
      </c>
      <c r="C492" s="55" t="s">
        <v>1779</v>
      </c>
      <c r="D492" s="55"/>
      <c r="E492" s="55" t="s">
        <v>1876</v>
      </c>
      <c r="F492" s="55" t="s">
        <v>1877</v>
      </c>
      <c r="G492" s="55">
        <v>52.0</v>
      </c>
      <c r="H492" s="55" t="s">
        <v>85</v>
      </c>
      <c r="I492" s="55" t="s">
        <v>86</v>
      </c>
      <c r="J492" s="56" t="s">
        <v>87</v>
      </c>
      <c r="K492" s="55" t="s">
        <v>1878</v>
      </c>
      <c r="L492" s="55" t="s">
        <v>34</v>
      </c>
      <c r="M492" s="55" t="s">
        <v>89</v>
      </c>
      <c r="N492" s="55" t="s">
        <v>90</v>
      </c>
      <c r="O492" s="55"/>
      <c r="P492" s="55" t="s">
        <v>91</v>
      </c>
      <c r="Q492" s="55"/>
      <c r="R492" s="55" t="s">
        <v>36</v>
      </c>
      <c r="S492" s="55"/>
      <c r="T492" s="55"/>
      <c r="U492" s="55"/>
      <c r="V492" s="55"/>
      <c r="W492" s="55"/>
      <c r="X492" s="57" t="str">
        <f t="shared" si="2"/>
        <v>--485-04-05</v>
      </c>
      <c r="Y492" s="58" t="str">
        <f t="shared" ref="Y492:AC492" si="490">TRIM(SUBSTITUTE(SUBSTITUTE(OFFSET($Q492,0,COLUMN()-COLUMN($AL$1)),CHAR(160)," "),_xludf.UNICHAR(8239)," "))</f>
        <v>#NAME?</v>
      </c>
      <c r="Z492" s="58" t="str">
        <f t="shared" si="490"/>
        <v>#NAME?</v>
      </c>
      <c r="AA492" s="58" t="str">
        <f t="shared" si="490"/>
        <v>#NAME?</v>
      </c>
      <c r="AB492" s="58" t="str">
        <f t="shared" si="490"/>
        <v>#NAME?</v>
      </c>
      <c r="AC492" s="58" t="str">
        <f t="shared" si="490"/>
        <v>#NAME?</v>
      </c>
      <c r="AD492" s="57">
        <f t="shared" si="4"/>
        <v>1</v>
      </c>
      <c r="AE492" s="57" t="str">
        <f t="shared" si="5"/>
        <v>2026-05</v>
      </c>
      <c r="AF492" s="57">
        <f t="shared" si="6"/>
        <v>1</v>
      </c>
      <c r="AG492" s="59">
        <f t="shared" si="7"/>
        <v>1</v>
      </c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</row>
    <row r="493" ht="24.0" customHeight="1">
      <c r="A493" s="53">
        <v>31.0</v>
      </c>
      <c r="B493" s="54" t="s">
        <v>936</v>
      </c>
      <c r="C493" s="55" t="s">
        <v>1779</v>
      </c>
      <c r="D493" s="60">
        <v>46140.0</v>
      </c>
      <c r="E493" s="55" t="s">
        <v>937</v>
      </c>
      <c r="F493" s="55" t="s">
        <v>938</v>
      </c>
      <c r="G493" s="55">
        <v>37.0</v>
      </c>
      <c r="H493" s="55" t="s">
        <v>85</v>
      </c>
      <c r="I493" s="55" t="s">
        <v>86</v>
      </c>
      <c r="J493" s="56" t="s">
        <v>87</v>
      </c>
      <c r="K493" s="55" t="s">
        <v>939</v>
      </c>
      <c r="L493" s="55" t="s">
        <v>34</v>
      </c>
      <c r="M493" s="55" t="s">
        <v>89</v>
      </c>
      <c r="N493" s="55" t="s">
        <v>90</v>
      </c>
      <c r="O493" s="55"/>
      <c r="P493" s="55" t="s">
        <v>91</v>
      </c>
      <c r="Q493" s="55"/>
      <c r="R493" s="55" t="s">
        <v>36</v>
      </c>
      <c r="S493" s="55"/>
      <c r="T493" s="55"/>
      <c r="U493" s="55"/>
      <c r="V493" s="55"/>
      <c r="W493" s="55"/>
      <c r="X493" s="57" t="str">
        <f t="shared" si="2"/>
        <v>--486-04-05</v>
      </c>
      <c r="Y493" s="58" t="str">
        <f t="shared" ref="Y493:AC493" si="491">TRIM(SUBSTITUTE(SUBSTITUTE(OFFSET($Q493,0,COLUMN()-COLUMN($AL$1)),CHAR(160)," "),_xludf.UNICHAR(8239)," "))</f>
        <v>#NAME?</v>
      </c>
      <c r="Z493" s="58" t="str">
        <f t="shared" si="491"/>
        <v>#NAME?</v>
      </c>
      <c r="AA493" s="58" t="str">
        <f t="shared" si="491"/>
        <v>#NAME?</v>
      </c>
      <c r="AB493" s="58" t="str">
        <f t="shared" si="491"/>
        <v>#NAME?</v>
      </c>
      <c r="AC493" s="58" t="str">
        <f t="shared" si="491"/>
        <v>#NAME?</v>
      </c>
      <c r="AD493" s="57">
        <f t="shared" si="4"/>
        <v>1</v>
      </c>
      <c r="AE493" s="57" t="str">
        <f t="shared" si="5"/>
        <v>2026-05</v>
      </c>
      <c r="AF493" s="57">
        <f t="shared" si="6"/>
        <v>1</v>
      </c>
      <c r="AG493" s="59">
        <f t="shared" si="7"/>
        <v>0</v>
      </c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</row>
    <row r="494" ht="24.0" customHeight="1">
      <c r="A494" s="53">
        <v>32.0</v>
      </c>
      <c r="B494" s="54" t="s">
        <v>1150</v>
      </c>
      <c r="C494" s="55" t="s">
        <v>1779</v>
      </c>
      <c r="D494" s="60">
        <v>46141.0</v>
      </c>
      <c r="E494" s="55" t="s">
        <v>1151</v>
      </c>
      <c r="F494" s="55" t="s">
        <v>1152</v>
      </c>
      <c r="G494" s="55">
        <v>34.0</v>
      </c>
      <c r="H494" s="55" t="s">
        <v>85</v>
      </c>
      <c r="I494" s="55" t="s">
        <v>86</v>
      </c>
      <c r="J494" s="56" t="s">
        <v>87</v>
      </c>
      <c r="K494" s="55" t="s">
        <v>1153</v>
      </c>
      <c r="L494" s="55" t="s">
        <v>34</v>
      </c>
      <c r="M494" s="55" t="s">
        <v>89</v>
      </c>
      <c r="N494" s="55" t="s">
        <v>90</v>
      </c>
      <c r="O494" s="55"/>
      <c r="P494" s="55" t="s">
        <v>91</v>
      </c>
      <c r="Q494" s="55"/>
      <c r="R494" s="55" t="s">
        <v>36</v>
      </c>
      <c r="S494" s="55"/>
      <c r="T494" s="55"/>
      <c r="U494" s="55"/>
      <c r="V494" s="55"/>
      <c r="W494" s="55"/>
      <c r="X494" s="57" t="str">
        <f t="shared" si="2"/>
        <v>--487-04-05</v>
      </c>
      <c r="Y494" s="58" t="str">
        <f t="shared" ref="Y494:AC494" si="492">TRIM(SUBSTITUTE(SUBSTITUTE(OFFSET($Q494,0,COLUMN()-COLUMN($AL$1)),CHAR(160)," "),_xludf.UNICHAR(8239)," "))</f>
        <v>#NAME?</v>
      </c>
      <c r="Z494" s="58" t="str">
        <f t="shared" si="492"/>
        <v>#NAME?</v>
      </c>
      <c r="AA494" s="58" t="str">
        <f t="shared" si="492"/>
        <v>#NAME?</v>
      </c>
      <c r="AB494" s="58" t="str">
        <f t="shared" si="492"/>
        <v>#NAME?</v>
      </c>
      <c r="AC494" s="58" t="str">
        <f t="shared" si="492"/>
        <v>#NAME?</v>
      </c>
      <c r="AD494" s="57">
        <f t="shared" si="4"/>
        <v>1</v>
      </c>
      <c r="AE494" s="57" t="str">
        <f t="shared" si="5"/>
        <v>2026-05</v>
      </c>
      <c r="AF494" s="57">
        <f t="shared" si="6"/>
        <v>1</v>
      </c>
      <c r="AG494" s="59">
        <f t="shared" si="7"/>
        <v>0</v>
      </c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</row>
    <row r="495" ht="24.0" customHeight="1">
      <c r="A495" s="53">
        <v>33.0</v>
      </c>
      <c r="B495" s="54" t="s">
        <v>1879</v>
      </c>
      <c r="C495" s="55" t="s">
        <v>1779</v>
      </c>
      <c r="D495" s="55"/>
      <c r="E495" s="55" t="s">
        <v>1880</v>
      </c>
      <c r="F495" s="55" t="s">
        <v>1881</v>
      </c>
      <c r="G495" s="55">
        <v>27.0</v>
      </c>
      <c r="H495" s="55" t="s">
        <v>85</v>
      </c>
      <c r="I495" s="55" t="s">
        <v>86</v>
      </c>
      <c r="J495" s="56" t="s">
        <v>87</v>
      </c>
      <c r="K495" s="55" t="s">
        <v>1882</v>
      </c>
      <c r="L495" s="55" t="s">
        <v>34</v>
      </c>
      <c r="M495" s="55" t="s">
        <v>89</v>
      </c>
      <c r="N495" s="55" t="s">
        <v>90</v>
      </c>
      <c r="O495" s="55"/>
      <c r="P495" s="55" t="s">
        <v>91</v>
      </c>
      <c r="Q495" s="55"/>
      <c r="R495" s="55" t="s">
        <v>36</v>
      </c>
      <c r="S495" s="55"/>
      <c r="T495" s="55"/>
      <c r="U495" s="55"/>
      <c r="V495" s="55"/>
      <c r="W495" s="55"/>
      <c r="X495" s="57" t="str">
        <f t="shared" si="2"/>
        <v>--488-04-05</v>
      </c>
      <c r="Y495" s="58" t="str">
        <f t="shared" ref="Y495:AC495" si="493">TRIM(SUBSTITUTE(SUBSTITUTE(OFFSET($Q495,0,COLUMN()-COLUMN($AL$1)),CHAR(160)," "),_xludf.UNICHAR(8239)," "))</f>
        <v>#NAME?</v>
      </c>
      <c r="Z495" s="58" t="str">
        <f t="shared" si="493"/>
        <v>#NAME?</v>
      </c>
      <c r="AA495" s="58" t="str">
        <f t="shared" si="493"/>
        <v>#NAME?</v>
      </c>
      <c r="AB495" s="58" t="str">
        <f t="shared" si="493"/>
        <v>#NAME?</v>
      </c>
      <c r="AC495" s="58" t="str">
        <f t="shared" si="493"/>
        <v>#NAME?</v>
      </c>
      <c r="AD495" s="57">
        <f t="shared" si="4"/>
        <v>1</v>
      </c>
      <c r="AE495" s="57" t="str">
        <f t="shared" si="5"/>
        <v>2026-05</v>
      </c>
      <c r="AF495" s="57">
        <f t="shared" si="6"/>
        <v>1</v>
      </c>
      <c r="AG495" s="59">
        <f t="shared" si="7"/>
        <v>1</v>
      </c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</row>
    <row r="496" ht="24.0" customHeight="1">
      <c r="A496" s="61"/>
      <c r="B496" s="62"/>
      <c r="D496" s="63" t="s">
        <v>1883</v>
      </c>
      <c r="E496" s="62"/>
      <c r="F496" s="62"/>
      <c r="G496" s="64" t="str">
        <f>IF(F496="","",DATEDIF(F496,TODAY(),"Y"))</f>
        <v/>
      </c>
      <c r="H496" s="65" t="str">
        <f t="shared" ref="H496:H517" si="495">IF(G496="","",IF(G496&lt;=5,"0-5",IF(G496&lt;=18,"6-18",IF(G496&lt;=60,"19-60","+60"))))</f>
        <v/>
      </c>
      <c r="I496" s="66"/>
      <c r="J496" s="67" t="str">
        <f t="shared" ref="J496:J572" si="496">IF(I496="","",IF(LOWER(TRIM(I496))="male","male",IF(LOWER(TRIM(I496))="female","female","")))</f>
        <v/>
      </c>
      <c r="K496" s="68"/>
      <c r="L496" s="68"/>
      <c r="M496" s="62"/>
      <c r="N496" s="69"/>
      <c r="O496" s="69"/>
      <c r="P496" s="69"/>
      <c r="Q496" s="70"/>
      <c r="R496" s="70"/>
      <c r="S496" s="62"/>
      <c r="T496" s="71"/>
      <c r="U496" s="71"/>
      <c r="V496" s="62"/>
      <c r="W496" s="62"/>
      <c r="X496" s="57" t="str">
        <f>IF(E496="","",UPPER(LEFT($C$3,1)&amp;"-"&amp;LEFT($C$4,1)&amp;"-"&amp;TEXT(ROW(B489),"000")&amp;"-"&amp;TEXT(C497,"dd-mm")))</f>
        <v/>
      </c>
      <c r="Y496" s="68" t="str">
        <f t="shared" ref="Y496:AC496" si="494">TRIM(SUBSTITUTE(SUBSTITUTE(OFFSET($Q496,0,COLUMN()-COLUMN($AL$1)),CHAR(160)," "),_xludf.UNICHAR(8239)," "))</f>
        <v>#NAME?</v>
      </c>
      <c r="Z496" s="68" t="str">
        <f t="shared" si="494"/>
        <v>#NAME?</v>
      </c>
      <c r="AA496" s="68" t="str">
        <f t="shared" si="494"/>
        <v>#NAME?</v>
      </c>
      <c r="AB496" s="68" t="str">
        <f t="shared" si="494"/>
        <v>#NAME?</v>
      </c>
      <c r="AC496" s="68" t="str">
        <f t="shared" si="494"/>
        <v>#NAME?</v>
      </c>
      <c r="AD496" s="62">
        <f>IF($E496="",0,--(COUNTIFS($E:$E,$E496,$C:$C,"&gt;"&amp;$C497)+COUNTIFS($E$8:E496,$E496,$C$8:C497,$C497)=1))</f>
        <v>0</v>
      </c>
      <c r="AE496" s="62" t="str">
        <f>IF($C497="","",TEXT($C497,"yyyy-mm"))</f>
        <v>2026-05</v>
      </c>
      <c r="AF496" s="62">
        <f t="shared" si="6"/>
        <v>0</v>
      </c>
      <c r="AG496" s="72">
        <f t="shared" si="7"/>
        <v>0</v>
      </c>
      <c r="AH496" s="73"/>
      <c r="AI496" s="73"/>
      <c r="AJ496" s="73"/>
      <c r="AK496" s="73"/>
      <c r="AL496" s="73"/>
      <c r="AM496" s="73"/>
      <c r="AN496" s="73"/>
      <c r="AO496" s="73"/>
      <c r="AP496" s="73"/>
      <c r="AQ496" s="73"/>
      <c r="AR496" s="73"/>
      <c r="AS496" s="73"/>
      <c r="AT496" s="73"/>
      <c r="AU496" s="73"/>
    </row>
    <row r="497" ht="24.0" customHeight="1">
      <c r="A497" s="45">
        <v>1.0</v>
      </c>
      <c r="B497" s="74" t="s">
        <v>402</v>
      </c>
      <c r="C497" s="55" t="s">
        <v>1884</v>
      </c>
      <c r="D497" s="75">
        <v>46145.0</v>
      </c>
      <c r="E497" s="57">
        <v>9.21195848E8</v>
      </c>
      <c r="F497" s="76">
        <v>24882.0</v>
      </c>
      <c r="G497" s="77">
        <v>58.0</v>
      </c>
      <c r="H497" s="78" t="str">
        <f t="shared" si="495"/>
        <v>19-60</v>
      </c>
      <c r="I497" s="79" t="s">
        <v>112</v>
      </c>
      <c r="J497" s="80" t="str">
        <f t="shared" si="496"/>
        <v>male</v>
      </c>
      <c r="K497" s="58">
        <v>5.98786975E8</v>
      </c>
      <c r="L497" s="55" t="s">
        <v>34</v>
      </c>
      <c r="M497" s="57" t="s">
        <v>89</v>
      </c>
      <c r="N497" s="55" t="s">
        <v>90</v>
      </c>
      <c r="O497" s="55"/>
      <c r="P497" s="55" t="s">
        <v>91</v>
      </c>
      <c r="Q497" s="81"/>
      <c r="R497" s="81"/>
      <c r="S497" s="57"/>
      <c r="T497" s="82"/>
      <c r="U497" s="82"/>
      <c r="V497" s="57"/>
      <c r="W497" s="57"/>
      <c r="X497" s="57" t="str">
        <f>IF(E497="","",UPPER(LEFT($C$3,1)&amp;"-"&amp;LEFT($C$4,1)&amp;"-"&amp;TEXT(ROW(B490),"000")&amp;"-"&amp;TEXT(#REF!,"dd-mm")))</f>
        <v>#REF!</v>
      </c>
      <c r="Y497" s="58" t="str">
        <f t="shared" ref="Y497:AC497" si="497">TRIM(SUBSTITUTE(SUBSTITUTE(OFFSET($Q497,0,COLUMN()-COLUMN($AL$1)),CHAR(160)," "),_xludf.UNICHAR(8239)," "))</f>
        <v>#NAME?</v>
      </c>
      <c r="Z497" s="58" t="str">
        <f t="shared" si="497"/>
        <v>#NAME?</v>
      </c>
      <c r="AA497" s="58" t="str">
        <f t="shared" si="497"/>
        <v>#NAME?</v>
      </c>
      <c r="AB497" s="58" t="str">
        <f t="shared" si="497"/>
        <v>#NAME?</v>
      </c>
      <c r="AC497" s="58" t="str">
        <f t="shared" si="497"/>
        <v>#NAME?</v>
      </c>
      <c r="AD497" s="57">
        <f>IF($E497="",0,--(COUNTIFS($E:$E,$E497,$C:$C,"&gt;"&amp;#REF!)+COUNTIFS($E$8:E497,$E497,$C$8:C497,#REF!)=1))</f>
        <v>0</v>
      </c>
      <c r="AE497" s="57" t="str">
        <f>IF(#REF!="","",TEXT(#REF!,"yyyy-mm"))</f>
        <v>#REF!</v>
      </c>
      <c r="AF497" s="57" t="str">
        <f t="shared" si="6"/>
        <v>#REF!</v>
      </c>
      <c r="AG497" s="59">
        <f t="shared" si="7"/>
        <v>0</v>
      </c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</row>
    <row r="498" ht="24.0" customHeight="1">
      <c r="A498" s="45">
        <v>2.0</v>
      </c>
      <c r="B498" s="74" t="s">
        <v>1885</v>
      </c>
      <c r="C498" s="55" t="s">
        <v>1884</v>
      </c>
      <c r="D498" s="75">
        <v>0.0</v>
      </c>
      <c r="E498" s="57">
        <v>8.03577246E8</v>
      </c>
      <c r="F498" s="76">
        <v>33807.0</v>
      </c>
      <c r="G498" s="77">
        <v>34.0</v>
      </c>
      <c r="H498" s="78" t="str">
        <f t="shared" si="495"/>
        <v>19-60</v>
      </c>
      <c r="I498" s="79" t="s">
        <v>112</v>
      </c>
      <c r="J498" s="80" t="str">
        <f t="shared" si="496"/>
        <v>male</v>
      </c>
      <c r="K498" s="58">
        <v>5.97107517E8</v>
      </c>
      <c r="L498" s="55" t="s">
        <v>34</v>
      </c>
      <c r="M498" s="57" t="s">
        <v>89</v>
      </c>
      <c r="N498" s="55" t="s">
        <v>90</v>
      </c>
      <c r="O498" s="55"/>
      <c r="P498" s="55" t="s">
        <v>91</v>
      </c>
      <c r="Q498" s="55" t="s">
        <v>16</v>
      </c>
      <c r="R498" s="81"/>
      <c r="S498" s="57"/>
      <c r="T498" s="82"/>
      <c r="U498" s="82"/>
      <c r="V498" s="57"/>
      <c r="W498" s="57"/>
      <c r="X498" s="57" t="str">
        <f t="shared" ref="X498:X881" si="499">IF(E498="","",UPPER(LEFT($C$3,1)&amp;"-"&amp;LEFT($C$4,1)&amp;"-"&amp;TEXT(ROW(B491),"000")&amp;"-"&amp;TEXT(C498,"dd-mm")))</f>
        <v>--491-05-05</v>
      </c>
      <c r="Y498" s="58" t="str">
        <f t="shared" ref="Y498:AC498" si="498">TRIM(SUBSTITUTE(SUBSTITUTE(OFFSET(#REF!,0,COLUMN()-COLUMN($AL$1)),CHAR(160)," "),_xludf.UNICHAR(8239)," "))</f>
        <v>#REF!</v>
      </c>
      <c r="Z498" s="58" t="str">
        <f t="shared" si="498"/>
        <v>#REF!</v>
      </c>
      <c r="AA498" s="58" t="str">
        <f t="shared" si="498"/>
        <v>#REF!</v>
      </c>
      <c r="AB498" s="58" t="str">
        <f t="shared" si="498"/>
        <v>#REF!</v>
      </c>
      <c r="AC498" s="58" t="str">
        <f t="shared" si="498"/>
        <v>#REF!</v>
      </c>
      <c r="AD498" s="57">
        <f t="shared" ref="AD498:AD572" si="501">IF($E498="",0,--(COUNTIFS($E:$E,$E498,$C:$C,"&gt;"&amp;$C498)+COUNTIFS($E$8:E498,$E498,$C$8:C498,$C498)=1))</f>
        <v>1</v>
      </c>
      <c r="AE498" s="57" t="str">
        <f t="shared" ref="AE498:AE572" si="502">IF($C498="","",TEXT($C498,"yyyy-mm"))</f>
        <v>2026-05</v>
      </c>
      <c r="AF498" s="57">
        <f t="shared" si="6"/>
        <v>1</v>
      </c>
      <c r="AG498" s="59">
        <f t="shared" si="7"/>
        <v>1</v>
      </c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</row>
    <row r="499" ht="24.0" customHeight="1">
      <c r="A499" s="45">
        <v>3.0</v>
      </c>
      <c r="B499" s="74" t="s">
        <v>1886</v>
      </c>
      <c r="C499" s="55" t="s">
        <v>1884</v>
      </c>
      <c r="D499" s="75"/>
      <c r="E499" s="57">
        <v>9.75565623E8</v>
      </c>
      <c r="F499" s="76">
        <v>16442.0</v>
      </c>
      <c r="G499" s="77">
        <v>81.0</v>
      </c>
      <c r="H499" s="78" t="str">
        <f t="shared" si="495"/>
        <v>+60</v>
      </c>
      <c r="I499" s="79" t="s">
        <v>86</v>
      </c>
      <c r="J499" s="80" t="str">
        <f t="shared" si="496"/>
        <v>female</v>
      </c>
      <c r="K499" s="58">
        <v>5.97107517E8</v>
      </c>
      <c r="L499" s="55" t="s">
        <v>34</v>
      </c>
      <c r="M499" s="57" t="s">
        <v>115</v>
      </c>
      <c r="N499" s="55" t="s">
        <v>90</v>
      </c>
      <c r="O499" s="55"/>
      <c r="P499" s="55" t="s">
        <v>91</v>
      </c>
      <c r="Q499" s="55" t="s">
        <v>16</v>
      </c>
      <c r="R499" s="81"/>
      <c r="S499" s="57"/>
      <c r="T499" s="82"/>
      <c r="U499" s="82"/>
      <c r="V499" s="57"/>
      <c r="W499" s="57"/>
      <c r="X499" s="57" t="str">
        <f t="shared" si="499"/>
        <v>--492-05-05</v>
      </c>
      <c r="Y499" s="58" t="str">
        <f t="shared" ref="Y499:AC499" si="500">TRIM(SUBSTITUTE(SUBSTITUTE(OFFSET(#REF!,0,COLUMN()-COLUMN($AL$1)),CHAR(160)," "),_xludf.UNICHAR(8239)," "))</f>
        <v>#REF!</v>
      </c>
      <c r="Z499" s="58" t="str">
        <f t="shared" si="500"/>
        <v>#REF!</v>
      </c>
      <c r="AA499" s="58" t="str">
        <f t="shared" si="500"/>
        <v>#REF!</v>
      </c>
      <c r="AB499" s="58" t="str">
        <f t="shared" si="500"/>
        <v>#REF!</v>
      </c>
      <c r="AC499" s="58" t="str">
        <f t="shared" si="500"/>
        <v>#REF!</v>
      </c>
      <c r="AD499" s="57">
        <f t="shared" si="501"/>
        <v>1</v>
      </c>
      <c r="AE499" s="57" t="str">
        <f t="shared" si="502"/>
        <v>2026-05</v>
      </c>
      <c r="AF499" s="57">
        <f t="shared" si="6"/>
        <v>1</v>
      </c>
      <c r="AG499" s="59">
        <f t="shared" si="7"/>
        <v>1</v>
      </c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</row>
    <row r="500" ht="24.0" customHeight="1">
      <c r="A500" s="45">
        <v>4.0</v>
      </c>
      <c r="B500" s="74" t="s">
        <v>1887</v>
      </c>
      <c r="C500" s="55" t="s">
        <v>1884</v>
      </c>
      <c r="D500" s="75"/>
      <c r="E500" s="57">
        <v>4.70215294E8</v>
      </c>
      <c r="F500" s="76">
        <v>45461.0</v>
      </c>
      <c r="G500" s="77">
        <v>1.0</v>
      </c>
      <c r="H500" s="78" t="str">
        <f t="shared" si="495"/>
        <v>0-5</v>
      </c>
      <c r="I500" s="79" t="s">
        <v>112</v>
      </c>
      <c r="J500" s="80" t="str">
        <f t="shared" si="496"/>
        <v>male</v>
      </c>
      <c r="K500" s="58">
        <v>5.97054651E8</v>
      </c>
      <c r="L500" s="55" t="s">
        <v>34</v>
      </c>
      <c r="M500" s="57" t="s">
        <v>133</v>
      </c>
      <c r="N500" s="55" t="s">
        <v>90</v>
      </c>
      <c r="O500" s="55"/>
      <c r="P500" s="55" t="s">
        <v>91</v>
      </c>
      <c r="Q500" s="55" t="s">
        <v>4</v>
      </c>
      <c r="R500" s="81"/>
      <c r="S500" s="57"/>
      <c r="T500" s="82"/>
      <c r="U500" s="82"/>
      <c r="V500" s="57"/>
      <c r="W500" s="57"/>
      <c r="X500" s="57" t="str">
        <f t="shared" si="499"/>
        <v>--493-05-05</v>
      </c>
      <c r="Y500" s="58" t="str">
        <f t="shared" ref="Y500:AC500" si="503">TRIM(SUBSTITUTE(SUBSTITUTE(OFFSET(#REF!,0,COLUMN()-COLUMN($AL$1)),CHAR(160)," "),_xludf.UNICHAR(8239)," "))</f>
        <v>#REF!</v>
      </c>
      <c r="Z500" s="58" t="str">
        <f t="shared" si="503"/>
        <v>#REF!</v>
      </c>
      <c r="AA500" s="58" t="str">
        <f t="shared" si="503"/>
        <v>#REF!</v>
      </c>
      <c r="AB500" s="58" t="str">
        <f t="shared" si="503"/>
        <v>#REF!</v>
      </c>
      <c r="AC500" s="58" t="str">
        <f t="shared" si="503"/>
        <v>#REF!</v>
      </c>
      <c r="AD500" s="57">
        <f t="shared" si="501"/>
        <v>1</v>
      </c>
      <c r="AE500" s="57" t="str">
        <f t="shared" si="502"/>
        <v>2026-05</v>
      </c>
      <c r="AF500" s="57">
        <f t="shared" si="6"/>
        <v>1</v>
      </c>
      <c r="AG500" s="59">
        <f t="shared" si="7"/>
        <v>1</v>
      </c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</row>
    <row r="501" ht="24.0" customHeight="1">
      <c r="A501" s="45">
        <v>5.0</v>
      </c>
      <c r="B501" s="74" t="s">
        <v>1888</v>
      </c>
      <c r="C501" s="55" t="s">
        <v>1884</v>
      </c>
      <c r="D501" s="75" t="s">
        <v>469</v>
      </c>
      <c r="E501" s="57">
        <v>9.1131557E8</v>
      </c>
      <c r="F501" s="76">
        <v>23342.0</v>
      </c>
      <c r="G501" s="77">
        <v>63.0</v>
      </c>
      <c r="H501" s="78" t="str">
        <f t="shared" si="495"/>
        <v>+60</v>
      </c>
      <c r="I501" s="79" t="s">
        <v>86</v>
      </c>
      <c r="J501" s="80" t="str">
        <f t="shared" si="496"/>
        <v>female</v>
      </c>
      <c r="K501" s="58">
        <v>5.92317618E8</v>
      </c>
      <c r="L501" s="55" t="s">
        <v>34</v>
      </c>
      <c r="M501" s="57" t="s">
        <v>89</v>
      </c>
      <c r="N501" s="55" t="s">
        <v>90</v>
      </c>
      <c r="O501" s="55"/>
      <c r="P501" s="55" t="s">
        <v>91</v>
      </c>
      <c r="Q501" s="55" t="s">
        <v>4</v>
      </c>
      <c r="R501" s="81"/>
      <c r="S501" s="57"/>
      <c r="T501" s="82"/>
      <c r="U501" s="82"/>
      <c r="V501" s="57"/>
      <c r="W501" s="57"/>
      <c r="X501" s="57" t="str">
        <f t="shared" si="499"/>
        <v>--494-05-05</v>
      </c>
      <c r="Y501" s="58" t="str">
        <f t="shared" ref="Y501:AC501" si="504">TRIM(SUBSTITUTE(SUBSTITUTE(OFFSET(#REF!,0,COLUMN()-COLUMN($AL$1)),CHAR(160)," "),_xludf.UNICHAR(8239)," "))</f>
        <v>#REF!</v>
      </c>
      <c r="Z501" s="58" t="str">
        <f t="shared" si="504"/>
        <v>#REF!</v>
      </c>
      <c r="AA501" s="58" t="str">
        <f t="shared" si="504"/>
        <v>#REF!</v>
      </c>
      <c r="AB501" s="58" t="str">
        <f t="shared" si="504"/>
        <v>#REF!</v>
      </c>
      <c r="AC501" s="58" t="str">
        <f t="shared" si="504"/>
        <v>#REF!</v>
      </c>
      <c r="AD501" s="57">
        <f t="shared" si="501"/>
        <v>1</v>
      </c>
      <c r="AE501" s="57" t="str">
        <f t="shared" si="502"/>
        <v>2026-05</v>
      </c>
      <c r="AF501" s="57">
        <f t="shared" si="6"/>
        <v>1</v>
      </c>
      <c r="AG501" s="59">
        <f t="shared" si="7"/>
        <v>1</v>
      </c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</row>
    <row r="502" ht="24.0" customHeight="1">
      <c r="A502" s="45">
        <v>6.0</v>
      </c>
      <c r="B502" s="74" t="s">
        <v>1889</v>
      </c>
      <c r="C502" s="55" t="s">
        <v>1884</v>
      </c>
      <c r="D502" s="75"/>
      <c r="E502" s="57">
        <v>4.05782368E8</v>
      </c>
      <c r="F502" s="76">
        <v>36625.0</v>
      </c>
      <c r="G502" s="77">
        <v>26.0</v>
      </c>
      <c r="H502" s="78" t="str">
        <f t="shared" si="495"/>
        <v>19-60</v>
      </c>
      <c r="I502" s="79" t="s">
        <v>86</v>
      </c>
      <c r="J502" s="80" t="str">
        <f t="shared" si="496"/>
        <v>female</v>
      </c>
      <c r="K502" s="58">
        <v>5.98054032E8</v>
      </c>
      <c r="L502" s="55" t="s">
        <v>34</v>
      </c>
      <c r="M502" s="57" t="s">
        <v>89</v>
      </c>
      <c r="N502" s="55" t="s">
        <v>90</v>
      </c>
      <c r="O502" s="55"/>
      <c r="P502" s="55" t="s">
        <v>91</v>
      </c>
      <c r="Q502" s="55"/>
      <c r="R502" s="55" t="s">
        <v>36</v>
      </c>
      <c r="S502" s="57"/>
      <c r="T502" s="82"/>
      <c r="U502" s="82"/>
      <c r="V502" s="57"/>
      <c r="W502" s="57"/>
      <c r="X502" s="57" t="str">
        <f t="shared" si="499"/>
        <v>--495-05-05</v>
      </c>
      <c r="Y502" s="58" t="str">
        <f t="shared" ref="Y502:AC502" si="505">TRIM(SUBSTITUTE(SUBSTITUTE(OFFSET(#REF!,0,COLUMN()-COLUMN($AL$1)),CHAR(160)," "),_xludf.UNICHAR(8239)," "))</f>
        <v>#REF!</v>
      </c>
      <c r="Z502" s="58" t="str">
        <f t="shared" si="505"/>
        <v>#REF!</v>
      </c>
      <c r="AA502" s="58" t="str">
        <f t="shared" si="505"/>
        <v>#REF!</v>
      </c>
      <c r="AB502" s="58" t="str">
        <f t="shared" si="505"/>
        <v>#REF!</v>
      </c>
      <c r="AC502" s="58" t="str">
        <f t="shared" si="505"/>
        <v>#REF!</v>
      </c>
      <c r="AD502" s="57">
        <f t="shared" si="501"/>
        <v>1</v>
      </c>
      <c r="AE502" s="57" t="str">
        <f t="shared" si="502"/>
        <v>2026-05</v>
      </c>
      <c r="AF502" s="57">
        <f t="shared" si="6"/>
        <v>1</v>
      </c>
      <c r="AG502" s="59">
        <f t="shared" si="7"/>
        <v>1</v>
      </c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</row>
    <row r="503" ht="24.0" customHeight="1">
      <c r="A503" s="45">
        <v>7.0</v>
      </c>
      <c r="B503" s="74" t="s">
        <v>1890</v>
      </c>
      <c r="C503" s="55" t="s">
        <v>1884</v>
      </c>
      <c r="D503" s="75"/>
      <c r="E503" s="57">
        <v>4.45098031E8</v>
      </c>
      <c r="F503" s="76">
        <v>44469.0</v>
      </c>
      <c r="G503" s="77">
        <v>5.0</v>
      </c>
      <c r="H503" s="78" t="str">
        <f t="shared" si="495"/>
        <v>0-5</v>
      </c>
      <c r="I503" s="79" t="s">
        <v>112</v>
      </c>
      <c r="J503" s="80" t="str">
        <f t="shared" si="496"/>
        <v>male</v>
      </c>
      <c r="K503" s="58">
        <v>5.98054032E8</v>
      </c>
      <c r="L503" s="55" t="s">
        <v>34</v>
      </c>
      <c r="M503" s="57" t="s">
        <v>133</v>
      </c>
      <c r="N503" s="55" t="s">
        <v>90</v>
      </c>
      <c r="O503" s="55"/>
      <c r="P503" s="55" t="s">
        <v>91</v>
      </c>
      <c r="Q503" s="55" t="s">
        <v>16</v>
      </c>
      <c r="R503" s="55"/>
      <c r="S503" s="57"/>
      <c r="T503" s="82"/>
      <c r="U503" s="82"/>
      <c r="V503" s="57"/>
      <c r="W503" s="57"/>
      <c r="X503" s="57" t="str">
        <f t="shared" si="499"/>
        <v>--496-05-05</v>
      </c>
      <c r="Y503" s="58" t="str">
        <f t="shared" ref="Y503:AC503" si="506">TRIM(SUBSTITUTE(SUBSTITUTE(OFFSET(#REF!,0,COLUMN()-COLUMN($AL$1)),CHAR(160)," "),_xludf.UNICHAR(8239)," "))</f>
        <v>#REF!</v>
      </c>
      <c r="Z503" s="58" t="str">
        <f t="shared" si="506"/>
        <v>#REF!</v>
      </c>
      <c r="AA503" s="58" t="str">
        <f t="shared" si="506"/>
        <v>#REF!</v>
      </c>
      <c r="AB503" s="58" t="str">
        <f t="shared" si="506"/>
        <v>#REF!</v>
      </c>
      <c r="AC503" s="58" t="str">
        <f t="shared" si="506"/>
        <v>#REF!</v>
      </c>
      <c r="AD503" s="57">
        <f t="shared" si="501"/>
        <v>1</v>
      </c>
      <c r="AE503" s="57" t="str">
        <f t="shared" si="502"/>
        <v>2026-05</v>
      </c>
      <c r="AF503" s="57">
        <f t="shared" si="6"/>
        <v>1</v>
      </c>
      <c r="AG503" s="59">
        <f t="shared" si="7"/>
        <v>1</v>
      </c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</row>
    <row r="504" ht="24.0" customHeight="1">
      <c r="A504" s="45">
        <v>8.0</v>
      </c>
      <c r="B504" s="74" t="s">
        <v>1891</v>
      </c>
      <c r="C504" s="55" t="s">
        <v>1884</v>
      </c>
      <c r="D504" s="75"/>
      <c r="E504" s="57">
        <v>4.0879931E8</v>
      </c>
      <c r="F504" s="76">
        <v>37299.0</v>
      </c>
      <c r="G504" s="77">
        <v>24.0</v>
      </c>
      <c r="H504" s="78" t="str">
        <f t="shared" si="495"/>
        <v>19-60</v>
      </c>
      <c r="I504" s="79" t="s">
        <v>86</v>
      </c>
      <c r="J504" s="80" t="str">
        <f t="shared" si="496"/>
        <v>female</v>
      </c>
      <c r="K504" s="58">
        <v>5.97039707E8</v>
      </c>
      <c r="L504" s="55" t="s">
        <v>34</v>
      </c>
      <c r="M504" s="57" t="s">
        <v>89</v>
      </c>
      <c r="N504" s="55" t="s">
        <v>90</v>
      </c>
      <c r="O504" s="55"/>
      <c r="P504" s="55" t="s">
        <v>91</v>
      </c>
      <c r="Q504" s="55"/>
      <c r="R504" s="55" t="s">
        <v>5</v>
      </c>
      <c r="S504" s="57"/>
      <c r="T504" s="82"/>
      <c r="U504" s="82" t="s">
        <v>7</v>
      </c>
      <c r="V504" s="57"/>
      <c r="W504" s="57"/>
      <c r="X504" s="57" t="str">
        <f t="shared" si="499"/>
        <v>--497-05-05</v>
      </c>
      <c r="Y504" s="58" t="str">
        <f t="shared" ref="Y504:AC504" si="507">TRIM(SUBSTITUTE(SUBSTITUTE(OFFSET(#REF!,0,COLUMN()-COLUMN($AL$1)),CHAR(160)," "),_xludf.UNICHAR(8239)," "))</f>
        <v>#REF!</v>
      </c>
      <c r="Z504" s="58" t="str">
        <f t="shared" si="507"/>
        <v>#REF!</v>
      </c>
      <c r="AA504" s="58" t="str">
        <f t="shared" si="507"/>
        <v>#REF!</v>
      </c>
      <c r="AB504" s="58" t="str">
        <f t="shared" si="507"/>
        <v>#REF!</v>
      </c>
      <c r="AC504" s="58" t="str">
        <f t="shared" si="507"/>
        <v>#REF!</v>
      </c>
      <c r="AD504" s="57">
        <f t="shared" si="501"/>
        <v>1</v>
      </c>
      <c r="AE504" s="57" t="str">
        <f t="shared" si="502"/>
        <v>2026-05</v>
      </c>
      <c r="AF504" s="57">
        <f t="shared" si="6"/>
        <v>1</v>
      </c>
      <c r="AG504" s="59">
        <f t="shared" si="7"/>
        <v>1</v>
      </c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</row>
    <row r="505" ht="24.0" customHeight="1">
      <c r="A505" s="45">
        <v>9.0</v>
      </c>
      <c r="B505" s="74" t="s">
        <v>270</v>
      </c>
      <c r="C505" s="55" t="s">
        <v>1884</v>
      </c>
      <c r="D505" s="75">
        <v>46138.0</v>
      </c>
      <c r="E505" s="57">
        <v>8.03549559E8</v>
      </c>
      <c r="F505" s="76">
        <v>33810.0</v>
      </c>
      <c r="G505" s="77">
        <v>34.0</v>
      </c>
      <c r="H505" s="78" t="str">
        <f t="shared" si="495"/>
        <v>19-60</v>
      </c>
      <c r="I505" s="79" t="s">
        <v>86</v>
      </c>
      <c r="J505" s="80" t="str">
        <f t="shared" si="496"/>
        <v>female</v>
      </c>
      <c r="K505" s="58">
        <v>5.97103861E8</v>
      </c>
      <c r="L505" s="55" t="s">
        <v>34</v>
      </c>
      <c r="M505" s="57" t="s">
        <v>89</v>
      </c>
      <c r="N505" s="55" t="s">
        <v>90</v>
      </c>
      <c r="O505" s="55"/>
      <c r="P505" s="55" t="s">
        <v>91</v>
      </c>
      <c r="Q505" s="55"/>
      <c r="R505" s="55" t="s">
        <v>5</v>
      </c>
      <c r="S505" s="57"/>
      <c r="T505" s="82"/>
      <c r="U505" s="82" t="s">
        <v>7</v>
      </c>
      <c r="V505" s="57"/>
      <c r="W505" s="57"/>
      <c r="X505" s="57" t="str">
        <f t="shared" si="499"/>
        <v>--498-05-05</v>
      </c>
      <c r="Y505" s="58" t="str">
        <f t="shared" ref="Y505:AC505" si="508">TRIM(SUBSTITUTE(SUBSTITUTE(OFFSET(#REF!,0,COLUMN()-COLUMN($AL$1)),CHAR(160)," "),_xludf.UNICHAR(8239)," "))</f>
        <v>#REF!</v>
      </c>
      <c r="Z505" s="58" t="str">
        <f t="shared" si="508"/>
        <v>#REF!</v>
      </c>
      <c r="AA505" s="58" t="str">
        <f t="shared" si="508"/>
        <v>#REF!</v>
      </c>
      <c r="AB505" s="58" t="str">
        <f t="shared" si="508"/>
        <v>#REF!</v>
      </c>
      <c r="AC505" s="58" t="str">
        <f t="shared" si="508"/>
        <v>#REF!</v>
      </c>
      <c r="AD505" s="57">
        <f t="shared" si="501"/>
        <v>1</v>
      </c>
      <c r="AE505" s="57" t="str">
        <f t="shared" si="502"/>
        <v>2026-05</v>
      </c>
      <c r="AF505" s="57">
        <f t="shared" si="6"/>
        <v>1</v>
      </c>
      <c r="AG505" s="59">
        <f t="shared" si="7"/>
        <v>0</v>
      </c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</row>
    <row r="506" ht="24.0" customHeight="1">
      <c r="A506" s="45">
        <v>10.0</v>
      </c>
      <c r="B506" s="74" t="s">
        <v>1892</v>
      </c>
      <c r="C506" s="55" t="s">
        <v>1884</v>
      </c>
      <c r="D506" s="75"/>
      <c r="E506" s="57">
        <v>9.09127847E8</v>
      </c>
      <c r="F506" s="76">
        <v>29648.0</v>
      </c>
      <c r="G506" s="77">
        <v>45.0</v>
      </c>
      <c r="H506" s="78" t="str">
        <f t="shared" si="495"/>
        <v>19-60</v>
      </c>
      <c r="I506" s="79" t="s">
        <v>86</v>
      </c>
      <c r="J506" s="80" t="str">
        <f t="shared" si="496"/>
        <v>female</v>
      </c>
      <c r="K506" s="58">
        <v>5.9751826E8</v>
      </c>
      <c r="L506" s="55" t="s">
        <v>34</v>
      </c>
      <c r="M506" s="57" t="s">
        <v>89</v>
      </c>
      <c r="N506" s="55" t="s">
        <v>90</v>
      </c>
      <c r="O506" s="55"/>
      <c r="P506" s="55" t="s">
        <v>91</v>
      </c>
      <c r="Q506" s="55" t="s">
        <v>16</v>
      </c>
      <c r="R506" s="55"/>
      <c r="S506" s="57"/>
      <c r="T506" s="82"/>
      <c r="U506" s="82"/>
      <c r="V506" s="57"/>
      <c r="W506" s="57"/>
      <c r="X506" s="57" t="str">
        <f t="shared" si="499"/>
        <v>--499-05-05</v>
      </c>
      <c r="Y506" s="58" t="str">
        <f t="shared" ref="Y506:AC506" si="509">TRIM(SUBSTITUTE(SUBSTITUTE(OFFSET(#REF!,0,COLUMN()-COLUMN($AL$1)),CHAR(160)," "),_xludf.UNICHAR(8239)," "))</f>
        <v>#REF!</v>
      </c>
      <c r="Z506" s="58" t="str">
        <f t="shared" si="509"/>
        <v>#REF!</v>
      </c>
      <c r="AA506" s="58" t="str">
        <f t="shared" si="509"/>
        <v>#REF!</v>
      </c>
      <c r="AB506" s="58" t="str">
        <f t="shared" si="509"/>
        <v>#REF!</v>
      </c>
      <c r="AC506" s="58" t="str">
        <f t="shared" si="509"/>
        <v>#REF!</v>
      </c>
      <c r="AD506" s="57">
        <f t="shared" si="501"/>
        <v>1</v>
      </c>
      <c r="AE506" s="57" t="str">
        <f t="shared" si="502"/>
        <v>2026-05</v>
      </c>
      <c r="AF506" s="57">
        <f t="shared" si="6"/>
        <v>1</v>
      </c>
      <c r="AG506" s="59">
        <f t="shared" si="7"/>
        <v>1</v>
      </c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</row>
    <row r="507" ht="24.0" customHeight="1">
      <c r="A507" s="45">
        <v>11.0</v>
      </c>
      <c r="B507" s="74" t="s">
        <v>1893</v>
      </c>
      <c r="C507" s="55" t="s">
        <v>1884</v>
      </c>
      <c r="D507" s="75">
        <v>0.0</v>
      </c>
      <c r="E507" s="57">
        <v>8.00450306E8</v>
      </c>
      <c r="F507" s="76">
        <v>31702.0</v>
      </c>
      <c r="G507" s="77">
        <v>40.0</v>
      </c>
      <c r="H507" s="78" t="str">
        <f t="shared" si="495"/>
        <v>19-60</v>
      </c>
      <c r="I507" s="79" t="s">
        <v>86</v>
      </c>
      <c r="J507" s="80" t="str">
        <f t="shared" si="496"/>
        <v>female</v>
      </c>
      <c r="K507" s="58">
        <v>5.97531565E8</v>
      </c>
      <c r="L507" s="55" t="s">
        <v>34</v>
      </c>
      <c r="M507" s="57" t="s">
        <v>89</v>
      </c>
      <c r="N507" s="55" t="s">
        <v>90</v>
      </c>
      <c r="O507" s="55"/>
      <c r="P507" s="55" t="s">
        <v>91</v>
      </c>
      <c r="Q507" s="55" t="s">
        <v>16</v>
      </c>
      <c r="R507" s="55"/>
      <c r="S507" s="57"/>
      <c r="T507" s="82"/>
      <c r="U507" s="82"/>
      <c r="V507" s="57"/>
      <c r="W507" s="57"/>
      <c r="X507" s="57" t="str">
        <f t="shared" si="499"/>
        <v>--500-05-05</v>
      </c>
      <c r="Y507" s="58" t="str">
        <f t="shared" ref="Y507:AC507" si="510">TRIM(SUBSTITUTE(SUBSTITUTE(OFFSET(#REF!,0,COLUMN()-COLUMN($AL$1)),CHAR(160)," "),_xludf.UNICHAR(8239)," "))</f>
        <v>#REF!</v>
      </c>
      <c r="Z507" s="58" t="str">
        <f t="shared" si="510"/>
        <v>#REF!</v>
      </c>
      <c r="AA507" s="58" t="str">
        <f t="shared" si="510"/>
        <v>#REF!</v>
      </c>
      <c r="AB507" s="58" t="str">
        <f t="shared" si="510"/>
        <v>#REF!</v>
      </c>
      <c r="AC507" s="58" t="str">
        <f t="shared" si="510"/>
        <v>#REF!</v>
      </c>
      <c r="AD507" s="57">
        <f t="shared" si="501"/>
        <v>1</v>
      </c>
      <c r="AE507" s="57" t="str">
        <f t="shared" si="502"/>
        <v>2026-05</v>
      </c>
      <c r="AF507" s="57">
        <f t="shared" si="6"/>
        <v>1</v>
      </c>
      <c r="AG507" s="59">
        <f t="shared" si="7"/>
        <v>1</v>
      </c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</row>
    <row r="508" ht="24.0" customHeight="1">
      <c r="A508" s="45">
        <v>12.0</v>
      </c>
      <c r="B508" s="74" t="s">
        <v>1894</v>
      </c>
      <c r="C508" s="55" t="s">
        <v>1884</v>
      </c>
      <c r="D508" s="75">
        <v>46145.0</v>
      </c>
      <c r="E508" s="57">
        <v>4.38224065E8</v>
      </c>
      <c r="F508" s="76">
        <v>43442.0</v>
      </c>
      <c r="G508" s="77">
        <v>8.0</v>
      </c>
      <c r="H508" s="78" t="str">
        <f t="shared" si="495"/>
        <v>6-18</v>
      </c>
      <c r="I508" s="79" t="s">
        <v>112</v>
      </c>
      <c r="J508" s="80" t="str">
        <f t="shared" si="496"/>
        <v>male</v>
      </c>
      <c r="K508" s="58"/>
      <c r="L508" s="55" t="s">
        <v>34</v>
      </c>
      <c r="M508" s="57" t="s">
        <v>133</v>
      </c>
      <c r="N508" s="55" t="s">
        <v>90</v>
      </c>
      <c r="O508" s="55"/>
      <c r="P508" s="55" t="s">
        <v>91</v>
      </c>
      <c r="Q508" s="55"/>
      <c r="R508" s="55"/>
      <c r="S508" s="55" t="s">
        <v>6</v>
      </c>
      <c r="T508" s="82"/>
      <c r="U508" s="82"/>
      <c r="V508" s="57"/>
      <c r="W508" s="57"/>
      <c r="X508" s="57" t="str">
        <f t="shared" si="499"/>
        <v>--501-05-05</v>
      </c>
      <c r="Y508" s="58" t="str">
        <f t="shared" ref="Y508:AC508" si="511">TRIM(SUBSTITUTE(SUBSTITUTE(OFFSET(#REF!,0,COLUMN()-COLUMN($AL$1)),CHAR(160)," "),_xludf.UNICHAR(8239)," "))</f>
        <v>#REF!</v>
      </c>
      <c r="Z508" s="58" t="str">
        <f t="shared" si="511"/>
        <v>#REF!</v>
      </c>
      <c r="AA508" s="58" t="str">
        <f t="shared" si="511"/>
        <v>#REF!</v>
      </c>
      <c r="AB508" s="58" t="str">
        <f t="shared" si="511"/>
        <v>#REF!</v>
      </c>
      <c r="AC508" s="58" t="str">
        <f t="shared" si="511"/>
        <v>#REF!</v>
      </c>
      <c r="AD508" s="57">
        <f t="shared" si="501"/>
        <v>1</v>
      </c>
      <c r="AE508" s="57" t="str">
        <f t="shared" si="502"/>
        <v>2026-05</v>
      </c>
      <c r="AF508" s="57">
        <f t="shared" si="6"/>
        <v>0</v>
      </c>
      <c r="AG508" s="59">
        <f t="shared" si="7"/>
        <v>0</v>
      </c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</row>
    <row r="509" ht="24.0" customHeight="1">
      <c r="A509" s="45">
        <v>13.0</v>
      </c>
      <c r="B509" s="74" t="s">
        <v>1895</v>
      </c>
      <c r="C509" s="55" t="s">
        <v>1884</v>
      </c>
      <c r="D509" s="75" t="s">
        <v>1451</v>
      </c>
      <c r="E509" s="57">
        <v>4.70393901E8</v>
      </c>
      <c r="F509" s="76">
        <v>45433.0</v>
      </c>
      <c r="G509" s="77">
        <v>2.0</v>
      </c>
      <c r="H509" s="78" t="str">
        <f t="shared" si="495"/>
        <v>0-5</v>
      </c>
      <c r="I509" s="79" t="s">
        <v>86</v>
      </c>
      <c r="J509" s="80" t="str">
        <f t="shared" si="496"/>
        <v>female</v>
      </c>
      <c r="K509" s="58">
        <v>5.97747426E8</v>
      </c>
      <c r="L509" s="55" t="s">
        <v>34</v>
      </c>
      <c r="M509" s="57" t="s">
        <v>133</v>
      </c>
      <c r="N509" s="55" t="s">
        <v>90</v>
      </c>
      <c r="O509" s="55"/>
      <c r="P509" s="55" t="s">
        <v>91</v>
      </c>
      <c r="Q509" s="55" t="s">
        <v>16</v>
      </c>
      <c r="R509" s="55"/>
      <c r="S509" s="55"/>
      <c r="T509" s="82"/>
      <c r="U509" s="82"/>
      <c r="V509" s="57"/>
      <c r="W509" s="57"/>
      <c r="X509" s="57" t="str">
        <f t="shared" si="499"/>
        <v>--502-05-05</v>
      </c>
      <c r="Y509" s="58" t="str">
        <f t="shared" ref="Y509:AC509" si="512">TRIM(SUBSTITUTE(SUBSTITUTE(OFFSET(#REF!,0,COLUMN()-COLUMN($AL$1)),CHAR(160)," "),_xludf.UNICHAR(8239)," "))</f>
        <v>#REF!</v>
      </c>
      <c r="Z509" s="58" t="str">
        <f t="shared" si="512"/>
        <v>#REF!</v>
      </c>
      <c r="AA509" s="58" t="str">
        <f t="shared" si="512"/>
        <v>#REF!</v>
      </c>
      <c r="AB509" s="58" t="str">
        <f t="shared" si="512"/>
        <v>#REF!</v>
      </c>
      <c r="AC509" s="58" t="str">
        <f t="shared" si="512"/>
        <v>#REF!</v>
      </c>
      <c r="AD509" s="57">
        <f t="shared" si="501"/>
        <v>1</v>
      </c>
      <c r="AE509" s="57" t="str">
        <f t="shared" si="502"/>
        <v>2026-05</v>
      </c>
      <c r="AF509" s="57">
        <f t="shared" si="6"/>
        <v>1</v>
      </c>
      <c r="AG509" s="59">
        <f t="shared" si="7"/>
        <v>1</v>
      </c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</row>
    <row r="510" ht="24.0" customHeight="1">
      <c r="A510" s="45">
        <v>14.0</v>
      </c>
      <c r="B510" s="74" t="s">
        <v>1896</v>
      </c>
      <c r="C510" s="55" t="s">
        <v>1884</v>
      </c>
      <c r="D510" s="75"/>
      <c r="E510" s="57">
        <v>4.45499007E8</v>
      </c>
      <c r="F510" s="76">
        <v>45241.0</v>
      </c>
      <c r="G510" s="77">
        <v>3.0</v>
      </c>
      <c r="H510" s="78" t="str">
        <f t="shared" si="495"/>
        <v>0-5</v>
      </c>
      <c r="I510" s="79" t="s">
        <v>86</v>
      </c>
      <c r="J510" s="80" t="str">
        <f t="shared" si="496"/>
        <v>female</v>
      </c>
      <c r="K510" s="58">
        <v>5.94719623E8</v>
      </c>
      <c r="L510" s="55" t="s">
        <v>34</v>
      </c>
      <c r="M510" s="57" t="s">
        <v>133</v>
      </c>
      <c r="N510" s="55" t="s">
        <v>90</v>
      </c>
      <c r="O510" s="55"/>
      <c r="P510" s="55" t="s">
        <v>91</v>
      </c>
      <c r="Q510" s="55" t="s">
        <v>16</v>
      </c>
      <c r="R510" s="55"/>
      <c r="S510" s="55"/>
      <c r="T510" s="82"/>
      <c r="U510" s="82"/>
      <c r="V510" s="57"/>
      <c r="W510" s="57"/>
      <c r="X510" s="57" t="str">
        <f t="shared" si="499"/>
        <v>--503-05-05</v>
      </c>
      <c r="Y510" s="58" t="str">
        <f t="shared" ref="Y510:AC510" si="513">TRIM(SUBSTITUTE(SUBSTITUTE(OFFSET(#REF!,0,COLUMN()-COLUMN($AL$1)),CHAR(160)," "),_xludf.UNICHAR(8239)," "))</f>
        <v>#REF!</v>
      </c>
      <c r="Z510" s="58" t="str">
        <f t="shared" si="513"/>
        <v>#REF!</v>
      </c>
      <c r="AA510" s="58" t="str">
        <f t="shared" si="513"/>
        <v>#REF!</v>
      </c>
      <c r="AB510" s="58" t="str">
        <f t="shared" si="513"/>
        <v>#REF!</v>
      </c>
      <c r="AC510" s="58" t="str">
        <f t="shared" si="513"/>
        <v>#REF!</v>
      </c>
      <c r="AD510" s="57">
        <f t="shared" si="501"/>
        <v>1</v>
      </c>
      <c r="AE510" s="57" t="str">
        <f t="shared" si="502"/>
        <v>2026-05</v>
      </c>
      <c r="AF510" s="57">
        <f t="shared" si="6"/>
        <v>1</v>
      </c>
      <c r="AG510" s="59">
        <f t="shared" si="7"/>
        <v>1</v>
      </c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</row>
    <row r="511" ht="24.0" customHeight="1">
      <c r="A511" s="45">
        <v>15.0</v>
      </c>
      <c r="B511" s="74" t="s">
        <v>1897</v>
      </c>
      <c r="C511" s="55" t="s">
        <v>1884</v>
      </c>
      <c r="D511" s="75"/>
      <c r="E511" s="57">
        <v>8.02265991E8</v>
      </c>
      <c r="F511" s="76">
        <v>32537.0</v>
      </c>
      <c r="G511" s="77">
        <v>37.0</v>
      </c>
      <c r="H511" s="78" t="str">
        <f t="shared" si="495"/>
        <v>19-60</v>
      </c>
      <c r="I511" s="79" t="s">
        <v>86</v>
      </c>
      <c r="J511" s="80" t="str">
        <f t="shared" si="496"/>
        <v>female</v>
      </c>
      <c r="K511" s="58">
        <v>5.97727768E8</v>
      </c>
      <c r="L511" s="55" t="s">
        <v>34</v>
      </c>
      <c r="M511" s="83" t="s">
        <v>89</v>
      </c>
      <c r="N511" s="55" t="s">
        <v>90</v>
      </c>
      <c r="O511" s="55"/>
      <c r="P511" s="55" t="s">
        <v>91</v>
      </c>
      <c r="Q511" s="55" t="s">
        <v>16</v>
      </c>
      <c r="R511" s="55"/>
      <c r="S511" s="55"/>
      <c r="T511" s="82"/>
      <c r="U511" s="82"/>
      <c r="V511" s="57"/>
      <c r="W511" s="57"/>
      <c r="X511" s="57" t="str">
        <f t="shared" si="499"/>
        <v>--504-05-05</v>
      </c>
      <c r="Y511" s="58" t="str">
        <f t="shared" ref="Y511:AC511" si="514">TRIM(SUBSTITUTE(SUBSTITUTE(OFFSET(#REF!,0,COLUMN()-COLUMN($AL$1)),CHAR(160)," "),_xludf.UNICHAR(8239)," "))</f>
        <v>#REF!</v>
      </c>
      <c r="Z511" s="58" t="str">
        <f t="shared" si="514"/>
        <v>#REF!</v>
      </c>
      <c r="AA511" s="58" t="str">
        <f t="shared" si="514"/>
        <v>#REF!</v>
      </c>
      <c r="AB511" s="58" t="str">
        <f t="shared" si="514"/>
        <v>#REF!</v>
      </c>
      <c r="AC511" s="58" t="str">
        <f t="shared" si="514"/>
        <v>#REF!</v>
      </c>
      <c r="AD511" s="57">
        <f t="shared" si="501"/>
        <v>1</v>
      </c>
      <c r="AE511" s="57" t="str">
        <f t="shared" si="502"/>
        <v>2026-05</v>
      </c>
      <c r="AF511" s="57">
        <f t="shared" si="6"/>
        <v>1</v>
      </c>
      <c r="AG511" s="59">
        <f t="shared" si="7"/>
        <v>1</v>
      </c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</row>
    <row r="512" ht="24.0" customHeight="1">
      <c r="A512" s="45">
        <v>16.0</v>
      </c>
      <c r="B512" s="74" t="s">
        <v>1898</v>
      </c>
      <c r="C512" s="55" t="s">
        <v>1884</v>
      </c>
      <c r="D512" s="75"/>
      <c r="E512" s="57">
        <v>4.45743255E8</v>
      </c>
      <c r="F512" s="76">
        <v>44718.0</v>
      </c>
      <c r="G512" s="77">
        <v>4.0</v>
      </c>
      <c r="H512" s="78" t="str">
        <f t="shared" si="495"/>
        <v>0-5</v>
      </c>
      <c r="I512" s="79" t="s">
        <v>86</v>
      </c>
      <c r="J512" s="80" t="str">
        <f t="shared" si="496"/>
        <v>female</v>
      </c>
      <c r="K512" s="58">
        <v>5.97727768E8</v>
      </c>
      <c r="L512" s="55" t="s">
        <v>34</v>
      </c>
      <c r="M512" s="57" t="s">
        <v>133</v>
      </c>
      <c r="N512" s="55" t="s">
        <v>90</v>
      </c>
      <c r="O512" s="55"/>
      <c r="P512" s="55" t="s">
        <v>91</v>
      </c>
      <c r="Q512" s="55" t="s">
        <v>16</v>
      </c>
      <c r="R512" s="55"/>
      <c r="S512" s="55"/>
      <c r="T512" s="82"/>
      <c r="U512" s="82"/>
      <c r="V512" s="57"/>
      <c r="W512" s="57"/>
      <c r="X512" s="57" t="str">
        <f t="shared" si="499"/>
        <v>--505-05-05</v>
      </c>
      <c r="Y512" s="58" t="str">
        <f t="shared" ref="Y512:AC512" si="515">TRIM(SUBSTITUTE(SUBSTITUTE(OFFSET(#REF!,0,COLUMN()-COLUMN($AL$1)),CHAR(160)," "),_xludf.UNICHAR(8239)," "))</f>
        <v>#REF!</v>
      </c>
      <c r="Z512" s="58" t="str">
        <f t="shared" si="515"/>
        <v>#REF!</v>
      </c>
      <c r="AA512" s="58" t="str">
        <f t="shared" si="515"/>
        <v>#REF!</v>
      </c>
      <c r="AB512" s="58" t="str">
        <f t="shared" si="515"/>
        <v>#REF!</v>
      </c>
      <c r="AC512" s="58" t="str">
        <f t="shared" si="515"/>
        <v>#REF!</v>
      </c>
      <c r="AD512" s="57">
        <f t="shared" si="501"/>
        <v>1</v>
      </c>
      <c r="AE512" s="57" t="str">
        <f t="shared" si="502"/>
        <v>2026-05</v>
      </c>
      <c r="AF512" s="57">
        <f t="shared" si="6"/>
        <v>1</v>
      </c>
      <c r="AG512" s="59">
        <f t="shared" si="7"/>
        <v>1</v>
      </c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</row>
    <row r="513" ht="24.0" customHeight="1">
      <c r="A513" s="45">
        <v>17.0</v>
      </c>
      <c r="B513" s="74" t="s">
        <v>1899</v>
      </c>
      <c r="C513" s="55" t="s">
        <v>1884</v>
      </c>
      <c r="D513" s="75" t="s">
        <v>757</v>
      </c>
      <c r="E513" s="57">
        <v>4.08665032E8</v>
      </c>
      <c r="F513" s="76">
        <v>37666.0</v>
      </c>
      <c r="G513" s="77">
        <v>23.0</v>
      </c>
      <c r="H513" s="78" t="str">
        <f t="shared" si="495"/>
        <v>19-60</v>
      </c>
      <c r="I513" s="79" t="s">
        <v>86</v>
      </c>
      <c r="J513" s="80" t="str">
        <f t="shared" si="496"/>
        <v>female</v>
      </c>
      <c r="K513" s="58">
        <v>5.97508736E8</v>
      </c>
      <c r="L513" s="55" t="s">
        <v>34</v>
      </c>
      <c r="M513" s="83" t="s">
        <v>89</v>
      </c>
      <c r="N513" s="55" t="s">
        <v>90</v>
      </c>
      <c r="O513" s="55"/>
      <c r="P513" s="55" t="s">
        <v>91</v>
      </c>
      <c r="Q513" s="55" t="s">
        <v>16</v>
      </c>
      <c r="R513" s="55"/>
      <c r="S513" s="55"/>
      <c r="T513" s="82"/>
      <c r="U513" s="82"/>
      <c r="V513" s="57"/>
      <c r="W513" s="57"/>
      <c r="X513" s="57" t="str">
        <f t="shared" si="499"/>
        <v>--506-05-05</v>
      </c>
      <c r="Y513" s="58" t="str">
        <f t="shared" ref="Y513:AC513" si="516">TRIM(SUBSTITUTE(SUBSTITUTE(OFFSET(#REF!,0,COLUMN()-COLUMN($AL$1)),CHAR(160)," "),_xludf.UNICHAR(8239)," "))</f>
        <v>#REF!</v>
      </c>
      <c r="Z513" s="58" t="str">
        <f t="shared" si="516"/>
        <v>#REF!</v>
      </c>
      <c r="AA513" s="58" t="str">
        <f t="shared" si="516"/>
        <v>#REF!</v>
      </c>
      <c r="AB513" s="58" t="str">
        <f t="shared" si="516"/>
        <v>#REF!</v>
      </c>
      <c r="AC513" s="58" t="str">
        <f t="shared" si="516"/>
        <v>#REF!</v>
      </c>
      <c r="AD513" s="57">
        <f t="shared" si="501"/>
        <v>1</v>
      </c>
      <c r="AE513" s="57" t="str">
        <f t="shared" si="502"/>
        <v>2026-05</v>
      </c>
      <c r="AF513" s="57">
        <f t="shared" si="6"/>
        <v>1</v>
      </c>
      <c r="AG513" s="59">
        <f t="shared" si="7"/>
        <v>1</v>
      </c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</row>
    <row r="514" ht="24.0" customHeight="1">
      <c r="A514" s="45">
        <v>18.0</v>
      </c>
      <c r="B514" s="74" t="s">
        <v>1900</v>
      </c>
      <c r="C514" s="55" t="s">
        <v>1884</v>
      </c>
      <c r="D514" s="75">
        <v>0.0</v>
      </c>
      <c r="E514" s="57">
        <v>4.70841453E8</v>
      </c>
      <c r="F514" s="76">
        <v>45892.0</v>
      </c>
      <c r="G514" s="55">
        <v>1.0</v>
      </c>
      <c r="H514" s="78" t="str">
        <f t="shared" si="495"/>
        <v>0-5</v>
      </c>
      <c r="I514" s="79" t="s">
        <v>86</v>
      </c>
      <c r="J514" s="80" t="str">
        <f t="shared" si="496"/>
        <v>female</v>
      </c>
      <c r="K514" s="58">
        <v>5.97508736E8</v>
      </c>
      <c r="L514" s="55" t="s">
        <v>34</v>
      </c>
      <c r="M514" s="57" t="s">
        <v>133</v>
      </c>
      <c r="N514" s="55" t="s">
        <v>90</v>
      </c>
      <c r="O514" s="55"/>
      <c r="P514" s="55" t="s">
        <v>91</v>
      </c>
      <c r="Q514" s="55" t="s">
        <v>16</v>
      </c>
      <c r="R514" s="55"/>
      <c r="S514" s="55"/>
      <c r="T514" s="82"/>
      <c r="U514" s="82"/>
      <c r="V514" s="57"/>
      <c r="W514" s="57"/>
      <c r="X514" s="57" t="str">
        <f t="shared" si="499"/>
        <v>--507-05-05</v>
      </c>
      <c r="Y514" s="58" t="str">
        <f t="shared" ref="Y514:AC514" si="517">TRIM(SUBSTITUTE(SUBSTITUTE(OFFSET(#REF!,0,COLUMN()-COLUMN($AL$1)),CHAR(160)," "),_xludf.UNICHAR(8239)," "))</f>
        <v>#REF!</v>
      </c>
      <c r="Z514" s="58" t="str">
        <f t="shared" si="517"/>
        <v>#REF!</v>
      </c>
      <c r="AA514" s="58" t="str">
        <f t="shared" si="517"/>
        <v>#REF!</v>
      </c>
      <c r="AB514" s="58" t="str">
        <f t="shared" si="517"/>
        <v>#REF!</v>
      </c>
      <c r="AC514" s="58" t="str">
        <f t="shared" si="517"/>
        <v>#REF!</v>
      </c>
      <c r="AD514" s="57">
        <f t="shared" si="501"/>
        <v>1</v>
      </c>
      <c r="AE514" s="57" t="str">
        <f t="shared" si="502"/>
        <v>2026-05</v>
      </c>
      <c r="AF514" s="57">
        <f t="shared" si="6"/>
        <v>1</v>
      </c>
      <c r="AG514" s="59">
        <f t="shared" si="7"/>
        <v>1</v>
      </c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</row>
    <row r="515" ht="24.0" customHeight="1">
      <c r="A515" s="45">
        <v>19.0</v>
      </c>
      <c r="B515" s="74" t="s">
        <v>1901</v>
      </c>
      <c r="C515" s="55" t="s">
        <v>1884</v>
      </c>
      <c r="D515" s="75"/>
      <c r="E515" s="57">
        <v>4.44501225E8</v>
      </c>
      <c r="F515" s="76">
        <v>45114.0</v>
      </c>
      <c r="G515" s="77">
        <v>3.0</v>
      </c>
      <c r="H515" s="78" t="str">
        <f t="shared" si="495"/>
        <v>0-5</v>
      </c>
      <c r="I515" s="79" t="s">
        <v>112</v>
      </c>
      <c r="J515" s="80" t="str">
        <f t="shared" si="496"/>
        <v>male</v>
      </c>
      <c r="K515" s="58">
        <v>5.99923991E8</v>
      </c>
      <c r="L515" s="55" t="s">
        <v>34</v>
      </c>
      <c r="M515" s="57" t="s">
        <v>133</v>
      </c>
      <c r="N515" s="55" t="s">
        <v>90</v>
      </c>
      <c r="O515" s="55"/>
      <c r="P515" s="55" t="s">
        <v>91</v>
      </c>
      <c r="Q515" s="55" t="s">
        <v>16</v>
      </c>
      <c r="R515" s="55"/>
      <c r="S515" s="55"/>
      <c r="T515" s="82"/>
      <c r="U515" s="82"/>
      <c r="V515" s="57"/>
      <c r="W515" s="57"/>
      <c r="X515" s="57" t="str">
        <f t="shared" si="499"/>
        <v>--508-05-05</v>
      </c>
      <c r="Y515" s="58" t="str">
        <f t="shared" ref="Y515:AC515" si="518">TRIM(SUBSTITUTE(SUBSTITUTE(OFFSET(#REF!,0,COLUMN()-COLUMN($AL$1)),CHAR(160)," "),_xludf.UNICHAR(8239)," "))</f>
        <v>#REF!</v>
      </c>
      <c r="Z515" s="58" t="str">
        <f t="shared" si="518"/>
        <v>#REF!</v>
      </c>
      <c r="AA515" s="58" t="str">
        <f t="shared" si="518"/>
        <v>#REF!</v>
      </c>
      <c r="AB515" s="58" t="str">
        <f t="shared" si="518"/>
        <v>#REF!</v>
      </c>
      <c r="AC515" s="58" t="str">
        <f t="shared" si="518"/>
        <v>#REF!</v>
      </c>
      <c r="AD515" s="57">
        <f t="shared" si="501"/>
        <v>1</v>
      </c>
      <c r="AE515" s="57" t="str">
        <f t="shared" si="502"/>
        <v>2026-05</v>
      </c>
      <c r="AF515" s="57">
        <f t="shared" si="6"/>
        <v>1</v>
      </c>
      <c r="AG515" s="59">
        <f t="shared" si="7"/>
        <v>1</v>
      </c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</row>
    <row r="516" ht="24.0" customHeight="1">
      <c r="A516" s="45">
        <v>20.0</v>
      </c>
      <c r="B516" s="74" t="s">
        <v>1902</v>
      </c>
      <c r="C516" s="55" t="s">
        <v>1884</v>
      </c>
      <c r="D516" s="75"/>
      <c r="E516" s="57">
        <v>4.03697246E8</v>
      </c>
      <c r="F516" s="76">
        <v>35811.0</v>
      </c>
      <c r="G516" s="77">
        <v>28.0</v>
      </c>
      <c r="H516" s="78" t="str">
        <f t="shared" si="495"/>
        <v>19-60</v>
      </c>
      <c r="I516" s="79" t="s">
        <v>86</v>
      </c>
      <c r="J516" s="80" t="str">
        <f t="shared" si="496"/>
        <v>female</v>
      </c>
      <c r="K516" s="58">
        <v>5.94348346E8</v>
      </c>
      <c r="L516" s="55" t="s">
        <v>34</v>
      </c>
      <c r="M516" s="83" t="s">
        <v>89</v>
      </c>
      <c r="N516" s="55" t="s">
        <v>90</v>
      </c>
      <c r="O516" s="55"/>
      <c r="P516" s="55" t="s">
        <v>91</v>
      </c>
      <c r="Q516" s="55" t="s">
        <v>16</v>
      </c>
      <c r="R516" s="55"/>
      <c r="S516" s="55"/>
      <c r="T516" s="82"/>
      <c r="U516" s="82"/>
      <c r="V516" s="57"/>
      <c r="W516" s="57"/>
      <c r="X516" s="57" t="str">
        <f t="shared" si="499"/>
        <v>--509-05-05</v>
      </c>
      <c r="Y516" s="58" t="str">
        <f t="shared" ref="Y516:AC516" si="519">TRIM(SUBSTITUTE(SUBSTITUTE(OFFSET(#REF!,0,COLUMN()-COLUMN($AL$1)),CHAR(160)," "),_xludf.UNICHAR(8239)," "))</f>
        <v>#REF!</v>
      </c>
      <c r="Z516" s="58" t="str">
        <f t="shared" si="519"/>
        <v>#REF!</v>
      </c>
      <c r="AA516" s="58" t="str">
        <f t="shared" si="519"/>
        <v>#REF!</v>
      </c>
      <c r="AB516" s="58" t="str">
        <f t="shared" si="519"/>
        <v>#REF!</v>
      </c>
      <c r="AC516" s="58" t="str">
        <f t="shared" si="519"/>
        <v>#REF!</v>
      </c>
      <c r="AD516" s="57">
        <f t="shared" si="501"/>
        <v>1</v>
      </c>
      <c r="AE516" s="57" t="str">
        <f t="shared" si="502"/>
        <v>2026-05</v>
      </c>
      <c r="AF516" s="57">
        <f t="shared" si="6"/>
        <v>1</v>
      </c>
      <c r="AG516" s="59">
        <f t="shared" si="7"/>
        <v>1</v>
      </c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</row>
    <row r="517" ht="24.0" customHeight="1">
      <c r="A517" s="45">
        <v>21.0</v>
      </c>
      <c r="B517" s="74" t="s">
        <v>1903</v>
      </c>
      <c r="C517" s="55" t="s">
        <v>1884</v>
      </c>
      <c r="D517" s="75"/>
      <c r="E517" s="57">
        <v>4.26407441E8</v>
      </c>
      <c r="F517" s="76">
        <v>40295.0</v>
      </c>
      <c r="G517" s="77">
        <v>16.0</v>
      </c>
      <c r="H517" s="78" t="str">
        <f t="shared" si="495"/>
        <v>6-18</v>
      </c>
      <c r="I517" s="79" t="s">
        <v>86</v>
      </c>
      <c r="J517" s="80" t="str">
        <f t="shared" si="496"/>
        <v>female</v>
      </c>
      <c r="K517" s="58">
        <v>5.92626473E8</v>
      </c>
      <c r="L517" s="55" t="s">
        <v>34</v>
      </c>
      <c r="M517" s="57" t="s">
        <v>133</v>
      </c>
      <c r="N517" s="55" t="s">
        <v>90</v>
      </c>
      <c r="O517" s="55"/>
      <c r="P517" s="55" t="s">
        <v>91</v>
      </c>
      <c r="Q517" s="55" t="s">
        <v>16</v>
      </c>
      <c r="R517" s="55"/>
      <c r="S517" s="55"/>
      <c r="T517" s="82"/>
      <c r="U517" s="82"/>
      <c r="V517" s="57"/>
      <c r="W517" s="57"/>
      <c r="X517" s="57" t="str">
        <f t="shared" si="499"/>
        <v>--510-05-05</v>
      </c>
      <c r="Y517" s="58" t="str">
        <f t="shared" ref="Y517:AC517" si="520">TRIM(SUBSTITUTE(SUBSTITUTE(OFFSET(#REF!,0,COLUMN()-COLUMN($AL$1)),CHAR(160)," "),_xludf.UNICHAR(8239)," "))</f>
        <v>#REF!</v>
      </c>
      <c r="Z517" s="58" t="str">
        <f t="shared" si="520"/>
        <v>#REF!</v>
      </c>
      <c r="AA517" s="58" t="str">
        <f t="shared" si="520"/>
        <v>#REF!</v>
      </c>
      <c r="AB517" s="58" t="str">
        <f t="shared" si="520"/>
        <v>#REF!</v>
      </c>
      <c r="AC517" s="58" t="str">
        <f t="shared" si="520"/>
        <v>#REF!</v>
      </c>
      <c r="AD517" s="57">
        <f t="shared" si="501"/>
        <v>1</v>
      </c>
      <c r="AE517" s="57" t="str">
        <f t="shared" si="502"/>
        <v>2026-05</v>
      </c>
      <c r="AF517" s="57">
        <f t="shared" si="6"/>
        <v>1</v>
      </c>
      <c r="AG517" s="59">
        <f t="shared" si="7"/>
        <v>1</v>
      </c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</row>
    <row r="518" ht="24.0" customHeight="1">
      <c r="A518" s="45">
        <v>22.0</v>
      </c>
      <c r="B518" s="74" t="s">
        <v>1904</v>
      </c>
      <c r="C518" s="55" t="s">
        <v>1884</v>
      </c>
      <c r="D518" s="75"/>
      <c r="E518" s="57">
        <v>9.06645452E8</v>
      </c>
      <c r="F518" s="76">
        <v>30076.0</v>
      </c>
      <c r="G518" s="77">
        <v>43.0</v>
      </c>
      <c r="H518" s="78" t="s">
        <v>85</v>
      </c>
      <c r="I518" s="79" t="s">
        <v>86</v>
      </c>
      <c r="J518" s="80" t="str">
        <f t="shared" si="496"/>
        <v>female</v>
      </c>
      <c r="K518" s="58">
        <v>5.93457486E8</v>
      </c>
      <c r="L518" s="55" t="s">
        <v>34</v>
      </c>
      <c r="M518" s="57" t="s">
        <v>89</v>
      </c>
      <c r="N518" s="55" t="s">
        <v>90</v>
      </c>
      <c r="O518" s="55"/>
      <c r="P518" s="55" t="s">
        <v>91</v>
      </c>
      <c r="Q518" s="55" t="s">
        <v>16</v>
      </c>
      <c r="R518" s="55"/>
      <c r="S518" s="55"/>
      <c r="T518" s="82"/>
      <c r="U518" s="82"/>
      <c r="V518" s="57"/>
      <c r="W518" s="57"/>
      <c r="X518" s="57" t="str">
        <f t="shared" si="499"/>
        <v>--511-05-05</v>
      </c>
      <c r="Y518" s="58" t="str">
        <f t="shared" ref="Y518:AC518" si="521">TRIM(SUBSTITUTE(SUBSTITUTE(OFFSET(#REF!,0,COLUMN()-COLUMN($AL$1)),CHAR(160)," "),_xludf.UNICHAR(8239)," "))</f>
        <v>#REF!</v>
      </c>
      <c r="Z518" s="58" t="str">
        <f t="shared" si="521"/>
        <v>#REF!</v>
      </c>
      <c r="AA518" s="58" t="str">
        <f t="shared" si="521"/>
        <v>#REF!</v>
      </c>
      <c r="AB518" s="58" t="str">
        <f t="shared" si="521"/>
        <v>#REF!</v>
      </c>
      <c r="AC518" s="58" t="str">
        <f t="shared" si="521"/>
        <v>#REF!</v>
      </c>
      <c r="AD518" s="57">
        <f t="shared" si="501"/>
        <v>1</v>
      </c>
      <c r="AE518" s="57" t="str">
        <f t="shared" si="502"/>
        <v>2026-05</v>
      </c>
      <c r="AF518" s="57">
        <f t="shared" si="6"/>
        <v>1</v>
      </c>
      <c r="AG518" s="59">
        <f t="shared" si="7"/>
        <v>1</v>
      </c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</row>
    <row r="519" ht="24.0" customHeight="1">
      <c r="A519" s="45">
        <v>23.0</v>
      </c>
      <c r="B519" s="74" t="s">
        <v>1905</v>
      </c>
      <c r="C519" s="55" t="s">
        <v>1884</v>
      </c>
      <c r="D519" s="75">
        <v>46139.0</v>
      </c>
      <c r="E519" s="57">
        <v>8.00720682E8</v>
      </c>
      <c r="F519" s="76">
        <v>32444.0</v>
      </c>
      <c r="G519" s="77">
        <v>38.0</v>
      </c>
      <c r="H519" s="78" t="s">
        <v>85</v>
      </c>
      <c r="I519" s="79" t="s">
        <v>86</v>
      </c>
      <c r="J519" s="80" t="str">
        <f t="shared" si="496"/>
        <v>female</v>
      </c>
      <c r="K519" s="58">
        <v>5.99635197E8</v>
      </c>
      <c r="L519" s="55" t="s">
        <v>34</v>
      </c>
      <c r="M519" s="57" t="s">
        <v>89</v>
      </c>
      <c r="N519" s="55" t="s">
        <v>90</v>
      </c>
      <c r="O519" s="55"/>
      <c r="P519" s="55" t="s">
        <v>91</v>
      </c>
      <c r="Q519" s="55"/>
      <c r="R519" s="55" t="s">
        <v>5</v>
      </c>
      <c r="S519" s="55"/>
      <c r="T519" s="82"/>
      <c r="U519" s="82" t="s">
        <v>7</v>
      </c>
      <c r="V519" s="57"/>
      <c r="W519" s="57"/>
      <c r="X519" s="57" t="str">
        <f t="shared" si="499"/>
        <v>--512-05-05</v>
      </c>
      <c r="Y519" s="58" t="str">
        <f t="shared" ref="Y519:AC519" si="522">TRIM(SUBSTITUTE(SUBSTITUTE(OFFSET(#REF!,0,COLUMN()-COLUMN($AL$1)),CHAR(160)," "),_xludf.UNICHAR(8239)," "))</f>
        <v>#REF!</v>
      </c>
      <c r="Z519" s="58" t="str">
        <f t="shared" si="522"/>
        <v>#REF!</v>
      </c>
      <c r="AA519" s="58" t="str">
        <f t="shared" si="522"/>
        <v>#REF!</v>
      </c>
      <c r="AB519" s="58" t="str">
        <f t="shared" si="522"/>
        <v>#REF!</v>
      </c>
      <c r="AC519" s="58" t="str">
        <f t="shared" si="522"/>
        <v>#REF!</v>
      </c>
      <c r="AD519" s="57">
        <f t="shared" si="501"/>
        <v>1</v>
      </c>
      <c r="AE519" s="57" t="str">
        <f t="shared" si="502"/>
        <v>2026-05</v>
      </c>
      <c r="AF519" s="57">
        <f t="shared" si="6"/>
        <v>1</v>
      </c>
      <c r="AG519" s="59">
        <f t="shared" si="7"/>
        <v>0</v>
      </c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</row>
    <row r="520" ht="24.0" customHeight="1">
      <c r="A520" s="45">
        <v>24.0</v>
      </c>
      <c r="B520" s="74" t="s">
        <v>1906</v>
      </c>
      <c r="C520" s="55" t="s">
        <v>1884</v>
      </c>
      <c r="D520" s="75"/>
      <c r="E520" s="57">
        <v>4.02542484E8</v>
      </c>
      <c r="F520" s="76">
        <v>36042.0</v>
      </c>
      <c r="G520" s="77">
        <v>28.0</v>
      </c>
      <c r="H520" s="78" t="str">
        <f t="shared" ref="H520:H533" si="524">IF(G520="","",IF(G520&lt;=5,"0-5",IF(G520&lt;=18,"6-18",IF(G520&lt;=60,"19-60","+60"))))</f>
        <v>19-60</v>
      </c>
      <c r="I520" s="79" t="s">
        <v>86</v>
      </c>
      <c r="J520" s="80" t="str">
        <f t="shared" si="496"/>
        <v>female</v>
      </c>
      <c r="K520" s="58">
        <v>5.95102309E8</v>
      </c>
      <c r="L520" s="55" t="s">
        <v>34</v>
      </c>
      <c r="M520" s="57" t="s">
        <v>89</v>
      </c>
      <c r="N520" s="55" t="s">
        <v>90</v>
      </c>
      <c r="O520" s="55"/>
      <c r="P520" s="55" t="s">
        <v>91</v>
      </c>
      <c r="Q520" s="55" t="s">
        <v>16</v>
      </c>
      <c r="R520" s="55"/>
      <c r="S520" s="55"/>
      <c r="T520" s="82"/>
      <c r="U520" s="82"/>
      <c r="V520" s="57"/>
      <c r="W520" s="57"/>
      <c r="X520" s="57" t="str">
        <f t="shared" si="499"/>
        <v>--513-05-05</v>
      </c>
      <c r="Y520" s="58" t="str">
        <f t="shared" ref="Y520:AC520" si="523">TRIM(SUBSTITUTE(SUBSTITUTE(OFFSET(#REF!,0,COLUMN()-COLUMN($AL$1)),CHAR(160)," "),_xludf.UNICHAR(8239)," "))</f>
        <v>#REF!</v>
      </c>
      <c r="Z520" s="58" t="str">
        <f t="shared" si="523"/>
        <v>#REF!</v>
      </c>
      <c r="AA520" s="58" t="str">
        <f t="shared" si="523"/>
        <v>#REF!</v>
      </c>
      <c r="AB520" s="58" t="str">
        <f t="shared" si="523"/>
        <v>#REF!</v>
      </c>
      <c r="AC520" s="58" t="str">
        <f t="shared" si="523"/>
        <v>#REF!</v>
      </c>
      <c r="AD520" s="57">
        <f t="shared" si="501"/>
        <v>1</v>
      </c>
      <c r="AE520" s="57" t="str">
        <f t="shared" si="502"/>
        <v>2026-05</v>
      </c>
      <c r="AF520" s="57">
        <f t="shared" si="6"/>
        <v>1</v>
      </c>
      <c r="AG520" s="59">
        <f t="shared" si="7"/>
        <v>1</v>
      </c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</row>
    <row r="521" ht="24.0" customHeight="1">
      <c r="A521" s="45">
        <v>25.0</v>
      </c>
      <c r="B521" s="74" t="s">
        <v>789</v>
      </c>
      <c r="C521" s="55" t="s">
        <v>1884</v>
      </c>
      <c r="D521" s="75">
        <v>46140.0</v>
      </c>
      <c r="E521" s="57">
        <v>9.26574971E8</v>
      </c>
      <c r="F521" s="76">
        <v>26677.0</v>
      </c>
      <c r="G521" s="77">
        <v>53.0</v>
      </c>
      <c r="H521" s="78" t="str">
        <f t="shared" si="524"/>
        <v>19-60</v>
      </c>
      <c r="I521" s="79" t="s">
        <v>86</v>
      </c>
      <c r="J521" s="80" t="str">
        <f t="shared" si="496"/>
        <v>female</v>
      </c>
      <c r="K521" s="58">
        <v>5.98078521E8</v>
      </c>
      <c r="L521" s="55" t="s">
        <v>34</v>
      </c>
      <c r="M521" s="57" t="s">
        <v>89</v>
      </c>
      <c r="N521" s="55" t="s">
        <v>90</v>
      </c>
      <c r="O521" s="55"/>
      <c r="P521" s="55" t="s">
        <v>91</v>
      </c>
      <c r="Q521" s="55" t="s">
        <v>16</v>
      </c>
      <c r="R521" s="55"/>
      <c r="S521" s="55"/>
      <c r="T521" s="82"/>
      <c r="U521" s="82"/>
      <c r="V521" s="57"/>
      <c r="W521" s="57"/>
      <c r="X521" s="57" t="str">
        <f t="shared" si="499"/>
        <v>--514-05-05</v>
      </c>
      <c r="Y521" s="58" t="str">
        <f t="shared" ref="Y521:AC521" si="525">TRIM(SUBSTITUTE(SUBSTITUTE(OFFSET(#REF!,0,COLUMN()-COLUMN($AL$1)),CHAR(160)," "),_xludf.UNICHAR(8239)," "))</f>
        <v>#REF!</v>
      </c>
      <c r="Z521" s="58" t="str">
        <f t="shared" si="525"/>
        <v>#REF!</v>
      </c>
      <c r="AA521" s="58" t="str">
        <f t="shared" si="525"/>
        <v>#REF!</v>
      </c>
      <c r="AB521" s="58" t="str">
        <f t="shared" si="525"/>
        <v>#REF!</v>
      </c>
      <c r="AC521" s="58" t="str">
        <f t="shared" si="525"/>
        <v>#REF!</v>
      </c>
      <c r="AD521" s="57">
        <f t="shared" si="501"/>
        <v>1</v>
      </c>
      <c r="AE521" s="57" t="str">
        <f t="shared" si="502"/>
        <v>2026-05</v>
      </c>
      <c r="AF521" s="57">
        <f t="shared" si="6"/>
        <v>1</v>
      </c>
      <c r="AG521" s="59">
        <f t="shared" si="7"/>
        <v>0</v>
      </c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</row>
    <row r="522" ht="24.0" customHeight="1">
      <c r="A522" s="45">
        <v>26.0</v>
      </c>
      <c r="B522" s="74" t="s">
        <v>1907</v>
      </c>
      <c r="C522" s="55" t="s">
        <v>1884</v>
      </c>
      <c r="D522" s="75"/>
      <c r="E522" s="57">
        <v>8.03892298E8</v>
      </c>
      <c r="F522" s="76">
        <v>34507.0</v>
      </c>
      <c r="G522" s="77">
        <v>32.0</v>
      </c>
      <c r="H522" s="78" t="str">
        <f t="shared" si="524"/>
        <v>19-60</v>
      </c>
      <c r="I522" s="79" t="s">
        <v>86</v>
      </c>
      <c r="J522" s="80" t="str">
        <f t="shared" si="496"/>
        <v>female</v>
      </c>
      <c r="K522" s="58">
        <v>5.97152085E8</v>
      </c>
      <c r="L522" s="55" t="s">
        <v>34</v>
      </c>
      <c r="M522" s="57" t="s">
        <v>89</v>
      </c>
      <c r="N522" s="55" t="s">
        <v>90</v>
      </c>
      <c r="O522" s="55"/>
      <c r="P522" s="55" t="s">
        <v>91</v>
      </c>
      <c r="Q522" s="55"/>
      <c r="R522" s="55" t="s">
        <v>5</v>
      </c>
      <c r="S522" s="55"/>
      <c r="T522" s="82"/>
      <c r="U522" s="82" t="s">
        <v>7</v>
      </c>
      <c r="V522" s="57"/>
      <c r="W522" s="57"/>
      <c r="X522" s="57" t="str">
        <f t="shared" si="499"/>
        <v>--515-05-05</v>
      </c>
      <c r="Y522" s="58" t="str">
        <f t="shared" ref="Y522:AC522" si="526">TRIM(SUBSTITUTE(SUBSTITUTE(OFFSET(#REF!,0,COLUMN()-COLUMN($AL$1)),CHAR(160)," "),_xludf.UNICHAR(8239)," "))</f>
        <v>#REF!</v>
      </c>
      <c r="Z522" s="58" t="str">
        <f t="shared" si="526"/>
        <v>#REF!</v>
      </c>
      <c r="AA522" s="58" t="str">
        <f t="shared" si="526"/>
        <v>#REF!</v>
      </c>
      <c r="AB522" s="58" t="str">
        <f t="shared" si="526"/>
        <v>#REF!</v>
      </c>
      <c r="AC522" s="58" t="str">
        <f t="shared" si="526"/>
        <v>#REF!</v>
      </c>
      <c r="AD522" s="57">
        <f t="shared" si="501"/>
        <v>1</v>
      </c>
      <c r="AE522" s="57" t="str">
        <f t="shared" si="502"/>
        <v>2026-05</v>
      </c>
      <c r="AF522" s="57">
        <f t="shared" si="6"/>
        <v>1</v>
      </c>
      <c r="AG522" s="59">
        <f t="shared" si="7"/>
        <v>1</v>
      </c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</row>
    <row r="523" ht="24.0" customHeight="1">
      <c r="A523" s="45">
        <v>27.0</v>
      </c>
      <c r="B523" s="74" t="s">
        <v>1908</v>
      </c>
      <c r="C523" s="55" t="s">
        <v>1884</v>
      </c>
      <c r="D523" s="75"/>
      <c r="E523" s="57">
        <v>4.35946595E8</v>
      </c>
      <c r="F523" s="76">
        <v>42053.0</v>
      </c>
      <c r="G523" s="77">
        <v>11.0</v>
      </c>
      <c r="H523" s="78" t="str">
        <f t="shared" si="524"/>
        <v>6-18</v>
      </c>
      <c r="I523" s="79" t="s">
        <v>86</v>
      </c>
      <c r="J523" s="80" t="str">
        <f t="shared" si="496"/>
        <v>female</v>
      </c>
      <c r="K523" s="58">
        <v>5.98078521E8</v>
      </c>
      <c r="L523" s="55" t="s">
        <v>34</v>
      </c>
      <c r="M523" s="57" t="s">
        <v>133</v>
      </c>
      <c r="N523" s="55" t="s">
        <v>90</v>
      </c>
      <c r="O523" s="55"/>
      <c r="P523" s="55" t="s">
        <v>91</v>
      </c>
      <c r="Q523" s="55" t="s">
        <v>16</v>
      </c>
      <c r="R523" s="55"/>
      <c r="S523" s="55"/>
      <c r="T523" s="82"/>
      <c r="U523" s="82"/>
      <c r="V523" s="57"/>
      <c r="W523" s="57"/>
      <c r="X523" s="57" t="str">
        <f t="shared" si="499"/>
        <v>--516-05-05</v>
      </c>
      <c r="Y523" s="58" t="str">
        <f t="shared" ref="Y523:AC523" si="527">TRIM(SUBSTITUTE(SUBSTITUTE(OFFSET(#REF!,0,COLUMN()-COLUMN($AL$1)),CHAR(160)," "),_xludf.UNICHAR(8239)," "))</f>
        <v>#REF!</v>
      </c>
      <c r="Z523" s="58" t="str">
        <f t="shared" si="527"/>
        <v>#REF!</v>
      </c>
      <c r="AA523" s="58" t="str">
        <f t="shared" si="527"/>
        <v>#REF!</v>
      </c>
      <c r="AB523" s="58" t="str">
        <f t="shared" si="527"/>
        <v>#REF!</v>
      </c>
      <c r="AC523" s="58" t="str">
        <f t="shared" si="527"/>
        <v>#REF!</v>
      </c>
      <c r="AD523" s="57">
        <f t="shared" si="501"/>
        <v>1</v>
      </c>
      <c r="AE523" s="57" t="str">
        <f t="shared" si="502"/>
        <v>2026-05</v>
      </c>
      <c r="AF523" s="57">
        <f t="shared" si="6"/>
        <v>1</v>
      </c>
      <c r="AG523" s="59">
        <f t="shared" si="7"/>
        <v>1</v>
      </c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</row>
    <row r="524" ht="24.0" customHeight="1">
      <c r="A524" s="45">
        <v>28.0</v>
      </c>
      <c r="B524" s="74" t="s">
        <v>1909</v>
      </c>
      <c r="C524" s="55" t="s">
        <v>1884</v>
      </c>
      <c r="D524" s="75"/>
      <c r="E524" s="57">
        <v>8.02748301E8</v>
      </c>
      <c r="F524" s="76">
        <v>33521.0</v>
      </c>
      <c r="G524" s="77">
        <v>35.0</v>
      </c>
      <c r="H524" s="78" t="str">
        <f t="shared" si="524"/>
        <v>19-60</v>
      </c>
      <c r="I524" s="79" t="s">
        <v>86</v>
      </c>
      <c r="J524" s="80" t="str">
        <f t="shared" si="496"/>
        <v>female</v>
      </c>
      <c r="K524" s="58">
        <v>5.9212911E8</v>
      </c>
      <c r="L524" s="55" t="s">
        <v>34</v>
      </c>
      <c r="M524" s="57" t="s">
        <v>89</v>
      </c>
      <c r="N524" s="55" t="s">
        <v>90</v>
      </c>
      <c r="O524" s="55"/>
      <c r="P524" s="55" t="s">
        <v>91</v>
      </c>
      <c r="Q524" s="55"/>
      <c r="R524" s="55" t="s">
        <v>5</v>
      </c>
      <c r="S524" s="55"/>
      <c r="T524" s="82"/>
      <c r="U524" s="82" t="s">
        <v>7</v>
      </c>
      <c r="V524" s="57"/>
      <c r="W524" s="57"/>
      <c r="X524" s="57" t="str">
        <f t="shared" si="499"/>
        <v>--517-05-05</v>
      </c>
      <c r="Y524" s="58" t="str">
        <f t="shared" ref="Y524:AC524" si="528">TRIM(SUBSTITUTE(SUBSTITUTE(OFFSET(#REF!,0,COLUMN()-COLUMN($AL$1)),CHAR(160)," "),_xludf.UNICHAR(8239)," "))</f>
        <v>#REF!</v>
      </c>
      <c r="Z524" s="58" t="str">
        <f t="shared" si="528"/>
        <v>#REF!</v>
      </c>
      <c r="AA524" s="58" t="str">
        <f t="shared" si="528"/>
        <v>#REF!</v>
      </c>
      <c r="AB524" s="58" t="str">
        <f t="shared" si="528"/>
        <v>#REF!</v>
      </c>
      <c r="AC524" s="58" t="str">
        <f t="shared" si="528"/>
        <v>#REF!</v>
      </c>
      <c r="AD524" s="57">
        <f t="shared" si="501"/>
        <v>1</v>
      </c>
      <c r="AE524" s="57" t="str">
        <f t="shared" si="502"/>
        <v>2026-05</v>
      </c>
      <c r="AF524" s="57">
        <f t="shared" si="6"/>
        <v>1</v>
      </c>
      <c r="AG524" s="59">
        <f t="shared" si="7"/>
        <v>1</v>
      </c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</row>
    <row r="525" ht="24.0" customHeight="1">
      <c r="A525" s="45">
        <v>29.0</v>
      </c>
      <c r="B525" s="74" t="s">
        <v>1910</v>
      </c>
      <c r="C525" s="55" t="s">
        <v>1884</v>
      </c>
      <c r="D525" s="75"/>
      <c r="E525" s="57">
        <v>4.70615691E8</v>
      </c>
      <c r="F525" s="76">
        <v>45750.0</v>
      </c>
      <c r="G525" s="55">
        <v>1.0</v>
      </c>
      <c r="H525" s="78" t="str">
        <f t="shared" si="524"/>
        <v>0-5</v>
      </c>
      <c r="I525" s="79" t="s">
        <v>112</v>
      </c>
      <c r="J525" s="80" t="str">
        <f t="shared" si="496"/>
        <v>male</v>
      </c>
      <c r="K525" s="58">
        <v>5.9802723E8</v>
      </c>
      <c r="L525" s="55" t="s">
        <v>34</v>
      </c>
      <c r="M525" s="57" t="s">
        <v>133</v>
      </c>
      <c r="N525" s="55" t="s">
        <v>90</v>
      </c>
      <c r="O525" s="55"/>
      <c r="P525" s="55" t="s">
        <v>91</v>
      </c>
      <c r="Q525" s="55" t="s">
        <v>16</v>
      </c>
      <c r="R525" s="55"/>
      <c r="S525" s="55"/>
      <c r="T525" s="82"/>
      <c r="U525" s="82"/>
      <c r="V525" s="57"/>
      <c r="W525" s="57"/>
      <c r="X525" s="57" t="str">
        <f t="shared" si="499"/>
        <v>--518-05-05</v>
      </c>
      <c r="Y525" s="58" t="str">
        <f t="shared" ref="Y525:AC525" si="529">TRIM(SUBSTITUTE(SUBSTITUTE(OFFSET(#REF!,0,COLUMN()-COLUMN($AL$1)),CHAR(160)," "),_xludf.UNICHAR(8239)," "))</f>
        <v>#REF!</v>
      </c>
      <c r="Z525" s="58" t="str">
        <f t="shared" si="529"/>
        <v>#REF!</v>
      </c>
      <c r="AA525" s="58" t="str">
        <f t="shared" si="529"/>
        <v>#REF!</v>
      </c>
      <c r="AB525" s="58" t="str">
        <f t="shared" si="529"/>
        <v>#REF!</v>
      </c>
      <c r="AC525" s="58" t="str">
        <f t="shared" si="529"/>
        <v>#REF!</v>
      </c>
      <c r="AD525" s="57">
        <f t="shared" si="501"/>
        <v>1</v>
      </c>
      <c r="AE525" s="57" t="str">
        <f t="shared" si="502"/>
        <v>2026-05</v>
      </c>
      <c r="AF525" s="57">
        <f t="shared" si="6"/>
        <v>1</v>
      </c>
      <c r="AG525" s="59">
        <f t="shared" si="7"/>
        <v>1</v>
      </c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</row>
    <row r="526" ht="24.0" customHeight="1">
      <c r="A526" s="45">
        <v>30.0</v>
      </c>
      <c r="B526" s="74" t="s">
        <v>1911</v>
      </c>
      <c r="C526" s="55" t="s">
        <v>1884</v>
      </c>
      <c r="D526" s="75"/>
      <c r="E526" s="57">
        <v>8.02471177E8</v>
      </c>
      <c r="F526" s="76">
        <v>33104.0</v>
      </c>
      <c r="G526" s="77">
        <v>36.0</v>
      </c>
      <c r="H526" s="78" t="str">
        <f t="shared" si="524"/>
        <v>19-60</v>
      </c>
      <c r="I526" s="79" t="s">
        <v>86</v>
      </c>
      <c r="J526" s="80" t="str">
        <f t="shared" si="496"/>
        <v>female</v>
      </c>
      <c r="K526" s="58">
        <v>5.99021657E8</v>
      </c>
      <c r="L526" s="55" t="s">
        <v>34</v>
      </c>
      <c r="M526" s="57" t="s">
        <v>89</v>
      </c>
      <c r="N526" s="55" t="s">
        <v>90</v>
      </c>
      <c r="O526" s="55"/>
      <c r="P526" s="55" t="s">
        <v>91</v>
      </c>
      <c r="Q526" s="55"/>
      <c r="R526" s="55" t="s">
        <v>5</v>
      </c>
      <c r="S526" s="55"/>
      <c r="T526" s="82"/>
      <c r="U526" s="82" t="s">
        <v>7</v>
      </c>
      <c r="V526" s="57"/>
      <c r="W526" s="57"/>
      <c r="X526" s="57" t="str">
        <f t="shared" si="499"/>
        <v>--519-05-05</v>
      </c>
      <c r="Y526" s="58" t="str">
        <f t="shared" ref="Y526:AC526" si="530">TRIM(SUBSTITUTE(SUBSTITUTE(OFFSET(#REF!,0,COLUMN()-COLUMN($AL$1)),CHAR(160)," "),_xludf.UNICHAR(8239)," "))</f>
        <v>#REF!</v>
      </c>
      <c r="Z526" s="58" t="str">
        <f t="shared" si="530"/>
        <v>#REF!</v>
      </c>
      <c r="AA526" s="58" t="str">
        <f t="shared" si="530"/>
        <v>#REF!</v>
      </c>
      <c r="AB526" s="58" t="str">
        <f t="shared" si="530"/>
        <v>#REF!</v>
      </c>
      <c r="AC526" s="58" t="str">
        <f t="shared" si="530"/>
        <v>#REF!</v>
      </c>
      <c r="AD526" s="57">
        <f t="shared" si="501"/>
        <v>1</v>
      </c>
      <c r="AE526" s="57" t="str">
        <f t="shared" si="502"/>
        <v>2026-05</v>
      </c>
      <c r="AF526" s="57">
        <f t="shared" si="6"/>
        <v>1</v>
      </c>
      <c r="AG526" s="59">
        <f t="shared" si="7"/>
        <v>1</v>
      </c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</row>
    <row r="527" ht="24.0" customHeight="1">
      <c r="A527" s="45">
        <v>31.0</v>
      </c>
      <c r="B527" s="74" t="s">
        <v>1912</v>
      </c>
      <c r="C527" s="55" t="s">
        <v>1884</v>
      </c>
      <c r="D527" s="75"/>
      <c r="E527" s="57">
        <v>4.4428831E8</v>
      </c>
      <c r="F527" s="76">
        <v>45500.0</v>
      </c>
      <c r="G527" s="77">
        <v>2.0</v>
      </c>
      <c r="H527" s="78" t="str">
        <f t="shared" si="524"/>
        <v>0-5</v>
      </c>
      <c r="I527" s="79" t="s">
        <v>86</v>
      </c>
      <c r="J527" s="80" t="str">
        <f t="shared" si="496"/>
        <v>female</v>
      </c>
      <c r="K527" s="58">
        <v>5.99413434E8</v>
      </c>
      <c r="L527" s="55" t="s">
        <v>34</v>
      </c>
      <c r="M527" s="57" t="s">
        <v>133</v>
      </c>
      <c r="N527" s="55" t="s">
        <v>90</v>
      </c>
      <c r="O527" s="55"/>
      <c r="P527" s="55" t="s">
        <v>91</v>
      </c>
      <c r="Q527" s="55" t="s">
        <v>16</v>
      </c>
      <c r="R527" s="55"/>
      <c r="S527" s="55"/>
      <c r="T527" s="82"/>
      <c r="U527" s="82"/>
      <c r="V527" s="57"/>
      <c r="W527" s="57"/>
      <c r="X527" s="57" t="str">
        <f t="shared" si="499"/>
        <v>--520-05-05</v>
      </c>
      <c r="Y527" s="58" t="str">
        <f t="shared" ref="Y527:AC527" si="531">TRIM(SUBSTITUTE(SUBSTITUTE(OFFSET(#REF!,0,COLUMN()-COLUMN($AL$1)),CHAR(160)," "),_xludf.UNICHAR(8239)," "))</f>
        <v>#REF!</v>
      </c>
      <c r="Z527" s="58" t="str">
        <f t="shared" si="531"/>
        <v>#REF!</v>
      </c>
      <c r="AA527" s="58" t="str">
        <f t="shared" si="531"/>
        <v>#REF!</v>
      </c>
      <c r="AB527" s="58" t="str">
        <f t="shared" si="531"/>
        <v>#REF!</v>
      </c>
      <c r="AC527" s="58" t="str">
        <f t="shared" si="531"/>
        <v>#REF!</v>
      </c>
      <c r="AD527" s="57">
        <f t="shared" si="501"/>
        <v>1</v>
      </c>
      <c r="AE527" s="57" t="str">
        <f t="shared" si="502"/>
        <v>2026-05</v>
      </c>
      <c r="AF527" s="57">
        <f t="shared" si="6"/>
        <v>1</v>
      </c>
      <c r="AG527" s="59">
        <f t="shared" si="7"/>
        <v>1</v>
      </c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</row>
    <row r="528" ht="24.0" customHeight="1">
      <c r="A528" s="45">
        <v>32.0</v>
      </c>
      <c r="B528" s="74" t="s">
        <v>1913</v>
      </c>
      <c r="C528" s="55" t="s">
        <v>1884</v>
      </c>
      <c r="D528" s="75"/>
      <c r="E528" s="57">
        <v>4.70502923E8</v>
      </c>
      <c r="F528" s="76">
        <v>45717.0</v>
      </c>
      <c r="G528" s="77">
        <v>1.0</v>
      </c>
      <c r="H528" s="78" t="str">
        <f t="shared" si="524"/>
        <v>0-5</v>
      </c>
      <c r="I528" s="79" t="s">
        <v>86</v>
      </c>
      <c r="J528" s="80" t="str">
        <f t="shared" si="496"/>
        <v>female</v>
      </c>
      <c r="K528" s="58">
        <v>5.98773481E8</v>
      </c>
      <c r="L528" s="55" t="s">
        <v>34</v>
      </c>
      <c r="M528" s="57" t="s">
        <v>133</v>
      </c>
      <c r="N528" s="55" t="s">
        <v>90</v>
      </c>
      <c r="O528" s="55"/>
      <c r="P528" s="55" t="s">
        <v>91</v>
      </c>
      <c r="Q528" s="55" t="s">
        <v>16</v>
      </c>
      <c r="R528" s="55"/>
      <c r="S528" s="55"/>
      <c r="T528" s="82"/>
      <c r="U528" s="82"/>
      <c r="V528" s="57"/>
      <c r="W528" s="57"/>
      <c r="X528" s="57" t="str">
        <f t="shared" si="499"/>
        <v>--521-05-05</v>
      </c>
      <c r="Y528" s="58" t="str">
        <f t="shared" ref="Y528:AC528" si="532">TRIM(SUBSTITUTE(SUBSTITUTE(OFFSET(#REF!,0,COLUMN()-COLUMN($AL$1)),CHAR(160)," "),_xludf.UNICHAR(8239)," "))</f>
        <v>#REF!</v>
      </c>
      <c r="Z528" s="58" t="str">
        <f t="shared" si="532"/>
        <v>#REF!</v>
      </c>
      <c r="AA528" s="58" t="str">
        <f t="shared" si="532"/>
        <v>#REF!</v>
      </c>
      <c r="AB528" s="58" t="str">
        <f t="shared" si="532"/>
        <v>#REF!</v>
      </c>
      <c r="AC528" s="58" t="str">
        <f t="shared" si="532"/>
        <v>#REF!</v>
      </c>
      <c r="AD528" s="57">
        <f t="shared" si="501"/>
        <v>1</v>
      </c>
      <c r="AE528" s="57" t="str">
        <f t="shared" si="502"/>
        <v>2026-05</v>
      </c>
      <c r="AF528" s="57">
        <f t="shared" si="6"/>
        <v>1</v>
      </c>
      <c r="AG528" s="59">
        <f t="shared" si="7"/>
        <v>1</v>
      </c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</row>
    <row r="529" ht="24.0" customHeight="1">
      <c r="A529" s="45">
        <v>33.0</v>
      </c>
      <c r="B529" s="74" t="s">
        <v>1914</v>
      </c>
      <c r="C529" s="55" t="s">
        <v>1884</v>
      </c>
      <c r="D529" s="75"/>
      <c r="E529" s="57">
        <v>4.08522043E8</v>
      </c>
      <c r="F529" s="76">
        <v>37514.0</v>
      </c>
      <c r="G529" s="77">
        <v>24.0</v>
      </c>
      <c r="H529" s="78" t="str">
        <f t="shared" si="524"/>
        <v>19-60</v>
      </c>
      <c r="I529" s="79" t="s">
        <v>86</v>
      </c>
      <c r="J529" s="80" t="str">
        <f t="shared" si="496"/>
        <v>female</v>
      </c>
      <c r="K529" s="58">
        <v>5.98773481E8</v>
      </c>
      <c r="L529" s="55" t="s">
        <v>34</v>
      </c>
      <c r="M529" s="57" t="s">
        <v>89</v>
      </c>
      <c r="N529" s="55" t="s">
        <v>90</v>
      </c>
      <c r="O529" s="55"/>
      <c r="P529" s="55" t="s">
        <v>91</v>
      </c>
      <c r="Q529" s="55" t="s">
        <v>4</v>
      </c>
      <c r="R529" s="55"/>
      <c r="S529" s="55"/>
      <c r="T529" s="82"/>
      <c r="U529" s="82"/>
      <c r="V529" s="57"/>
      <c r="W529" s="57"/>
      <c r="X529" s="57" t="str">
        <f t="shared" si="499"/>
        <v>--522-05-05</v>
      </c>
      <c r="Y529" s="58" t="str">
        <f t="shared" ref="Y529:AC529" si="533">TRIM(SUBSTITUTE(SUBSTITUTE(OFFSET(#REF!,0,COLUMN()-COLUMN($AL$1)),CHAR(160)," "),_xludf.UNICHAR(8239)," "))</f>
        <v>#REF!</v>
      </c>
      <c r="Z529" s="58" t="str">
        <f t="shared" si="533"/>
        <v>#REF!</v>
      </c>
      <c r="AA529" s="58" t="str">
        <f t="shared" si="533"/>
        <v>#REF!</v>
      </c>
      <c r="AB529" s="58" t="str">
        <f t="shared" si="533"/>
        <v>#REF!</v>
      </c>
      <c r="AC529" s="58" t="str">
        <f t="shared" si="533"/>
        <v>#REF!</v>
      </c>
      <c r="AD529" s="57">
        <f t="shared" si="501"/>
        <v>1</v>
      </c>
      <c r="AE529" s="57" t="str">
        <f t="shared" si="502"/>
        <v>2026-05</v>
      </c>
      <c r="AF529" s="57">
        <f t="shared" si="6"/>
        <v>1</v>
      </c>
      <c r="AG529" s="59">
        <f t="shared" si="7"/>
        <v>1</v>
      </c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</row>
    <row r="530" ht="24.0" customHeight="1">
      <c r="A530" s="45">
        <v>34.0</v>
      </c>
      <c r="B530" s="74" t="s">
        <v>1915</v>
      </c>
      <c r="C530" s="55" t="s">
        <v>1884</v>
      </c>
      <c r="D530" s="75"/>
      <c r="E530" s="57">
        <v>4.04013773E8</v>
      </c>
      <c r="F530" s="76">
        <v>36166.0</v>
      </c>
      <c r="G530" s="77">
        <v>27.0</v>
      </c>
      <c r="H530" s="78" t="str">
        <f t="shared" si="524"/>
        <v>19-60</v>
      </c>
      <c r="I530" s="79" t="s">
        <v>86</v>
      </c>
      <c r="J530" s="80" t="str">
        <f t="shared" si="496"/>
        <v>female</v>
      </c>
      <c r="K530" s="58">
        <v>5.94332717E8</v>
      </c>
      <c r="L530" s="55" t="s">
        <v>34</v>
      </c>
      <c r="M530" s="57" t="s">
        <v>89</v>
      </c>
      <c r="N530" s="55" t="s">
        <v>90</v>
      </c>
      <c r="O530" s="55"/>
      <c r="P530" s="55" t="s">
        <v>91</v>
      </c>
      <c r="Q530" s="55"/>
      <c r="R530" s="55" t="s">
        <v>5</v>
      </c>
      <c r="S530" s="55"/>
      <c r="T530" s="82"/>
      <c r="U530" s="82" t="s">
        <v>7</v>
      </c>
      <c r="V530" s="57"/>
      <c r="W530" s="57"/>
      <c r="X530" s="57" t="str">
        <f t="shared" si="499"/>
        <v>--523-05-05</v>
      </c>
      <c r="Y530" s="58" t="str">
        <f t="shared" ref="Y530:AC530" si="534">TRIM(SUBSTITUTE(SUBSTITUTE(OFFSET(#REF!,0,COLUMN()-COLUMN($AL$1)),CHAR(160)," "),_xludf.UNICHAR(8239)," "))</f>
        <v>#REF!</v>
      </c>
      <c r="Z530" s="58" t="str">
        <f t="shared" si="534"/>
        <v>#REF!</v>
      </c>
      <c r="AA530" s="58" t="str">
        <f t="shared" si="534"/>
        <v>#REF!</v>
      </c>
      <c r="AB530" s="58" t="str">
        <f t="shared" si="534"/>
        <v>#REF!</v>
      </c>
      <c r="AC530" s="58" t="str">
        <f t="shared" si="534"/>
        <v>#REF!</v>
      </c>
      <c r="AD530" s="57">
        <f t="shared" si="501"/>
        <v>1</v>
      </c>
      <c r="AE530" s="57" t="str">
        <f t="shared" si="502"/>
        <v>2026-05</v>
      </c>
      <c r="AF530" s="57">
        <f t="shared" si="6"/>
        <v>1</v>
      </c>
      <c r="AG530" s="59">
        <f t="shared" si="7"/>
        <v>1</v>
      </c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</row>
    <row r="531" ht="24.0" customHeight="1">
      <c r="A531" s="45">
        <v>35.0</v>
      </c>
      <c r="B531" s="74" t="s">
        <v>1916</v>
      </c>
      <c r="C531" s="55" t="s">
        <v>1884</v>
      </c>
      <c r="D531" s="75"/>
      <c r="E531" s="57">
        <v>8.0436357E8</v>
      </c>
      <c r="F531" s="76">
        <v>34445.0</v>
      </c>
      <c r="G531" s="77">
        <v>32.0</v>
      </c>
      <c r="H531" s="78" t="str">
        <f t="shared" si="524"/>
        <v>19-60</v>
      </c>
      <c r="I531" s="79" t="s">
        <v>112</v>
      </c>
      <c r="J531" s="80" t="str">
        <f t="shared" si="496"/>
        <v>male</v>
      </c>
      <c r="K531" s="58">
        <v>5.97791825E8</v>
      </c>
      <c r="L531" s="55" t="s">
        <v>34</v>
      </c>
      <c r="M531" s="57" t="s">
        <v>89</v>
      </c>
      <c r="N531" s="55" t="s">
        <v>90</v>
      </c>
      <c r="O531" s="55"/>
      <c r="P531" s="55" t="s">
        <v>91</v>
      </c>
      <c r="Q531" s="55" t="s">
        <v>4</v>
      </c>
      <c r="R531" s="55"/>
      <c r="S531" s="55"/>
      <c r="T531" s="82"/>
      <c r="U531" s="82"/>
      <c r="V531" s="57"/>
      <c r="W531" s="57"/>
      <c r="X531" s="57" t="str">
        <f t="shared" si="499"/>
        <v>--524-05-05</v>
      </c>
      <c r="Y531" s="58" t="str">
        <f t="shared" ref="Y531:AC531" si="535">TRIM(SUBSTITUTE(SUBSTITUTE(OFFSET(#REF!,0,COLUMN()-COLUMN($AL$1)),CHAR(160)," "),_xludf.UNICHAR(8239)," "))</f>
        <v>#REF!</v>
      </c>
      <c r="Z531" s="58" t="str">
        <f t="shared" si="535"/>
        <v>#REF!</v>
      </c>
      <c r="AA531" s="58" t="str">
        <f t="shared" si="535"/>
        <v>#REF!</v>
      </c>
      <c r="AB531" s="58" t="str">
        <f t="shared" si="535"/>
        <v>#REF!</v>
      </c>
      <c r="AC531" s="58" t="str">
        <f t="shared" si="535"/>
        <v>#REF!</v>
      </c>
      <c r="AD531" s="57">
        <f t="shared" si="501"/>
        <v>1</v>
      </c>
      <c r="AE531" s="57" t="str">
        <f t="shared" si="502"/>
        <v>2026-05</v>
      </c>
      <c r="AF531" s="57">
        <f t="shared" si="6"/>
        <v>1</v>
      </c>
      <c r="AG531" s="59">
        <f t="shared" si="7"/>
        <v>1</v>
      </c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</row>
    <row r="532" ht="24.0" customHeight="1">
      <c r="A532" s="45">
        <v>36.0</v>
      </c>
      <c r="B532" s="74" t="s">
        <v>1917</v>
      </c>
      <c r="C532" s="55" t="s">
        <v>1884</v>
      </c>
      <c r="D532" s="75"/>
      <c r="E532" s="57">
        <v>4.44377881E8</v>
      </c>
      <c r="F532" s="76">
        <v>45626.0</v>
      </c>
      <c r="G532" s="77">
        <v>2.0</v>
      </c>
      <c r="H532" s="78" t="str">
        <f t="shared" si="524"/>
        <v>0-5</v>
      </c>
      <c r="I532" s="79" t="s">
        <v>86</v>
      </c>
      <c r="J532" s="80" t="str">
        <f t="shared" si="496"/>
        <v>female</v>
      </c>
      <c r="K532" s="58">
        <v>5.97791825E8</v>
      </c>
      <c r="L532" s="55" t="s">
        <v>34</v>
      </c>
      <c r="M532" s="57" t="s">
        <v>133</v>
      </c>
      <c r="N532" s="55" t="s">
        <v>90</v>
      </c>
      <c r="O532" s="55"/>
      <c r="P532" s="55" t="s">
        <v>91</v>
      </c>
      <c r="Q532" s="55" t="s">
        <v>16</v>
      </c>
      <c r="R532" s="55"/>
      <c r="S532" s="55"/>
      <c r="T532" s="82"/>
      <c r="U532" s="82"/>
      <c r="V532" s="57"/>
      <c r="W532" s="57"/>
      <c r="X532" s="57" t="str">
        <f t="shared" si="499"/>
        <v>--525-05-05</v>
      </c>
      <c r="Y532" s="58" t="str">
        <f t="shared" ref="Y532:AC532" si="536">TRIM(SUBSTITUTE(SUBSTITUTE(OFFSET(#REF!,0,COLUMN()-COLUMN($AL$1)),CHAR(160)," "),_xludf.UNICHAR(8239)," "))</f>
        <v>#REF!</v>
      </c>
      <c r="Z532" s="58" t="str">
        <f t="shared" si="536"/>
        <v>#REF!</v>
      </c>
      <c r="AA532" s="58" t="str">
        <f t="shared" si="536"/>
        <v>#REF!</v>
      </c>
      <c r="AB532" s="58" t="str">
        <f t="shared" si="536"/>
        <v>#REF!</v>
      </c>
      <c r="AC532" s="58" t="str">
        <f t="shared" si="536"/>
        <v>#REF!</v>
      </c>
      <c r="AD532" s="57">
        <f t="shared" si="501"/>
        <v>1</v>
      </c>
      <c r="AE532" s="57" t="str">
        <f t="shared" si="502"/>
        <v>2026-05</v>
      </c>
      <c r="AF532" s="57">
        <f t="shared" si="6"/>
        <v>1</v>
      </c>
      <c r="AG532" s="59">
        <f t="shared" si="7"/>
        <v>1</v>
      </c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</row>
    <row r="533" ht="24.0" customHeight="1">
      <c r="A533" s="45">
        <v>37.0</v>
      </c>
      <c r="B533" s="74" t="s">
        <v>1918</v>
      </c>
      <c r="C533" s="55" t="s">
        <v>1884</v>
      </c>
      <c r="D533" s="75"/>
      <c r="E533" s="57">
        <v>4.0054029E8</v>
      </c>
      <c r="F533" s="76">
        <v>35285.0</v>
      </c>
      <c r="G533" s="77">
        <v>30.0</v>
      </c>
      <c r="H533" s="78" t="str">
        <f t="shared" si="524"/>
        <v>19-60</v>
      </c>
      <c r="I533" s="79" t="s">
        <v>86</v>
      </c>
      <c r="J533" s="80" t="str">
        <f t="shared" si="496"/>
        <v>female</v>
      </c>
      <c r="K533" s="58">
        <v>5.97762811E8</v>
      </c>
      <c r="L533" s="55" t="s">
        <v>34</v>
      </c>
      <c r="M533" s="57" t="s">
        <v>89</v>
      </c>
      <c r="N533" s="55" t="s">
        <v>90</v>
      </c>
      <c r="O533" s="55"/>
      <c r="P533" s="55" t="s">
        <v>91</v>
      </c>
      <c r="Q533" s="55"/>
      <c r="R533" s="55" t="s">
        <v>5</v>
      </c>
      <c r="S533" s="55"/>
      <c r="T533" s="82"/>
      <c r="U533" s="82" t="s">
        <v>7</v>
      </c>
      <c r="V533" s="57"/>
      <c r="W533" s="57"/>
      <c r="X533" s="57" t="str">
        <f t="shared" si="499"/>
        <v>--526-05-05</v>
      </c>
      <c r="Y533" s="58" t="str">
        <f t="shared" ref="Y533:AC533" si="537">TRIM(SUBSTITUTE(SUBSTITUTE(OFFSET(#REF!,0,COLUMN()-COLUMN($AL$1)),CHAR(160)," "),_xludf.UNICHAR(8239)," "))</f>
        <v>#REF!</v>
      </c>
      <c r="Z533" s="58" t="str">
        <f t="shared" si="537"/>
        <v>#REF!</v>
      </c>
      <c r="AA533" s="58" t="str">
        <f t="shared" si="537"/>
        <v>#REF!</v>
      </c>
      <c r="AB533" s="58" t="str">
        <f t="shared" si="537"/>
        <v>#REF!</v>
      </c>
      <c r="AC533" s="58" t="str">
        <f t="shared" si="537"/>
        <v>#REF!</v>
      </c>
      <c r="AD533" s="57">
        <f t="shared" si="501"/>
        <v>1</v>
      </c>
      <c r="AE533" s="57" t="str">
        <f t="shared" si="502"/>
        <v>2026-05</v>
      </c>
      <c r="AF533" s="57">
        <f t="shared" si="6"/>
        <v>1</v>
      </c>
      <c r="AG533" s="59">
        <f t="shared" si="7"/>
        <v>1</v>
      </c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</row>
    <row r="534" ht="24.0" customHeight="1">
      <c r="A534" s="45">
        <v>38.0</v>
      </c>
      <c r="B534" s="74" t="s">
        <v>1919</v>
      </c>
      <c r="C534" s="55" t="s">
        <v>1884</v>
      </c>
      <c r="D534" s="75"/>
      <c r="E534" s="57">
        <v>4.70217921E8</v>
      </c>
      <c r="F534" s="76">
        <v>45794.0</v>
      </c>
      <c r="G534" s="77">
        <v>1.0</v>
      </c>
      <c r="H534" s="78" t="s">
        <v>119</v>
      </c>
      <c r="I534" s="79" t="s">
        <v>86</v>
      </c>
      <c r="J534" s="80" t="str">
        <f t="shared" si="496"/>
        <v>female</v>
      </c>
      <c r="K534" s="58">
        <v>5.99086773E8</v>
      </c>
      <c r="L534" s="55" t="s">
        <v>34</v>
      </c>
      <c r="M534" s="57" t="s">
        <v>133</v>
      </c>
      <c r="N534" s="55" t="s">
        <v>90</v>
      </c>
      <c r="O534" s="55"/>
      <c r="P534" s="55" t="s">
        <v>91</v>
      </c>
      <c r="Q534" s="55" t="s">
        <v>16</v>
      </c>
      <c r="R534" s="55"/>
      <c r="S534" s="55"/>
      <c r="T534" s="82"/>
      <c r="U534" s="82"/>
      <c r="V534" s="57"/>
      <c r="W534" s="57"/>
      <c r="X534" s="57" t="str">
        <f t="shared" si="499"/>
        <v>--527-05-05</v>
      </c>
      <c r="Y534" s="58" t="str">
        <f t="shared" ref="Y534:AC534" si="538">TRIM(SUBSTITUTE(SUBSTITUTE(OFFSET(#REF!,0,COLUMN()-COLUMN($AL$1)),CHAR(160)," "),_xludf.UNICHAR(8239)," "))</f>
        <v>#REF!</v>
      </c>
      <c r="Z534" s="58" t="str">
        <f t="shared" si="538"/>
        <v>#REF!</v>
      </c>
      <c r="AA534" s="58" t="str">
        <f t="shared" si="538"/>
        <v>#REF!</v>
      </c>
      <c r="AB534" s="58" t="str">
        <f t="shared" si="538"/>
        <v>#REF!</v>
      </c>
      <c r="AC534" s="58" t="str">
        <f t="shared" si="538"/>
        <v>#REF!</v>
      </c>
      <c r="AD534" s="57">
        <f t="shared" si="501"/>
        <v>1</v>
      </c>
      <c r="AE534" s="57" t="str">
        <f t="shared" si="502"/>
        <v>2026-05</v>
      </c>
      <c r="AF534" s="57">
        <f t="shared" si="6"/>
        <v>1</v>
      </c>
      <c r="AG534" s="59">
        <f t="shared" si="7"/>
        <v>1</v>
      </c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</row>
    <row r="535" ht="24.0" customHeight="1">
      <c r="A535" s="45">
        <v>39.0</v>
      </c>
      <c r="B535" s="74" t="s">
        <v>1920</v>
      </c>
      <c r="C535" s="55" t="s">
        <v>1884</v>
      </c>
      <c r="D535" s="75"/>
      <c r="E535" s="57">
        <v>8.00508681E8</v>
      </c>
      <c r="F535" s="76">
        <v>31445.0</v>
      </c>
      <c r="G535" s="77">
        <v>40.0</v>
      </c>
      <c r="H535" s="78" t="str">
        <f t="shared" ref="H535:H572" si="540">IF(G535="","",IF(G535&lt;=5,"0-5",IF(G535&lt;=18,"6-18",IF(G535&lt;=60,"19-60","+60"))))</f>
        <v>19-60</v>
      </c>
      <c r="I535" s="79" t="s">
        <v>112</v>
      </c>
      <c r="J535" s="80" t="str">
        <f t="shared" si="496"/>
        <v>male</v>
      </c>
      <c r="K535" s="58">
        <v>5.99086773E8</v>
      </c>
      <c r="L535" s="55" t="s">
        <v>34</v>
      </c>
      <c r="M535" s="57" t="s">
        <v>89</v>
      </c>
      <c r="N535" s="55" t="s">
        <v>90</v>
      </c>
      <c r="O535" s="55"/>
      <c r="P535" s="55" t="s">
        <v>91</v>
      </c>
      <c r="Q535" s="55" t="s">
        <v>4</v>
      </c>
      <c r="R535" s="55"/>
      <c r="S535" s="55"/>
      <c r="T535" s="82"/>
      <c r="U535" s="82"/>
      <c r="V535" s="57"/>
      <c r="W535" s="57"/>
      <c r="X535" s="57" t="str">
        <f t="shared" si="499"/>
        <v>--528-05-05</v>
      </c>
      <c r="Y535" s="58" t="str">
        <f t="shared" ref="Y535:AC535" si="539">TRIM(SUBSTITUTE(SUBSTITUTE(OFFSET(#REF!,0,COLUMN()-COLUMN($AL$1)),CHAR(160)," "),_xludf.UNICHAR(8239)," "))</f>
        <v>#REF!</v>
      </c>
      <c r="Z535" s="58" t="str">
        <f t="shared" si="539"/>
        <v>#REF!</v>
      </c>
      <c r="AA535" s="58" t="str">
        <f t="shared" si="539"/>
        <v>#REF!</v>
      </c>
      <c r="AB535" s="58" t="str">
        <f t="shared" si="539"/>
        <v>#REF!</v>
      </c>
      <c r="AC535" s="58" t="str">
        <f t="shared" si="539"/>
        <v>#REF!</v>
      </c>
      <c r="AD535" s="57">
        <f t="shared" si="501"/>
        <v>1</v>
      </c>
      <c r="AE535" s="57" t="str">
        <f t="shared" si="502"/>
        <v>2026-05</v>
      </c>
      <c r="AF535" s="57">
        <f t="shared" si="6"/>
        <v>1</v>
      </c>
      <c r="AG535" s="59">
        <f t="shared" si="7"/>
        <v>1</v>
      </c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</row>
    <row r="536" ht="24.0" customHeight="1">
      <c r="A536" s="45">
        <v>40.0</v>
      </c>
      <c r="B536" s="74" t="s">
        <v>278</v>
      </c>
      <c r="C536" s="55" t="s">
        <v>1884</v>
      </c>
      <c r="D536" s="75">
        <v>46138.0</v>
      </c>
      <c r="E536" s="57">
        <v>8.03605088E8</v>
      </c>
      <c r="F536" s="76">
        <v>34268.0</v>
      </c>
      <c r="G536" s="77">
        <v>33.0</v>
      </c>
      <c r="H536" s="78" t="str">
        <f t="shared" si="540"/>
        <v>19-60</v>
      </c>
      <c r="I536" s="79" t="s">
        <v>86</v>
      </c>
      <c r="J536" s="80" t="str">
        <f t="shared" si="496"/>
        <v>female</v>
      </c>
      <c r="K536" s="58">
        <v>5.99530633E8</v>
      </c>
      <c r="L536" s="55" t="s">
        <v>34</v>
      </c>
      <c r="M536" s="57" t="s">
        <v>89</v>
      </c>
      <c r="N536" s="55" t="s">
        <v>90</v>
      </c>
      <c r="O536" s="55"/>
      <c r="P536" s="55" t="s">
        <v>91</v>
      </c>
      <c r="Q536" s="55"/>
      <c r="R536" s="55" t="s">
        <v>5</v>
      </c>
      <c r="S536" s="55"/>
      <c r="T536" s="82"/>
      <c r="U536" s="82" t="s">
        <v>7</v>
      </c>
      <c r="V536" s="57"/>
      <c r="W536" s="57"/>
      <c r="X536" s="57" t="str">
        <f t="shared" si="499"/>
        <v>--529-05-05</v>
      </c>
      <c r="Y536" s="58" t="str">
        <f t="shared" ref="Y536:AC536" si="541">TRIM(SUBSTITUTE(SUBSTITUTE(OFFSET(#REF!,0,COLUMN()-COLUMN($AL$1)),CHAR(160)," "),_xludf.UNICHAR(8239)," "))</f>
        <v>#REF!</v>
      </c>
      <c r="Z536" s="58" t="str">
        <f t="shared" si="541"/>
        <v>#REF!</v>
      </c>
      <c r="AA536" s="58" t="str">
        <f t="shared" si="541"/>
        <v>#REF!</v>
      </c>
      <c r="AB536" s="58" t="str">
        <f t="shared" si="541"/>
        <v>#REF!</v>
      </c>
      <c r="AC536" s="58" t="str">
        <f t="shared" si="541"/>
        <v>#REF!</v>
      </c>
      <c r="AD536" s="57">
        <f t="shared" si="501"/>
        <v>1</v>
      </c>
      <c r="AE536" s="57" t="str">
        <f t="shared" si="502"/>
        <v>2026-05</v>
      </c>
      <c r="AF536" s="57">
        <f t="shared" si="6"/>
        <v>1</v>
      </c>
      <c r="AG536" s="59">
        <f t="shared" si="7"/>
        <v>0</v>
      </c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</row>
    <row r="537" ht="24.0" customHeight="1">
      <c r="A537" s="45">
        <v>41.0</v>
      </c>
      <c r="B537" s="74" t="s">
        <v>1921</v>
      </c>
      <c r="C537" s="55" t="s">
        <v>1884</v>
      </c>
      <c r="D537" s="75"/>
      <c r="E537" s="57">
        <v>4.27135843E8</v>
      </c>
      <c r="F537" s="76">
        <v>39700.0</v>
      </c>
      <c r="G537" s="77">
        <v>18.0</v>
      </c>
      <c r="H537" s="78" t="str">
        <f t="shared" si="540"/>
        <v>6-18</v>
      </c>
      <c r="I537" s="79" t="s">
        <v>86</v>
      </c>
      <c r="J537" s="80" t="str">
        <f t="shared" si="496"/>
        <v>female</v>
      </c>
      <c r="K537" s="58">
        <v>5.99912424E8</v>
      </c>
      <c r="L537" s="55" t="s">
        <v>34</v>
      </c>
      <c r="M537" s="57" t="s">
        <v>89</v>
      </c>
      <c r="N537" s="55" t="s">
        <v>90</v>
      </c>
      <c r="O537" s="55"/>
      <c r="P537" s="55" t="s">
        <v>91</v>
      </c>
      <c r="Q537" s="55" t="s">
        <v>16</v>
      </c>
      <c r="R537" s="55"/>
      <c r="S537" s="55"/>
      <c r="T537" s="82"/>
      <c r="U537" s="82"/>
      <c r="V537" s="57"/>
      <c r="W537" s="57"/>
      <c r="X537" s="57" t="str">
        <f t="shared" si="499"/>
        <v>--530-05-05</v>
      </c>
      <c r="Y537" s="58" t="str">
        <f t="shared" ref="Y537:AC537" si="542">TRIM(SUBSTITUTE(SUBSTITUTE(OFFSET(#REF!,0,COLUMN()-COLUMN($AL$1)),CHAR(160)," "),_xludf.UNICHAR(8239)," "))</f>
        <v>#REF!</v>
      </c>
      <c r="Z537" s="58" t="str">
        <f t="shared" si="542"/>
        <v>#REF!</v>
      </c>
      <c r="AA537" s="58" t="str">
        <f t="shared" si="542"/>
        <v>#REF!</v>
      </c>
      <c r="AB537" s="58" t="str">
        <f t="shared" si="542"/>
        <v>#REF!</v>
      </c>
      <c r="AC537" s="58" t="str">
        <f t="shared" si="542"/>
        <v>#REF!</v>
      </c>
      <c r="AD537" s="57">
        <f t="shared" si="501"/>
        <v>1</v>
      </c>
      <c r="AE537" s="57" t="str">
        <f t="shared" si="502"/>
        <v>2026-05</v>
      </c>
      <c r="AF537" s="57">
        <f t="shared" si="6"/>
        <v>1</v>
      </c>
      <c r="AG537" s="59">
        <f t="shared" si="7"/>
        <v>1</v>
      </c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</row>
    <row r="538" ht="24.0" customHeight="1">
      <c r="A538" s="45">
        <v>42.0</v>
      </c>
      <c r="B538" s="74" t="s">
        <v>1922</v>
      </c>
      <c r="C538" s="55" t="s">
        <v>1884</v>
      </c>
      <c r="D538" s="75"/>
      <c r="E538" s="57">
        <v>4.32340081E8</v>
      </c>
      <c r="F538" s="76">
        <v>40889.0</v>
      </c>
      <c r="G538" s="77">
        <v>15.0</v>
      </c>
      <c r="H538" s="78" t="str">
        <f t="shared" si="540"/>
        <v>6-18</v>
      </c>
      <c r="I538" s="79" t="s">
        <v>86</v>
      </c>
      <c r="J538" s="80" t="str">
        <f t="shared" si="496"/>
        <v>female</v>
      </c>
      <c r="K538" s="58">
        <v>5.99912424E8</v>
      </c>
      <c r="L538" s="55" t="s">
        <v>34</v>
      </c>
      <c r="M538" s="57" t="s">
        <v>133</v>
      </c>
      <c r="N538" s="55" t="s">
        <v>90</v>
      </c>
      <c r="O538" s="55"/>
      <c r="P538" s="55" t="s">
        <v>91</v>
      </c>
      <c r="Q538" s="55" t="s">
        <v>16</v>
      </c>
      <c r="R538" s="55"/>
      <c r="S538" s="55"/>
      <c r="T538" s="82"/>
      <c r="U538" s="82"/>
      <c r="V538" s="57"/>
      <c r="W538" s="57"/>
      <c r="X538" s="57" t="str">
        <f t="shared" si="499"/>
        <v>--531-05-05</v>
      </c>
      <c r="Y538" s="58" t="str">
        <f t="shared" ref="Y538:AC538" si="543">TRIM(SUBSTITUTE(SUBSTITUTE(OFFSET(#REF!,0,COLUMN()-COLUMN($AL$1)),CHAR(160)," "),_xludf.UNICHAR(8239)," "))</f>
        <v>#REF!</v>
      </c>
      <c r="Z538" s="58" t="str">
        <f t="shared" si="543"/>
        <v>#REF!</v>
      </c>
      <c r="AA538" s="58" t="str">
        <f t="shared" si="543"/>
        <v>#REF!</v>
      </c>
      <c r="AB538" s="58" t="str">
        <f t="shared" si="543"/>
        <v>#REF!</v>
      </c>
      <c r="AC538" s="58" t="str">
        <f t="shared" si="543"/>
        <v>#REF!</v>
      </c>
      <c r="AD538" s="57">
        <f t="shared" si="501"/>
        <v>1</v>
      </c>
      <c r="AE538" s="57" t="str">
        <f t="shared" si="502"/>
        <v>2026-05</v>
      </c>
      <c r="AF538" s="57">
        <f t="shared" si="6"/>
        <v>1</v>
      </c>
      <c r="AG538" s="59">
        <f t="shared" si="7"/>
        <v>1</v>
      </c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</row>
    <row r="539" ht="24.0" customHeight="1">
      <c r="A539" s="45">
        <v>43.0</v>
      </c>
      <c r="B539" s="74" t="s">
        <v>1923</v>
      </c>
      <c r="C539" s="55" t="s">
        <v>1884</v>
      </c>
      <c r="D539" s="75"/>
      <c r="E539" s="57">
        <v>8.02000398E8</v>
      </c>
      <c r="F539" s="76">
        <v>32967.0</v>
      </c>
      <c r="G539" s="77">
        <v>36.0</v>
      </c>
      <c r="H539" s="78" t="str">
        <f t="shared" si="540"/>
        <v>19-60</v>
      </c>
      <c r="I539" s="79" t="s">
        <v>86</v>
      </c>
      <c r="J539" s="80" t="str">
        <f t="shared" si="496"/>
        <v>female</v>
      </c>
      <c r="K539" s="58">
        <v>5.92640772E8</v>
      </c>
      <c r="L539" s="55" t="s">
        <v>34</v>
      </c>
      <c r="M539" s="57" t="s">
        <v>89</v>
      </c>
      <c r="N539" s="55" t="s">
        <v>90</v>
      </c>
      <c r="O539" s="55"/>
      <c r="P539" s="55" t="s">
        <v>91</v>
      </c>
      <c r="Q539" s="55"/>
      <c r="R539" s="55" t="s">
        <v>36</v>
      </c>
      <c r="S539" s="55"/>
      <c r="T539" s="82"/>
      <c r="U539" s="82"/>
      <c r="V539" s="57"/>
      <c r="W539" s="57"/>
      <c r="X539" s="57" t="str">
        <f t="shared" si="499"/>
        <v>--532-05-05</v>
      </c>
      <c r="Y539" s="58" t="str">
        <f t="shared" ref="Y539:AC539" si="544">TRIM(SUBSTITUTE(SUBSTITUTE(OFFSET(#REF!,0,COLUMN()-COLUMN($AL$1)),CHAR(160)," "),_xludf.UNICHAR(8239)," "))</f>
        <v>#REF!</v>
      </c>
      <c r="Z539" s="58" t="str">
        <f t="shared" si="544"/>
        <v>#REF!</v>
      </c>
      <c r="AA539" s="58" t="str">
        <f t="shared" si="544"/>
        <v>#REF!</v>
      </c>
      <c r="AB539" s="58" t="str">
        <f t="shared" si="544"/>
        <v>#REF!</v>
      </c>
      <c r="AC539" s="58" t="str">
        <f t="shared" si="544"/>
        <v>#REF!</v>
      </c>
      <c r="AD539" s="57">
        <f t="shared" si="501"/>
        <v>1</v>
      </c>
      <c r="AE539" s="57" t="str">
        <f t="shared" si="502"/>
        <v>2026-05</v>
      </c>
      <c r="AF539" s="57">
        <f t="shared" si="6"/>
        <v>1</v>
      </c>
      <c r="AG539" s="59">
        <f t="shared" si="7"/>
        <v>1</v>
      </c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</row>
    <row r="540" ht="24.0" customHeight="1">
      <c r="A540" s="45">
        <v>44.0</v>
      </c>
      <c r="B540" s="74" t="s">
        <v>1924</v>
      </c>
      <c r="C540" s="55" t="s">
        <v>1884</v>
      </c>
      <c r="D540" s="75"/>
      <c r="E540" s="57">
        <v>4.44132153E8</v>
      </c>
      <c r="F540" s="76">
        <v>44940.0</v>
      </c>
      <c r="G540" s="77">
        <v>3.0</v>
      </c>
      <c r="H540" s="78" t="str">
        <f t="shared" si="540"/>
        <v>0-5</v>
      </c>
      <c r="I540" s="79" t="s">
        <v>86</v>
      </c>
      <c r="J540" s="80" t="str">
        <f t="shared" si="496"/>
        <v>female</v>
      </c>
      <c r="K540" s="58">
        <v>5.92640772E8</v>
      </c>
      <c r="L540" s="55" t="s">
        <v>34</v>
      </c>
      <c r="M540" s="57" t="s">
        <v>133</v>
      </c>
      <c r="N540" s="55" t="s">
        <v>90</v>
      </c>
      <c r="O540" s="55"/>
      <c r="P540" s="55" t="s">
        <v>91</v>
      </c>
      <c r="Q540" s="55" t="s">
        <v>16</v>
      </c>
      <c r="R540" s="55"/>
      <c r="S540" s="55"/>
      <c r="T540" s="82"/>
      <c r="U540" s="82"/>
      <c r="V540" s="57"/>
      <c r="W540" s="57"/>
      <c r="X540" s="57" t="str">
        <f t="shared" si="499"/>
        <v>--533-05-05</v>
      </c>
      <c r="Y540" s="58" t="str">
        <f t="shared" ref="Y540:AC540" si="545">TRIM(SUBSTITUTE(SUBSTITUTE(OFFSET(#REF!,0,COLUMN()-COLUMN($AL$1)),CHAR(160)," "),_xludf.UNICHAR(8239)," "))</f>
        <v>#REF!</v>
      </c>
      <c r="Z540" s="58" t="str">
        <f t="shared" si="545"/>
        <v>#REF!</v>
      </c>
      <c r="AA540" s="58" t="str">
        <f t="shared" si="545"/>
        <v>#REF!</v>
      </c>
      <c r="AB540" s="58" t="str">
        <f t="shared" si="545"/>
        <v>#REF!</v>
      </c>
      <c r="AC540" s="58" t="str">
        <f t="shared" si="545"/>
        <v>#REF!</v>
      </c>
      <c r="AD540" s="57">
        <f t="shared" si="501"/>
        <v>1</v>
      </c>
      <c r="AE540" s="57" t="str">
        <f t="shared" si="502"/>
        <v>2026-05</v>
      </c>
      <c r="AF540" s="57">
        <f t="shared" si="6"/>
        <v>1</v>
      </c>
      <c r="AG540" s="59">
        <f t="shared" si="7"/>
        <v>1</v>
      </c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</row>
    <row r="541" ht="24.0" customHeight="1">
      <c r="A541" s="45">
        <v>45.0</v>
      </c>
      <c r="B541" s="74" t="s">
        <v>1925</v>
      </c>
      <c r="C541" s="55" t="s">
        <v>1884</v>
      </c>
      <c r="D541" s="75"/>
      <c r="E541" s="57">
        <v>4.03123631E8</v>
      </c>
      <c r="F541" s="76">
        <v>35876.0</v>
      </c>
      <c r="G541" s="77">
        <v>28.0</v>
      </c>
      <c r="H541" s="78" t="str">
        <f t="shared" si="540"/>
        <v>19-60</v>
      </c>
      <c r="I541" s="79" t="s">
        <v>112</v>
      </c>
      <c r="J541" s="80" t="str">
        <f t="shared" si="496"/>
        <v>male</v>
      </c>
      <c r="K541" s="58">
        <v>5.94375416E8</v>
      </c>
      <c r="L541" s="55" t="s">
        <v>34</v>
      </c>
      <c r="M541" s="57" t="s">
        <v>89</v>
      </c>
      <c r="N541" s="55" t="s">
        <v>90</v>
      </c>
      <c r="O541" s="55"/>
      <c r="P541" s="55" t="s">
        <v>91</v>
      </c>
      <c r="Q541" s="55" t="s">
        <v>16</v>
      </c>
      <c r="R541" s="55"/>
      <c r="S541" s="55"/>
      <c r="T541" s="82"/>
      <c r="U541" s="82"/>
      <c r="V541" s="57"/>
      <c r="W541" s="57"/>
      <c r="X541" s="57" t="str">
        <f t="shared" si="499"/>
        <v>--534-05-05</v>
      </c>
      <c r="Y541" s="58" t="str">
        <f t="shared" ref="Y541:AC541" si="546">TRIM(SUBSTITUTE(SUBSTITUTE(OFFSET(#REF!,0,COLUMN()-COLUMN($AL$1)),CHAR(160)," "),_xludf.UNICHAR(8239)," "))</f>
        <v>#REF!</v>
      </c>
      <c r="Z541" s="58" t="str">
        <f t="shared" si="546"/>
        <v>#REF!</v>
      </c>
      <c r="AA541" s="58" t="str">
        <f t="shared" si="546"/>
        <v>#REF!</v>
      </c>
      <c r="AB541" s="58" t="str">
        <f t="shared" si="546"/>
        <v>#REF!</v>
      </c>
      <c r="AC541" s="58" t="str">
        <f t="shared" si="546"/>
        <v>#REF!</v>
      </c>
      <c r="AD541" s="57">
        <f t="shared" si="501"/>
        <v>1</v>
      </c>
      <c r="AE541" s="57" t="str">
        <f t="shared" si="502"/>
        <v>2026-05</v>
      </c>
      <c r="AF541" s="57">
        <f t="shared" si="6"/>
        <v>1</v>
      </c>
      <c r="AG541" s="59">
        <f t="shared" si="7"/>
        <v>1</v>
      </c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</row>
    <row r="542" ht="24.0" customHeight="1">
      <c r="A542" s="45">
        <v>46.0</v>
      </c>
      <c r="B542" s="74" t="s">
        <v>1926</v>
      </c>
      <c r="C542" s="55" t="s">
        <v>1884</v>
      </c>
      <c r="D542" s="75"/>
      <c r="E542" s="57">
        <v>4.45136898E8</v>
      </c>
      <c r="F542" s="76">
        <v>44692.0</v>
      </c>
      <c r="G542" s="77">
        <v>4.0</v>
      </c>
      <c r="H542" s="78" t="str">
        <f t="shared" si="540"/>
        <v>0-5</v>
      </c>
      <c r="I542" s="79" t="s">
        <v>86</v>
      </c>
      <c r="J542" s="80" t="str">
        <f t="shared" si="496"/>
        <v>female</v>
      </c>
      <c r="K542" s="58">
        <v>5.98801434E8</v>
      </c>
      <c r="L542" s="55" t="s">
        <v>34</v>
      </c>
      <c r="M542" s="57" t="s">
        <v>133</v>
      </c>
      <c r="N542" s="55" t="s">
        <v>90</v>
      </c>
      <c r="O542" s="55"/>
      <c r="P542" s="55" t="s">
        <v>91</v>
      </c>
      <c r="Q542" s="55" t="s">
        <v>16</v>
      </c>
      <c r="R542" s="55"/>
      <c r="S542" s="55"/>
      <c r="T542" s="82"/>
      <c r="U542" s="82"/>
      <c r="V542" s="57"/>
      <c r="W542" s="57"/>
      <c r="X542" s="57" t="str">
        <f t="shared" si="499"/>
        <v>--535-05-05</v>
      </c>
      <c r="Y542" s="58" t="str">
        <f t="shared" ref="Y542:AC542" si="547">TRIM(SUBSTITUTE(SUBSTITUTE(OFFSET(#REF!,0,COLUMN()-COLUMN($AL$1)),CHAR(160)," "),_xludf.UNICHAR(8239)," "))</f>
        <v>#REF!</v>
      </c>
      <c r="Z542" s="58" t="str">
        <f t="shared" si="547"/>
        <v>#REF!</v>
      </c>
      <c r="AA542" s="58" t="str">
        <f t="shared" si="547"/>
        <v>#REF!</v>
      </c>
      <c r="AB542" s="58" t="str">
        <f t="shared" si="547"/>
        <v>#REF!</v>
      </c>
      <c r="AC542" s="58" t="str">
        <f t="shared" si="547"/>
        <v>#REF!</v>
      </c>
      <c r="AD542" s="57">
        <f t="shared" si="501"/>
        <v>1</v>
      </c>
      <c r="AE542" s="57" t="str">
        <f t="shared" si="502"/>
        <v>2026-05</v>
      </c>
      <c r="AF542" s="57">
        <f t="shared" si="6"/>
        <v>1</v>
      </c>
      <c r="AG542" s="59">
        <f t="shared" si="7"/>
        <v>1</v>
      </c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</row>
    <row r="543" ht="24.0" customHeight="1">
      <c r="A543" s="45">
        <v>47.0</v>
      </c>
      <c r="B543" s="74" t="s">
        <v>1927</v>
      </c>
      <c r="C543" s="55" t="s">
        <v>1884</v>
      </c>
      <c r="D543" s="75"/>
      <c r="E543" s="57">
        <v>4.06099333E8</v>
      </c>
      <c r="F543" s="76">
        <v>37163.0</v>
      </c>
      <c r="G543" s="77">
        <v>25.0</v>
      </c>
      <c r="H543" s="78" t="str">
        <f t="shared" si="540"/>
        <v>19-60</v>
      </c>
      <c r="I543" s="79" t="s">
        <v>86</v>
      </c>
      <c r="J543" s="80" t="str">
        <f t="shared" si="496"/>
        <v>female</v>
      </c>
      <c r="K543" s="58">
        <v>5.98801434E8</v>
      </c>
      <c r="L543" s="55" t="s">
        <v>34</v>
      </c>
      <c r="M543" s="57" t="s">
        <v>89</v>
      </c>
      <c r="N543" s="55" t="s">
        <v>90</v>
      </c>
      <c r="O543" s="55"/>
      <c r="P543" s="55" t="s">
        <v>91</v>
      </c>
      <c r="Q543" s="55" t="s">
        <v>4</v>
      </c>
      <c r="R543" s="55"/>
      <c r="S543" s="55"/>
      <c r="T543" s="82"/>
      <c r="U543" s="82"/>
      <c r="V543" s="57"/>
      <c r="W543" s="57"/>
      <c r="X543" s="57" t="str">
        <f t="shared" si="499"/>
        <v>--536-05-05</v>
      </c>
      <c r="Y543" s="58" t="str">
        <f t="shared" ref="Y543:AC543" si="548">TRIM(SUBSTITUTE(SUBSTITUTE(OFFSET(#REF!,0,COLUMN()-COLUMN($AL$1)),CHAR(160)," "),_xludf.UNICHAR(8239)," "))</f>
        <v>#REF!</v>
      </c>
      <c r="Z543" s="58" t="str">
        <f t="shared" si="548"/>
        <v>#REF!</v>
      </c>
      <c r="AA543" s="58" t="str">
        <f t="shared" si="548"/>
        <v>#REF!</v>
      </c>
      <c r="AB543" s="58" t="str">
        <f t="shared" si="548"/>
        <v>#REF!</v>
      </c>
      <c r="AC543" s="58" t="str">
        <f t="shared" si="548"/>
        <v>#REF!</v>
      </c>
      <c r="AD543" s="57">
        <f t="shared" si="501"/>
        <v>1</v>
      </c>
      <c r="AE543" s="57" t="str">
        <f t="shared" si="502"/>
        <v>2026-05</v>
      </c>
      <c r="AF543" s="57">
        <f t="shared" si="6"/>
        <v>1</v>
      </c>
      <c r="AG543" s="59">
        <f t="shared" si="7"/>
        <v>1</v>
      </c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</row>
    <row r="544" ht="24.0" customHeight="1">
      <c r="A544" s="45">
        <v>48.0</v>
      </c>
      <c r="B544" s="74" t="s">
        <v>1566</v>
      </c>
      <c r="C544" s="55" t="s">
        <v>1884</v>
      </c>
      <c r="D544" s="75"/>
      <c r="E544" s="57">
        <v>9.58930653E8</v>
      </c>
      <c r="F544" s="76">
        <v>21708.0</v>
      </c>
      <c r="G544" s="77">
        <v>67.0</v>
      </c>
      <c r="H544" s="78" t="str">
        <f t="shared" si="540"/>
        <v>+60</v>
      </c>
      <c r="I544" s="79" t="s">
        <v>86</v>
      </c>
      <c r="J544" s="80" t="str">
        <f t="shared" si="496"/>
        <v>female</v>
      </c>
      <c r="K544" s="58">
        <v>5.979784001E9</v>
      </c>
      <c r="L544" s="55" t="s">
        <v>34</v>
      </c>
      <c r="M544" s="57" t="s">
        <v>115</v>
      </c>
      <c r="N544" s="55" t="s">
        <v>90</v>
      </c>
      <c r="O544" s="55"/>
      <c r="P544" s="55" t="s">
        <v>91</v>
      </c>
      <c r="Q544" s="55"/>
      <c r="R544" s="55"/>
      <c r="S544" s="55" t="s">
        <v>6</v>
      </c>
      <c r="T544" s="82"/>
      <c r="U544" s="82"/>
      <c r="V544" s="57"/>
      <c r="W544" s="57"/>
      <c r="X544" s="57" t="str">
        <f t="shared" si="499"/>
        <v>--537-05-05</v>
      </c>
      <c r="Y544" s="58" t="str">
        <f t="shared" ref="Y544:AC544" si="549">TRIM(SUBSTITUTE(SUBSTITUTE(OFFSET(#REF!,0,COLUMN()-COLUMN($AL$1)),CHAR(160)," "),_xludf.UNICHAR(8239)," "))</f>
        <v>#REF!</v>
      </c>
      <c r="Z544" s="58" t="str">
        <f t="shared" si="549"/>
        <v>#REF!</v>
      </c>
      <c r="AA544" s="58" t="str">
        <f t="shared" si="549"/>
        <v>#REF!</v>
      </c>
      <c r="AB544" s="58" t="str">
        <f t="shared" si="549"/>
        <v>#REF!</v>
      </c>
      <c r="AC544" s="58" t="str">
        <f t="shared" si="549"/>
        <v>#REF!</v>
      </c>
      <c r="AD544" s="57">
        <f t="shared" si="501"/>
        <v>1</v>
      </c>
      <c r="AE544" s="57" t="str">
        <f t="shared" si="502"/>
        <v>2026-05</v>
      </c>
      <c r="AF544" s="57">
        <f t="shared" si="6"/>
        <v>1</v>
      </c>
      <c r="AG544" s="59">
        <f t="shared" si="7"/>
        <v>1</v>
      </c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</row>
    <row r="545" ht="24.0" customHeight="1">
      <c r="A545" s="45">
        <v>49.0</v>
      </c>
      <c r="B545" s="74" t="s">
        <v>1928</v>
      </c>
      <c r="C545" s="55" t="s">
        <v>1884</v>
      </c>
      <c r="D545" s="75"/>
      <c r="E545" s="57">
        <v>4.08042448E8</v>
      </c>
      <c r="F545" s="76">
        <v>37849.0</v>
      </c>
      <c r="G545" s="77">
        <v>23.0</v>
      </c>
      <c r="H545" s="78" t="str">
        <f t="shared" si="540"/>
        <v>19-60</v>
      </c>
      <c r="I545" s="79" t="s">
        <v>86</v>
      </c>
      <c r="J545" s="80" t="str">
        <f t="shared" si="496"/>
        <v>female</v>
      </c>
      <c r="K545" s="58">
        <v>5.98591667E8</v>
      </c>
      <c r="L545" s="55" t="s">
        <v>34</v>
      </c>
      <c r="M545" s="57" t="s">
        <v>89</v>
      </c>
      <c r="N545" s="55" t="s">
        <v>90</v>
      </c>
      <c r="O545" s="55"/>
      <c r="P545" s="55" t="s">
        <v>91</v>
      </c>
      <c r="Q545" s="55"/>
      <c r="R545" s="55" t="s">
        <v>5</v>
      </c>
      <c r="S545" s="55"/>
      <c r="T545" s="82"/>
      <c r="U545" s="82" t="s">
        <v>7</v>
      </c>
      <c r="V545" s="57"/>
      <c r="W545" s="57"/>
      <c r="X545" s="57" t="str">
        <f t="shared" si="499"/>
        <v>--538-05-05</v>
      </c>
      <c r="Y545" s="58" t="str">
        <f t="shared" ref="Y545:AC545" si="550">TRIM(SUBSTITUTE(SUBSTITUTE(OFFSET(#REF!,0,COLUMN()-COLUMN($AL$1)),CHAR(160)," "),_xludf.UNICHAR(8239)," "))</f>
        <v>#REF!</v>
      </c>
      <c r="Z545" s="58" t="str">
        <f t="shared" si="550"/>
        <v>#REF!</v>
      </c>
      <c r="AA545" s="58" t="str">
        <f t="shared" si="550"/>
        <v>#REF!</v>
      </c>
      <c r="AB545" s="58" t="str">
        <f t="shared" si="550"/>
        <v>#REF!</v>
      </c>
      <c r="AC545" s="58" t="str">
        <f t="shared" si="550"/>
        <v>#REF!</v>
      </c>
      <c r="AD545" s="57">
        <f t="shared" si="501"/>
        <v>1</v>
      </c>
      <c r="AE545" s="57" t="str">
        <f t="shared" si="502"/>
        <v>2026-05</v>
      </c>
      <c r="AF545" s="57">
        <f t="shared" si="6"/>
        <v>1</v>
      </c>
      <c r="AG545" s="59">
        <f t="shared" si="7"/>
        <v>1</v>
      </c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</row>
    <row r="546" ht="24.0" customHeight="1">
      <c r="A546" s="45">
        <v>50.0</v>
      </c>
      <c r="B546" s="74" t="s">
        <v>1929</v>
      </c>
      <c r="C546" s="55" t="s">
        <v>1884</v>
      </c>
      <c r="D546" s="75"/>
      <c r="E546" s="57">
        <v>9.74873473E8</v>
      </c>
      <c r="F546" s="76">
        <v>20753.0</v>
      </c>
      <c r="G546" s="77">
        <v>70.0</v>
      </c>
      <c r="H546" s="78" t="str">
        <f t="shared" si="540"/>
        <v>+60</v>
      </c>
      <c r="I546" s="79" t="s">
        <v>86</v>
      </c>
      <c r="J546" s="80" t="str">
        <f t="shared" si="496"/>
        <v>female</v>
      </c>
      <c r="K546" s="58">
        <v>5.92175438E8</v>
      </c>
      <c r="L546" s="55" t="s">
        <v>34</v>
      </c>
      <c r="M546" s="57" t="s">
        <v>115</v>
      </c>
      <c r="N546" s="55" t="s">
        <v>90</v>
      </c>
      <c r="O546" s="55"/>
      <c r="P546" s="55" t="s">
        <v>91</v>
      </c>
      <c r="Q546" s="55" t="s">
        <v>4</v>
      </c>
      <c r="R546" s="55"/>
      <c r="S546" s="55"/>
      <c r="T546" s="82"/>
      <c r="U546" s="82"/>
      <c r="V546" s="57"/>
      <c r="W546" s="57"/>
      <c r="X546" s="57" t="str">
        <f t="shared" si="499"/>
        <v>--539-05-05</v>
      </c>
      <c r="Y546" s="58" t="str">
        <f t="shared" ref="Y546:AC546" si="551">TRIM(SUBSTITUTE(SUBSTITUTE(OFFSET(#REF!,0,COLUMN()-COLUMN($AL$1)),CHAR(160)," "),_xludf.UNICHAR(8239)," "))</f>
        <v>#REF!</v>
      </c>
      <c r="Z546" s="58" t="str">
        <f t="shared" si="551"/>
        <v>#REF!</v>
      </c>
      <c r="AA546" s="58" t="str">
        <f t="shared" si="551"/>
        <v>#REF!</v>
      </c>
      <c r="AB546" s="58" t="str">
        <f t="shared" si="551"/>
        <v>#REF!</v>
      </c>
      <c r="AC546" s="58" t="str">
        <f t="shared" si="551"/>
        <v>#REF!</v>
      </c>
      <c r="AD546" s="57">
        <f t="shared" si="501"/>
        <v>1</v>
      </c>
      <c r="AE546" s="57" t="str">
        <f t="shared" si="502"/>
        <v>2026-05</v>
      </c>
      <c r="AF546" s="57">
        <f t="shared" si="6"/>
        <v>1</v>
      </c>
      <c r="AG546" s="59">
        <f t="shared" si="7"/>
        <v>1</v>
      </c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</row>
    <row r="547" ht="24.0" customHeight="1">
      <c r="A547" s="45">
        <v>51.0</v>
      </c>
      <c r="B547" s="74" t="s">
        <v>1930</v>
      </c>
      <c r="C547" s="55" t="s">
        <v>1884</v>
      </c>
      <c r="D547" s="75"/>
      <c r="E547" s="57">
        <v>4.04568289E8</v>
      </c>
      <c r="F547" s="76">
        <v>36163.0</v>
      </c>
      <c r="G547" s="77">
        <v>27.0</v>
      </c>
      <c r="H547" s="78" t="str">
        <f t="shared" si="540"/>
        <v>19-60</v>
      </c>
      <c r="I547" s="79" t="s">
        <v>86</v>
      </c>
      <c r="J547" s="80" t="str">
        <f t="shared" si="496"/>
        <v>female</v>
      </c>
      <c r="K547" s="58">
        <v>5.97801008E8</v>
      </c>
      <c r="L547" s="55" t="s">
        <v>34</v>
      </c>
      <c r="M547" s="57" t="s">
        <v>89</v>
      </c>
      <c r="N547" s="55" t="s">
        <v>90</v>
      </c>
      <c r="O547" s="55"/>
      <c r="P547" s="55" t="s">
        <v>91</v>
      </c>
      <c r="Q547" s="55"/>
      <c r="R547" s="55" t="s">
        <v>5</v>
      </c>
      <c r="S547" s="55"/>
      <c r="T547" s="82"/>
      <c r="U547" s="82" t="s">
        <v>7</v>
      </c>
      <c r="V547" s="57"/>
      <c r="W547" s="57"/>
      <c r="X547" s="57" t="str">
        <f t="shared" si="499"/>
        <v>--540-05-05</v>
      </c>
      <c r="Y547" s="58" t="str">
        <f t="shared" ref="Y547:AC547" si="552">TRIM(SUBSTITUTE(SUBSTITUTE(OFFSET(#REF!,0,COLUMN()-COLUMN($AL$1)),CHAR(160)," "),_xludf.UNICHAR(8239)," "))</f>
        <v>#REF!</v>
      </c>
      <c r="Z547" s="58" t="str">
        <f t="shared" si="552"/>
        <v>#REF!</v>
      </c>
      <c r="AA547" s="58" t="str">
        <f t="shared" si="552"/>
        <v>#REF!</v>
      </c>
      <c r="AB547" s="58" t="str">
        <f t="shared" si="552"/>
        <v>#REF!</v>
      </c>
      <c r="AC547" s="58" t="str">
        <f t="shared" si="552"/>
        <v>#REF!</v>
      </c>
      <c r="AD547" s="57">
        <f t="shared" si="501"/>
        <v>1</v>
      </c>
      <c r="AE547" s="57" t="str">
        <f t="shared" si="502"/>
        <v>2026-05</v>
      </c>
      <c r="AF547" s="57">
        <f t="shared" si="6"/>
        <v>1</v>
      </c>
      <c r="AG547" s="59">
        <f t="shared" si="7"/>
        <v>1</v>
      </c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</row>
    <row r="548" ht="24.0" customHeight="1">
      <c r="A548" s="45">
        <v>52.0</v>
      </c>
      <c r="B548" s="74" t="s">
        <v>1931</v>
      </c>
      <c r="C548" s="55" t="s">
        <v>1884</v>
      </c>
      <c r="D548" s="75"/>
      <c r="E548" s="57">
        <v>4.06117044E8</v>
      </c>
      <c r="F548" s="76">
        <v>37084.0</v>
      </c>
      <c r="G548" s="77">
        <v>25.0</v>
      </c>
      <c r="H548" s="78" t="str">
        <f t="shared" si="540"/>
        <v>19-60</v>
      </c>
      <c r="I548" s="79" t="s">
        <v>86</v>
      </c>
      <c r="J548" s="80" t="str">
        <f t="shared" si="496"/>
        <v>female</v>
      </c>
      <c r="K548" s="58">
        <v>5.98971923E8</v>
      </c>
      <c r="L548" s="55" t="s">
        <v>34</v>
      </c>
      <c r="M548" s="57" t="s">
        <v>89</v>
      </c>
      <c r="N548" s="55" t="s">
        <v>90</v>
      </c>
      <c r="O548" s="55"/>
      <c r="P548" s="55" t="s">
        <v>91</v>
      </c>
      <c r="Q548" s="55" t="s">
        <v>4</v>
      </c>
      <c r="R548" s="55"/>
      <c r="S548" s="55"/>
      <c r="T548" s="82"/>
      <c r="U548" s="82"/>
      <c r="V548" s="57"/>
      <c r="W548" s="57"/>
      <c r="X548" s="57" t="str">
        <f t="shared" si="499"/>
        <v>--541-05-05</v>
      </c>
      <c r="Y548" s="58" t="str">
        <f t="shared" ref="Y548:AC548" si="553">TRIM(SUBSTITUTE(SUBSTITUTE(OFFSET(#REF!,0,COLUMN()-COLUMN($AL$1)),CHAR(160)," "),_xludf.UNICHAR(8239)," "))</f>
        <v>#REF!</v>
      </c>
      <c r="Z548" s="58" t="str">
        <f t="shared" si="553"/>
        <v>#REF!</v>
      </c>
      <c r="AA548" s="58" t="str">
        <f t="shared" si="553"/>
        <v>#REF!</v>
      </c>
      <c r="AB548" s="58" t="str">
        <f t="shared" si="553"/>
        <v>#REF!</v>
      </c>
      <c r="AC548" s="58" t="str">
        <f t="shared" si="553"/>
        <v>#REF!</v>
      </c>
      <c r="AD548" s="57">
        <f t="shared" si="501"/>
        <v>1</v>
      </c>
      <c r="AE548" s="57" t="str">
        <f t="shared" si="502"/>
        <v>2026-05</v>
      </c>
      <c r="AF548" s="57">
        <f t="shared" si="6"/>
        <v>1</v>
      </c>
      <c r="AG548" s="59">
        <f t="shared" si="7"/>
        <v>1</v>
      </c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</row>
    <row r="549" ht="24.0" customHeight="1">
      <c r="A549" s="45">
        <v>53.0</v>
      </c>
      <c r="B549" s="74" t="s">
        <v>1932</v>
      </c>
      <c r="C549" s="55" t="s">
        <v>1884</v>
      </c>
      <c r="D549" s="75"/>
      <c r="E549" s="57">
        <v>4.10228126E8</v>
      </c>
      <c r="F549" s="76">
        <v>33662.0</v>
      </c>
      <c r="G549" s="77">
        <v>34.0</v>
      </c>
      <c r="H549" s="78" t="str">
        <f t="shared" si="540"/>
        <v>19-60</v>
      </c>
      <c r="I549" s="79" t="s">
        <v>86</v>
      </c>
      <c r="J549" s="80" t="str">
        <f t="shared" si="496"/>
        <v>female</v>
      </c>
      <c r="K549" s="58">
        <v>5.97244943E8</v>
      </c>
      <c r="L549" s="55" t="s">
        <v>34</v>
      </c>
      <c r="M549" s="57" t="s">
        <v>89</v>
      </c>
      <c r="N549" s="55" t="s">
        <v>90</v>
      </c>
      <c r="O549" s="55"/>
      <c r="P549" s="55" t="s">
        <v>91</v>
      </c>
      <c r="Q549" s="55" t="s">
        <v>4</v>
      </c>
      <c r="R549" s="55"/>
      <c r="S549" s="55"/>
      <c r="T549" s="82"/>
      <c r="U549" s="82"/>
      <c r="V549" s="57"/>
      <c r="W549" s="57"/>
      <c r="X549" s="57" t="str">
        <f t="shared" si="499"/>
        <v>--542-05-05</v>
      </c>
      <c r="Y549" s="58" t="str">
        <f t="shared" ref="Y549:AC549" si="554">TRIM(SUBSTITUTE(SUBSTITUTE(OFFSET(#REF!,0,COLUMN()-COLUMN($AL$1)),CHAR(160)," "),_xludf.UNICHAR(8239)," "))</f>
        <v>#REF!</v>
      </c>
      <c r="Z549" s="58" t="str">
        <f t="shared" si="554"/>
        <v>#REF!</v>
      </c>
      <c r="AA549" s="58" t="str">
        <f t="shared" si="554"/>
        <v>#REF!</v>
      </c>
      <c r="AB549" s="58" t="str">
        <f t="shared" si="554"/>
        <v>#REF!</v>
      </c>
      <c r="AC549" s="58" t="str">
        <f t="shared" si="554"/>
        <v>#REF!</v>
      </c>
      <c r="AD549" s="57">
        <f t="shared" si="501"/>
        <v>1</v>
      </c>
      <c r="AE549" s="57" t="str">
        <f t="shared" si="502"/>
        <v>2026-05</v>
      </c>
      <c r="AF549" s="57">
        <f t="shared" si="6"/>
        <v>1</v>
      </c>
      <c r="AG549" s="59">
        <f t="shared" si="7"/>
        <v>1</v>
      </c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</row>
    <row r="550" ht="24.0" customHeight="1">
      <c r="A550" s="45">
        <v>54.0</v>
      </c>
      <c r="B550" s="74" t="s">
        <v>1933</v>
      </c>
      <c r="C550" s="55" t="s">
        <v>1884</v>
      </c>
      <c r="D550" s="75"/>
      <c r="E550" s="57">
        <v>8.03594116E8</v>
      </c>
      <c r="F550" s="76">
        <v>33561.0</v>
      </c>
      <c r="G550" s="77">
        <v>35.0</v>
      </c>
      <c r="H550" s="78" t="str">
        <f t="shared" si="540"/>
        <v>19-60</v>
      </c>
      <c r="I550" s="79" t="s">
        <v>86</v>
      </c>
      <c r="J550" s="80" t="str">
        <f t="shared" si="496"/>
        <v>female</v>
      </c>
      <c r="K550" s="58">
        <v>5.97855444E8</v>
      </c>
      <c r="L550" s="55" t="s">
        <v>34</v>
      </c>
      <c r="M550" s="57" t="s">
        <v>89</v>
      </c>
      <c r="N550" s="55" t="s">
        <v>90</v>
      </c>
      <c r="O550" s="55"/>
      <c r="P550" s="55" t="s">
        <v>91</v>
      </c>
      <c r="Q550" s="55"/>
      <c r="R550" s="55" t="s">
        <v>27</v>
      </c>
      <c r="S550" s="55"/>
      <c r="T550" s="82"/>
      <c r="U550" s="82"/>
      <c r="V550" s="57"/>
      <c r="W550" s="57"/>
      <c r="X550" s="57" t="str">
        <f t="shared" si="499"/>
        <v>--543-05-05</v>
      </c>
      <c r="Y550" s="58" t="str">
        <f t="shared" ref="Y550:AC550" si="555">TRIM(SUBSTITUTE(SUBSTITUTE(OFFSET(#REF!,0,COLUMN()-COLUMN($AL$1)),CHAR(160)," "),_xludf.UNICHAR(8239)," "))</f>
        <v>#REF!</v>
      </c>
      <c r="Z550" s="58" t="str">
        <f t="shared" si="555"/>
        <v>#REF!</v>
      </c>
      <c r="AA550" s="58" t="str">
        <f t="shared" si="555"/>
        <v>#REF!</v>
      </c>
      <c r="AB550" s="58" t="str">
        <f t="shared" si="555"/>
        <v>#REF!</v>
      </c>
      <c r="AC550" s="58" t="str">
        <f t="shared" si="555"/>
        <v>#REF!</v>
      </c>
      <c r="AD550" s="57">
        <f t="shared" si="501"/>
        <v>1</v>
      </c>
      <c r="AE550" s="57" t="str">
        <f t="shared" si="502"/>
        <v>2026-05</v>
      </c>
      <c r="AF550" s="57">
        <f t="shared" si="6"/>
        <v>1</v>
      </c>
      <c r="AG550" s="59">
        <f t="shared" si="7"/>
        <v>1</v>
      </c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</row>
    <row r="551" ht="24.0" customHeight="1">
      <c r="A551" s="45">
        <v>55.0</v>
      </c>
      <c r="B551" s="74" t="s">
        <v>1934</v>
      </c>
      <c r="C551" s="55" t="s">
        <v>1884</v>
      </c>
      <c r="D551" s="75"/>
      <c r="E551" s="57">
        <v>8.02526095E8</v>
      </c>
      <c r="F551" s="76">
        <v>33303.0</v>
      </c>
      <c r="G551" s="77">
        <v>35.0</v>
      </c>
      <c r="H551" s="78" t="str">
        <f t="shared" si="540"/>
        <v>19-60</v>
      </c>
      <c r="I551" s="79" t="s">
        <v>86</v>
      </c>
      <c r="J551" s="80" t="str">
        <f t="shared" si="496"/>
        <v>female</v>
      </c>
      <c r="K551" s="58">
        <v>5.92247503E8</v>
      </c>
      <c r="L551" s="55" t="s">
        <v>34</v>
      </c>
      <c r="M551" s="57" t="s">
        <v>89</v>
      </c>
      <c r="N551" s="55" t="s">
        <v>90</v>
      </c>
      <c r="O551" s="55"/>
      <c r="P551" s="55" t="s">
        <v>91</v>
      </c>
      <c r="Q551" s="55" t="s">
        <v>16</v>
      </c>
      <c r="R551" s="55"/>
      <c r="S551" s="55"/>
      <c r="T551" s="82"/>
      <c r="U551" s="82"/>
      <c r="V551" s="57"/>
      <c r="W551" s="57"/>
      <c r="X551" s="57" t="str">
        <f t="shared" si="499"/>
        <v>--544-05-05</v>
      </c>
      <c r="Y551" s="58" t="str">
        <f t="shared" ref="Y551:AC551" si="556">TRIM(SUBSTITUTE(SUBSTITUTE(OFFSET(#REF!,0,COLUMN()-COLUMN($AL$1)),CHAR(160)," "),_xludf.UNICHAR(8239)," "))</f>
        <v>#REF!</v>
      </c>
      <c r="Z551" s="58" t="str">
        <f t="shared" si="556"/>
        <v>#REF!</v>
      </c>
      <c r="AA551" s="58" t="str">
        <f t="shared" si="556"/>
        <v>#REF!</v>
      </c>
      <c r="AB551" s="58" t="str">
        <f t="shared" si="556"/>
        <v>#REF!</v>
      </c>
      <c r="AC551" s="58" t="str">
        <f t="shared" si="556"/>
        <v>#REF!</v>
      </c>
      <c r="AD551" s="57">
        <f t="shared" si="501"/>
        <v>1</v>
      </c>
      <c r="AE551" s="57" t="str">
        <f t="shared" si="502"/>
        <v>2026-05</v>
      </c>
      <c r="AF551" s="57">
        <f t="shared" si="6"/>
        <v>1</v>
      </c>
      <c r="AG551" s="59">
        <f t="shared" si="7"/>
        <v>1</v>
      </c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</row>
    <row r="552" ht="24.0" customHeight="1">
      <c r="A552" s="45">
        <v>56.0</v>
      </c>
      <c r="B552" s="74" t="s">
        <v>1935</v>
      </c>
      <c r="C552" s="55" t="s">
        <v>1884</v>
      </c>
      <c r="D552" s="75"/>
      <c r="E552" s="57">
        <v>4.70881665E8</v>
      </c>
      <c r="F552" s="76">
        <v>46014.0</v>
      </c>
      <c r="G552" s="55">
        <v>1.0</v>
      </c>
      <c r="H552" s="78" t="str">
        <f t="shared" si="540"/>
        <v>0-5</v>
      </c>
      <c r="I552" s="79" t="s">
        <v>86</v>
      </c>
      <c r="J552" s="80" t="str">
        <f t="shared" si="496"/>
        <v>female</v>
      </c>
      <c r="K552" s="58">
        <v>5.94360677E8</v>
      </c>
      <c r="L552" s="55" t="s">
        <v>34</v>
      </c>
      <c r="M552" s="57" t="s">
        <v>133</v>
      </c>
      <c r="N552" s="55" t="s">
        <v>90</v>
      </c>
      <c r="O552" s="55"/>
      <c r="P552" s="55" t="s">
        <v>91</v>
      </c>
      <c r="Q552" s="55" t="s">
        <v>16</v>
      </c>
      <c r="R552" s="55"/>
      <c r="S552" s="55"/>
      <c r="T552" s="82"/>
      <c r="U552" s="82"/>
      <c r="V552" s="57"/>
      <c r="W552" s="57"/>
      <c r="X552" s="57" t="str">
        <f t="shared" si="499"/>
        <v>--545-05-05</v>
      </c>
      <c r="Y552" s="58" t="str">
        <f t="shared" ref="Y552:AC552" si="557">TRIM(SUBSTITUTE(SUBSTITUTE(OFFSET(#REF!,0,COLUMN()-COLUMN($AL$1)),CHAR(160)," "),_xludf.UNICHAR(8239)," "))</f>
        <v>#REF!</v>
      </c>
      <c r="Z552" s="58" t="str">
        <f t="shared" si="557"/>
        <v>#REF!</v>
      </c>
      <c r="AA552" s="58" t="str">
        <f t="shared" si="557"/>
        <v>#REF!</v>
      </c>
      <c r="AB552" s="58" t="str">
        <f t="shared" si="557"/>
        <v>#REF!</v>
      </c>
      <c r="AC552" s="58" t="str">
        <f t="shared" si="557"/>
        <v>#REF!</v>
      </c>
      <c r="AD552" s="57">
        <f t="shared" si="501"/>
        <v>1</v>
      </c>
      <c r="AE552" s="57" t="str">
        <f t="shared" si="502"/>
        <v>2026-05</v>
      </c>
      <c r="AF552" s="57">
        <f t="shared" si="6"/>
        <v>1</v>
      </c>
      <c r="AG552" s="59">
        <f t="shared" si="7"/>
        <v>1</v>
      </c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</row>
    <row r="553" ht="24.0" customHeight="1">
      <c r="A553" s="45">
        <v>57.0</v>
      </c>
      <c r="B553" s="74" t="s">
        <v>1936</v>
      </c>
      <c r="C553" s="55" t="s">
        <v>1884</v>
      </c>
      <c r="D553" s="75"/>
      <c r="E553" s="57">
        <v>4.02926125E8</v>
      </c>
      <c r="F553" s="76">
        <v>35466.0</v>
      </c>
      <c r="G553" s="77">
        <v>29.0</v>
      </c>
      <c r="H553" s="78" t="str">
        <f t="shared" si="540"/>
        <v>19-60</v>
      </c>
      <c r="I553" s="79" t="s">
        <v>86</v>
      </c>
      <c r="J553" s="80" t="str">
        <f t="shared" si="496"/>
        <v>female</v>
      </c>
      <c r="K553" s="58">
        <v>5.94360677E8</v>
      </c>
      <c r="L553" s="55" t="s">
        <v>34</v>
      </c>
      <c r="M553" s="57" t="s">
        <v>89</v>
      </c>
      <c r="N553" s="55" t="s">
        <v>90</v>
      </c>
      <c r="O553" s="55"/>
      <c r="P553" s="55" t="s">
        <v>91</v>
      </c>
      <c r="Q553" s="55"/>
      <c r="R553" s="55" t="s">
        <v>5</v>
      </c>
      <c r="S553" s="55"/>
      <c r="T553" s="82"/>
      <c r="U553" s="82" t="s">
        <v>7</v>
      </c>
      <c r="V553" s="57"/>
      <c r="W553" s="57"/>
      <c r="X553" s="57" t="str">
        <f t="shared" si="499"/>
        <v>--546-05-05</v>
      </c>
      <c r="Y553" s="58" t="str">
        <f t="shared" ref="Y553:AC553" si="558">TRIM(SUBSTITUTE(SUBSTITUTE(OFFSET(#REF!,0,COLUMN()-COLUMN($AL$1)),CHAR(160)," "),_xludf.UNICHAR(8239)," "))</f>
        <v>#REF!</v>
      </c>
      <c r="Z553" s="58" t="str">
        <f t="shared" si="558"/>
        <v>#REF!</v>
      </c>
      <c r="AA553" s="58" t="str">
        <f t="shared" si="558"/>
        <v>#REF!</v>
      </c>
      <c r="AB553" s="58" t="str">
        <f t="shared" si="558"/>
        <v>#REF!</v>
      </c>
      <c r="AC553" s="58" t="str">
        <f t="shared" si="558"/>
        <v>#REF!</v>
      </c>
      <c r="AD553" s="57">
        <f t="shared" si="501"/>
        <v>1</v>
      </c>
      <c r="AE553" s="57" t="str">
        <f t="shared" si="502"/>
        <v>2026-05</v>
      </c>
      <c r="AF553" s="57">
        <f t="shared" si="6"/>
        <v>1</v>
      </c>
      <c r="AG553" s="59">
        <f t="shared" si="7"/>
        <v>1</v>
      </c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</row>
    <row r="554" ht="24.0" customHeight="1">
      <c r="A554" s="45">
        <v>58.0</v>
      </c>
      <c r="B554" s="74" t="s">
        <v>1937</v>
      </c>
      <c r="C554" s="55" t="s">
        <v>1884</v>
      </c>
      <c r="D554" s="75"/>
      <c r="E554" s="57">
        <v>9.912069447E9</v>
      </c>
      <c r="F554" s="76">
        <v>29972.0</v>
      </c>
      <c r="G554" s="77">
        <v>43.0</v>
      </c>
      <c r="H554" s="78" t="str">
        <f t="shared" si="540"/>
        <v>19-60</v>
      </c>
      <c r="I554" s="79" t="s">
        <v>86</v>
      </c>
      <c r="J554" s="80" t="str">
        <f t="shared" si="496"/>
        <v>female</v>
      </c>
      <c r="K554" s="58">
        <v>5.99806651E8</v>
      </c>
      <c r="L554" s="55" t="s">
        <v>34</v>
      </c>
      <c r="M554" s="57" t="s">
        <v>89</v>
      </c>
      <c r="N554" s="55" t="s">
        <v>90</v>
      </c>
      <c r="O554" s="55"/>
      <c r="P554" s="55" t="s">
        <v>91</v>
      </c>
      <c r="Q554" s="55"/>
      <c r="R554" s="55" t="s">
        <v>5</v>
      </c>
      <c r="S554" s="55"/>
      <c r="T554" s="82"/>
      <c r="U554" s="82" t="s">
        <v>7</v>
      </c>
      <c r="V554" s="57"/>
      <c r="W554" s="57"/>
      <c r="X554" s="57" t="str">
        <f t="shared" si="499"/>
        <v>--547-05-05</v>
      </c>
      <c r="Y554" s="58" t="str">
        <f t="shared" ref="Y554:AC554" si="559">TRIM(SUBSTITUTE(SUBSTITUTE(OFFSET(#REF!,0,COLUMN()-COLUMN($AL$1)),CHAR(160)," "),_xludf.UNICHAR(8239)," "))</f>
        <v>#REF!</v>
      </c>
      <c r="Z554" s="58" t="str">
        <f t="shared" si="559"/>
        <v>#REF!</v>
      </c>
      <c r="AA554" s="58" t="str">
        <f t="shared" si="559"/>
        <v>#REF!</v>
      </c>
      <c r="AB554" s="58" t="str">
        <f t="shared" si="559"/>
        <v>#REF!</v>
      </c>
      <c r="AC554" s="58" t="str">
        <f t="shared" si="559"/>
        <v>#REF!</v>
      </c>
      <c r="AD554" s="57">
        <f t="shared" si="501"/>
        <v>1</v>
      </c>
      <c r="AE554" s="57" t="str">
        <f t="shared" si="502"/>
        <v>2026-05</v>
      </c>
      <c r="AF554" s="57">
        <f t="shared" si="6"/>
        <v>1</v>
      </c>
      <c r="AG554" s="59">
        <f t="shared" si="7"/>
        <v>1</v>
      </c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</row>
    <row r="555" ht="24.0" customHeight="1">
      <c r="A555" s="45">
        <v>59.0</v>
      </c>
      <c r="B555" s="74" t="s">
        <v>1938</v>
      </c>
      <c r="C555" s="55" t="s">
        <v>1884</v>
      </c>
      <c r="D555" s="75"/>
      <c r="E555" s="57">
        <v>8.0255436E8</v>
      </c>
      <c r="F555" s="76">
        <v>33084.0</v>
      </c>
      <c r="G555" s="77">
        <v>36.0</v>
      </c>
      <c r="H555" s="78" t="str">
        <f t="shared" si="540"/>
        <v>19-60</v>
      </c>
      <c r="I555" s="79" t="s">
        <v>86</v>
      </c>
      <c r="J555" s="80" t="str">
        <f t="shared" si="496"/>
        <v>female</v>
      </c>
      <c r="K555" s="58">
        <v>5.99524871E8</v>
      </c>
      <c r="L555" s="55" t="s">
        <v>34</v>
      </c>
      <c r="M555" s="57" t="s">
        <v>89</v>
      </c>
      <c r="N555" s="55" t="s">
        <v>90</v>
      </c>
      <c r="O555" s="55"/>
      <c r="P555" s="55" t="s">
        <v>91</v>
      </c>
      <c r="Q555" s="55" t="s">
        <v>16</v>
      </c>
      <c r="R555" s="55"/>
      <c r="S555" s="55"/>
      <c r="T555" s="82"/>
      <c r="U555" s="82"/>
      <c r="V555" s="57"/>
      <c r="W555" s="57"/>
      <c r="X555" s="57" t="str">
        <f t="shared" si="499"/>
        <v>--548-05-05</v>
      </c>
      <c r="Y555" s="58" t="str">
        <f t="shared" ref="Y555:AC555" si="560">TRIM(SUBSTITUTE(SUBSTITUTE(OFFSET(#REF!,0,COLUMN()-COLUMN($AL$1)),CHAR(160)," "),_xludf.UNICHAR(8239)," "))</f>
        <v>#REF!</v>
      </c>
      <c r="Z555" s="58" t="str">
        <f t="shared" si="560"/>
        <v>#REF!</v>
      </c>
      <c r="AA555" s="58" t="str">
        <f t="shared" si="560"/>
        <v>#REF!</v>
      </c>
      <c r="AB555" s="58" t="str">
        <f t="shared" si="560"/>
        <v>#REF!</v>
      </c>
      <c r="AC555" s="58" t="str">
        <f t="shared" si="560"/>
        <v>#REF!</v>
      </c>
      <c r="AD555" s="57">
        <f t="shared" si="501"/>
        <v>1</v>
      </c>
      <c r="AE555" s="57" t="str">
        <f t="shared" si="502"/>
        <v>2026-05</v>
      </c>
      <c r="AF555" s="57">
        <f t="shared" si="6"/>
        <v>1</v>
      </c>
      <c r="AG555" s="59">
        <f t="shared" si="7"/>
        <v>1</v>
      </c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</row>
    <row r="556" ht="24.0" customHeight="1">
      <c r="A556" s="45">
        <v>60.0</v>
      </c>
      <c r="B556" s="74" t="s">
        <v>1939</v>
      </c>
      <c r="C556" s="55" t="s">
        <v>1884</v>
      </c>
      <c r="D556" s="75"/>
      <c r="E556" s="57">
        <v>4.38477382E8</v>
      </c>
      <c r="F556" s="76">
        <v>43167.0</v>
      </c>
      <c r="G556" s="77">
        <v>8.0</v>
      </c>
      <c r="H556" s="78" t="str">
        <f t="shared" si="540"/>
        <v>6-18</v>
      </c>
      <c r="I556" s="79" t="s">
        <v>86</v>
      </c>
      <c r="J556" s="80" t="str">
        <f t="shared" si="496"/>
        <v>female</v>
      </c>
      <c r="K556" s="58">
        <v>5.99524871E8</v>
      </c>
      <c r="L556" s="55" t="s">
        <v>34</v>
      </c>
      <c r="M556" s="57" t="s">
        <v>133</v>
      </c>
      <c r="N556" s="55" t="s">
        <v>90</v>
      </c>
      <c r="O556" s="55"/>
      <c r="P556" s="55" t="s">
        <v>91</v>
      </c>
      <c r="Q556" s="55" t="s">
        <v>16</v>
      </c>
      <c r="R556" s="55"/>
      <c r="S556" s="55"/>
      <c r="T556" s="82"/>
      <c r="U556" s="82"/>
      <c r="V556" s="57"/>
      <c r="W556" s="57"/>
      <c r="X556" s="57" t="str">
        <f t="shared" si="499"/>
        <v>--549-05-05</v>
      </c>
      <c r="Y556" s="58" t="str">
        <f t="shared" ref="Y556:AC556" si="561">TRIM(SUBSTITUTE(SUBSTITUTE(OFFSET(#REF!,0,COLUMN()-COLUMN($AL$1)),CHAR(160)," "),_xludf.UNICHAR(8239)," "))</f>
        <v>#REF!</v>
      </c>
      <c r="Z556" s="58" t="str">
        <f t="shared" si="561"/>
        <v>#REF!</v>
      </c>
      <c r="AA556" s="58" t="str">
        <f t="shared" si="561"/>
        <v>#REF!</v>
      </c>
      <c r="AB556" s="58" t="str">
        <f t="shared" si="561"/>
        <v>#REF!</v>
      </c>
      <c r="AC556" s="58" t="str">
        <f t="shared" si="561"/>
        <v>#REF!</v>
      </c>
      <c r="AD556" s="57">
        <f t="shared" si="501"/>
        <v>1</v>
      </c>
      <c r="AE556" s="57" t="str">
        <f t="shared" si="502"/>
        <v>2026-05</v>
      </c>
      <c r="AF556" s="57">
        <f t="shared" si="6"/>
        <v>1</v>
      </c>
      <c r="AG556" s="59">
        <f t="shared" si="7"/>
        <v>1</v>
      </c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</row>
    <row r="557" ht="24.0" customHeight="1">
      <c r="A557" s="45">
        <v>61.0</v>
      </c>
      <c r="B557" s="74" t="s">
        <v>1940</v>
      </c>
      <c r="C557" s="55" t="s">
        <v>1884</v>
      </c>
      <c r="D557" s="75"/>
      <c r="E557" s="57">
        <v>8.00199143E8</v>
      </c>
      <c r="F557" s="76">
        <v>30942.0</v>
      </c>
      <c r="G557" s="77">
        <v>42.0</v>
      </c>
      <c r="H557" s="78" t="str">
        <f t="shared" si="540"/>
        <v>19-60</v>
      </c>
      <c r="I557" s="79" t="s">
        <v>86</v>
      </c>
      <c r="J557" s="80" t="str">
        <f t="shared" si="496"/>
        <v>female</v>
      </c>
      <c r="K557" s="58">
        <v>5.9977493E8</v>
      </c>
      <c r="L557" s="55" t="s">
        <v>34</v>
      </c>
      <c r="M557" s="57" t="s">
        <v>89</v>
      </c>
      <c r="N557" s="55" t="s">
        <v>90</v>
      </c>
      <c r="O557" s="55"/>
      <c r="P557" s="55" t="s">
        <v>91</v>
      </c>
      <c r="Q557" s="55"/>
      <c r="R557" s="55"/>
      <c r="S557" s="55" t="s">
        <v>6</v>
      </c>
      <c r="T557" s="82"/>
      <c r="U557" s="82"/>
      <c r="V557" s="57"/>
      <c r="W557" s="57"/>
      <c r="X557" s="57" t="str">
        <f t="shared" si="499"/>
        <v>--550-05-05</v>
      </c>
      <c r="Y557" s="58" t="str">
        <f t="shared" ref="Y557:AC557" si="562">TRIM(SUBSTITUTE(SUBSTITUTE(OFFSET(#REF!,0,COLUMN()-COLUMN($AL$1)),CHAR(160)," "),_xludf.UNICHAR(8239)," "))</f>
        <v>#REF!</v>
      </c>
      <c r="Z557" s="58" t="str">
        <f t="shared" si="562"/>
        <v>#REF!</v>
      </c>
      <c r="AA557" s="58" t="str">
        <f t="shared" si="562"/>
        <v>#REF!</v>
      </c>
      <c r="AB557" s="58" t="str">
        <f t="shared" si="562"/>
        <v>#REF!</v>
      </c>
      <c r="AC557" s="58" t="str">
        <f t="shared" si="562"/>
        <v>#REF!</v>
      </c>
      <c r="AD557" s="57">
        <f t="shared" si="501"/>
        <v>1</v>
      </c>
      <c r="AE557" s="57" t="str">
        <f t="shared" si="502"/>
        <v>2026-05</v>
      </c>
      <c r="AF557" s="57">
        <f t="shared" si="6"/>
        <v>1</v>
      </c>
      <c r="AG557" s="59">
        <f t="shared" si="7"/>
        <v>1</v>
      </c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</row>
    <row r="558" ht="24.0" customHeight="1">
      <c r="A558" s="45">
        <v>62.0</v>
      </c>
      <c r="B558" s="74" t="s">
        <v>1941</v>
      </c>
      <c r="C558" s="55" t="s">
        <v>1884</v>
      </c>
      <c r="D558" s="75"/>
      <c r="E558" s="57"/>
      <c r="F558" s="76">
        <v>43611.0</v>
      </c>
      <c r="G558" s="77">
        <v>7.0</v>
      </c>
      <c r="H558" s="78" t="str">
        <f t="shared" si="540"/>
        <v>6-18</v>
      </c>
      <c r="I558" s="79" t="s">
        <v>112</v>
      </c>
      <c r="J558" s="80" t="str">
        <f t="shared" si="496"/>
        <v>male</v>
      </c>
      <c r="K558" s="58">
        <v>5.9977493E8</v>
      </c>
      <c r="L558" s="55" t="s">
        <v>34</v>
      </c>
      <c r="M558" s="57" t="s">
        <v>133</v>
      </c>
      <c r="N558" s="55" t="s">
        <v>90</v>
      </c>
      <c r="O558" s="55"/>
      <c r="P558" s="55" t="s">
        <v>91</v>
      </c>
      <c r="Q558" s="55" t="s">
        <v>16</v>
      </c>
      <c r="R558" s="55"/>
      <c r="S558" s="55"/>
      <c r="T558" s="82"/>
      <c r="U558" s="82"/>
      <c r="V558" s="57"/>
      <c r="W558" s="57"/>
      <c r="X558" s="57" t="str">
        <f t="shared" si="499"/>
        <v/>
      </c>
      <c r="Y558" s="58" t="str">
        <f t="shared" ref="Y558:AC558" si="563">TRIM(SUBSTITUTE(SUBSTITUTE(OFFSET(#REF!,0,COLUMN()-COLUMN($AL$1)),CHAR(160)," "),_xludf.UNICHAR(8239)," "))</f>
        <v>#REF!</v>
      </c>
      <c r="Z558" s="58" t="str">
        <f t="shared" si="563"/>
        <v>#REF!</v>
      </c>
      <c r="AA558" s="58" t="str">
        <f t="shared" si="563"/>
        <v>#REF!</v>
      </c>
      <c r="AB558" s="58" t="str">
        <f t="shared" si="563"/>
        <v>#REF!</v>
      </c>
      <c r="AC558" s="58" t="str">
        <f t="shared" si="563"/>
        <v>#REF!</v>
      </c>
      <c r="AD558" s="57">
        <f t="shared" si="501"/>
        <v>0</v>
      </c>
      <c r="AE558" s="57" t="str">
        <f t="shared" si="502"/>
        <v>2026-05</v>
      </c>
      <c r="AF558" s="57">
        <f t="shared" si="6"/>
        <v>0</v>
      </c>
      <c r="AG558" s="59">
        <f t="shared" si="7"/>
        <v>0</v>
      </c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</row>
    <row r="559" ht="24.0" customHeight="1">
      <c r="A559" s="45">
        <v>63.0</v>
      </c>
      <c r="B559" s="74" t="s">
        <v>1942</v>
      </c>
      <c r="C559" s="55" t="s">
        <v>1884</v>
      </c>
      <c r="D559" s="75"/>
      <c r="E559" s="57">
        <v>8.0297021E8</v>
      </c>
      <c r="F559" s="76">
        <v>33614.0</v>
      </c>
      <c r="G559" s="77">
        <v>34.0</v>
      </c>
      <c r="H559" s="78" t="str">
        <f t="shared" si="540"/>
        <v>19-60</v>
      </c>
      <c r="I559" s="79" t="s">
        <v>86</v>
      </c>
      <c r="J559" s="80" t="str">
        <f t="shared" si="496"/>
        <v>female</v>
      </c>
      <c r="K559" s="58">
        <v>5.99348067E8</v>
      </c>
      <c r="L559" s="55" t="s">
        <v>34</v>
      </c>
      <c r="M559" s="57" t="s">
        <v>89</v>
      </c>
      <c r="N559" s="55" t="s">
        <v>90</v>
      </c>
      <c r="O559" s="55"/>
      <c r="P559" s="55" t="s">
        <v>91</v>
      </c>
      <c r="Q559" s="55"/>
      <c r="R559" s="55" t="s">
        <v>27</v>
      </c>
      <c r="S559" s="55"/>
      <c r="T559" s="82"/>
      <c r="U559" s="82"/>
      <c r="V559" s="57"/>
      <c r="W559" s="57"/>
      <c r="X559" s="57" t="str">
        <f t="shared" si="499"/>
        <v>--552-05-05</v>
      </c>
      <c r="Y559" s="58" t="str">
        <f t="shared" ref="Y559:AC559" si="564">TRIM(SUBSTITUTE(SUBSTITUTE(OFFSET(#REF!,0,COLUMN()-COLUMN($AL$1)),CHAR(160)," "),_xludf.UNICHAR(8239)," "))</f>
        <v>#REF!</v>
      </c>
      <c r="Z559" s="58" t="str">
        <f t="shared" si="564"/>
        <v>#REF!</v>
      </c>
      <c r="AA559" s="58" t="str">
        <f t="shared" si="564"/>
        <v>#REF!</v>
      </c>
      <c r="AB559" s="58" t="str">
        <f t="shared" si="564"/>
        <v>#REF!</v>
      </c>
      <c r="AC559" s="58" t="str">
        <f t="shared" si="564"/>
        <v>#REF!</v>
      </c>
      <c r="AD559" s="57">
        <f t="shared" si="501"/>
        <v>1</v>
      </c>
      <c r="AE559" s="57" t="str">
        <f t="shared" si="502"/>
        <v>2026-05</v>
      </c>
      <c r="AF559" s="57">
        <f t="shared" si="6"/>
        <v>1</v>
      </c>
      <c r="AG559" s="59">
        <f t="shared" si="7"/>
        <v>1</v>
      </c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</row>
    <row r="560" ht="24.0" customHeight="1">
      <c r="A560" s="45">
        <v>64.0</v>
      </c>
      <c r="B560" s="74" t="s">
        <v>1943</v>
      </c>
      <c r="C560" s="55" t="s">
        <v>1884</v>
      </c>
      <c r="D560" s="75"/>
      <c r="E560" s="57">
        <v>4.45299415E8</v>
      </c>
      <c r="F560" s="76">
        <v>44889.0</v>
      </c>
      <c r="G560" s="77">
        <v>4.0</v>
      </c>
      <c r="H560" s="78" t="str">
        <f t="shared" si="540"/>
        <v>0-5</v>
      </c>
      <c r="I560" s="79" t="s">
        <v>86</v>
      </c>
      <c r="J560" s="80" t="str">
        <f t="shared" si="496"/>
        <v>female</v>
      </c>
      <c r="K560" s="58">
        <v>5.95566104E8</v>
      </c>
      <c r="L560" s="55" t="s">
        <v>34</v>
      </c>
      <c r="M560" s="57" t="s">
        <v>133</v>
      </c>
      <c r="N560" s="55" t="s">
        <v>90</v>
      </c>
      <c r="O560" s="55"/>
      <c r="P560" s="55" t="s">
        <v>91</v>
      </c>
      <c r="Q560" s="55" t="s">
        <v>16</v>
      </c>
      <c r="R560" s="55"/>
      <c r="S560" s="55"/>
      <c r="T560" s="82"/>
      <c r="U560" s="82"/>
      <c r="V560" s="57"/>
      <c r="W560" s="57"/>
      <c r="X560" s="57" t="str">
        <f t="shared" si="499"/>
        <v>--553-05-05</v>
      </c>
      <c r="Y560" s="58" t="str">
        <f t="shared" ref="Y560:AC560" si="565">TRIM(SUBSTITUTE(SUBSTITUTE(OFFSET(#REF!,0,COLUMN()-COLUMN($AL$1)),CHAR(160)," "),_xludf.UNICHAR(8239)," "))</f>
        <v>#REF!</v>
      </c>
      <c r="Z560" s="58" t="str">
        <f t="shared" si="565"/>
        <v>#REF!</v>
      </c>
      <c r="AA560" s="58" t="str">
        <f t="shared" si="565"/>
        <v>#REF!</v>
      </c>
      <c r="AB560" s="58" t="str">
        <f t="shared" si="565"/>
        <v>#REF!</v>
      </c>
      <c r="AC560" s="58" t="str">
        <f t="shared" si="565"/>
        <v>#REF!</v>
      </c>
      <c r="AD560" s="57">
        <f t="shared" si="501"/>
        <v>1</v>
      </c>
      <c r="AE560" s="57" t="str">
        <f t="shared" si="502"/>
        <v>2026-05</v>
      </c>
      <c r="AF560" s="57">
        <f t="shared" si="6"/>
        <v>1</v>
      </c>
      <c r="AG560" s="59">
        <f t="shared" si="7"/>
        <v>1</v>
      </c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</row>
    <row r="561" ht="24.0" customHeight="1">
      <c r="A561" s="45">
        <v>65.0</v>
      </c>
      <c r="B561" s="74" t="s">
        <v>1944</v>
      </c>
      <c r="C561" s="55" t="s">
        <v>1884</v>
      </c>
      <c r="D561" s="75"/>
      <c r="E561" s="57">
        <v>4.4528005E8</v>
      </c>
      <c r="F561" s="76">
        <v>44288.0</v>
      </c>
      <c r="G561" s="77">
        <v>5.0</v>
      </c>
      <c r="H561" s="78" t="str">
        <f t="shared" si="540"/>
        <v>0-5</v>
      </c>
      <c r="I561" s="79" t="s">
        <v>86</v>
      </c>
      <c r="J561" s="80" t="str">
        <f t="shared" si="496"/>
        <v>female</v>
      </c>
      <c r="K561" s="58">
        <v>5.98174258E8</v>
      </c>
      <c r="L561" s="55" t="s">
        <v>34</v>
      </c>
      <c r="M561" s="57" t="s">
        <v>133</v>
      </c>
      <c r="N561" s="55" t="s">
        <v>90</v>
      </c>
      <c r="O561" s="55"/>
      <c r="P561" s="55" t="s">
        <v>91</v>
      </c>
      <c r="Q561" s="55" t="s">
        <v>16</v>
      </c>
      <c r="R561" s="55"/>
      <c r="S561" s="55"/>
      <c r="T561" s="82"/>
      <c r="U561" s="82"/>
      <c r="V561" s="57"/>
      <c r="W561" s="57"/>
      <c r="X561" s="57" t="str">
        <f t="shared" si="499"/>
        <v>--554-05-05</v>
      </c>
      <c r="Y561" s="58" t="str">
        <f t="shared" ref="Y561:AC561" si="566">TRIM(SUBSTITUTE(SUBSTITUTE(OFFSET(#REF!,0,COLUMN()-COLUMN($AL$1)),CHAR(160)," "),_xludf.UNICHAR(8239)," "))</f>
        <v>#REF!</v>
      </c>
      <c r="Z561" s="58" t="str">
        <f t="shared" si="566"/>
        <v>#REF!</v>
      </c>
      <c r="AA561" s="58" t="str">
        <f t="shared" si="566"/>
        <v>#REF!</v>
      </c>
      <c r="AB561" s="58" t="str">
        <f t="shared" si="566"/>
        <v>#REF!</v>
      </c>
      <c r="AC561" s="58" t="str">
        <f t="shared" si="566"/>
        <v>#REF!</v>
      </c>
      <c r="AD561" s="57">
        <f t="shared" si="501"/>
        <v>1</v>
      </c>
      <c r="AE561" s="57" t="str">
        <f t="shared" si="502"/>
        <v>2026-05</v>
      </c>
      <c r="AF561" s="57">
        <f t="shared" si="6"/>
        <v>1</v>
      </c>
      <c r="AG561" s="59">
        <f t="shared" si="7"/>
        <v>1</v>
      </c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</row>
    <row r="562" ht="24.0" customHeight="1">
      <c r="A562" s="45">
        <v>66.0</v>
      </c>
      <c r="B562" s="74" t="s">
        <v>1945</v>
      </c>
      <c r="C562" s="55" t="s">
        <v>1884</v>
      </c>
      <c r="D562" s="75"/>
      <c r="E562" s="57">
        <v>9.06676481E8</v>
      </c>
      <c r="F562" s="76">
        <v>30721.0</v>
      </c>
      <c r="G562" s="77">
        <v>42.0</v>
      </c>
      <c r="H562" s="78" t="str">
        <f t="shared" si="540"/>
        <v>19-60</v>
      </c>
      <c r="I562" s="79" t="s">
        <v>86</v>
      </c>
      <c r="J562" s="80" t="str">
        <f t="shared" si="496"/>
        <v>female</v>
      </c>
      <c r="K562" s="58">
        <v>5.98174258E8</v>
      </c>
      <c r="L562" s="55" t="s">
        <v>34</v>
      </c>
      <c r="M562" s="57" t="s">
        <v>89</v>
      </c>
      <c r="N562" s="55" t="s">
        <v>90</v>
      </c>
      <c r="O562" s="55"/>
      <c r="P562" s="55" t="s">
        <v>91</v>
      </c>
      <c r="Q562" s="55" t="s">
        <v>16</v>
      </c>
      <c r="R562" s="55"/>
      <c r="S562" s="55"/>
      <c r="T562" s="82"/>
      <c r="U562" s="82"/>
      <c r="V562" s="57"/>
      <c r="W562" s="57"/>
      <c r="X562" s="57" t="str">
        <f t="shared" si="499"/>
        <v>--555-05-05</v>
      </c>
      <c r="Y562" s="58" t="str">
        <f t="shared" ref="Y562:AC562" si="567">TRIM(SUBSTITUTE(SUBSTITUTE(OFFSET(#REF!,0,COLUMN()-COLUMN($AL$1)),CHAR(160)," "),_xludf.UNICHAR(8239)," "))</f>
        <v>#REF!</v>
      </c>
      <c r="Z562" s="58" t="str">
        <f t="shared" si="567"/>
        <v>#REF!</v>
      </c>
      <c r="AA562" s="58" t="str">
        <f t="shared" si="567"/>
        <v>#REF!</v>
      </c>
      <c r="AB562" s="58" t="str">
        <f t="shared" si="567"/>
        <v>#REF!</v>
      </c>
      <c r="AC562" s="58" t="str">
        <f t="shared" si="567"/>
        <v>#REF!</v>
      </c>
      <c r="AD562" s="57">
        <f t="shared" si="501"/>
        <v>1</v>
      </c>
      <c r="AE562" s="57" t="str">
        <f t="shared" si="502"/>
        <v>2026-05</v>
      </c>
      <c r="AF562" s="57">
        <f t="shared" si="6"/>
        <v>1</v>
      </c>
      <c r="AG562" s="59">
        <f t="shared" si="7"/>
        <v>1</v>
      </c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</row>
    <row r="563" ht="24.0" customHeight="1">
      <c r="A563" s="45">
        <v>67.0</v>
      </c>
      <c r="B563" s="74" t="s">
        <v>1946</v>
      </c>
      <c r="C563" s="55" t="s">
        <v>1884</v>
      </c>
      <c r="D563" s="75"/>
      <c r="E563" s="57">
        <v>8.01403424E8</v>
      </c>
      <c r="F563" s="76">
        <v>31583.0</v>
      </c>
      <c r="G563" s="77">
        <v>40.0</v>
      </c>
      <c r="H563" s="78" t="str">
        <f t="shared" si="540"/>
        <v>19-60</v>
      </c>
      <c r="I563" s="79" t="s">
        <v>86</v>
      </c>
      <c r="J563" s="80" t="str">
        <f t="shared" si="496"/>
        <v>female</v>
      </c>
      <c r="K563" s="58">
        <v>5.92433651E8</v>
      </c>
      <c r="L563" s="55" t="s">
        <v>34</v>
      </c>
      <c r="M563" s="57" t="s">
        <v>89</v>
      </c>
      <c r="N563" s="55" t="s">
        <v>90</v>
      </c>
      <c r="O563" s="55"/>
      <c r="P563" s="55" t="s">
        <v>91</v>
      </c>
      <c r="Q563" s="55"/>
      <c r="R563" s="55" t="s">
        <v>36</v>
      </c>
      <c r="S563" s="55"/>
      <c r="T563" s="82"/>
      <c r="U563" s="82"/>
      <c r="V563" s="57"/>
      <c r="W563" s="57"/>
      <c r="X563" s="57" t="str">
        <f t="shared" si="499"/>
        <v>--556-05-05</v>
      </c>
      <c r="Y563" s="58" t="str">
        <f t="shared" ref="Y563:AC563" si="568">TRIM(SUBSTITUTE(SUBSTITUTE(OFFSET(#REF!,0,COLUMN()-COLUMN($AL$1)),CHAR(160)," "),_xludf.UNICHAR(8239)," "))</f>
        <v>#REF!</v>
      </c>
      <c r="Z563" s="58" t="str">
        <f t="shared" si="568"/>
        <v>#REF!</v>
      </c>
      <c r="AA563" s="58" t="str">
        <f t="shared" si="568"/>
        <v>#REF!</v>
      </c>
      <c r="AB563" s="58" t="str">
        <f t="shared" si="568"/>
        <v>#REF!</v>
      </c>
      <c r="AC563" s="58" t="str">
        <f t="shared" si="568"/>
        <v>#REF!</v>
      </c>
      <c r="AD563" s="57">
        <f t="shared" si="501"/>
        <v>1</v>
      </c>
      <c r="AE563" s="57" t="str">
        <f t="shared" si="502"/>
        <v>2026-05</v>
      </c>
      <c r="AF563" s="57">
        <f t="shared" si="6"/>
        <v>1</v>
      </c>
      <c r="AG563" s="59">
        <f t="shared" si="7"/>
        <v>1</v>
      </c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</row>
    <row r="564" ht="24.0" customHeight="1">
      <c r="A564" s="45">
        <v>68.0</v>
      </c>
      <c r="B564" s="74" t="s">
        <v>1947</v>
      </c>
      <c r="C564" s="55" t="s">
        <v>1884</v>
      </c>
      <c r="D564" s="75"/>
      <c r="E564" s="57">
        <v>4.25824232E8</v>
      </c>
      <c r="F564" s="76">
        <v>35406.0</v>
      </c>
      <c r="G564" s="77">
        <v>30.0</v>
      </c>
      <c r="H564" s="78" t="str">
        <f t="shared" si="540"/>
        <v>19-60</v>
      </c>
      <c r="I564" s="79" t="s">
        <v>86</v>
      </c>
      <c r="J564" s="80" t="str">
        <f t="shared" si="496"/>
        <v>female</v>
      </c>
      <c r="K564" s="58">
        <v>5.99362692E8</v>
      </c>
      <c r="L564" s="55" t="s">
        <v>34</v>
      </c>
      <c r="M564" s="57" t="s">
        <v>89</v>
      </c>
      <c r="N564" s="55" t="s">
        <v>90</v>
      </c>
      <c r="O564" s="55"/>
      <c r="P564" s="55" t="s">
        <v>91</v>
      </c>
      <c r="Q564" s="55" t="s">
        <v>4</v>
      </c>
      <c r="R564" s="55"/>
      <c r="S564" s="55"/>
      <c r="T564" s="82"/>
      <c r="U564" s="82"/>
      <c r="V564" s="57"/>
      <c r="W564" s="57"/>
      <c r="X564" s="57" t="str">
        <f t="shared" si="499"/>
        <v>--557-05-05</v>
      </c>
      <c r="Y564" s="58" t="str">
        <f t="shared" ref="Y564:AC564" si="569">TRIM(SUBSTITUTE(SUBSTITUTE(OFFSET(#REF!,0,COLUMN()-COLUMN($AL$1)),CHAR(160)," "),_xludf.UNICHAR(8239)," "))</f>
        <v>#REF!</v>
      </c>
      <c r="Z564" s="58" t="str">
        <f t="shared" si="569"/>
        <v>#REF!</v>
      </c>
      <c r="AA564" s="58" t="str">
        <f t="shared" si="569"/>
        <v>#REF!</v>
      </c>
      <c r="AB564" s="58" t="str">
        <f t="shared" si="569"/>
        <v>#REF!</v>
      </c>
      <c r="AC564" s="58" t="str">
        <f t="shared" si="569"/>
        <v>#REF!</v>
      </c>
      <c r="AD564" s="57">
        <f t="shared" si="501"/>
        <v>1</v>
      </c>
      <c r="AE564" s="57" t="str">
        <f t="shared" si="502"/>
        <v>2026-05</v>
      </c>
      <c r="AF564" s="57">
        <f t="shared" si="6"/>
        <v>1</v>
      </c>
      <c r="AG564" s="59">
        <f t="shared" si="7"/>
        <v>1</v>
      </c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</row>
    <row r="565" ht="24.0" customHeight="1">
      <c r="A565" s="45">
        <v>69.0</v>
      </c>
      <c r="B565" s="74" t="s">
        <v>1948</v>
      </c>
      <c r="C565" s="55" t="s">
        <v>1884</v>
      </c>
      <c r="D565" s="75"/>
      <c r="E565" s="57">
        <v>8.00535672E8</v>
      </c>
      <c r="F565" s="76">
        <v>31484.0</v>
      </c>
      <c r="G565" s="77">
        <v>40.0</v>
      </c>
      <c r="H565" s="78" t="str">
        <f t="shared" si="540"/>
        <v>19-60</v>
      </c>
      <c r="I565" s="79" t="s">
        <v>86</v>
      </c>
      <c r="J565" s="80" t="str">
        <f t="shared" si="496"/>
        <v>female</v>
      </c>
      <c r="K565" s="58">
        <v>5.95755815E8</v>
      </c>
      <c r="L565" s="55" t="s">
        <v>34</v>
      </c>
      <c r="M565" s="57" t="s">
        <v>89</v>
      </c>
      <c r="N565" s="55" t="s">
        <v>90</v>
      </c>
      <c r="O565" s="55"/>
      <c r="P565" s="55" t="s">
        <v>91</v>
      </c>
      <c r="Q565" s="55" t="s">
        <v>16</v>
      </c>
      <c r="R565" s="55"/>
      <c r="S565" s="55"/>
      <c r="T565" s="82"/>
      <c r="U565" s="82"/>
      <c r="V565" s="57"/>
      <c r="W565" s="57"/>
      <c r="X565" s="57" t="str">
        <f t="shared" si="499"/>
        <v>--558-05-05</v>
      </c>
      <c r="Y565" s="58" t="str">
        <f t="shared" ref="Y565:AC565" si="570">TRIM(SUBSTITUTE(SUBSTITUTE(OFFSET(#REF!,0,COLUMN()-COLUMN($AL$1)),CHAR(160)," "),_xludf.UNICHAR(8239)," "))</f>
        <v>#REF!</v>
      </c>
      <c r="Z565" s="58" t="str">
        <f t="shared" si="570"/>
        <v>#REF!</v>
      </c>
      <c r="AA565" s="58" t="str">
        <f t="shared" si="570"/>
        <v>#REF!</v>
      </c>
      <c r="AB565" s="58" t="str">
        <f t="shared" si="570"/>
        <v>#REF!</v>
      </c>
      <c r="AC565" s="58" t="str">
        <f t="shared" si="570"/>
        <v>#REF!</v>
      </c>
      <c r="AD565" s="57">
        <f t="shared" si="501"/>
        <v>1</v>
      </c>
      <c r="AE565" s="57" t="str">
        <f t="shared" si="502"/>
        <v>2026-05</v>
      </c>
      <c r="AF565" s="57">
        <f t="shared" si="6"/>
        <v>1</v>
      </c>
      <c r="AG565" s="59">
        <f t="shared" si="7"/>
        <v>1</v>
      </c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</row>
    <row r="566" ht="24.0" customHeight="1">
      <c r="A566" s="45">
        <v>70.0</v>
      </c>
      <c r="B566" s="74" t="s">
        <v>1949</v>
      </c>
      <c r="C566" s="55" t="s">
        <v>1884</v>
      </c>
      <c r="D566" s="75"/>
      <c r="E566" s="57">
        <v>4.35905716E8</v>
      </c>
      <c r="F566" s="76">
        <v>42671.0</v>
      </c>
      <c r="G566" s="77">
        <v>10.0</v>
      </c>
      <c r="H566" s="78" t="str">
        <f t="shared" si="540"/>
        <v>6-18</v>
      </c>
      <c r="I566" s="79" t="s">
        <v>86</v>
      </c>
      <c r="J566" s="80" t="str">
        <f t="shared" si="496"/>
        <v>female</v>
      </c>
      <c r="K566" s="58">
        <v>5.92666206E8</v>
      </c>
      <c r="L566" s="55" t="s">
        <v>34</v>
      </c>
      <c r="M566" s="57" t="s">
        <v>133</v>
      </c>
      <c r="N566" s="55" t="s">
        <v>90</v>
      </c>
      <c r="O566" s="55"/>
      <c r="P566" s="55" t="s">
        <v>91</v>
      </c>
      <c r="Q566" s="55" t="s">
        <v>16</v>
      </c>
      <c r="R566" s="55"/>
      <c r="S566" s="55"/>
      <c r="T566" s="82"/>
      <c r="U566" s="82"/>
      <c r="V566" s="57"/>
      <c r="W566" s="57"/>
      <c r="X566" s="57" t="str">
        <f t="shared" si="499"/>
        <v>--559-05-05</v>
      </c>
      <c r="Y566" s="58" t="str">
        <f t="shared" ref="Y566:AC566" si="571">TRIM(SUBSTITUTE(SUBSTITUTE(OFFSET(#REF!,0,COLUMN()-COLUMN($AL$1)),CHAR(160)," "),_xludf.UNICHAR(8239)," "))</f>
        <v>#REF!</v>
      </c>
      <c r="Z566" s="58" t="str">
        <f t="shared" si="571"/>
        <v>#REF!</v>
      </c>
      <c r="AA566" s="58" t="str">
        <f t="shared" si="571"/>
        <v>#REF!</v>
      </c>
      <c r="AB566" s="58" t="str">
        <f t="shared" si="571"/>
        <v>#REF!</v>
      </c>
      <c r="AC566" s="58" t="str">
        <f t="shared" si="571"/>
        <v>#REF!</v>
      </c>
      <c r="AD566" s="57">
        <f t="shared" si="501"/>
        <v>1</v>
      </c>
      <c r="AE566" s="57" t="str">
        <f t="shared" si="502"/>
        <v>2026-05</v>
      </c>
      <c r="AF566" s="57">
        <f t="shared" si="6"/>
        <v>1</v>
      </c>
      <c r="AG566" s="59">
        <f t="shared" si="7"/>
        <v>1</v>
      </c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</row>
    <row r="567" ht="24.0" customHeight="1">
      <c r="A567" s="45">
        <v>71.0</v>
      </c>
      <c r="B567" s="74" t="s">
        <v>1950</v>
      </c>
      <c r="C567" s="55" t="s">
        <v>1884</v>
      </c>
      <c r="D567" s="75"/>
      <c r="E567" s="57">
        <v>4.03760077E8</v>
      </c>
      <c r="F567" s="76">
        <v>35919.0</v>
      </c>
      <c r="G567" s="77">
        <v>28.0</v>
      </c>
      <c r="H567" s="78" t="str">
        <f t="shared" si="540"/>
        <v>19-60</v>
      </c>
      <c r="I567" s="79" t="s">
        <v>86</v>
      </c>
      <c r="J567" s="80" t="str">
        <f t="shared" si="496"/>
        <v>female</v>
      </c>
      <c r="K567" s="58">
        <v>5.97811244E8</v>
      </c>
      <c r="L567" s="55" t="s">
        <v>34</v>
      </c>
      <c r="M567" s="57" t="s">
        <v>89</v>
      </c>
      <c r="N567" s="55" t="s">
        <v>90</v>
      </c>
      <c r="O567" s="55"/>
      <c r="P567" s="55" t="s">
        <v>91</v>
      </c>
      <c r="Q567" s="55"/>
      <c r="R567" s="55" t="s">
        <v>27</v>
      </c>
      <c r="S567" s="55"/>
      <c r="T567" s="82"/>
      <c r="U567" s="82"/>
      <c r="V567" s="57"/>
      <c r="W567" s="57"/>
      <c r="X567" s="57" t="str">
        <f t="shared" si="499"/>
        <v>--560-05-05</v>
      </c>
      <c r="Y567" s="58" t="str">
        <f t="shared" ref="Y567:AC567" si="572">TRIM(SUBSTITUTE(SUBSTITUTE(OFFSET(#REF!,0,COLUMN()-COLUMN($AL$1)),CHAR(160)," "),_xludf.UNICHAR(8239)," "))</f>
        <v>#REF!</v>
      </c>
      <c r="Z567" s="58" t="str">
        <f t="shared" si="572"/>
        <v>#REF!</v>
      </c>
      <c r="AA567" s="58" t="str">
        <f t="shared" si="572"/>
        <v>#REF!</v>
      </c>
      <c r="AB567" s="58" t="str">
        <f t="shared" si="572"/>
        <v>#REF!</v>
      </c>
      <c r="AC567" s="58" t="str">
        <f t="shared" si="572"/>
        <v>#REF!</v>
      </c>
      <c r="AD567" s="57">
        <f t="shared" si="501"/>
        <v>1</v>
      </c>
      <c r="AE567" s="57" t="str">
        <f t="shared" si="502"/>
        <v>2026-05</v>
      </c>
      <c r="AF567" s="57">
        <f t="shared" si="6"/>
        <v>1</v>
      </c>
      <c r="AG567" s="59">
        <f t="shared" si="7"/>
        <v>1</v>
      </c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</row>
    <row r="568" ht="24.0" customHeight="1">
      <c r="A568" s="45">
        <v>72.0</v>
      </c>
      <c r="B568" s="74" t="s">
        <v>1951</v>
      </c>
      <c r="C568" s="55" t="s">
        <v>1884</v>
      </c>
      <c r="D568" s="75"/>
      <c r="E568" s="57">
        <v>8.02824771E8</v>
      </c>
      <c r="F568" s="76">
        <v>33497.0</v>
      </c>
      <c r="G568" s="77">
        <v>35.0</v>
      </c>
      <c r="H568" s="78" t="str">
        <f t="shared" si="540"/>
        <v>19-60</v>
      </c>
      <c r="I568" s="79" t="s">
        <v>86</v>
      </c>
      <c r="J568" s="80" t="str">
        <f t="shared" si="496"/>
        <v>female</v>
      </c>
      <c r="K568" s="58">
        <v>5.92666206E8</v>
      </c>
      <c r="L568" s="55" t="s">
        <v>34</v>
      </c>
      <c r="M568" s="57" t="s">
        <v>89</v>
      </c>
      <c r="N568" s="55" t="s">
        <v>90</v>
      </c>
      <c r="O568" s="55"/>
      <c r="P568" s="55" t="s">
        <v>91</v>
      </c>
      <c r="Q568" s="55" t="s">
        <v>16</v>
      </c>
      <c r="R568" s="55"/>
      <c r="S568" s="55"/>
      <c r="T568" s="82"/>
      <c r="U568" s="82"/>
      <c r="V568" s="57"/>
      <c r="W568" s="57"/>
      <c r="X568" s="57" t="str">
        <f t="shared" si="499"/>
        <v>--561-05-05</v>
      </c>
      <c r="Y568" s="58" t="str">
        <f t="shared" ref="Y568:AC568" si="573">TRIM(SUBSTITUTE(SUBSTITUTE(OFFSET(#REF!,0,COLUMN()-COLUMN($AL$1)),CHAR(160)," "),_xludf.UNICHAR(8239)," "))</f>
        <v>#REF!</v>
      </c>
      <c r="Z568" s="58" t="str">
        <f t="shared" si="573"/>
        <v>#REF!</v>
      </c>
      <c r="AA568" s="58" t="str">
        <f t="shared" si="573"/>
        <v>#REF!</v>
      </c>
      <c r="AB568" s="58" t="str">
        <f t="shared" si="573"/>
        <v>#REF!</v>
      </c>
      <c r="AC568" s="58" t="str">
        <f t="shared" si="573"/>
        <v>#REF!</v>
      </c>
      <c r="AD568" s="57">
        <f t="shared" si="501"/>
        <v>1</v>
      </c>
      <c r="AE568" s="57" t="str">
        <f t="shared" si="502"/>
        <v>2026-05</v>
      </c>
      <c r="AF568" s="57">
        <f t="shared" si="6"/>
        <v>1</v>
      </c>
      <c r="AG568" s="59">
        <f t="shared" si="7"/>
        <v>1</v>
      </c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</row>
    <row r="569" ht="24.0" customHeight="1">
      <c r="A569" s="45">
        <v>73.0</v>
      </c>
      <c r="B569" s="74" t="s">
        <v>1952</v>
      </c>
      <c r="C569" s="55" t="s">
        <v>1884</v>
      </c>
      <c r="D569" s="75"/>
      <c r="E569" s="57">
        <v>4.00260113E8</v>
      </c>
      <c r="F569" s="76">
        <v>35483.0</v>
      </c>
      <c r="G569" s="77">
        <v>29.0</v>
      </c>
      <c r="H569" s="78" t="str">
        <f t="shared" si="540"/>
        <v>19-60</v>
      </c>
      <c r="I569" s="79" t="s">
        <v>86</v>
      </c>
      <c r="J569" s="80" t="str">
        <f t="shared" si="496"/>
        <v>female</v>
      </c>
      <c r="K569" s="58">
        <v>5.97752258E8</v>
      </c>
      <c r="L569" s="55" t="s">
        <v>34</v>
      </c>
      <c r="M569" s="57" t="s">
        <v>89</v>
      </c>
      <c r="N569" s="55" t="s">
        <v>90</v>
      </c>
      <c r="O569" s="55"/>
      <c r="P569" s="55" t="s">
        <v>91</v>
      </c>
      <c r="Q569" s="55" t="s">
        <v>4</v>
      </c>
      <c r="R569" s="55"/>
      <c r="S569" s="55"/>
      <c r="T569" s="82"/>
      <c r="U569" s="82"/>
      <c r="V569" s="57"/>
      <c r="W569" s="57"/>
      <c r="X569" s="57" t="str">
        <f t="shared" si="499"/>
        <v>--562-05-05</v>
      </c>
      <c r="Y569" s="58" t="str">
        <f t="shared" ref="Y569:AC569" si="574">TRIM(SUBSTITUTE(SUBSTITUTE(OFFSET(#REF!,0,COLUMN()-COLUMN($AL$1)),CHAR(160)," "),_xludf.UNICHAR(8239)," "))</f>
        <v>#REF!</v>
      </c>
      <c r="Z569" s="58" t="str">
        <f t="shared" si="574"/>
        <v>#REF!</v>
      </c>
      <c r="AA569" s="58" t="str">
        <f t="shared" si="574"/>
        <v>#REF!</v>
      </c>
      <c r="AB569" s="58" t="str">
        <f t="shared" si="574"/>
        <v>#REF!</v>
      </c>
      <c r="AC569" s="58" t="str">
        <f t="shared" si="574"/>
        <v>#REF!</v>
      </c>
      <c r="AD569" s="57">
        <f t="shared" si="501"/>
        <v>1</v>
      </c>
      <c r="AE569" s="57" t="str">
        <f t="shared" si="502"/>
        <v>2026-05</v>
      </c>
      <c r="AF569" s="57">
        <f t="shared" si="6"/>
        <v>1</v>
      </c>
      <c r="AG569" s="59">
        <f t="shared" si="7"/>
        <v>1</v>
      </c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</row>
    <row r="570" ht="24.0" customHeight="1">
      <c r="A570" s="45">
        <v>74.0</v>
      </c>
      <c r="B570" s="74" t="s">
        <v>879</v>
      </c>
      <c r="C570" s="55" t="s">
        <v>1884</v>
      </c>
      <c r="D570" s="75">
        <v>46140.0</v>
      </c>
      <c r="E570" s="57">
        <v>4.04066342E8</v>
      </c>
      <c r="F570" s="76">
        <v>36346.0</v>
      </c>
      <c r="G570" s="77">
        <v>27.0</v>
      </c>
      <c r="H570" s="78" t="str">
        <f t="shared" si="540"/>
        <v>19-60</v>
      </c>
      <c r="I570" s="79" t="s">
        <v>86</v>
      </c>
      <c r="J570" s="80" t="str">
        <f t="shared" si="496"/>
        <v>female</v>
      </c>
      <c r="K570" s="58">
        <v>5.92576858E8</v>
      </c>
      <c r="L570" s="55" t="s">
        <v>34</v>
      </c>
      <c r="M570" s="57" t="s">
        <v>89</v>
      </c>
      <c r="N570" s="55" t="s">
        <v>90</v>
      </c>
      <c r="O570" s="55"/>
      <c r="P570" s="55" t="s">
        <v>91</v>
      </c>
      <c r="Q570" s="55"/>
      <c r="R570" s="55" t="s">
        <v>27</v>
      </c>
      <c r="S570" s="55"/>
      <c r="T570" s="82"/>
      <c r="U570" s="82"/>
      <c r="V570" s="57"/>
      <c r="W570" s="57"/>
      <c r="X570" s="57" t="str">
        <f t="shared" si="499"/>
        <v>--563-05-05</v>
      </c>
      <c r="Y570" s="58" t="str">
        <f t="shared" ref="Y570:AC570" si="575">TRIM(SUBSTITUTE(SUBSTITUTE(OFFSET(#REF!,0,COLUMN()-COLUMN($AL$1)),CHAR(160)," "),_xludf.UNICHAR(8239)," "))</f>
        <v>#REF!</v>
      </c>
      <c r="Z570" s="58" t="str">
        <f t="shared" si="575"/>
        <v>#REF!</v>
      </c>
      <c r="AA570" s="58" t="str">
        <f t="shared" si="575"/>
        <v>#REF!</v>
      </c>
      <c r="AB570" s="58" t="str">
        <f t="shared" si="575"/>
        <v>#REF!</v>
      </c>
      <c r="AC570" s="58" t="str">
        <f t="shared" si="575"/>
        <v>#REF!</v>
      </c>
      <c r="AD570" s="57">
        <f t="shared" si="501"/>
        <v>1</v>
      </c>
      <c r="AE570" s="57" t="str">
        <f t="shared" si="502"/>
        <v>2026-05</v>
      </c>
      <c r="AF570" s="57">
        <f t="shared" si="6"/>
        <v>1</v>
      </c>
      <c r="AG570" s="59">
        <f t="shared" si="7"/>
        <v>0</v>
      </c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</row>
    <row r="571" ht="24.0" customHeight="1">
      <c r="A571" s="45">
        <v>75.0</v>
      </c>
      <c r="B571" s="74" t="s">
        <v>1953</v>
      </c>
      <c r="C571" s="55" t="s">
        <v>1884</v>
      </c>
      <c r="D571" s="75"/>
      <c r="E571" s="57">
        <v>4.29021264E8</v>
      </c>
      <c r="F571" s="76">
        <v>39832.0</v>
      </c>
      <c r="G571" s="77">
        <v>17.0</v>
      </c>
      <c r="H571" s="78" t="str">
        <f t="shared" si="540"/>
        <v>6-18</v>
      </c>
      <c r="I571" s="79" t="s">
        <v>112</v>
      </c>
      <c r="J571" s="80" t="str">
        <f t="shared" si="496"/>
        <v>male</v>
      </c>
      <c r="K571" s="58">
        <v>5.92356305E8</v>
      </c>
      <c r="L571" s="55" t="s">
        <v>34</v>
      </c>
      <c r="M571" s="57" t="s">
        <v>89</v>
      </c>
      <c r="N571" s="55" t="s">
        <v>90</v>
      </c>
      <c r="O571" s="55"/>
      <c r="P571" s="55" t="s">
        <v>91</v>
      </c>
      <c r="Q571" s="55" t="s">
        <v>16</v>
      </c>
      <c r="R571" s="55"/>
      <c r="S571" s="55"/>
      <c r="T571" s="82"/>
      <c r="U571" s="82"/>
      <c r="V571" s="57"/>
      <c r="W571" s="57"/>
      <c r="X571" s="57" t="str">
        <f t="shared" si="499"/>
        <v>--564-05-05</v>
      </c>
      <c r="Y571" s="58" t="str">
        <f t="shared" ref="Y571:AC571" si="576">TRIM(SUBSTITUTE(SUBSTITUTE(OFFSET(#REF!,0,COLUMN()-COLUMN($AL$1)),CHAR(160)," "),_xludf.UNICHAR(8239)," "))</f>
        <v>#REF!</v>
      </c>
      <c r="Z571" s="58" t="str">
        <f t="shared" si="576"/>
        <v>#REF!</v>
      </c>
      <c r="AA571" s="58" t="str">
        <f t="shared" si="576"/>
        <v>#REF!</v>
      </c>
      <c r="AB571" s="58" t="str">
        <f t="shared" si="576"/>
        <v>#REF!</v>
      </c>
      <c r="AC571" s="58" t="str">
        <f t="shared" si="576"/>
        <v>#REF!</v>
      </c>
      <c r="AD571" s="57">
        <f t="shared" si="501"/>
        <v>1</v>
      </c>
      <c r="AE571" s="57" t="str">
        <f t="shared" si="502"/>
        <v>2026-05</v>
      </c>
      <c r="AF571" s="57">
        <f t="shared" si="6"/>
        <v>1</v>
      </c>
      <c r="AG571" s="59">
        <f t="shared" si="7"/>
        <v>1</v>
      </c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</row>
    <row r="572" ht="24.0" customHeight="1">
      <c r="A572" s="45">
        <v>76.0</v>
      </c>
      <c r="B572" s="74" t="s">
        <v>1954</v>
      </c>
      <c r="C572" s="55" t="s">
        <v>1884</v>
      </c>
      <c r="D572" s="75"/>
      <c r="E572" s="57">
        <v>9.03214955E8</v>
      </c>
      <c r="F572" s="76">
        <v>23920.0</v>
      </c>
      <c r="G572" s="77">
        <v>61.0</v>
      </c>
      <c r="H572" s="78" t="str">
        <f t="shared" si="540"/>
        <v>+60</v>
      </c>
      <c r="I572" s="79" t="s">
        <v>112</v>
      </c>
      <c r="J572" s="80" t="str">
        <f t="shared" si="496"/>
        <v>male</v>
      </c>
      <c r="K572" s="58">
        <v>5.95222883E8</v>
      </c>
      <c r="L572" s="55" t="s">
        <v>34</v>
      </c>
      <c r="M572" s="57" t="s">
        <v>89</v>
      </c>
      <c r="N572" s="55" t="s">
        <v>90</v>
      </c>
      <c r="O572" s="55"/>
      <c r="P572" s="55" t="s">
        <v>91</v>
      </c>
      <c r="Q572" s="55" t="s">
        <v>16</v>
      </c>
      <c r="R572" s="55"/>
      <c r="S572" s="55"/>
      <c r="T572" s="82"/>
      <c r="U572" s="82"/>
      <c r="V572" s="57"/>
      <c r="W572" s="57"/>
      <c r="X572" s="57" t="str">
        <f t="shared" si="499"/>
        <v>--565-05-05</v>
      </c>
      <c r="Y572" s="58" t="str">
        <f t="shared" ref="Y572:AC572" si="577">TRIM(SUBSTITUTE(SUBSTITUTE(OFFSET(#REF!,0,COLUMN()-COLUMN($AL$1)),CHAR(160)," "),_xludf.UNICHAR(8239)," "))</f>
        <v>#REF!</v>
      </c>
      <c r="Z572" s="58" t="str">
        <f t="shared" si="577"/>
        <v>#REF!</v>
      </c>
      <c r="AA572" s="58" t="str">
        <f t="shared" si="577"/>
        <v>#REF!</v>
      </c>
      <c r="AB572" s="58" t="str">
        <f t="shared" si="577"/>
        <v>#REF!</v>
      </c>
      <c r="AC572" s="58" t="str">
        <f t="shared" si="577"/>
        <v>#REF!</v>
      </c>
      <c r="AD572" s="57">
        <f t="shared" si="501"/>
        <v>1</v>
      </c>
      <c r="AE572" s="57" t="str">
        <f t="shared" si="502"/>
        <v>2026-05</v>
      </c>
      <c r="AF572" s="57">
        <f t="shared" si="6"/>
        <v>1</v>
      </c>
      <c r="AG572" s="59">
        <f t="shared" si="7"/>
        <v>1</v>
      </c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</row>
    <row r="573">
      <c r="A573" s="53">
        <v>1.0</v>
      </c>
      <c r="B573" s="54" t="s">
        <v>555</v>
      </c>
      <c r="C573" s="55" t="s">
        <v>1955</v>
      </c>
      <c r="D573" s="60">
        <v>46139.0</v>
      </c>
      <c r="E573" s="55" t="s">
        <v>556</v>
      </c>
      <c r="F573" s="55" t="s">
        <v>1956</v>
      </c>
      <c r="G573" s="55">
        <v>39.0</v>
      </c>
      <c r="H573" s="55" t="s">
        <v>85</v>
      </c>
      <c r="I573" s="55" t="s">
        <v>86</v>
      </c>
      <c r="J573" s="56" t="s">
        <v>87</v>
      </c>
      <c r="K573" s="55" t="s">
        <v>558</v>
      </c>
      <c r="L573" s="55" t="s">
        <v>41</v>
      </c>
      <c r="M573" s="55" t="s">
        <v>89</v>
      </c>
      <c r="N573" s="55" t="s">
        <v>90</v>
      </c>
      <c r="O573" s="55"/>
      <c r="P573" s="55" t="s">
        <v>91</v>
      </c>
      <c r="Q573" s="55" t="s">
        <v>4</v>
      </c>
      <c r="R573" s="55"/>
      <c r="S573" s="55"/>
      <c r="T573" s="55"/>
      <c r="U573" s="55"/>
      <c r="V573" s="55"/>
      <c r="W573" s="55"/>
      <c r="X573" s="57" t="str">
        <f t="shared" si="499"/>
        <v>--566-06-05</v>
      </c>
      <c r="Y573" s="55"/>
      <c r="Z573" s="55"/>
      <c r="AA573" s="55"/>
      <c r="AB573" s="55"/>
      <c r="AC573" s="55"/>
      <c r="AD573" s="55"/>
      <c r="AE573" s="55"/>
      <c r="AF573" s="55"/>
      <c r="AG573" s="84"/>
    </row>
    <row r="574">
      <c r="A574" s="53">
        <v>2.0</v>
      </c>
      <c r="B574" s="54" t="s">
        <v>1957</v>
      </c>
      <c r="C574" s="55" t="s">
        <v>1955</v>
      </c>
      <c r="D574" s="55"/>
      <c r="E574" s="55" t="s">
        <v>1958</v>
      </c>
      <c r="F574" s="55" t="s">
        <v>1959</v>
      </c>
      <c r="G574" s="55">
        <v>41.0</v>
      </c>
      <c r="H574" s="55" t="s">
        <v>85</v>
      </c>
      <c r="I574" s="55" t="s">
        <v>86</v>
      </c>
      <c r="J574" s="56" t="s">
        <v>87</v>
      </c>
      <c r="K574" s="55" t="s">
        <v>1960</v>
      </c>
      <c r="L574" s="55" t="s">
        <v>34</v>
      </c>
      <c r="M574" s="55" t="s">
        <v>89</v>
      </c>
      <c r="N574" s="55" t="s">
        <v>90</v>
      </c>
      <c r="O574" s="55"/>
      <c r="P574" s="55" t="s">
        <v>91</v>
      </c>
      <c r="Q574" s="55" t="s">
        <v>16</v>
      </c>
      <c r="R574" s="55"/>
      <c r="S574" s="55"/>
      <c r="T574" s="55"/>
      <c r="U574" s="55"/>
      <c r="V574" s="55"/>
      <c r="W574" s="55"/>
      <c r="X574" s="57" t="str">
        <f t="shared" si="499"/>
        <v>--567-06-05</v>
      </c>
      <c r="Y574" s="55"/>
      <c r="Z574" s="55"/>
      <c r="AA574" s="55"/>
      <c r="AB574" s="55"/>
      <c r="AC574" s="55"/>
      <c r="AD574" s="55"/>
      <c r="AE574" s="55"/>
      <c r="AF574" s="55"/>
      <c r="AG574" s="84"/>
    </row>
    <row r="575">
      <c r="A575" s="53">
        <v>3.0</v>
      </c>
      <c r="B575" s="54" t="s">
        <v>1961</v>
      </c>
      <c r="C575" s="55" t="s">
        <v>1955</v>
      </c>
      <c r="D575" s="55"/>
      <c r="E575" s="55" t="s">
        <v>1962</v>
      </c>
      <c r="F575" s="55"/>
      <c r="G575" s="55"/>
      <c r="H575" s="55"/>
      <c r="I575" s="55" t="s">
        <v>86</v>
      </c>
      <c r="J575" s="56" t="s">
        <v>87</v>
      </c>
      <c r="K575" s="55" t="s">
        <v>1963</v>
      </c>
      <c r="L575" s="55" t="s">
        <v>34</v>
      </c>
      <c r="M575" s="57" t="s">
        <v>89</v>
      </c>
      <c r="N575" s="55" t="s">
        <v>90</v>
      </c>
      <c r="O575" s="55"/>
      <c r="P575" s="55" t="s">
        <v>91</v>
      </c>
      <c r="Q575" s="55"/>
      <c r="R575" s="55" t="s">
        <v>5</v>
      </c>
      <c r="S575" s="55"/>
      <c r="T575" s="55"/>
      <c r="U575" s="55" t="s">
        <v>7</v>
      </c>
      <c r="V575" s="55"/>
      <c r="W575" s="55"/>
      <c r="X575" s="57" t="str">
        <f t="shared" si="499"/>
        <v>--568-06-05</v>
      </c>
      <c r="Y575" s="55"/>
      <c r="Z575" s="55"/>
      <c r="AA575" s="55"/>
      <c r="AB575" s="55"/>
      <c r="AC575" s="55"/>
      <c r="AD575" s="55"/>
      <c r="AE575" s="55"/>
      <c r="AF575" s="55"/>
      <c r="AG575" s="84"/>
    </row>
    <row r="576">
      <c r="A576" s="53">
        <v>4.0</v>
      </c>
      <c r="B576" s="54" t="s">
        <v>1964</v>
      </c>
      <c r="C576" s="55" t="s">
        <v>1955</v>
      </c>
      <c r="D576" s="55"/>
      <c r="E576" s="55" t="s">
        <v>1965</v>
      </c>
      <c r="F576" s="55" t="s">
        <v>1966</v>
      </c>
      <c r="G576" s="55">
        <v>36.0</v>
      </c>
      <c r="H576" s="55" t="s">
        <v>85</v>
      </c>
      <c r="I576" s="55" t="s">
        <v>86</v>
      </c>
      <c r="J576" s="56" t="s">
        <v>87</v>
      </c>
      <c r="K576" s="55" t="s">
        <v>1967</v>
      </c>
      <c r="L576" s="55" t="s">
        <v>34</v>
      </c>
      <c r="M576" s="55" t="s">
        <v>89</v>
      </c>
      <c r="N576" s="55" t="s">
        <v>90</v>
      </c>
      <c r="O576" s="55"/>
      <c r="P576" s="55" t="s">
        <v>91</v>
      </c>
      <c r="Q576" s="55"/>
      <c r="R576" s="55" t="s">
        <v>5</v>
      </c>
      <c r="S576" s="55"/>
      <c r="T576" s="55"/>
      <c r="U576" s="55" t="s">
        <v>7</v>
      </c>
      <c r="V576" s="55"/>
      <c r="W576" s="55"/>
      <c r="X576" s="57" t="str">
        <f t="shared" si="499"/>
        <v>--569-06-05</v>
      </c>
      <c r="Y576" s="55"/>
      <c r="Z576" s="55"/>
      <c r="AA576" s="55"/>
      <c r="AB576" s="55"/>
      <c r="AC576" s="55"/>
      <c r="AD576" s="55"/>
      <c r="AE576" s="55"/>
      <c r="AF576" s="55"/>
      <c r="AG576" s="84"/>
    </row>
    <row r="577">
      <c r="A577" s="53">
        <v>5.0</v>
      </c>
      <c r="B577" s="54" t="s">
        <v>1968</v>
      </c>
      <c r="C577" s="55" t="s">
        <v>1955</v>
      </c>
      <c r="D577" s="55"/>
      <c r="E577" s="55" t="s">
        <v>1969</v>
      </c>
      <c r="F577" s="55" t="s">
        <v>1970</v>
      </c>
      <c r="G577" s="55">
        <v>34.0</v>
      </c>
      <c r="H577" s="55" t="s">
        <v>85</v>
      </c>
      <c r="I577" s="55" t="s">
        <v>86</v>
      </c>
      <c r="J577" s="56" t="s">
        <v>87</v>
      </c>
      <c r="K577" s="55" t="s">
        <v>1971</v>
      </c>
      <c r="L577" s="55" t="s">
        <v>34</v>
      </c>
      <c r="M577" s="55" t="s">
        <v>89</v>
      </c>
      <c r="N577" s="55" t="s">
        <v>90</v>
      </c>
      <c r="O577" s="55"/>
      <c r="P577" s="55" t="s">
        <v>91</v>
      </c>
      <c r="Q577" s="55"/>
      <c r="R577" s="55" t="s">
        <v>5</v>
      </c>
      <c r="S577" s="55"/>
      <c r="T577" s="55"/>
      <c r="U577" s="55" t="s">
        <v>7</v>
      </c>
      <c r="V577" s="55"/>
      <c r="W577" s="55"/>
      <c r="X577" s="57" t="str">
        <f t="shared" si="499"/>
        <v>--570-06-05</v>
      </c>
      <c r="Y577" s="55"/>
      <c r="Z577" s="55"/>
      <c r="AA577" s="55"/>
      <c r="AB577" s="55"/>
      <c r="AC577" s="55"/>
      <c r="AD577" s="55"/>
      <c r="AE577" s="55"/>
      <c r="AF577" s="55"/>
      <c r="AG577" s="84"/>
    </row>
    <row r="578">
      <c r="A578" s="53">
        <v>6.0</v>
      </c>
      <c r="B578" s="54" t="s">
        <v>1972</v>
      </c>
      <c r="C578" s="55" t="s">
        <v>1955</v>
      </c>
      <c r="D578" s="55"/>
      <c r="E578" s="55" t="s">
        <v>1973</v>
      </c>
      <c r="F578" s="55" t="s">
        <v>1974</v>
      </c>
      <c r="G578" s="55">
        <v>39.0</v>
      </c>
      <c r="H578" s="55" t="s">
        <v>85</v>
      </c>
      <c r="I578" s="55" t="s">
        <v>86</v>
      </c>
      <c r="J578" s="56" t="s">
        <v>87</v>
      </c>
      <c r="K578" s="55" t="s">
        <v>1975</v>
      </c>
      <c r="L578" s="55" t="s">
        <v>34</v>
      </c>
      <c r="M578" s="55" t="s">
        <v>89</v>
      </c>
      <c r="N578" s="55" t="s">
        <v>90</v>
      </c>
      <c r="O578" s="55"/>
      <c r="P578" s="55" t="s">
        <v>91</v>
      </c>
      <c r="Q578" s="55"/>
      <c r="R578" s="55" t="s">
        <v>27</v>
      </c>
      <c r="S578" s="55"/>
      <c r="T578" s="55"/>
      <c r="U578" s="55"/>
      <c r="V578" s="55"/>
      <c r="W578" s="55"/>
      <c r="X578" s="57" t="str">
        <f t="shared" si="499"/>
        <v>--571-06-05</v>
      </c>
      <c r="Y578" s="55"/>
      <c r="Z578" s="55"/>
      <c r="AA578" s="55"/>
      <c r="AB578" s="55"/>
      <c r="AC578" s="55"/>
      <c r="AD578" s="55"/>
      <c r="AE578" s="55"/>
      <c r="AF578" s="55"/>
      <c r="AG578" s="84"/>
    </row>
    <row r="579">
      <c r="A579" s="53">
        <v>7.0</v>
      </c>
      <c r="B579" s="54" t="s">
        <v>1976</v>
      </c>
      <c r="C579" s="55" t="s">
        <v>1955</v>
      </c>
      <c r="D579" s="55"/>
      <c r="E579" s="55" t="s">
        <v>1977</v>
      </c>
      <c r="F579" s="55" t="s">
        <v>1978</v>
      </c>
      <c r="G579" s="55">
        <v>12.0</v>
      </c>
      <c r="H579" s="55" t="s">
        <v>111</v>
      </c>
      <c r="I579" s="55" t="s">
        <v>86</v>
      </c>
      <c r="J579" s="56" t="s">
        <v>87</v>
      </c>
      <c r="K579" s="55" t="s">
        <v>1975</v>
      </c>
      <c r="L579" s="55" t="s">
        <v>34</v>
      </c>
      <c r="M579" s="55" t="s">
        <v>115</v>
      </c>
      <c r="N579" s="55" t="s">
        <v>90</v>
      </c>
      <c r="O579" s="55"/>
      <c r="P579" s="55" t="s">
        <v>91</v>
      </c>
      <c r="Q579" s="55" t="s">
        <v>4</v>
      </c>
      <c r="R579" s="55"/>
      <c r="S579" s="55"/>
      <c r="T579" s="55"/>
      <c r="U579" s="55"/>
      <c r="V579" s="55"/>
      <c r="W579" s="55"/>
      <c r="X579" s="57" t="str">
        <f t="shared" si="499"/>
        <v>--572-06-05</v>
      </c>
      <c r="Y579" s="55"/>
      <c r="Z579" s="55"/>
      <c r="AA579" s="55"/>
      <c r="AB579" s="55"/>
      <c r="AC579" s="55"/>
      <c r="AD579" s="55"/>
      <c r="AE579" s="55"/>
      <c r="AF579" s="55"/>
      <c r="AG579" s="84"/>
    </row>
    <row r="580">
      <c r="A580" s="53">
        <v>8.0</v>
      </c>
      <c r="B580" s="54" t="s">
        <v>1979</v>
      </c>
      <c r="C580" s="55" t="s">
        <v>1955</v>
      </c>
      <c r="D580" s="55"/>
      <c r="E580" s="55" t="s">
        <v>1980</v>
      </c>
      <c r="F580" s="55" t="s">
        <v>1981</v>
      </c>
      <c r="G580" s="55">
        <v>19.0</v>
      </c>
      <c r="H580" s="55" t="s">
        <v>85</v>
      </c>
      <c r="I580" s="55" t="s">
        <v>86</v>
      </c>
      <c r="J580" s="56" t="s">
        <v>87</v>
      </c>
      <c r="K580" s="55" t="s">
        <v>1982</v>
      </c>
      <c r="L580" s="55" t="s">
        <v>34</v>
      </c>
      <c r="M580" s="55" t="s">
        <v>133</v>
      </c>
      <c r="N580" s="55" t="s">
        <v>90</v>
      </c>
      <c r="O580" s="55"/>
      <c r="P580" s="55" t="s">
        <v>91</v>
      </c>
      <c r="Q580" s="55" t="s">
        <v>4</v>
      </c>
      <c r="R580" s="55"/>
      <c r="S580" s="55"/>
      <c r="T580" s="55"/>
      <c r="U580" s="55"/>
      <c r="V580" s="55"/>
      <c r="W580" s="55"/>
      <c r="X580" s="57" t="str">
        <f t="shared" si="499"/>
        <v>--573-06-05</v>
      </c>
      <c r="Y580" s="55"/>
      <c r="Z580" s="55"/>
      <c r="AA580" s="55"/>
      <c r="AB580" s="55"/>
      <c r="AC580" s="55"/>
      <c r="AD580" s="55"/>
      <c r="AE580" s="55"/>
      <c r="AF580" s="55"/>
      <c r="AG580" s="84"/>
    </row>
    <row r="581">
      <c r="A581" s="53">
        <v>9.0</v>
      </c>
      <c r="B581" s="54" t="s">
        <v>1983</v>
      </c>
      <c r="C581" s="55" t="s">
        <v>1955</v>
      </c>
      <c r="D581" s="55"/>
      <c r="E581" s="55" t="s">
        <v>1984</v>
      </c>
      <c r="F581" s="55" t="s">
        <v>1985</v>
      </c>
      <c r="G581" s="55">
        <v>26.0</v>
      </c>
      <c r="H581" s="55" t="s">
        <v>85</v>
      </c>
      <c r="I581" s="55" t="s">
        <v>86</v>
      </c>
      <c r="J581" s="56" t="s">
        <v>87</v>
      </c>
      <c r="K581" s="55" t="s">
        <v>1986</v>
      </c>
      <c r="L581" s="55" t="s">
        <v>12</v>
      </c>
      <c r="M581" s="55" t="s">
        <v>133</v>
      </c>
      <c r="N581" s="55" t="s">
        <v>90</v>
      </c>
      <c r="O581" s="55"/>
      <c r="P581" s="55" t="s">
        <v>91</v>
      </c>
      <c r="Q581" s="55"/>
      <c r="R581" s="55" t="s">
        <v>36</v>
      </c>
      <c r="S581" s="55"/>
      <c r="T581" s="55"/>
      <c r="U581" s="55"/>
      <c r="V581" s="55"/>
      <c r="W581" s="55"/>
      <c r="X581" s="57" t="str">
        <f t="shared" si="499"/>
        <v>--574-06-05</v>
      </c>
      <c r="Y581" s="55"/>
      <c r="Z581" s="55"/>
      <c r="AA581" s="55"/>
      <c r="AB581" s="55"/>
      <c r="AC581" s="55"/>
      <c r="AD581" s="55"/>
      <c r="AE581" s="55"/>
      <c r="AF581" s="55"/>
      <c r="AG581" s="84"/>
    </row>
    <row r="582">
      <c r="A582" s="53">
        <v>10.0</v>
      </c>
      <c r="B582" s="54" t="s">
        <v>1987</v>
      </c>
      <c r="C582" s="55" t="s">
        <v>1955</v>
      </c>
      <c r="D582" s="55"/>
      <c r="E582" s="55" t="s">
        <v>1988</v>
      </c>
      <c r="F582" s="55" t="s">
        <v>1989</v>
      </c>
      <c r="G582" s="55">
        <v>37.0</v>
      </c>
      <c r="H582" s="55" t="s">
        <v>85</v>
      </c>
      <c r="I582" s="55" t="s">
        <v>86</v>
      </c>
      <c r="J582" s="56" t="s">
        <v>87</v>
      </c>
      <c r="K582" s="55" t="s">
        <v>1990</v>
      </c>
      <c r="L582" s="55" t="s">
        <v>34</v>
      </c>
      <c r="M582" s="55" t="s">
        <v>89</v>
      </c>
      <c r="N582" s="55" t="s">
        <v>90</v>
      </c>
      <c r="O582" s="55"/>
      <c r="P582" s="55" t="s">
        <v>91</v>
      </c>
      <c r="Q582" s="55"/>
      <c r="R582" s="55" t="s">
        <v>5</v>
      </c>
      <c r="S582" s="55"/>
      <c r="T582" s="55"/>
      <c r="U582" s="55" t="s">
        <v>7</v>
      </c>
      <c r="V582" s="55"/>
      <c r="W582" s="55"/>
      <c r="X582" s="57" t="str">
        <f t="shared" si="499"/>
        <v>--575-06-05</v>
      </c>
      <c r="Y582" s="55"/>
      <c r="Z582" s="55"/>
      <c r="AA582" s="55"/>
      <c r="AB582" s="55"/>
      <c r="AC582" s="55"/>
      <c r="AD582" s="55"/>
      <c r="AE582" s="55"/>
      <c r="AF582" s="55"/>
      <c r="AG582" s="84"/>
    </row>
    <row r="583">
      <c r="A583" s="53">
        <v>11.0</v>
      </c>
      <c r="B583" s="54" t="s">
        <v>1991</v>
      </c>
      <c r="C583" s="55" t="s">
        <v>1955</v>
      </c>
      <c r="D583" s="55"/>
      <c r="E583" s="55" t="s">
        <v>1992</v>
      </c>
      <c r="F583" s="55" t="s">
        <v>1993</v>
      </c>
      <c r="G583" s="55">
        <v>2.0</v>
      </c>
      <c r="H583" s="55" t="s">
        <v>119</v>
      </c>
      <c r="I583" s="55" t="s">
        <v>112</v>
      </c>
      <c r="J583" s="56" t="s">
        <v>113</v>
      </c>
      <c r="K583" s="55" t="s">
        <v>1994</v>
      </c>
      <c r="L583" s="55" t="s">
        <v>34</v>
      </c>
      <c r="M583" s="55" t="s">
        <v>115</v>
      </c>
      <c r="N583" s="55" t="s">
        <v>90</v>
      </c>
      <c r="O583" s="55"/>
      <c r="P583" s="55" t="s">
        <v>91</v>
      </c>
      <c r="Q583" s="55" t="s">
        <v>16</v>
      </c>
      <c r="R583" s="55"/>
      <c r="S583" s="55"/>
      <c r="T583" s="55"/>
      <c r="U583" s="55"/>
      <c r="V583" s="55"/>
      <c r="W583" s="55"/>
      <c r="X583" s="57" t="str">
        <f t="shared" si="499"/>
        <v>--576-06-05</v>
      </c>
      <c r="Y583" s="55"/>
      <c r="Z583" s="55"/>
      <c r="AA583" s="55"/>
      <c r="AB583" s="55"/>
      <c r="AC583" s="55"/>
      <c r="AD583" s="55"/>
      <c r="AE583" s="55"/>
      <c r="AF583" s="55"/>
      <c r="AG583" s="84"/>
    </row>
    <row r="584">
      <c r="A584" s="53">
        <v>12.0</v>
      </c>
      <c r="B584" s="54" t="s">
        <v>1995</v>
      </c>
      <c r="C584" s="55" t="s">
        <v>1955</v>
      </c>
      <c r="D584" s="55"/>
      <c r="E584" s="55" t="s">
        <v>1996</v>
      </c>
      <c r="F584" s="55" t="s">
        <v>1997</v>
      </c>
      <c r="G584" s="55">
        <v>51.0</v>
      </c>
      <c r="H584" s="55" t="s">
        <v>85</v>
      </c>
      <c r="I584" s="55" t="s">
        <v>112</v>
      </c>
      <c r="J584" s="56" t="s">
        <v>87</v>
      </c>
      <c r="K584" s="55" t="s">
        <v>1998</v>
      </c>
      <c r="L584" s="55" t="s">
        <v>34</v>
      </c>
      <c r="M584" s="55" t="s">
        <v>89</v>
      </c>
      <c r="N584" s="55" t="s">
        <v>90</v>
      </c>
      <c r="O584" s="55"/>
      <c r="P584" s="55" t="s">
        <v>91</v>
      </c>
      <c r="Q584" s="55" t="s">
        <v>4</v>
      </c>
      <c r="R584" s="55"/>
      <c r="S584" s="55"/>
      <c r="T584" s="55"/>
      <c r="U584" s="55"/>
      <c r="V584" s="55"/>
      <c r="W584" s="55"/>
      <c r="X584" s="57" t="str">
        <f t="shared" si="499"/>
        <v>--577-06-05</v>
      </c>
      <c r="Y584" s="55"/>
      <c r="Z584" s="55"/>
      <c r="AA584" s="55"/>
      <c r="AB584" s="55"/>
      <c r="AC584" s="55"/>
      <c r="AD584" s="55"/>
      <c r="AE584" s="55"/>
      <c r="AF584" s="55"/>
      <c r="AG584" s="84"/>
    </row>
    <row r="585">
      <c r="A585" s="53">
        <v>13.0</v>
      </c>
      <c r="B585" s="54" t="s">
        <v>1999</v>
      </c>
      <c r="C585" s="55" t="s">
        <v>1955</v>
      </c>
      <c r="D585" s="55"/>
      <c r="E585" s="55" t="s">
        <v>2000</v>
      </c>
      <c r="F585" s="55" t="s">
        <v>2001</v>
      </c>
      <c r="G585" s="55">
        <v>32.0</v>
      </c>
      <c r="H585" s="55" t="s">
        <v>85</v>
      </c>
      <c r="I585" s="55" t="s">
        <v>86</v>
      </c>
      <c r="J585" s="56" t="s">
        <v>87</v>
      </c>
      <c r="K585" s="55" t="s">
        <v>2002</v>
      </c>
      <c r="L585" s="55" t="s">
        <v>34</v>
      </c>
      <c r="M585" s="55" t="s">
        <v>89</v>
      </c>
      <c r="N585" s="55" t="s">
        <v>90</v>
      </c>
      <c r="O585" s="55"/>
      <c r="P585" s="55" t="s">
        <v>91</v>
      </c>
      <c r="Q585" s="55"/>
      <c r="R585" s="55" t="s">
        <v>5</v>
      </c>
      <c r="S585" s="55"/>
      <c r="T585" s="55"/>
      <c r="U585" s="55" t="s">
        <v>7</v>
      </c>
      <c r="V585" s="55"/>
      <c r="W585" s="55"/>
      <c r="X585" s="57" t="str">
        <f t="shared" si="499"/>
        <v>--578-06-05</v>
      </c>
      <c r="Y585" s="55"/>
      <c r="Z585" s="55"/>
      <c r="AA585" s="55"/>
      <c r="AB585" s="55"/>
      <c r="AC585" s="55"/>
      <c r="AD585" s="55"/>
      <c r="AE585" s="55"/>
      <c r="AF585" s="55"/>
      <c r="AG585" s="84"/>
    </row>
    <row r="586">
      <c r="A586" s="53">
        <v>14.0</v>
      </c>
      <c r="B586" s="54" t="s">
        <v>2003</v>
      </c>
      <c r="C586" s="55" t="s">
        <v>1955</v>
      </c>
      <c r="D586" s="55"/>
      <c r="E586" s="55" t="s">
        <v>2004</v>
      </c>
      <c r="F586" s="55" t="s">
        <v>2005</v>
      </c>
      <c r="G586" s="55">
        <v>34.0</v>
      </c>
      <c r="H586" s="55" t="s">
        <v>85</v>
      </c>
      <c r="I586" s="55" t="s">
        <v>112</v>
      </c>
      <c r="J586" s="56" t="s">
        <v>113</v>
      </c>
      <c r="K586" s="55" t="s">
        <v>2006</v>
      </c>
      <c r="L586" s="55" t="s">
        <v>34</v>
      </c>
      <c r="M586" s="55" t="s">
        <v>89</v>
      </c>
      <c r="N586" s="55" t="s">
        <v>90</v>
      </c>
      <c r="O586" s="55"/>
      <c r="P586" s="55" t="s">
        <v>2007</v>
      </c>
      <c r="Q586" s="55" t="s">
        <v>16</v>
      </c>
      <c r="R586" s="55"/>
      <c r="S586" s="55"/>
      <c r="T586" s="55"/>
      <c r="U586" s="55"/>
      <c r="V586" s="55"/>
      <c r="W586" s="55"/>
      <c r="X586" s="57" t="str">
        <f t="shared" si="499"/>
        <v>--579-06-05</v>
      </c>
      <c r="Y586" s="55"/>
      <c r="Z586" s="55"/>
      <c r="AA586" s="55"/>
      <c r="AB586" s="55"/>
      <c r="AC586" s="55"/>
      <c r="AD586" s="55"/>
      <c r="AE586" s="55"/>
      <c r="AF586" s="55"/>
      <c r="AG586" s="84"/>
    </row>
    <row r="587">
      <c r="A587" s="53">
        <v>15.0</v>
      </c>
      <c r="B587" s="54" t="s">
        <v>2008</v>
      </c>
      <c r="C587" s="55" t="s">
        <v>1955</v>
      </c>
      <c r="D587" s="55"/>
      <c r="E587" s="55" t="s">
        <v>2009</v>
      </c>
      <c r="F587" s="55" t="s">
        <v>2010</v>
      </c>
      <c r="G587" s="55">
        <v>63.0</v>
      </c>
      <c r="H587" s="55" t="s">
        <v>260</v>
      </c>
      <c r="I587" s="55" t="s">
        <v>86</v>
      </c>
      <c r="J587" s="56" t="s">
        <v>87</v>
      </c>
      <c r="K587" s="55" t="s">
        <v>2011</v>
      </c>
      <c r="L587" s="55" t="s">
        <v>34</v>
      </c>
      <c r="M587" s="55" t="s">
        <v>874</v>
      </c>
      <c r="N587" s="55" t="s">
        <v>780</v>
      </c>
      <c r="O587" s="55" t="s">
        <v>2012</v>
      </c>
      <c r="P587" s="55" t="s">
        <v>91</v>
      </c>
      <c r="Q587" s="55" t="s">
        <v>4</v>
      </c>
      <c r="R587" s="55"/>
      <c r="S587" s="55"/>
      <c r="T587" s="55"/>
      <c r="U587" s="55"/>
      <c r="V587" s="55"/>
      <c r="W587" s="55"/>
      <c r="X587" s="57" t="str">
        <f t="shared" si="499"/>
        <v>--580-06-05</v>
      </c>
      <c r="Y587" s="55"/>
      <c r="Z587" s="55"/>
      <c r="AA587" s="55"/>
      <c r="AB587" s="55"/>
      <c r="AC587" s="55"/>
      <c r="AD587" s="55"/>
      <c r="AE587" s="55"/>
      <c r="AF587" s="55"/>
      <c r="AG587" s="84"/>
    </row>
    <row r="588">
      <c r="A588" s="53">
        <v>16.0</v>
      </c>
      <c r="B588" s="54" t="s">
        <v>2013</v>
      </c>
      <c r="C588" s="55" t="s">
        <v>1955</v>
      </c>
      <c r="D588" s="55"/>
      <c r="E588" s="55" t="s">
        <v>2014</v>
      </c>
      <c r="F588" s="55" t="s">
        <v>2015</v>
      </c>
      <c r="G588" s="55">
        <v>12.0</v>
      </c>
      <c r="H588" s="55" t="s">
        <v>111</v>
      </c>
      <c r="I588" s="55" t="s">
        <v>86</v>
      </c>
      <c r="J588" s="56" t="s">
        <v>87</v>
      </c>
      <c r="K588" s="55" t="s">
        <v>2011</v>
      </c>
      <c r="L588" s="55" t="s">
        <v>34</v>
      </c>
      <c r="M588" s="55" t="s">
        <v>115</v>
      </c>
      <c r="N588" s="55" t="s">
        <v>90</v>
      </c>
      <c r="O588" s="55"/>
      <c r="P588" s="55" t="s">
        <v>91</v>
      </c>
      <c r="Q588" s="55" t="s">
        <v>16</v>
      </c>
      <c r="R588" s="55"/>
      <c r="S588" s="55"/>
      <c r="T588" s="55"/>
      <c r="U588" s="55"/>
      <c r="V588" s="55"/>
      <c r="W588" s="55"/>
      <c r="X588" s="57" t="str">
        <f t="shared" si="499"/>
        <v>--581-06-05</v>
      </c>
      <c r="Y588" s="55"/>
      <c r="Z588" s="55"/>
      <c r="AA588" s="55"/>
      <c r="AB588" s="55"/>
      <c r="AC588" s="55"/>
      <c r="AD588" s="55"/>
      <c r="AE588" s="55"/>
      <c r="AF588" s="55"/>
      <c r="AG588" s="84"/>
    </row>
    <row r="589">
      <c r="A589" s="53">
        <v>17.0</v>
      </c>
      <c r="B589" s="54" t="s">
        <v>2016</v>
      </c>
      <c r="C589" s="55" t="s">
        <v>1955</v>
      </c>
      <c r="D589" s="55"/>
      <c r="E589" s="55" t="s">
        <v>2017</v>
      </c>
      <c r="F589" s="55" t="s">
        <v>2018</v>
      </c>
      <c r="G589" s="55">
        <v>21.0</v>
      </c>
      <c r="H589" s="55" t="s">
        <v>85</v>
      </c>
      <c r="I589" s="55" t="s">
        <v>86</v>
      </c>
      <c r="J589" s="56" t="s">
        <v>87</v>
      </c>
      <c r="K589" s="55" t="s">
        <v>1012</v>
      </c>
      <c r="L589" s="55" t="s">
        <v>34</v>
      </c>
      <c r="M589" s="55" t="s">
        <v>874</v>
      </c>
      <c r="N589" s="55" t="s">
        <v>90</v>
      </c>
      <c r="O589" s="55"/>
      <c r="P589" s="55" t="s">
        <v>91</v>
      </c>
      <c r="Q589" s="55" t="s">
        <v>16</v>
      </c>
      <c r="R589" s="55"/>
      <c r="S589" s="55"/>
      <c r="T589" s="55"/>
      <c r="U589" s="55"/>
      <c r="V589" s="55"/>
      <c r="W589" s="55"/>
      <c r="X589" s="57" t="str">
        <f t="shared" si="499"/>
        <v>--582-06-05</v>
      </c>
      <c r="Y589" s="55"/>
      <c r="Z589" s="55"/>
      <c r="AA589" s="55"/>
      <c r="AB589" s="55"/>
      <c r="AC589" s="55"/>
      <c r="AD589" s="55"/>
      <c r="AE589" s="55"/>
      <c r="AF589" s="55"/>
      <c r="AG589" s="84"/>
    </row>
    <row r="590">
      <c r="A590" s="53">
        <v>18.0</v>
      </c>
      <c r="B590" s="54" t="s">
        <v>2019</v>
      </c>
      <c r="C590" s="55" t="s">
        <v>1955</v>
      </c>
      <c r="D590" s="55"/>
      <c r="E590" s="55" t="s">
        <v>2020</v>
      </c>
      <c r="F590" s="55" t="s">
        <v>2021</v>
      </c>
      <c r="G590" s="55">
        <v>1.0</v>
      </c>
      <c r="H590" s="55" t="s">
        <v>119</v>
      </c>
      <c r="I590" s="55" t="s">
        <v>112</v>
      </c>
      <c r="J590" s="56" t="s">
        <v>113</v>
      </c>
      <c r="K590" s="55" t="s">
        <v>2022</v>
      </c>
      <c r="L590" s="55" t="s">
        <v>34</v>
      </c>
      <c r="M590" s="55" t="s">
        <v>115</v>
      </c>
      <c r="N590" s="55" t="s">
        <v>90</v>
      </c>
      <c r="O590" s="55"/>
      <c r="P590" s="55" t="s">
        <v>91</v>
      </c>
      <c r="Q590" s="55" t="s">
        <v>16</v>
      </c>
      <c r="R590" s="55"/>
      <c r="S590" s="55"/>
      <c r="T590" s="55"/>
      <c r="U590" s="55"/>
      <c r="V590" s="55"/>
      <c r="W590" s="55"/>
      <c r="X590" s="57" t="str">
        <f t="shared" si="499"/>
        <v>--583-06-05</v>
      </c>
      <c r="Y590" s="55"/>
      <c r="Z590" s="55"/>
      <c r="AA590" s="55"/>
      <c r="AB590" s="55"/>
      <c r="AC590" s="55"/>
      <c r="AD590" s="55"/>
      <c r="AE590" s="55"/>
      <c r="AF590" s="55"/>
      <c r="AG590" s="84"/>
    </row>
    <row r="591">
      <c r="A591" s="53">
        <v>19.0</v>
      </c>
      <c r="B591" s="54" t="s">
        <v>2023</v>
      </c>
      <c r="C591" s="55" t="s">
        <v>1955</v>
      </c>
      <c r="D591" s="55"/>
      <c r="E591" s="55" t="s">
        <v>2024</v>
      </c>
      <c r="F591" s="55" t="s">
        <v>2025</v>
      </c>
      <c r="G591" s="55">
        <v>36.0</v>
      </c>
      <c r="H591" s="55" t="s">
        <v>85</v>
      </c>
      <c r="I591" s="55" t="s">
        <v>86</v>
      </c>
      <c r="J591" s="56" t="s">
        <v>87</v>
      </c>
      <c r="K591" s="55" t="s">
        <v>2026</v>
      </c>
      <c r="L591" s="55" t="s">
        <v>34</v>
      </c>
      <c r="M591" s="55" t="s">
        <v>89</v>
      </c>
      <c r="N591" s="55" t="s">
        <v>90</v>
      </c>
      <c r="O591" s="55"/>
      <c r="P591" s="55" t="s">
        <v>91</v>
      </c>
      <c r="Q591" s="55" t="s">
        <v>4</v>
      </c>
      <c r="R591" s="55"/>
      <c r="S591" s="55"/>
      <c r="T591" s="55"/>
      <c r="U591" s="55"/>
      <c r="V591" s="55"/>
      <c r="W591" s="55"/>
      <c r="X591" s="57" t="str">
        <f t="shared" si="499"/>
        <v>--584-06-05</v>
      </c>
      <c r="Y591" s="55"/>
      <c r="Z591" s="55"/>
      <c r="AA591" s="55"/>
      <c r="AB591" s="55"/>
      <c r="AC591" s="55"/>
      <c r="AD591" s="55"/>
      <c r="AE591" s="55"/>
      <c r="AF591" s="55"/>
      <c r="AG591" s="84"/>
    </row>
    <row r="592">
      <c r="A592" s="53">
        <v>20.0</v>
      </c>
      <c r="B592" s="54" t="s">
        <v>2027</v>
      </c>
      <c r="C592" s="55" t="s">
        <v>1955</v>
      </c>
      <c r="D592" s="55"/>
      <c r="E592" s="55" t="s">
        <v>2028</v>
      </c>
      <c r="F592" s="55" t="s">
        <v>2029</v>
      </c>
      <c r="G592" s="55">
        <v>42.0</v>
      </c>
      <c r="H592" s="55" t="s">
        <v>85</v>
      </c>
      <c r="I592" s="55" t="s">
        <v>112</v>
      </c>
      <c r="J592" s="56" t="s">
        <v>113</v>
      </c>
      <c r="K592" s="55" t="s">
        <v>128</v>
      </c>
      <c r="L592" s="55" t="s">
        <v>34</v>
      </c>
      <c r="M592" s="55" t="s">
        <v>89</v>
      </c>
      <c r="N592" s="55" t="s">
        <v>90</v>
      </c>
      <c r="O592" s="55"/>
      <c r="P592" s="55" t="s">
        <v>91</v>
      </c>
      <c r="Q592" s="55" t="s">
        <v>4</v>
      </c>
      <c r="R592" s="55"/>
      <c r="S592" s="55"/>
      <c r="T592" s="55"/>
      <c r="U592" s="55"/>
      <c r="V592" s="55"/>
      <c r="W592" s="55"/>
      <c r="X592" s="57" t="str">
        <f t="shared" si="499"/>
        <v>--585-06-05</v>
      </c>
      <c r="Y592" s="55"/>
      <c r="Z592" s="55"/>
      <c r="AA592" s="55"/>
      <c r="AB592" s="55"/>
      <c r="AC592" s="55"/>
      <c r="AD592" s="55"/>
      <c r="AE592" s="55"/>
      <c r="AF592" s="55"/>
      <c r="AG592" s="84"/>
    </row>
    <row r="593">
      <c r="A593" s="53">
        <v>21.0</v>
      </c>
      <c r="B593" s="54" t="s">
        <v>2030</v>
      </c>
      <c r="C593" s="55" t="s">
        <v>1955</v>
      </c>
      <c r="D593" s="55"/>
      <c r="E593" s="55" t="s">
        <v>2031</v>
      </c>
      <c r="F593" s="55" t="s">
        <v>2032</v>
      </c>
      <c r="G593" s="55">
        <v>31.0</v>
      </c>
      <c r="H593" s="55" t="s">
        <v>85</v>
      </c>
      <c r="I593" s="55" t="s">
        <v>86</v>
      </c>
      <c r="J593" s="56" t="s">
        <v>87</v>
      </c>
      <c r="K593" s="55" t="s">
        <v>2033</v>
      </c>
      <c r="L593" s="55" t="s">
        <v>34</v>
      </c>
      <c r="M593" s="55" t="s">
        <v>89</v>
      </c>
      <c r="N593" s="55" t="s">
        <v>90</v>
      </c>
      <c r="O593" s="55"/>
      <c r="P593" s="55" t="s">
        <v>91</v>
      </c>
      <c r="Q593" s="55"/>
      <c r="R593" s="55" t="s">
        <v>5</v>
      </c>
      <c r="S593" s="55"/>
      <c r="T593" s="55"/>
      <c r="U593" s="55" t="s">
        <v>7</v>
      </c>
      <c r="V593" s="55"/>
      <c r="W593" s="55"/>
      <c r="X593" s="57" t="str">
        <f t="shared" si="499"/>
        <v>--586-06-05</v>
      </c>
      <c r="Y593" s="55"/>
      <c r="Z593" s="55"/>
      <c r="AA593" s="55"/>
      <c r="AB593" s="55"/>
      <c r="AC593" s="55"/>
      <c r="AD593" s="55"/>
      <c r="AE593" s="55"/>
      <c r="AF593" s="55"/>
      <c r="AG593" s="84"/>
    </row>
    <row r="594">
      <c r="A594" s="53">
        <v>22.0</v>
      </c>
      <c r="B594" s="54" t="s">
        <v>2034</v>
      </c>
      <c r="C594" s="55" t="s">
        <v>1955</v>
      </c>
      <c r="D594" s="55"/>
      <c r="E594" s="55" t="s">
        <v>2035</v>
      </c>
      <c r="F594" s="55" t="s">
        <v>2036</v>
      </c>
      <c r="G594" s="55">
        <v>2.0</v>
      </c>
      <c r="H594" s="55" t="s">
        <v>119</v>
      </c>
      <c r="I594" s="55" t="s">
        <v>112</v>
      </c>
      <c r="J594" s="56" t="s">
        <v>113</v>
      </c>
      <c r="K594" s="55" t="s">
        <v>2033</v>
      </c>
      <c r="L594" s="55" t="s">
        <v>34</v>
      </c>
      <c r="M594" s="55" t="s">
        <v>115</v>
      </c>
      <c r="N594" s="55" t="s">
        <v>90</v>
      </c>
      <c r="O594" s="55"/>
      <c r="P594" s="55" t="s">
        <v>91</v>
      </c>
      <c r="Q594" s="55" t="s">
        <v>16</v>
      </c>
      <c r="R594" s="55"/>
      <c r="S594" s="55"/>
      <c r="T594" s="55"/>
      <c r="U594" s="55"/>
      <c r="V594" s="55"/>
      <c r="W594" s="55"/>
      <c r="X594" s="57" t="str">
        <f t="shared" si="499"/>
        <v>--587-06-05</v>
      </c>
      <c r="Y594" s="55"/>
      <c r="Z594" s="55"/>
      <c r="AA594" s="55"/>
      <c r="AB594" s="55"/>
      <c r="AC594" s="55"/>
      <c r="AD594" s="55"/>
      <c r="AE594" s="55"/>
      <c r="AF594" s="55"/>
      <c r="AG594" s="84"/>
    </row>
    <row r="595">
      <c r="A595" s="53">
        <v>23.0</v>
      </c>
      <c r="B595" s="54" t="s">
        <v>2037</v>
      </c>
      <c r="C595" s="55" t="s">
        <v>1955</v>
      </c>
      <c r="D595" s="55"/>
      <c r="E595" s="55" t="s">
        <v>2038</v>
      </c>
      <c r="F595" s="55" t="s">
        <v>2039</v>
      </c>
      <c r="G595" s="55">
        <v>16.0</v>
      </c>
      <c r="H595" s="55" t="s">
        <v>111</v>
      </c>
      <c r="I595" s="55" t="s">
        <v>86</v>
      </c>
      <c r="J595" s="56" t="s">
        <v>87</v>
      </c>
      <c r="K595" s="55" t="s">
        <v>2040</v>
      </c>
      <c r="L595" s="55" t="s">
        <v>34</v>
      </c>
      <c r="M595" s="55" t="s">
        <v>89</v>
      </c>
      <c r="N595" s="55" t="s">
        <v>90</v>
      </c>
      <c r="O595" s="55"/>
      <c r="P595" s="55" t="s">
        <v>91</v>
      </c>
      <c r="Q595" s="55"/>
      <c r="R595" s="55" t="s">
        <v>5</v>
      </c>
      <c r="S595" s="55"/>
      <c r="T595" s="55"/>
      <c r="U595" s="55" t="s">
        <v>7</v>
      </c>
      <c r="V595" s="55"/>
      <c r="W595" s="55"/>
      <c r="X595" s="57" t="str">
        <f t="shared" si="499"/>
        <v>--588-06-05</v>
      </c>
      <c r="Y595" s="55"/>
      <c r="Z595" s="55"/>
      <c r="AA595" s="55"/>
      <c r="AB595" s="55"/>
      <c r="AC595" s="55"/>
      <c r="AD595" s="55"/>
      <c r="AE595" s="55"/>
      <c r="AF595" s="55"/>
      <c r="AG595" s="84"/>
    </row>
    <row r="596">
      <c r="A596" s="53">
        <v>24.0</v>
      </c>
      <c r="B596" s="54" t="s">
        <v>2041</v>
      </c>
      <c r="C596" s="55" t="s">
        <v>1955</v>
      </c>
      <c r="D596" s="55"/>
      <c r="E596" s="55" t="s">
        <v>2042</v>
      </c>
      <c r="F596" s="55" t="s">
        <v>2043</v>
      </c>
      <c r="G596" s="55">
        <v>14.0</v>
      </c>
      <c r="H596" s="55" t="s">
        <v>111</v>
      </c>
      <c r="I596" s="55" t="s">
        <v>86</v>
      </c>
      <c r="J596" s="56" t="s">
        <v>87</v>
      </c>
      <c r="K596" s="55" t="s">
        <v>320</v>
      </c>
      <c r="L596" s="55" t="s">
        <v>34</v>
      </c>
      <c r="M596" s="55" t="s">
        <v>133</v>
      </c>
      <c r="N596" s="55" t="s">
        <v>90</v>
      </c>
      <c r="O596" s="55"/>
      <c r="P596" s="55" t="s">
        <v>91</v>
      </c>
      <c r="Q596" s="55" t="s">
        <v>16</v>
      </c>
      <c r="R596" s="55"/>
      <c r="S596" s="55"/>
      <c r="T596" s="55"/>
      <c r="U596" s="55"/>
      <c r="V596" s="55"/>
      <c r="W596" s="55"/>
      <c r="X596" s="57" t="str">
        <f t="shared" si="499"/>
        <v>--589-06-05</v>
      </c>
      <c r="Y596" s="55"/>
      <c r="Z596" s="55"/>
      <c r="AA596" s="55"/>
      <c r="AB596" s="55"/>
      <c r="AC596" s="55"/>
      <c r="AD596" s="55"/>
      <c r="AE596" s="55"/>
      <c r="AF596" s="55"/>
      <c r="AG596" s="84"/>
    </row>
    <row r="597">
      <c r="A597" s="53">
        <v>25.0</v>
      </c>
      <c r="B597" s="54" t="s">
        <v>2044</v>
      </c>
      <c r="C597" s="55" t="s">
        <v>1955</v>
      </c>
      <c r="D597" s="55"/>
      <c r="E597" s="55" t="s">
        <v>2045</v>
      </c>
      <c r="F597" s="55" t="s">
        <v>2046</v>
      </c>
      <c r="G597" s="55">
        <v>35.0</v>
      </c>
      <c r="H597" s="55" t="s">
        <v>85</v>
      </c>
      <c r="I597" s="55" t="s">
        <v>86</v>
      </c>
      <c r="J597" s="56" t="s">
        <v>87</v>
      </c>
      <c r="K597" s="55" t="s">
        <v>2047</v>
      </c>
      <c r="L597" s="55" t="s">
        <v>34</v>
      </c>
      <c r="M597" s="55" t="s">
        <v>89</v>
      </c>
      <c r="N597" s="55" t="s">
        <v>90</v>
      </c>
      <c r="O597" s="55"/>
      <c r="P597" s="55" t="s">
        <v>91</v>
      </c>
      <c r="Q597" s="55" t="s">
        <v>16</v>
      </c>
      <c r="R597" s="55"/>
      <c r="S597" s="55"/>
      <c r="T597" s="55"/>
      <c r="U597" s="55"/>
      <c r="V597" s="55"/>
      <c r="W597" s="55"/>
      <c r="X597" s="57" t="str">
        <f t="shared" si="499"/>
        <v>--590-06-05</v>
      </c>
      <c r="Y597" s="55"/>
      <c r="Z597" s="55"/>
      <c r="AA597" s="55"/>
      <c r="AB597" s="55"/>
      <c r="AC597" s="55"/>
      <c r="AD597" s="55"/>
      <c r="AE597" s="55"/>
      <c r="AF597" s="55"/>
      <c r="AG597" s="84"/>
    </row>
    <row r="598">
      <c r="A598" s="53">
        <v>26.0</v>
      </c>
      <c r="B598" s="54" t="s">
        <v>2048</v>
      </c>
      <c r="C598" s="55" t="s">
        <v>1955</v>
      </c>
      <c r="D598" s="55"/>
      <c r="E598" s="55" t="s">
        <v>2049</v>
      </c>
      <c r="F598" s="55" t="s">
        <v>2050</v>
      </c>
      <c r="G598" s="55">
        <v>6.0</v>
      </c>
      <c r="H598" s="55" t="s">
        <v>111</v>
      </c>
      <c r="I598" s="55" t="s">
        <v>112</v>
      </c>
      <c r="J598" s="56" t="s">
        <v>113</v>
      </c>
      <c r="K598" s="55" t="s">
        <v>2047</v>
      </c>
      <c r="L598" s="55" t="s">
        <v>34</v>
      </c>
      <c r="M598" s="55" t="s">
        <v>115</v>
      </c>
      <c r="N598" s="55" t="s">
        <v>90</v>
      </c>
      <c r="O598" s="55"/>
      <c r="P598" s="55" t="s">
        <v>91</v>
      </c>
      <c r="Q598" s="55" t="s">
        <v>16</v>
      </c>
      <c r="R598" s="55"/>
      <c r="S598" s="55"/>
      <c r="T598" s="55"/>
      <c r="U598" s="55"/>
      <c r="V598" s="55"/>
      <c r="W598" s="55"/>
      <c r="X598" s="57" t="str">
        <f t="shared" si="499"/>
        <v>--591-06-05</v>
      </c>
      <c r="Y598" s="55"/>
      <c r="Z598" s="55"/>
      <c r="AA598" s="55"/>
      <c r="AB598" s="55"/>
      <c r="AC598" s="55"/>
      <c r="AD598" s="55"/>
      <c r="AE598" s="55"/>
      <c r="AF598" s="55"/>
      <c r="AG598" s="84"/>
    </row>
    <row r="599">
      <c r="A599" s="53">
        <v>27.0</v>
      </c>
      <c r="B599" s="54" t="s">
        <v>2051</v>
      </c>
      <c r="C599" s="55" t="s">
        <v>1955</v>
      </c>
      <c r="D599" s="55"/>
      <c r="E599" s="55" t="s">
        <v>2052</v>
      </c>
      <c r="F599" s="55" t="s">
        <v>2053</v>
      </c>
      <c r="G599" s="55">
        <v>35.0</v>
      </c>
      <c r="H599" s="55" t="s">
        <v>85</v>
      </c>
      <c r="I599" s="55" t="s">
        <v>86</v>
      </c>
      <c r="J599" s="56" t="s">
        <v>87</v>
      </c>
      <c r="K599" s="55" t="s">
        <v>2054</v>
      </c>
      <c r="L599" s="55" t="s">
        <v>34</v>
      </c>
      <c r="M599" s="55" t="s">
        <v>89</v>
      </c>
      <c r="N599" s="55" t="s">
        <v>90</v>
      </c>
      <c r="O599" s="55"/>
      <c r="P599" s="55" t="s">
        <v>91</v>
      </c>
      <c r="Q599" s="55"/>
      <c r="R599" s="55" t="s">
        <v>17</v>
      </c>
      <c r="S599" s="55"/>
      <c r="T599" s="55"/>
      <c r="U599" s="55"/>
      <c r="V599" s="55"/>
      <c r="W599" s="55"/>
      <c r="X599" s="57" t="str">
        <f t="shared" si="499"/>
        <v>--592-06-05</v>
      </c>
      <c r="Y599" s="55"/>
      <c r="Z599" s="55"/>
      <c r="AA599" s="55"/>
      <c r="AB599" s="55"/>
      <c r="AC599" s="55"/>
      <c r="AD599" s="55"/>
      <c r="AE599" s="55"/>
      <c r="AF599" s="55"/>
      <c r="AG599" s="84"/>
    </row>
    <row r="600">
      <c r="A600" s="53">
        <v>28.0</v>
      </c>
      <c r="B600" s="54" t="s">
        <v>2055</v>
      </c>
      <c r="C600" s="55" t="s">
        <v>1955</v>
      </c>
      <c r="D600" s="55"/>
      <c r="E600" s="55" t="s">
        <v>2056</v>
      </c>
      <c r="F600" s="55" t="s">
        <v>2057</v>
      </c>
      <c r="G600" s="55">
        <v>53.0</v>
      </c>
      <c r="H600" s="55" t="s">
        <v>85</v>
      </c>
      <c r="I600" s="55" t="s">
        <v>86</v>
      </c>
      <c r="J600" s="56" t="s">
        <v>87</v>
      </c>
      <c r="K600" s="55" t="s">
        <v>2058</v>
      </c>
      <c r="L600" s="55" t="s">
        <v>34</v>
      </c>
      <c r="M600" s="55" t="s">
        <v>89</v>
      </c>
      <c r="N600" s="55" t="s">
        <v>90</v>
      </c>
      <c r="O600" s="55"/>
      <c r="P600" s="55" t="s">
        <v>91</v>
      </c>
      <c r="Q600" s="55" t="s">
        <v>4</v>
      </c>
      <c r="R600" s="55"/>
      <c r="S600" s="55"/>
      <c r="T600" s="55"/>
      <c r="U600" s="55"/>
      <c r="V600" s="55"/>
      <c r="W600" s="55"/>
      <c r="X600" s="57" t="str">
        <f t="shared" si="499"/>
        <v>--593-06-05</v>
      </c>
      <c r="Y600" s="55"/>
      <c r="Z600" s="55"/>
      <c r="AA600" s="55"/>
      <c r="AB600" s="55"/>
      <c r="AC600" s="55"/>
      <c r="AD600" s="55"/>
      <c r="AE600" s="55"/>
      <c r="AF600" s="55"/>
      <c r="AG600" s="84"/>
    </row>
    <row r="601">
      <c r="A601" s="53">
        <v>29.0</v>
      </c>
      <c r="B601" s="54" t="s">
        <v>2059</v>
      </c>
      <c r="C601" s="55" t="s">
        <v>1955</v>
      </c>
      <c r="D601" s="55"/>
      <c r="E601" s="55" t="s">
        <v>2060</v>
      </c>
      <c r="F601" s="55" t="s">
        <v>2061</v>
      </c>
      <c r="G601" s="55">
        <v>3.0</v>
      </c>
      <c r="H601" s="55" t="s">
        <v>119</v>
      </c>
      <c r="I601" s="55" t="s">
        <v>112</v>
      </c>
      <c r="J601" s="56" t="s">
        <v>113</v>
      </c>
      <c r="K601" s="55" t="s">
        <v>2058</v>
      </c>
      <c r="L601" s="55" t="s">
        <v>34</v>
      </c>
      <c r="M601" s="55" t="s">
        <v>115</v>
      </c>
      <c r="N601" s="55" t="s">
        <v>90</v>
      </c>
      <c r="O601" s="55"/>
      <c r="P601" s="55" t="s">
        <v>91</v>
      </c>
      <c r="Q601" s="55" t="s">
        <v>16</v>
      </c>
      <c r="R601" s="55"/>
      <c r="S601" s="55"/>
      <c r="T601" s="55"/>
      <c r="U601" s="55"/>
      <c r="V601" s="55"/>
      <c r="W601" s="55"/>
      <c r="X601" s="57" t="str">
        <f t="shared" si="499"/>
        <v>--594-06-05</v>
      </c>
      <c r="Y601" s="55"/>
      <c r="Z601" s="55"/>
      <c r="AA601" s="55"/>
      <c r="AB601" s="55"/>
      <c r="AC601" s="55"/>
      <c r="AD601" s="55"/>
      <c r="AE601" s="55"/>
      <c r="AF601" s="55"/>
      <c r="AG601" s="84"/>
    </row>
    <row r="602">
      <c r="A602" s="53">
        <v>30.0</v>
      </c>
      <c r="B602" s="54" t="s">
        <v>464</v>
      </c>
      <c r="C602" s="55" t="s">
        <v>1955</v>
      </c>
      <c r="D602" s="60">
        <v>46138.0</v>
      </c>
      <c r="E602" s="55" t="s">
        <v>465</v>
      </c>
      <c r="F602" s="55" t="s">
        <v>2062</v>
      </c>
      <c r="G602" s="55">
        <v>27.0</v>
      </c>
      <c r="H602" s="55" t="s">
        <v>85</v>
      </c>
      <c r="I602" s="55" t="s">
        <v>112</v>
      </c>
      <c r="J602" s="56" t="s">
        <v>87</v>
      </c>
      <c r="K602" s="55" t="s">
        <v>467</v>
      </c>
      <c r="L602" s="55" t="s">
        <v>24</v>
      </c>
      <c r="M602" s="55" t="s">
        <v>89</v>
      </c>
      <c r="N602" s="55" t="s">
        <v>90</v>
      </c>
      <c r="O602" s="55"/>
      <c r="P602" s="55" t="s">
        <v>91</v>
      </c>
      <c r="Q602" s="55" t="s">
        <v>16</v>
      </c>
      <c r="R602" s="55"/>
      <c r="S602" s="55"/>
      <c r="T602" s="55"/>
      <c r="U602" s="55"/>
      <c r="V602" s="55"/>
      <c r="W602" s="55"/>
      <c r="X602" s="57" t="str">
        <f t="shared" si="499"/>
        <v>--595-06-05</v>
      </c>
      <c r="Y602" s="55"/>
      <c r="Z602" s="55"/>
      <c r="AA602" s="55"/>
      <c r="AB602" s="55"/>
      <c r="AC602" s="55"/>
      <c r="AD602" s="55"/>
      <c r="AE602" s="55"/>
      <c r="AF602" s="55"/>
      <c r="AG602" s="84"/>
    </row>
    <row r="603">
      <c r="A603" s="53">
        <v>31.0</v>
      </c>
      <c r="B603" s="54" t="s">
        <v>2063</v>
      </c>
      <c r="C603" s="55" t="s">
        <v>1955</v>
      </c>
      <c r="D603" s="55"/>
      <c r="E603" s="55" t="s">
        <v>2064</v>
      </c>
      <c r="F603" s="55" t="s">
        <v>2065</v>
      </c>
      <c r="G603" s="55">
        <v>23.0</v>
      </c>
      <c r="H603" s="55" t="s">
        <v>85</v>
      </c>
      <c r="I603" s="55" t="s">
        <v>86</v>
      </c>
      <c r="J603" s="56" t="s">
        <v>87</v>
      </c>
      <c r="K603" s="55" t="s">
        <v>2066</v>
      </c>
      <c r="L603" s="55" t="s">
        <v>34</v>
      </c>
      <c r="M603" s="55" t="s">
        <v>89</v>
      </c>
      <c r="N603" s="55" t="s">
        <v>90</v>
      </c>
      <c r="O603" s="55"/>
      <c r="P603" s="55" t="s">
        <v>91</v>
      </c>
      <c r="Q603" s="55"/>
      <c r="R603" s="55" t="s">
        <v>5</v>
      </c>
      <c r="S603" s="55"/>
      <c r="T603" s="55"/>
      <c r="U603" s="55" t="s">
        <v>7</v>
      </c>
      <c r="V603" s="55"/>
      <c r="W603" s="55"/>
      <c r="X603" s="57" t="str">
        <f t="shared" si="499"/>
        <v>--596-06-05</v>
      </c>
      <c r="Y603" s="55"/>
      <c r="Z603" s="55"/>
      <c r="AA603" s="55"/>
      <c r="AB603" s="55"/>
      <c r="AC603" s="55"/>
      <c r="AD603" s="55"/>
      <c r="AE603" s="55"/>
      <c r="AF603" s="55"/>
      <c r="AG603" s="84"/>
    </row>
    <row r="604">
      <c r="A604" s="53">
        <v>32.0</v>
      </c>
      <c r="B604" s="54" t="s">
        <v>2067</v>
      </c>
      <c r="C604" s="55" t="s">
        <v>1955</v>
      </c>
      <c r="D604" s="55"/>
      <c r="E604" s="55" t="s">
        <v>2068</v>
      </c>
      <c r="F604" s="55" t="s">
        <v>2069</v>
      </c>
      <c r="G604" s="55">
        <v>2.0</v>
      </c>
      <c r="H604" s="55" t="s">
        <v>119</v>
      </c>
      <c r="I604" s="55" t="s">
        <v>112</v>
      </c>
      <c r="J604" s="56" t="s">
        <v>113</v>
      </c>
      <c r="K604" s="55" t="s">
        <v>2066</v>
      </c>
      <c r="L604" s="55" t="s">
        <v>34</v>
      </c>
      <c r="M604" s="55" t="s">
        <v>115</v>
      </c>
      <c r="N604" s="55" t="s">
        <v>90</v>
      </c>
      <c r="O604" s="55"/>
      <c r="P604" s="55" t="s">
        <v>91</v>
      </c>
      <c r="Q604" s="55" t="s">
        <v>16</v>
      </c>
      <c r="R604" s="55"/>
      <c r="S604" s="55"/>
      <c r="T604" s="55"/>
      <c r="U604" s="55"/>
      <c r="V604" s="55"/>
      <c r="W604" s="55"/>
      <c r="X604" s="57" t="str">
        <f t="shared" si="499"/>
        <v>--597-06-05</v>
      </c>
      <c r="Y604" s="55"/>
      <c r="Z604" s="55"/>
      <c r="AA604" s="55"/>
      <c r="AB604" s="55"/>
      <c r="AC604" s="55"/>
      <c r="AD604" s="55"/>
      <c r="AE604" s="55"/>
      <c r="AF604" s="55"/>
      <c r="AG604" s="84"/>
    </row>
    <row r="605">
      <c r="A605" s="53">
        <v>33.0</v>
      </c>
      <c r="B605" s="54" t="s">
        <v>2070</v>
      </c>
      <c r="C605" s="55" t="s">
        <v>1955</v>
      </c>
      <c r="D605" s="55"/>
      <c r="E605" s="55" t="s">
        <v>2071</v>
      </c>
      <c r="F605" s="55" t="s">
        <v>2072</v>
      </c>
      <c r="G605" s="55">
        <v>23.0</v>
      </c>
      <c r="H605" s="55" t="s">
        <v>85</v>
      </c>
      <c r="I605" s="55" t="s">
        <v>86</v>
      </c>
      <c r="J605" s="56" t="s">
        <v>87</v>
      </c>
      <c r="K605" s="55" t="s">
        <v>2073</v>
      </c>
      <c r="L605" s="55" t="s">
        <v>34</v>
      </c>
      <c r="M605" s="55" t="s">
        <v>115</v>
      </c>
      <c r="N605" s="55" t="s">
        <v>90</v>
      </c>
      <c r="O605" s="55"/>
      <c r="P605" s="55" t="s">
        <v>91</v>
      </c>
      <c r="Q605" s="55"/>
      <c r="R605" s="55" t="s">
        <v>27</v>
      </c>
      <c r="S605" s="55"/>
      <c r="T605" s="55"/>
      <c r="U605" s="55"/>
      <c r="V605" s="55"/>
      <c r="W605" s="55"/>
      <c r="X605" s="57" t="str">
        <f t="shared" si="499"/>
        <v>--598-06-05</v>
      </c>
      <c r="Y605" s="55"/>
      <c r="Z605" s="55"/>
      <c r="AA605" s="55"/>
      <c r="AB605" s="55"/>
      <c r="AC605" s="55"/>
      <c r="AD605" s="55"/>
      <c r="AE605" s="55"/>
      <c r="AF605" s="55"/>
      <c r="AG605" s="84"/>
    </row>
    <row r="606">
      <c r="A606" s="53">
        <v>34.0</v>
      </c>
      <c r="B606" s="54" t="s">
        <v>2074</v>
      </c>
      <c r="C606" s="55" t="s">
        <v>1955</v>
      </c>
      <c r="D606" s="55"/>
      <c r="E606" s="55" t="s">
        <v>2075</v>
      </c>
      <c r="F606" s="55" t="s">
        <v>2076</v>
      </c>
      <c r="G606" s="55">
        <v>1.0</v>
      </c>
      <c r="H606" s="55" t="s">
        <v>119</v>
      </c>
      <c r="I606" s="55" t="s">
        <v>86</v>
      </c>
      <c r="J606" s="56" t="s">
        <v>87</v>
      </c>
      <c r="K606" s="55" t="s">
        <v>845</v>
      </c>
      <c r="L606" s="55" t="s">
        <v>34</v>
      </c>
      <c r="M606" s="55" t="s">
        <v>115</v>
      </c>
      <c r="N606" s="55" t="s">
        <v>90</v>
      </c>
      <c r="O606" s="55"/>
      <c r="P606" s="55" t="s">
        <v>91</v>
      </c>
      <c r="Q606" s="55" t="s">
        <v>16</v>
      </c>
      <c r="R606" s="55"/>
      <c r="S606" s="55"/>
      <c r="T606" s="55"/>
      <c r="U606" s="55"/>
      <c r="V606" s="55"/>
      <c r="W606" s="55"/>
      <c r="X606" s="57" t="str">
        <f t="shared" si="499"/>
        <v>--599-06-05</v>
      </c>
      <c r="Y606" s="55"/>
      <c r="Z606" s="55"/>
      <c r="AA606" s="55"/>
      <c r="AB606" s="55"/>
      <c r="AC606" s="55"/>
      <c r="AD606" s="55"/>
      <c r="AE606" s="55"/>
      <c r="AF606" s="55"/>
      <c r="AG606" s="84"/>
    </row>
    <row r="607">
      <c r="A607" s="53">
        <v>35.0</v>
      </c>
      <c r="B607" s="54" t="s">
        <v>2077</v>
      </c>
      <c r="C607" s="55" t="s">
        <v>1955</v>
      </c>
      <c r="D607" s="55"/>
      <c r="E607" s="55" t="s">
        <v>2078</v>
      </c>
      <c r="F607" s="55" t="s">
        <v>2079</v>
      </c>
      <c r="G607" s="55">
        <v>3.0</v>
      </c>
      <c r="H607" s="55" t="s">
        <v>119</v>
      </c>
      <c r="I607" s="55" t="s">
        <v>112</v>
      </c>
      <c r="J607" s="56" t="s">
        <v>113</v>
      </c>
      <c r="K607" s="55" t="s">
        <v>2073</v>
      </c>
      <c r="L607" s="55" t="s">
        <v>34</v>
      </c>
      <c r="M607" s="55" t="s">
        <v>115</v>
      </c>
      <c r="N607" s="55" t="s">
        <v>90</v>
      </c>
      <c r="O607" s="55"/>
      <c r="P607" s="55" t="s">
        <v>91</v>
      </c>
      <c r="Q607" s="55" t="s">
        <v>16</v>
      </c>
      <c r="R607" s="55"/>
      <c r="S607" s="55"/>
      <c r="T607" s="55"/>
      <c r="U607" s="55"/>
      <c r="V607" s="55"/>
      <c r="W607" s="55"/>
      <c r="X607" s="57" t="str">
        <f t="shared" si="499"/>
        <v>--600-06-05</v>
      </c>
      <c r="Y607" s="55"/>
      <c r="Z607" s="55"/>
      <c r="AA607" s="55"/>
      <c r="AB607" s="55"/>
      <c r="AC607" s="55"/>
      <c r="AD607" s="55"/>
      <c r="AE607" s="55"/>
      <c r="AF607" s="55"/>
      <c r="AG607" s="84"/>
    </row>
    <row r="608">
      <c r="A608" s="53">
        <v>36.0</v>
      </c>
      <c r="B608" s="54" t="s">
        <v>2080</v>
      </c>
      <c r="C608" s="55" t="s">
        <v>1955</v>
      </c>
      <c r="D608" s="55"/>
      <c r="E608" s="55" t="s">
        <v>2081</v>
      </c>
      <c r="F608" s="55" t="s">
        <v>2082</v>
      </c>
      <c r="G608" s="55">
        <v>55.0</v>
      </c>
      <c r="H608" s="55" t="s">
        <v>85</v>
      </c>
      <c r="I608" s="55" t="s">
        <v>86</v>
      </c>
      <c r="J608" s="56" t="s">
        <v>87</v>
      </c>
      <c r="K608" s="55" t="s">
        <v>2083</v>
      </c>
      <c r="L608" s="55" t="s">
        <v>34</v>
      </c>
      <c r="M608" s="55" t="s">
        <v>89</v>
      </c>
      <c r="N608" s="55" t="s">
        <v>90</v>
      </c>
      <c r="O608" s="55"/>
      <c r="P608" s="55" t="s">
        <v>91</v>
      </c>
      <c r="Q608" s="55" t="s">
        <v>4</v>
      </c>
      <c r="R608" s="55"/>
      <c r="S608" s="55"/>
      <c r="T608" s="55"/>
      <c r="U608" s="55"/>
      <c r="V608" s="55"/>
      <c r="W608" s="55"/>
      <c r="X608" s="57" t="str">
        <f t="shared" si="499"/>
        <v>--601-06-05</v>
      </c>
      <c r="Y608" s="55"/>
      <c r="Z608" s="55"/>
      <c r="AA608" s="55"/>
      <c r="AB608" s="55"/>
      <c r="AC608" s="55"/>
      <c r="AD608" s="55"/>
      <c r="AE608" s="55"/>
      <c r="AF608" s="55"/>
      <c r="AG608" s="84"/>
    </row>
    <row r="609">
      <c r="A609" s="53">
        <v>37.0</v>
      </c>
      <c r="B609" s="54" t="s">
        <v>2084</v>
      </c>
      <c r="C609" s="55" t="s">
        <v>1955</v>
      </c>
      <c r="D609" s="55"/>
      <c r="E609" s="55" t="s">
        <v>2085</v>
      </c>
      <c r="F609" s="55" t="s">
        <v>2086</v>
      </c>
      <c r="G609" s="55">
        <v>36.0</v>
      </c>
      <c r="H609" s="55" t="s">
        <v>85</v>
      </c>
      <c r="I609" s="55" t="s">
        <v>86</v>
      </c>
      <c r="J609" s="56" t="s">
        <v>87</v>
      </c>
      <c r="K609" s="55" t="s">
        <v>2087</v>
      </c>
      <c r="L609" s="55" t="s">
        <v>34</v>
      </c>
      <c r="M609" s="55" t="s">
        <v>89</v>
      </c>
      <c r="N609" s="55" t="s">
        <v>90</v>
      </c>
      <c r="O609" s="55"/>
      <c r="P609" s="55" t="s">
        <v>91</v>
      </c>
      <c r="Q609" s="55"/>
      <c r="R609" s="55" t="s">
        <v>5</v>
      </c>
      <c r="S609" s="55"/>
      <c r="T609" s="55"/>
      <c r="U609" s="55" t="s">
        <v>7</v>
      </c>
      <c r="V609" s="55"/>
      <c r="W609" s="55"/>
      <c r="X609" s="57" t="str">
        <f t="shared" si="499"/>
        <v>--602-06-05</v>
      </c>
      <c r="Y609" s="55"/>
      <c r="Z609" s="55"/>
      <c r="AA609" s="55"/>
      <c r="AB609" s="55"/>
      <c r="AC609" s="55"/>
      <c r="AD609" s="55"/>
      <c r="AE609" s="55"/>
      <c r="AF609" s="55"/>
      <c r="AG609" s="84"/>
    </row>
    <row r="610">
      <c r="A610" s="53">
        <v>38.0</v>
      </c>
      <c r="B610" s="54" t="s">
        <v>2088</v>
      </c>
      <c r="C610" s="55" t="s">
        <v>1955</v>
      </c>
      <c r="D610" s="55"/>
      <c r="E610" s="55" t="s">
        <v>2089</v>
      </c>
      <c r="F610" s="55" t="s">
        <v>2090</v>
      </c>
      <c r="G610" s="55">
        <v>27.0</v>
      </c>
      <c r="H610" s="55" t="s">
        <v>85</v>
      </c>
      <c r="I610" s="55" t="s">
        <v>86</v>
      </c>
      <c r="J610" s="56" t="s">
        <v>87</v>
      </c>
      <c r="K610" s="55" t="s">
        <v>2091</v>
      </c>
      <c r="L610" s="55" t="s">
        <v>34</v>
      </c>
      <c r="M610" s="55" t="s">
        <v>89</v>
      </c>
      <c r="N610" s="55" t="s">
        <v>90</v>
      </c>
      <c r="O610" s="55"/>
      <c r="P610" s="55" t="s">
        <v>91</v>
      </c>
      <c r="Q610" s="55" t="s">
        <v>4</v>
      </c>
      <c r="R610" s="55"/>
      <c r="S610" s="55"/>
      <c r="T610" s="55"/>
      <c r="U610" s="55"/>
      <c r="V610" s="55"/>
      <c r="W610" s="55"/>
      <c r="X610" s="57" t="str">
        <f t="shared" si="499"/>
        <v>--603-06-05</v>
      </c>
      <c r="Y610" s="55"/>
      <c r="Z610" s="55"/>
      <c r="AA610" s="55"/>
      <c r="AB610" s="55"/>
      <c r="AC610" s="55"/>
      <c r="AD610" s="55"/>
      <c r="AE610" s="55"/>
      <c r="AF610" s="55"/>
      <c r="AG610" s="84"/>
    </row>
    <row r="611">
      <c r="A611" s="53">
        <v>39.0</v>
      </c>
      <c r="B611" s="54" t="s">
        <v>2092</v>
      </c>
      <c r="C611" s="55" t="s">
        <v>1955</v>
      </c>
      <c r="D611" s="55"/>
      <c r="E611" s="55" t="s">
        <v>2093</v>
      </c>
      <c r="F611" s="55" t="s">
        <v>2094</v>
      </c>
      <c r="G611" s="55">
        <v>1.0</v>
      </c>
      <c r="H611" s="55" t="s">
        <v>119</v>
      </c>
      <c r="I611" s="55" t="s">
        <v>112</v>
      </c>
      <c r="J611" s="56" t="s">
        <v>113</v>
      </c>
      <c r="K611" s="55" t="s">
        <v>2095</v>
      </c>
      <c r="L611" s="55" t="s">
        <v>34</v>
      </c>
      <c r="M611" s="55" t="s">
        <v>115</v>
      </c>
      <c r="N611" s="55" t="s">
        <v>90</v>
      </c>
      <c r="O611" s="55"/>
      <c r="P611" s="55" t="s">
        <v>91</v>
      </c>
      <c r="Q611" s="55" t="s">
        <v>16</v>
      </c>
      <c r="R611" s="55"/>
      <c r="S611" s="55"/>
      <c r="T611" s="55"/>
      <c r="U611" s="55"/>
      <c r="V611" s="55"/>
      <c r="W611" s="55"/>
      <c r="X611" s="57" t="str">
        <f t="shared" si="499"/>
        <v>--604-06-05</v>
      </c>
      <c r="Y611" s="55"/>
      <c r="Z611" s="55"/>
      <c r="AA611" s="55"/>
      <c r="AB611" s="55"/>
      <c r="AC611" s="55"/>
      <c r="AD611" s="55"/>
      <c r="AE611" s="55"/>
      <c r="AF611" s="55"/>
      <c r="AG611" s="84"/>
    </row>
    <row r="612">
      <c r="A612" s="53">
        <v>40.0</v>
      </c>
      <c r="B612" s="54" t="s">
        <v>2096</v>
      </c>
      <c r="C612" s="55" t="s">
        <v>1955</v>
      </c>
      <c r="D612" s="55"/>
      <c r="E612" s="55" t="s">
        <v>2097</v>
      </c>
      <c r="F612" s="55" t="s">
        <v>2098</v>
      </c>
      <c r="G612" s="55">
        <v>34.0</v>
      </c>
      <c r="H612" s="55" t="s">
        <v>85</v>
      </c>
      <c r="I612" s="55" t="s">
        <v>86</v>
      </c>
      <c r="J612" s="56" t="s">
        <v>87</v>
      </c>
      <c r="K612" s="55" t="s">
        <v>2095</v>
      </c>
      <c r="L612" s="55" t="s">
        <v>34</v>
      </c>
      <c r="M612" s="55" t="s">
        <v>89</v>
      </c>
      <c r="N612" s="55" t="s">
        <v>90</v>
      </c>
      <c r="O612" s="55"/>
      <c r="P612" s="55" t="s">
        <v>91</v>
      </c>
      <c r="Q612" s="55" t="s">
        <v>4</v>
      </c>
      <c r="R612" s="55"/>
      <c r="S612" s="55"/>
      <c r="T612" s="55"/>
      <c r="U612" s="55"/>
      <c r="V612" s="55"/>
      <c r="W612" s="55"/>
      <c r="X612" s="57" t="str">
        <f t="shared" si="499"/>
        <v>--605-06-05</v>
      </c>
      <c r="Y612" s="55"/>
      <c r="Z612" s="55"/>
      <c r="AA612" s="55"/>
      <c r="AB612" s="55"/>
      <c r="AC612" s="55"/>
      <c r="AD612" s="55"/>
      <c r="AE612" s="55"/>
      <c r="AF612" s="55"/>
      <c r="AG612" s="84"/>
    </row>
    <row r="613">
      <c r="A613" s="53">
        <v>41.0</v>
      </c>
      <c r="B613" s="54" t="s">
        <v>2099</v>
      </c>
      <c r="C613" s="55" t="s">
        <v>1955</v>
      </c>
      <c r="D613" s="55"/>
      <c r="E613" s="55" t="s">
        <v>2100</v>
      </c>
      <c r="F613" s="55" t="s">
        <v>2101</v>
      </c>
      <c r="G613" s="55">
        <v>23.0</v>
      </c>
      <c r="H613" s="55" t="s">
        <v>85</v>
      </c>
      <c r="I613" s="55" t="s">
        <v>86</v>
      </c>
      <c r="J613" s="56" t="s">
        <v>87</v>
      </c>
      <c r="K613" s="55" t="s">
        <v>2102</v>
      </c>
      <c r="L613" s="55" t="s">
        <v>34</v>
      </c>
      <c r="M613" s="55" t="s">
        <v>89</v>
      </c>
      <c r="N613" s="55" t="s">
        <v>90</v>
      </c>
      <c r="O613" s="55"/>
      <c r="P613" s="55" t="s">
        <v>91</v>
      </c>
      <c r="Q613" s="55"/>
      <c r="R613" s="55" t="s">
        <v>36</v>
      </c>
      <c r="S613" s="55"/>
      <c r="T613" s="55"/>
      <c r="U613" s="55"/>
      <c r="V613" s="55"/>
      <c r="W613" s="55"/>
      <c r="X613" s="57" t="str">
        <f t="shared" si="499"/>
        <v>--606-06-05</v>
      </c>
      <c r="Y613" s="55"/>
      <c r="Z613" s="55"/>
      <c r="AA613" s="55"/>
      <c r="AB613" s="55"/>
      <c r="AC613" s="55"/>
      <c r="AD613" s="55"/>
      <c r="AE613" s="55"/>
      <c r="AF613" s="55"/>
      <c r="AG613" s="84"/>
    </row>
    <row r="614">
      <c r="A614" s="53">
        <v>42.0</v>
      </c>
      <c r="B614" s="54" t="s">
        <v>2103</v>
      </c>
      <c r="C614" s="55" t="s">
        <v>1955</v>
      </c>
      <c r="D614" s="55"/>
      <c r="E614" s="55" t="s">
        <v>2104</v>
      </c>
      <c r="F614" s="55" t="s">
        <v>2105</v>
      </c>
      <c r="G614" s="55">
        <v>57.0</v>
      </c>
      <c r="H614" s="55" t="s">
        <v>85</v>
      </c>
      <c r="I614" s="55" t="s">
        <v>112</v>
      </c>
      <c r="J614" s="56" t="s">
        <v>113</v>
      </c>
      <c r="K614" s="55" t="s">
        <v>2106</v>
      </c>
      <c r="L614" s="55" t="s">
        <v>34</v>
      </c>
      <c r="M614" s="55" t="s">
        <v>89</v>
      </c>
      <c r="N614" s="55" t="s">
        <v>90</v>
      </c>
      <c r="O614" s="55"/>
      <c r="P614" s="55" t="s">
        <v>91</v>
      </c>
      <c r="Q614" s="55" t="s">
        <v>4</v>
      </c>
      <c r="R614" s="55"/>
      <c r="S614" s="55"/>
      <c r="T614" s="55"/>
      <c r="U614" s="55"/>
      <c r="V614" s="55"/>
      <c r="W614" s="55"/>
      <c r="X614" s="57" t="str">
        <f t="shared" si="499"/>
        <v>--607-06-05</v>
      </c>
      <c r="Y614" s="55"/>
      <c r="Z614" s="55"/>
      <c r="AA614" s="55"/>
      <c r="AB614" s="55"/>
      <c r="AC614" s="55"/>
      <c r="AD614" s="55"/>
      <c r="AE614" s="55"/>
      <c r="AF614" s="55"/>
      <c r="AG614" s="84"/>
    </row>
    <row r="615">
      <c r="A615" s="53">
        <v>43.0</v>
      </c>
      <c r="B615" s="54" t="s">
        <v>2107</v>
      </c>
      <c r="C615" s="55" t="s">
        <v>1955</v>
      </c>
      <c r="D615" s="55"/>
      <c r="E615" s="55" t="s">
        <v>2108</v>
      </c>
      <c r="F615" s="55" t="s">
        <v>2109</v>
      </c>
      <c r="G615" s="55">
        <v>37.0</v>
      </c>
      <c r="H615" s="55" t="s">
        <v>85</v>
      </c>
      <c r="I615" s="55" t="s">
        <v>86</v>
      </c>
      <c r="J615" s="56" t="s">
        <v>87</v>
      </c>
      <c r="K615" s="55" t="s">
        <v>2106</v>
      </c>
      <c r="L615" s="55" t="s">
        <v>34</v>
      </c>
      <c r="M615" s="55" t="s">
        <v>89</v>
      </c>
      <c r="N615" s="55" t="s">
        <v>90</v>
      </c>
      <c r="O615" s="55"/>
      <c r="P615" s="55" t="s">
        <v>91</v>
      </c>
      <c r="Q615" s="55" t="s">
        <v>4</v>
      </c>
      <c r="R615" s="55"/>
      <c r="S615" s="55"/>
      <c r="T615" s="55"/>
      <c r="U615" s="55"/>
      <c r="V615" s="55"/>
      <c r="W615" s="55"/>
      <c r="X615" s="57" t="str">
        <f t="shared" si="499"/>
        <v>--608-06-05</v>
      </c>
      <c r="Y615" s="55"/>
      <c r="Z615" s="55"/>
      <c r="AA615" s="55"/>
      <c r="AB615" s="55"/>
      <c r="AC615" s="55"/>
      <c r="AD615" s="55"/>
      <c r="AE615" s="55"/>
      <c r="AF615" s="55"/>
      <c r="AG615" s="84"/>
    </row>
    <row r="616">
      <c r="A616" s="53">
        <v>44.0</v>
      </c>
      <c r="B616" s="54" t="s">
        <v>2110</v>
      </c>
      <c r="C616" s="55" t="s">
        <v>1955</v>
      </c>
      <c r="D616" s="55"/>
      <c r="E616" s="55" t="s">
        <v>2111</v>
      </c>
      <c r="F616" s="55" t="s">
        <v>2112</v>
      </c>
      <c r="G616" s="55">
        <v>18.0</v>
      </c>
      <c r="H616" s="55" t="s">
        <v>111</v>
      </c>
      <c r="I616" s="55" t="s">
        <v>86</v>
      </c>
      <c r="J616" s="56" t="s">
        <v>87</v>
      </c>
      <c r="K616" s="55" t="s">
        <v>2113</v>
      </c>
      <c r="L616" s="55" t="s">
        <v>34</v>
      </c>
      <c r="M616" s="55" t="s">
        <v>89</v>
      </c>
      <c r="N616" s="55" t="s">
        <v>90</v>
      </c>
      <c r="O616" s="55"/>
      <c r="P616" s="55" t="s">
        <v>91</v>
      </c>
      <c r="Q616" s="55"/>
      <c r="R616" s="55" t="s">
        <v>36</v>
      </c>
      <c r="S616" s="55"/>
      <c r="T616" s="55"/>
      <c r="U616" s="55"/>
      <c r="V616" s="55"/>
      <c r="W616" s="55"/>
      <c r="X616" s="57" t="str">
        <f t="shared" si="499"/>
        <v>--609-06-05</v>
      </c>
      <c r="Y616" s="55"/>
      <c r="Z616" s="55"/>
      <c r="AA616" s="55"/>
      <c r="AB616" s="55"/>
      <c r="AC616" s="55"/>
      <c r="AD616" s="55"/>
      <c r="AE616" s="55"/>
      <c r="AF616" s="55"/>
      <c r="AG616" s="84"/>
    </row>
    <row r="617">
      <c r="A617" s="53">
        <v>45.0</v>
      </c>
      <c r="B617" s="54" t="s">
        <v>2114</v>
      </c>
      <c r="C617" s="55" t="s">
        <v>1955</v>
      </c>
      <c r="D617" s="55"/>
      <c r="E617" s="55" t="s">
        <v>2115</v>
      </c>
      <c r="F617" s="55" t="s">
        <v>2116</v>
      </c>
      <c r="G617" s="55">
        <v>8.0</v>
      </c>
      <c r="H617" s="55" t="s">
        <v>111</v>
      </c>
      <c r="I617" s="55" t="s">
        <v>86</v>
      </c>
      <c r="J617" s="56" t="s">
        <v>87</v>
      </c>
      <c r="K617" s="55" t="s">
        <v>2117</v>
      </c>
      <c r="L617" s="55" t="s">
        <v>34</v>
      </c>
      <c r="M617" s="55" t="s">
        <v>133</v>
      </c>
      <c r="N617" s="55" t="s">
        <v>90</v>
      </c>
      <c r="O617" s="55"/>
      <c r="P617" s="55" t="s">
        <v>91</v>
      </c>
      <c r="Q617" s="55" t="s">
        <v>16</v>
      </c>
      <c r="R617" s="55"/>
      <c r="S617" s="55"/>
      <c r="T617" s="55"/>
      <c r="U617" s="55"/>
      <c r="V617" s="55"/>
      <c r="W617" s="55"/>
      <c r="X617" s="57" t="str">
        <f t="shared" si="499"/>
        <v>--610-06-05</v>
      </c>
      <c r="Y617" s="55"/>
      <c r="Z617" s="55"/>
      <c r="AA617" s="55"/>
      <c r="AB617" s="55"/>
      <c r="AC617" s="55"/>
      <c r="AD617" s="55"/>
      <c r="AE617" s="55"/>
      <c r="AF617" s="55"/>
      <c r="AG617" s="84"/>
    </row>
    <row r="618">
      <c r="A618" s="53">
        <v>46.0</v>
      </c>
      <c r="B618" s="54" t="s">
        <v>2118</v>
      </c>
      <c r="C618" s="55" t="s">
        <v>1955</v>
      </c>
      <c r="D618" s="55"/>
      <c r="E618" s="55" t="s">
        <v>2119</v>
      </c>
      <c r="F618" s="55" t="s">
        <v>2120</v>
      </c>
      <c r="G618" s="55">
        <v>2.0</v>
      </c>
      <c r="H618" s="55" t="s">
        <v>119</v>
      </c>
      <c r="I618" s="55" t="s">
        <v>86</v>
      </c>
      <c r="J618" s="56" t="s">
        <v>87</v>
      </c>
      <c r="K618" s="55" t="s">
        <v>2121</v>
      </c>
      <c r="L618" s="55" t="s">
        <v>34</v>
      </c>
      <c r="M618" s="55" t="s">
        <v>115</v>
      </c>
      <c r="N618" s="55" t="s">
        <v>90</v>
      </c>
      <c r="O618" s="55"/>
      <c r="P618" s="55" t="s">
        <v>91</v>
      </c>
      <c r="Q618" s="55" t="s">
        <v>16</v>
      </c>
      <c r="R618" s="55"/>
      <c r="S618" s="55" t="s">
        <v>18</v>
      </c>
      <c r="T618" s="55"/>
      <c r="U618" s="55"/>
      <c r="V618" s="55"/>
      <c r="W618" s="55"/>
      <c r="X618" s="57" t="str">
        <f t="shared" si="499"/>
        <v>--611-06-05</v>
      </c>
      <c r="Y618" s="55"/>
      <c r="Z618" s="55"/>
      <c r="AA618" s="55"/>
      <c r="AB618" s="55"/>
      <c r="AC618" s="55"/>
      <c r="AD618" s="55"/>
      <c r="AE618" s="55"/>
      <c r="AF618" s="55"/>
      <c r="AG618" s="84"/>
    </row>
    <row r="619">
      <c r="A619" s="53">
        <v>47.0</v>
      </c>
      <c r="B619" s="54" t="s">
        <v>2122</v>
      </c>
      <c r="C619" s="55" t="s">
        <v>1955</v>
      </c>
      <c r="D619" s="55"/>
      <c r="E619" s="55" t="s">
        <v>2123</v>
      </c>
      <c r="F619" s="55" t="s">
        <v>2124</v>
      </c>
      <c r="G619" s="55">
        <v>1.0</v>
      </c>
      <c r="H619" s="55" t="s">
        <v>119</v>
      </c>
      <c r="I619" s="55" t="s">
        <v>112</v>
      </c>
      <c r="J619" s="56" t="s">
        <v>113</v>
      </c>
      <c r="K619" s="55" t="s">
        <v>2125</v>
      </c>
      <c r="L619" s="55" t="s">
        <v>34</v>
      </c>
      <c r="M619" s="55" t="s">
        <v>115</v>
      </c>
      <c r="N619" s="55" t="s">
        <v>90</v>
      </c>
      <c r="O619" s="55"/>
      <c r="P619" s="55" t="s">
        <v>91</v>
      </c>
      <c r="Q619" s="55" t="s">
        <v>16</v>
      </c>
      <c r="R619" s="55"/>
      <c r="S619" s="55"/>
      <c r="T619" s="55"/>
      <c r="U619" s="55"/>
      <c r="V619" s="55"/>
      <c r="W619" s="55"/>
      <c r="X619" s="57" t="str">
        <f t="shared" si="499"/>
        <v>--612-06-05</v>
      </c>
      <c r="Y619" s="55"/>
      <c r="Z619" s="55"/>
      <c r="AA619" s="55"/>
      <c r="AB619" s="55"/>
      <c r="AC619" s="55"/>
      <c r="AD619" s="55"/>
      <c r="AE619" s="55"/>
      <c r="AF619" s="55"/>
      <c r="AG619" s="84"/>
    </row>
    <row r="620">
      <c r="A620" s="53">
        <v>48.0</v>
      </c>
      <c r="B620" s="54" t="s">
        <v>2126</v>
      </c>
      <c r="C620" s="55" t="s">
        <v>1955</v>
      </c>
      <c r="D620" s="55"/>
      <c r="E620" s="55" t="s">
        <v>2127</v>
      </c>
      <c r="F620" s="55" t="s">
        <v>2128</v>
      </c>
      <c r="G620" s="55">
        <v>22.0</v>
      </c>
      <c r="H620" s="55" t="s">
        <v>85</v>
      </c>
      <c r="I620" s="55" t="s">
        <v>86</v>
      </c>
      <c r="J620" s="56" t="s">
        <v>87</v>
      </c>
      <c r="K620" s="55" t="s">
        <v>2125</v>
      </c>
      <c r="L620" s="55" t="s">
        <v>34</v>
      </c>
      <c r="M620" s="55" t="s">
        <v>89</v>
      </c>
      <c r="N620" s="55" t="s">
        <v>90</v>
      </c>
      <c r="O620" s="55"/>
      <c r="P620" s="55" t="s">
        <v>91</v>
      </c>
      <c r="Q620" s="55" t="s">
        <v>16</v>
      </c>
      <c r="R620" s="55"/>
      <c r="S620" s="55"/>
      <c r="T620" s="55"/>
      <c r="U620" s="55"/>
      <c r="V620" s="55"/>
      <c r="W620" s="55"/>
      <c r="X620" s="57" t="str">
        <f t="shared" si="499"/>
        <v>--613-06-05</v>
      </c>
      <c r="Y620" s="55"/>
      <c r="Z620" s="55"/>
      <c r="AA620" s="55"/>
      <c r="AB620" s="55"/>
      <c r="AC620" s="55"/>
      <c r="AD620" s="55"/>
      <c r="AE620" s="55"/>
      <c r="AF620" s="55"/>
      <c r="AG620" s="84"/>
    </row>
    <row r="621">
      <c r="A621" s="53">
        <v>49.0</v>
      </c>
      <c r="B621" s="54" t="s">
        <v>2129</v>
      </c>
      <c r="C621" s="55" t="s">
        <v>1955</v>
      </c>
      <c r="D621" s="55"/>
      <c r="E621" s="55" t="s">
        <v>2130</v>
      </c>
      <c r="F621" s="55" t="s">
        <v>2131</v>
      </c>
      <c r="G621" s="55">
        <v>41.0</v>
      </c>
      <c r="H621" s="55" t="s">
        <v>85</v>
      </c>
      <c r="I621" s="55" t="s">
        <v>112</v>
      </c>
      <c r="J621" s="56" t="s">
        <v>113</v>
      </c>
      <c r="K621" s="55" t="s">
        <v>2132</v>
      </c>
      <c r="L621" s="55" t="s">
        <v>34</v>
      </c>
      <c r="M621" s="55" t="s">
        <v>89</v>
      </c>
      <c r="N621" s="55" t="s">
        <v>90</v>
      </c>
      <c r="O621" s="55"/>
      <c r="P621" s="55" t="s">
        <v>91</v>
      </c>
      <c r="Q621" s="55" t="s">
        <v>16</v>
      </c>
      <c r="R621" s="55"/>
      <c r="S621" s="55"/>
      <c r="T621" s="55"/>
      <c r="U621" s="55"/>
      <c r="V621" s="55"/>
      <c r="W621" s="55"/>
      <c r="X621" s="57" t="str">
        <f t="shared" si="499"/>
        <v>--614-06-05</v>
      </c>
      <c r="Y621" s="55"/>
      <c r="Z621" s="55"/>
      <c r="AA621" s="55"/>
      <c r="AB621" s="55"/>
      <c r="AC621" s="55"/>
      <c r="AD621" s="55"/>
      <c r="AE621" s="55"/>
      <c r="AF621" s="55"/>
      <c r="AG621" s="84"/>
    </row>
    <row r="622">
      <c r="A622" s="53">
        <v>50.0</v>
      </c>
      <c r="B622" s="54" t="s">
        <v>2133</v>
      </c>
      <c r="C622" s="55" t="s">
        <v>1955</v>
      </c>
      <c r="D622" s="55"/>
      <c r="E622" s="55" t="s">
        <v>2134</v>
      </c>
      <c r="F622" s="55" t="s">
        <v>2135</v>
      </c>
      <c r="G622" s="55">
        <v>29.0</v>
      </c>
      <c r="H622" s="55" t="s">
        <v>85</v>
      </c>
      <c r="I622" s="55" t="s">
        <v>86</v>
      </c>
      <c r="J622" s="56" t="s">
        <v>87</v>
      </c>
      <c r="K622" s="55" t="s">
        <v>2136</v>
      </c>
      <c r="L622" s="55" t="s">
        <v>34</v>
      </c>
      <c r="M622" s="55" t="s">
        <v>133</v>
      </c>
      <c r="N622" s="55" t="s">
        <v>90</v>
      </c>
      <c r="O622" s="55"/>
      <c r="P622" s="55" t="s">
        <v>91</v>
      </c>
      <c r="Q622" s="55"/>
      <c r="R622" s="55" t="s">
        <v>36</v>
      </c>
      <c r="S622" s="55"/>
      <c r="T622" s="55"/>
      <c r="U622" s="55"/>
      <c r="V622" s="55"/>
      <c r="W622" s="55"/>
      <c r="X622" s="57" t="str">
        <f t="shared" si="499"/>
        <v>--615-06-05</v>
      </c>
      <c r="Y622" s="55"/>
      <c r="Z622" s="55"/>
      <c r="AA622" s="55"/>
      <c r="AB622" s="55"/>
      <c r="AC622" s="55"/>
      <c r="AD622" s="55"/>
      <c r="AE622" s="55"/>
      <c r="AF622" s="55"/>
      <c r="AG622" s="84"/>
    </row>
    <row r="623">
      <c r="A623" s="53">
        <v>51.0</v>
      </c>
      <c r="B623" s="54" t="s">
        <v>2137</v>
      </c>
      <c r="C623" s="55" t="s">
        <v>1955</v>
      </c>
      <c r="D623" s="55"/>
      <c r="E623" s="55" t="s">
        <v>2138</v>
      </c>
      <c r="F623" s="55" t="s">
        <v>2139</v>
      </c>
      <c r="G623" s="55">
        <v>51.0</v>
      </c>
      <c r="H623" s="55" t="s">
        <v>85</v>
      </c>
      <c r="I623" s="55" t="s">
        <v>86</v>
      </c>
      <c r="J623" s="56" t="s">
        <v>87</v>
      </c>
      <c r="K623" s="55" t="s">
        <v>2140</v>
      </c>
      <c r="L623" s="55" t="s">
        <v>34</v>
      </c>
      <c r="M623" s="55" t="s">
        <v>89</v>
      </c>
      <c r="N623" s="55" t="s">
        <v>90</v>
      </c>
      <c r="O623" s="55"/>
      <c r="P623" s="55" t="s">
        <v>91</v>
      </c>
      <c r="Q623" s="55" t="s">
        <v>16</v>
      </c>
      <c r="R623" s="55"/>
      <c r="S623" s="55"/>
      <c r="T623" s="55"/>
      <c r="U623" s="55"/>
      <c r="V623" s="55"/>
      <c r="W623" s="55"/>
      <c r="X623" s="57" t="str">
        <f t="shared" si="499"/>
        <v>--616-06-05</v>
      </c>
      <c r="Y623" s="55"/>
      <c r="Z623" s="55"/>
      <c r="AA623" s="55"/>
      <c r="AB623" s="55"/>
      <c r="AC623" s="55"/>
      <c r="AD623" s="55"/>
      <c r="AE623" s="55"/>
      <c r="AF623" s="55"/>
      <c r="AG623" s="84"/>
    </row>
    <row r="624">
      <c r="A624" s="53">
        <v>52.0</v>
      </c>
      <c r="B624" s="54" t="s">
        <v>2141</v>
      </c>
      <c r="C624" s="55" t="s">
        <v>1955</v>
      </c>
      <c r="D624" s="55"/>
      <c r="E624" s="55" t="s">
        <v>2142</v>
      </c>
      <c r="F624" s="55" t="s">
        <v>2143</v>
      </c>
      <c r="G624" s="55">
        <v>36.0</v>
      </c>
      <c r="H624" s="55" t="s">
        <v>85</v>
      </c>
      <c r="I624" s="55" t="s">
        <v>86</v>
      </c>
      <c r="J624" s="56" t="s">
        <v>87</v>
      </c>
      <c r="K624" s="55" t="s">
        <v>2144</v>
      </c>
      <c r="L624" s="55" t="s">
        <v>34</v>
      </c>
      <c r="M624" s="55" t="s">
        <v>89</v>
      </c>
      <c r="N624" s="55" t="s">
        <v>90</v>
      </c>
      <c r="O624" s="55"/>
      <c r="P624" s="55" t="s">
        <v>91</v>
      </c>
      <c r="Q624" s="55" t="s">
        <v>4</v>
      </c>
      <c r="R624" s="55"/>
      <c r="S624" s="55"/>
      <c r="T624" s="55"/>
      <c r="U624" s="55"/>
      <c r="V624" s="55"/>
      <c r="W624" s="55"/>
      <c r="X624" s="57" t="str">
        <f t="shared" si="499"/>
        <v>--617-06-05</v>
      </c>
      <c r="Y624" s="55"/>
      <c r="Z624" s="55"/>
      <c r="AA624" s="55"/>
      <c r="AB624" s="55"/>
      <c r="AC624" s="55"/>
      <c r="AD624" s="55"/>
      <c r="AE624" s="55"/>
      <c r="AF624" s="55"/>
      <c r="AG624" s="84"/>
    </row>
    <row r="625">
      <c r="A625" s="53">
        <v>53.0</v>
      </c>
      <c r="B625" s="54" t="s">
        <v>2145</v>
      </c>
      <c r="C625" s="55" t="s">
        <v>1955</v>
      </c>
      <c r="D625" s="55"/>
      <c r="E625" s="55" t="s">
        <v>2146</v>
      </c>
      <c r="F625" s="55" t="s">
        <v>2147</v>
      </c>
      <c r="G625" s="55">
        <v>1.0</v>
      </c>
      <c r="H625" s="55" t="s">
        <v>119</v>
      </c>
      <c r="I625" s="55" t="s">
        <v>112</v>
      </c>
      <c r="J625" s="56" t="s">
        <v>113</v>
      </c>
      <c r="K625" s="55" t="s">
        <v>2144</v>
      </c>
      <c r="L625" s="55" t="s">
        <v>34</v>
      </c>
      <c r="M625" s="55" t="s">
        <v>115</v>
      </c>
      <c r="N625" s="55" t="s">
        <v>90</v>
      </c>
      <c r="O625" s="55"/>
      <c r="P625" s="55" t="s">
        <v>91</v>
      </c>
      <c r="Q625" s="55" t="s">
        <v>16</v>
      </c>
      <c r="R625" s="55"/>
      <c r="S625" s="55"/>
      <c r="T625" s="55"/>
      <c r="U625" s="55"/>
      <c r="V625" s="55"/>
      <c r="W625" s="55"/>
      <c r="X625" s="57" t="str">
        <f t="shared" si="499"/>
        <v>--618-06-05</v>
      </c>
      <c r="Y625" s="55"/>
      <c r="Z625" s="55"/>
      <c r="AA625" s="55"/>
      <c r="AB625" s="55"/>
      <c r="AC625" s="55"/>
      <c r="AD625" s="55"/>
      <c r="AE625" s="55"/>
      <c r="AF625" s="55"/>
      <c r="AG625" s="84"/>
    </row>
    <row r="626">
      <c r="A626" s="53">
        <v>54.0</v>
      </c>
      <c r="B626" s="54" t="s">
        <v>2148</v>
      </c>
      <c r="C626" s="55" t="s">
        <v>1955</v>
      </c>
      <c r="D626" s="55"/>
      <c r="E626" s="55" t="s">
        <v>2149</v>
      </c>
      <c r="F626" s="55" t="s">
        <v>2150</v>
      </c>
      <c r="G626" s="55">
        <v>29.0</v>
      </c>
      <c r="H626" s="55" t="s">
        <v>85</v>
      </c>
      <c r="I626" s="55" t="s">
        <v>86</v>
      </c>
      <c r="J626" s="56" t="s">
        <v>87</v>
      </c>
      <c r="K626" s="55" t="s">
        <v>2151</v>
      </c>
      <c r="L626" s="55" t="s">
        <v>34</v>
      </c>
      <c r="M626" s="55" t="s">
        <v>89</v>
      </c>
      <c r="N626" s="55" t="s">
        <v>90</v>
      </c>
      <c r="O626" s="55"/>
      <c r="P626" s="55" t="s">
        <v>91</v>
      </c>
      <c r="Q626" s="55"/>
      <c r="R626" s="55" t="s">
        <v>36</v>
      </c>
      <c r="S626" s="55"/>
      <c r="T626" s="55"/>
      <c r="U626" s="55"/>
      <c r="V626" s="55"/>
      <c r="W626" s="55"/>
      <c r="X626" s="57" t="str">
        <f t="shared" si="499"/>
        <v>--619-06-05</v>
      </c>
      <c r="Y626" s="55"/>
      <c r="Z626" s="55"/>
      <c r="AA626" s="55"/>
      <c r="AB626" s="55"/>
      <c r="AC626" s="55"/>
      <c r="AD626" s="55"/>
      <c r="AE626" s="55"/>
      <c r="AF626" s="55"/>
      <c r="AG626" s="84"/>
    </row>
    <row r="627">
      <c r="A627" s="53">
        <v>55.0</v>
      </c>
      <c r="B627" s="54" t="s">
        <v>781</v>
      </c>
      <c r="C627" s="55" t="s">
        <v>1955</v>
      </c>
      <c r="D627" s="60">
        <v>46146.0</v>
      </c>
      <c r="E627" s="55" t="s">
        <v>782</v>
      </c>
      <c r="F627" s="55" t="s">
        <v>2152</v>
      </c>
      <c r="G627" s="55">
        <v>18.0</v>
      </c>
      <c r="H627" s="55" t="s">
        <v>111</v>
      </c>
      <c r="I627" s="55" t="s">
        <v>112</v>
      </c>
      <c r="J627" s="56" t="s">
        <v>113</v>
      </c>
      <c r="K627" s="55" t="s">
        <v>784</v>
      </c>
      <c r="L627" s="55" t="s">
        <v>34</v>
      </c>
      <c r="M627" s="55" t="s">
        <v>133</v>
      </c>
      <c r="N627" s="55" t="s">
        <v>90</v>
      </c>
      <c r="O627" s="55"/>
      <c r="P627" s="55" t="s">
        <v>91</v>
      </c>
      <c r="Q627" s="55" t="s">
        <v>16</v>
      </c>
      <c r="R627" s="55"/>
      <c r="S627" s="55" t="s">
        <v>18</v>
      </c>
      <c r="T627" s="55"/>
      <c r="U627" s="55"/>
      <c r="V627" s="55"/>
      <c r="W627" s="55"/>
      <c r="X627" s="57" t="str">
        <f t="shared" si="499"/>
        <v>--620-06-05</v>
      </c>
      <c r="Y627" s="55"/>
      <c r="Z627" s="55"/>
      <c r="AA627" s="55"/>
      <c r="AB627" s="55"/>
      <c r="AC627" s="55"/>
      <c r="AD627" s="55"/>
      <c r="AE627" s="55"/>
      <c r="AF627" s="55"/>
      <c r="AG627" s="84"/>
    </row>
    <row r="628">
      <c r="A628" s="53">
        <v>56.0</v>
      </c>
      <c r="B628" s="54" t="s">
        <v>2153</v>
      </c>
      <c r="C628" s="55" t="s">
        <v>1955</v>
      </c>
      <c r="D628" s="55"/>
      <c r="E628" s="55" t="s">
        <v>2154</v>
      </c>
      <c r="F628" s="55" t="s">
        <v>2155</v>
      </c>
      <c r="G628" s="55">
        <v>57.0</v>
      </c>
      <c r="H628" s="55" t="s">
        <v>85</v>
      </c>
      <c r="I628" s="55" t="s">
        <v>112</v>
      </c>
      <c r="J628" s="56" t="s">
        <v>113</v>
      </c>
      <c r="K628" s="55" t="s">
        <v>2156</v>
      </c>
      <c r="L628" s="55" t="s">
        <v>34</v>
      </c>
      <c r="M628" s="55" t="s">
        <v>89</v>
      </c>
      <c r="N628" s="55" t="s">
        <v>90</v>
      </c>
      <c r="O628" s="55"/>
      <c r="P628" s="55" t="s">
        <v>91</v>
      </c>
      <c r="Q628" s="55" t="s">
        <v>16</v>
      </c>
      <c r="R628" s="55"/>
      <c r="S628" s="55"/>
      <c r="T628" s="55"/>
      <c r="U628" s="55"/>
      <c r="V628" s="55"/>
      <c r="W628" s="55"/>
      <c r="X628" s="57" t="str">
        <f t="shared" si="499"/>
        <v>--621-06-05</v>
      </c>
      <c r="Y628" s="55"/>
      <c r="Z628" s="55"/>
      <c r="AA628" s="55"/>
      <c r="AB628" s="55"/>
      <c r="AC628" s="55"/>
      <c r="AD628" s="55"/>
      <c r="AE628" s="55"/>
      <c r="AF628" s="55"/>
      <c r="AG628" s="84"/>
    </row>
    <row r="629">
      <c r="A629" s="53">
        <v>57.0</v>
      </c>
      <c r="B629" s="54" t="s">
        <v>2157</v>
      </c>
      <c r="C629" s="55" t="s">
        <v>1955</v>
      </c>
      <c r="D629" s="55"/>
      <c r="E629" s="55" t="s">
        <v>2158</v>
      </c>
      <c r="F629" s="55" t="s">
        <v>2159</v>
      </c>
      <c r="G629" s="55">
        <v>26.0</v>
      </c>
      <c r="H629" s="55" t="s">
        <v>85</v>
      </c>
      <c r="I629" s="55" t="s">
        <v>86</v>
      </c>
      <c r="J629" s="56" t="s">
        <v>87</v>
      </c>
      <c r="K629" s="55" t="s">
        <v>2160</v>
      </c>
      <c r="L629" s="55" t="s">
        <v>34</v>
      </c>
      <c r="M629" s="55" t="s">
        <v>89</v>
      </c>
      <c r="N629" s="55" t="s">
        <v>90</v>
      </c>
      <c r="O629" s="55"/>
      <c r="P629" s="55" t="s">
        <v>91</v>
      </c>
      <c r="Q629" s="55"/>
      <c r="R629" s="55" t="s">
        <v>5</v>
      </c>
      <c r="S629" s="55"/>
      <c r="T629" s="55"/>
      <c r="U629" s="55" t="s">
        <v>7</v>
      </c>
      <c r="V629" s="55"/>
      <c r="W629" s="55"/>
      <c r="X629" s="57" t="str">
        <f t="shared" si="499"/>
        <v>--622-06-05</v>
      </c>
      <c r="Y629" s="55"/>
      <c r="Z629" s="55"/>
      <c r="AA629" s="55"/>
      <c r="AB629" s="55"/>
      <c r="AC629" s="55"/>
      <c r="AD629" s="55"/>
      <c r="AE629" s="55"/>
      <c r="AF629" s="55"/>
      <c r="AG629" s="84"/>
    </row>
    <row r="630">
      <c r="A630" s="53">
        <v>58.0</v>
      </c>
      <c r="B630" s="54" t="s">
        <v>2161</v>
      </c>
      <c r="C630" s="55" t="s">
        <v>1955</v>
      </c>
      <c r="D630" s="55"/>
      <c r="E630" s="55" t="s">
        <v>2162</v>
      </c>
      <c r="F630" s="55" t="s">
        <v>2163</v>
      </c>
      <c r="G630" s="55">
        <v>42.0</v>
      </c>
      <c r="H630" s="55" t="s">
        <v>85</v>
      </c>
      <c r="I630" s="55" t="s">
        <v>112</v>
      </c>
      <c r="J630" s="56" t="s">
        <v>113</v>
      </c>
      <c r="K630" s="55" t="s">
        <v>1994</v>
      </c>
      <c r="L630" s="55" t="s">
        <v>34</v>
      </c>
      <c r="M630" s="55" t="s">
        <v>89</v>
      </c>
      <c r="N630" s="55" t="s">
        <v>90</v>
      </c>
      <c r="O630" s="55"/>
      <c r="P630" s="55" t="s">
        <v>91</v>
      </c>
      <c r="Q630" s="55" t="s">
        <v>16</v>
      </c>
      <c r="R630" s="55"/>
      <c r="S630" s="55"/>
      <c r="T630" s="55"/>
      <c r="U630" s="55"/>
      <c r="V630" s="55"/>
      <c r="W630" s="55"/>
      <c r="X630" s="57" t="str">
        <f t="shared" si="499"/>
        <v>--623-06-05</v>
      </c>
      <c r="Y630" s="55"/>
      <c r="Z630" s="55"/>
      <c r="AA630" s="55"/>
      <c r="AB630" s="55"/>
      <c r="AC630" s="55"/>
      <c r="AD630" s="55"/>
      <c r="AE630" s="55"/>
      <c r="AF630" s="55"/>
      <c r="AG630" s="84"/>
    </row>
    <row r="631">
      <c r="A631" s="53">
        <v>59.0</v>
      </c>
      <c r="B631" s="54" t="s">
        <v>2164</v>
      </c>
      <c r="C631" s="55" t="s">
        <v>1955</v>
      </c>
      <c r="D631" s="55"/>
      <c r="E631" s="55" t="s">
        <v>2165</v>
      </c>
      <c r="F631" s="55" t="s">
        <v>2166</v>
      </c>
      <c r="G631" s="55">
        <v>31.0</v>
      </c>
      <c r="H631" s="55" t="s">
        <v>85</v>
      </c>
      <c r="I631" s="55" t="s">
        <v>86</v>
      </c>
      <c r="J631" s="56" t="s">
        <v>87</v>
      </c>
      <c r="K631" s="55" t="s">
        <v>2167</v>
      </c>
      <c r="L631" s="55" t="s">
        <v>34</v>
      </c>
      <c r="M631" s="55" t="s">
        <v>89</v>
      </c>
      <c r="N631" s="55" t="s">
        <v>90</v>
      </c>
      <c r="O631" s="55"/>
      <c r="P631" s="55" t="s">
        <v>91</v>
      </c>
      <c r="Q631" s="55"/>
      <c r="R631" s="55" t="s">
        <v>5</v>
      </c>
      <c r="S631" s="55"/>
      <c r="T631" s="55"/>
      <c r="U631" s="55" t="s">
        <v>7</v>
      </c>
      <c r="V631" s="55"/>
      <c r="W631" s="55"/>
      <c r="X631" s="57" t="str">
        <f t="shared" si="499"/>
        <v>--624-06-05</v>
      </c>
      <c r="Y631" s="55"/>
      <c r="Z631" s="55"/>
      <c r="AA631" s="55"/>
      <c r="AB631" s="55"/>
      <c r="AC631" s="55"/>
      <c r="AD631" s="55"/>
      <c r="AE631" s="55"/>
      <c r="AF631" s="55"/>
      <c r="AG631" s="84"/>
    </row>
    <row r="632">
      <c r="A632" s="53">
        <v>60.0</v>
      </c>
      <c r="B632" s="54" t="s">
        <v>2168</v>
      </c>
      <c r="C632" s="55" t="s">
        <v>1955</v>
      </c>
      <c r="D632" s="55"/>
      <c r="E632" s="55" t="s">
        <v>2169</v>
      </c>
      <c r="F632" s="55" t="s">
        <v>2170</v>
      </c>
      <c r="G632" s="55">
        <v>22.0</v>
      </c>
      <c r="H632" s="55" t="s">
        <v>85</v>
      </c>
      <c r="I632" s="55" t="s">
        <v>86</v>
      </c>
      <c r="J632" s="56" t="s">
        <v>87</v>
      </c>
      <c r="K632" s="55" t="s">
        <v>2171</v>
      </c>
      <c r="L632" s="55" t="s">
        <v>34</v>
      </c>
      <c r="M632" s="55" t="s">
        <v>89</v>
      </c>
      <c r="N632" s="55" t="s">
        <v>90</v>
      </c>
      <c r="O632" s="55"/>
      <c r="P632" s="55" t="s">
        <v>91</v>
      </c>
      <c r="Q632" s="55"/>
      <c r="R632" s="55" t="s">
        <v>5</v>
      </c>
      <c r="S632" s="55"/>
      <c r="T632" s="55"/>
      <c r="U632" s="55" t="s">
        <v>7</v>
      </c>
      <c r="V632" s="55"/>
      <c r="W632" s="55"/>
      <c r="X632" s="57" t="str">
        <f t="shared" si="499"/>
        <v>--625-06-05</v>
      </c>
      <c r="Y632" s="55"/>
      <c r="Z632" s="55"/>
      <c r="AA632" s="55"/>
      <c r="AB632" s="55"/>
      <c r="AC632" s="55"/>
      <c r="AD632" s="55"/>
      <c r="AE632" s="55"/>
      <c r="AF632" s="55"/>
      <c r="AG632" s="84"/>
    </row>
    <row r="633">
      <c r="A633" s="53">
        <v>61.0</v>
      </c>
      <c r="B633" s="54" t="s">
        <v>2172</v>
      </c>
      <c r="C633" s="55" t="s">
        <v>1955</v>
      </c>
      <c r="D633" s="55"/>
      <c r="E633" s="55" t="s">
        <v>2173</v>
      </c>
      <c r="F633" s="55" t="s">
        <v>2174</v>
      </c>
      <c r="G633" s="55">
        <v>44.0</v>
      </c>
      <c r="H633" s="55" t="s">
        <v>85</v>
      </c>
      <c r="I633" s="55" t="s">
        <v>86</v>
      </c>
      <c r="J633" s="56" t="s">
        <v>87</v>
      </c>
      <c r="K633" s="55" t="s">
        <v>2175</v>
      </c>
      <c r="L633" s="55" t="s">
        <v>34</v>
      </c>
      <c r="M633" s="55" t="s">
        <v>89</v>
      </c>
      <c r="N633" s="55" t="s">
        <v>90</v>
      </c>
      <c r="O633" s="55"/>
      <c r="P633" s="55" t="s">
        <v>91</v>
      </c>
      <c r="Q633" s="55" t="s">
        <v>16</v>
      </c>
      <c r="R633" s="55"/>
      <c r="S633" s="55"/>
      <c r="T633" s="55"/>
      <c r="U633" s="55"/>
      <c r="V633" s="55"/>
      <c r="W633" s="55"/>
      <c r="X633" s="57" t="str">
        <f t="shared" si="499"/>
        <v>--626-06-05</v>
      </c>
      <c r="Y633" s="55"/>
      <c r="Z633" s="55"/>
      <c r="AA633" s="55"/>
      <c r="AB633" s="55"/>
      <c r="AC633" s="55"/>
      <c r="AD633" s="55"/>
      <c r="AE633" s="55"/>
      <c r="AF633" s="55"/>
      <c r="AG633" s="84"/>
    </row>
    <row r="634" ht="24.0" customHeight="1">
      <c r="A634" s="45">
        <v>1.0</v>
      </c>
      <c r="B634" s="74" t="s">
        <v>2176</v>
      </c>
      <c r="C634" s="55" t="s">
        <v>2177</v>
      </c>
      <c r="D634" s="75"/>
      <c r="E634" s="57">
        <v>4.07755222E8</v>
      </c>
      <c r="F634" s="76">
        <v>37666.0</v>
      </c>
      <c r="G634" s="77">
        <v>23.0</v>
      </c>
      <c r="H634" s="78" t="str">
        <f t="shared" ref="H634:H664" si="579">IF(G634="","",IF(G634&lt;=5,"0-5",IF(G634&lt;=18,"6-18",IF(G634&lt;=60,"19-60","+60"))))</f>
        <v>19-60</v>
      </c>
      <c r="I634" s="79" t="s">
        <v>86</v>
      </c>
      <c r="J634" s="80" t="str">
        <f t="shared" ref="J634:J814" si="580">IF(I634="","",IF(LOWER(TRIM(I634))="male","male",IF(LOWER(TRIM(I634))="female","female","")))</f>
        <v>female</v>
      </c>
      <c r="K634" s="58">
        <v>5.92723996E8</v>
      </c>
      <c r="L634" s="55" t="s">
        <v>34</v>
      </c>
      <c r="M634" s="57" t="s">
        <v>89</v>
      </c>
      <c r="N634" s="55" t="s">
        <v>90</v>
      </c>
      <c r="O634" s="55"/>
      <c r="P634" s="55" t="s">
        <v>91</v>
      </c>
      <c r="Q634" s="55"/>
      <c r="R634" s="55" t="s">
        <v>5</v>
      </c>
      <c r="S634" s="55"/>
      <c r="T634" s="82"/>
      <c r="U634" s="82" t="s">
        <v>7</v>
      </c>
      <c r="V634" s="57"/>
      <c r="W634" s="57"/>
      <c r="X634" s="57" t="str">
        <f t="shared" si="499"/>
        <v>--627-07-05</v>
      </c>
      <c r="Y634" s="58" t="str">
        <f t="shared" ref="Y634:AC634" si="578">TRIM(SUBSTITUTE(SUBSTITUTE(OFFSET(#REF!,0,COLUMN()-COLUMN($AL$1)),CHAR(160)," "),_xludf.UNICHAR(8239)," "))</f>
        <v>#REF!</v>
      </c>
      <c r="Z634" s="58" t="str">
        <f t="shared" si="578"/>
        <v>#REF!</v>
      </c>
      <c r="AA634" s="58" t="str">
        <f t="shared" si="578"/>
        <v>#REF!</v>
      </c>
      <c r="AB634" s="58" t="str">
        <f t="shared" si="578"/>
        <v>#REF!</v>
      </c>
      <c r="AC634" s="58" t="str">
        <f t="shared" si="578"/>
        <v>#REF!</v>
      </c>
      <c r="AD634" s="57">
        <f t="shared" ref="AD634:AD814" si="582">IF($E634="",0,--(COUNTIFS($E:$E,$E634,$C:$C,"&gt;"&amp;$C634)+COUNTIFS($E$8:E634,$E634,$C$8:C634,$C634)=1))</f>
        <v>1</v>
      </c>
      <c r="AE634" s="57" t="str">
        <f t="shared" ref="AE634:AE814" si="583">IF($C634="","",TEXT($C634,"yyyy-mm"))</f>
        <v>2026-05</v>
      </c>
      <c r="AF634" s="57">
        <f t="shared" ref="AF634:AF814" si="584">IF(OR($E634="",$AE634=""),0,IF(COUNTIFS($E$8:E634,$E634,$AE$8:AE634,$AE634)=1,1,0))</f>
        <v>1</v>
      </c>
      <c r="AG634" s="59">
        <f t="shared" ref="AG634:AG814" si="585">IF($E634="",0,IF(COUNTIF($E$8:E634,$E634)=1,1,0))</f>
        <v>1</v>
      </c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</row>
    <row r="635" ht="24.0" customHeight="1">
      <c r="A635" s="45">
        <v>2.0</v>
      </c>
      <c r="B635" s="74" t="s">
        <v>2178</v>
      </c>
      <c r="C635" s="55" t="s">
        <v>2177</v>
      </c>
      <c r="D635" s="75"/>
      <c r="E635" s="57">
        <v>8.00563884E8</v>
      </c>
      <c r="F635" s="76">
        <v>31250.0</v>
      </c>
      <c r="G635" s="77">
        <v>41.0</v>
      </c>
      <c r="H635" s="78" t="str">
        <f t="shared" si="579"/>
        <v>19-60</v>
      </c>
      <c r="I635" s="79" t="s">
        <v>86</v>
      </c>
      <c r="J635" s="80" t="str">
        <f t="shared" si="580"/>
        <v>female</v>
      </c>
      <c r="K635" s="58">
        <v>5.9780522E8</v>
      </c>
      <c r="L635" s="55" t="s">
        <v>34</v>
      </c>
      <c r="M635" s="57" t="s">
        <v>89</v>
      </c>
      <c r="N635" s="55" t="s">
        <v>90</v>
      </c>
      <c r="O635" s="55"/>
      <c r="P635" s="55" t="s">
        <v>91</v>
      </c>
      <c r="Q635" s="55"/>
      <c r="R635" s="55" t="s">
        <v>27</v>
      </c>
      <c r="S635" s="55"/>
      <c r="T635" s="82"/>
      <c r="U635" s="82"/>
      <c r="V635" s="57"/>
      <c r="W635" s="57"/>
      <c r="X635" s="57" t="str">
        <f t="shared" si="499"/>
        <v>--628-07-05</v>
      </c>
      <c r="Y635" s="58" t="str">
        <f t="shared" ref="Y635:AC635" si="581">TRIM(SUBSTITUTE(SUBSTITUTE(OFFSET(#REF!,0,COLUMN()-COLUMN($AL$1)),CHAR(160)," "),_xludf.UNICHAR(8239)," "))</f>
        <v>#REF!</v>
      </c>
      <c r="Z635" s="58" t="str">
        <f t="shared" si="581"/>
        <v>#REF!</v>
      </c>
      <c r="AA635" s="58" t="str">
        <f t="shared" si="581"/>
        <v>#REF!</v>
      </c>
      <c r="AB635" s="58" t="str">
        <f t="shared" si="581"/>
        <v>#REF!</v>
      </c>
      <c r="AC635" s="58" t="str">
        <f t="shared" si="581"/>
        <v>#REF!</v>
      </c>
      <c r="AD635" s="57">
        <f t="shared" si="582"/>
        <v>1</v>
      </c>
      <c r="AE635" s="57" t="str">
        <f t="shared" si="583"/>
        <v>2026-05</v>
      </c>
      <c r="AF635" s="57">
        <f t="shared" si="584"/>
        <v>1</v>
      </c>
      <c r="AG635" s="59">
        <f t="shared" si="585"/>
        <v>1</v>
      </c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</row>
    <row r="636" ht="24.0" customHeight="1">
      <c r="A636" s="45">
        <v>3.0</v>
      </c>
      <c r="B636" s="74" t="s">
        <v>1923</v>
      </c>
      <c r="C636" s="55" t="s">
        <v>2177</v>
      </c>
      <c r="D636" s="75"/>
      <c r="E636" s="57">
        <v>8.02000392E8</v>
      </c>
      <c r="F636" s="76">
        <v>32878.0</v>
      </c>
      <c r="G636" s="77">
        <v>36.0</v>
      </c>
      <c r="H636" s="78" t="str">
        <f t="shared" si="579"/>
        <v>19-60</v>
      </c>
      <c r="I636" s="79" t="s">
        <v>86</v>
      </c>
      <c r="J636" s="80" t="str">
        <f t="shared" si="580"/>
        <v>female</v>
      </c>
      <c r="K636" s="58">
        <v>5.92640772E8</v>
      </c>
      <c r="L636" s="55" t="s">
        <v>34</v>
      </c>
      <c r="M636" s="57" t="s">
        <v>89</v>
      </c>
      <c r="N636" s="55" t="s">
        <v>90</v>
      </c>
      <c r="O636" s="55"/>
      <c r="P636" s="55" t="s">
        <v>91</v>
      </c>
      <c r="Q636" s="55" t="s">
        <v>16</v>
      </c>
      <c r="R636" s="55"/>
      <c r="S636" s="55"/>
      <c r="T636" s="82"/>
      <c r="U636" s="82"/>
      <c r="V636" s="57"/>
      <c r="W636" s="57"/>
      <c r="X636" s="57" t="str">
        <f t="shared" si="499"/>
        <v>--629-07-05</v>
      </c>
      <c r="Y636" s="58" t="str">
        <f t="shared" ref="Y636:AC636" si="586">TRIM(SUBSTITUTE(SUBSTITUTE(OFFSET(#REF!,0,COLUMN()-COLUMN($AL$1)),CHAR(160)," "),_xludf.UNICHAR(8239)," "))</f>
        <v>#REF!</v>
      </c>
      <c r="Z636" s="58" t="str">
        <f t="shared" si="586"/>
        <v>#REF!</v>
      </c>
      <c r="AA636" s="58" t="str">
        <f t="shared" si="586"/>
        <v>#REF!</v>
      </c>
      <c r="AB636" s="58" t="str">
        <f t="shared" si="586"/>
        <v>#REF!</v>
      </c>
      <c r="AC636" s="58" t="str">
        <f t="shared" si="586"/>
        <v>#REF!</v>
      </c>
      <c r="AD636" s="57">
        <f t="shared" si="582"/>
        <v>1</v>
      </c>
      <c r="AE636" s="57" t="str">
        <f t="shared" si="583"/>
        <v>2026-05</v>
      </c>
      <c r="AF636" s="57">
        <f t="shared" si="584"/>
        <v>1</v>
      </c>
      <c r="AG636" s="59">
        <f t="shared" si="585"/>
        <v>1</v>
      </c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</row>
    <row r="637" ht="24.0" customHeight="1">
      <c r="A637" s="45">
        <v>4.0</v>
      </c>
      <c r="B637" s="74" t="s">
        <v>2179</v>
      </c>
      <c r="C637" s="55" t="s">
        <v>2177</v>
      </c>
      <c r="D637" s="75"/>
      <c r="E637" s="57">
        <v>4.70884784E8</v>
      </c>
      <c r="F637" s="76">
        <v>46009.0</v>
      </c>
      <c r="G637" s="55">
        <v>1.0</v>
      </c>
      <c r="H637" s="78" t="str">
        <f t="shared" si="579"/>
        <v>0-5</v>
      </c>
      <c r="I637" s="79" t="s">
        <v>86</v>
      </c>
      <c r="J637" s="80" t="str">
        <f t="shared" si="580"/>
        <v>female</v>
      </c>
      <c r="K637" s="58">
        <v>5.92640772E8</v>
      </c>
      <c r="L637" s="55" t="s">
        <v>34</v>
      </c>
      <c r="M637" s="57" t="s">
        <v>133</v>
      </c>
      <c r="N637" s="55" t="s">
        <v>90</v>
      </c>
      <c r="O637" s="55"/>
      <c r="P637" s="55" t="s">
        <v>91</v>
      </c>
      <c r="Q637" s="55" t="s">
        <v>16</v>
      </c>
      <c r="R637" s="55"/>
      <c r="S637" s="55"/>
      <c r="T637" s="82"/>
      <c r="U637" s="82"/>
      <c r="V637" s="57"/>
      <c r="W637" s="57"/>
      <c r="X637" s="57" t="str">
        <f t="shared" si="499"/>
        <v>--630-07-05</v>
      </c>
      <c r="Y637" s="58" t="str">
        <f t="shared" ref="Y637:AC637" si="587">TRIM(SUBSTITUTE(SUBSTITUTE(OFFSET(#REF!,0,COLUMN()-COLUMN($AL$1)),CHAR(160)," "),_xludf.UNICHAR(8239)," "))</f>
        <v>#REF!</v>
      </c>
      <c r="Z637" s="58" t="str">
        <f t="shared" si="587"/>
        <v>#REF!</v>
      </c>
      <c r="AA637" s="58" t="str">
        <f t="shared" si="587"/>
        <v>#REF!</v>
      </c>
      <c r="AB637" s="58" t="str">
        <f t="shared" si="587"/>
        <v>#REF!</v>
      </c>
      <c r="AC637" s="58" t="str">
        <f t="shared" si="587"/>
        <v>#REF!</v>
      </c>
      <c r="AD637" s="57">
        <f t="shared" si="582"/>
        <v>1</v>
      </c>
      <c r="AE637" s="57" t="str">
        <f t="shared" si="583"/>
        <v>2026-05</v>
      </c>
      <c r="AF637" s="57">
        <f t="shared" si="584"/>
        <v>1</v>
      </c>
      <c r="AG637" s="59">
        <f t="shared" si="585"/>
        <v>1</v>
      </c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</row>
    <row r="638" ht="24.0" customHeight="1">
      <c r="A638" s="45">
        <v>5.0</v>
      </c>
      <c r="B638" s="74" t="s">
        <v>2180</v>
      </c>
      <c r="C638" s="55" t="s">
        <v>2177</v>
      </c>
      <c r="D638" s="75"/>
      <c r="E638" s="57">
        <v>4.04776403E8</v>
      </c>
      <c r="F638" s="76">
        <v>36857.0</v>
      </c>
      <c r="G638" s="77">
        <v>26.0</v>
      </c>
      <c r="H638" s="78" t="str">
        <f t="shared" si="579"/>
        <v>19-60</v>
      </c>
      <c r="I638" s="79" t="s">
        <v>86</v>
      </c>
      <c r="J638" s="80" t="str">
        <f t="shared" si="580"/>
        <v>female</v>
      </c>
      <c r="K638" s="58">
        <v>5.94327633E8</v>
      </c>
      <c r="L638" s="55" t="s">
        <v>34</v>
      </c>
      <c r="M638" s="57" t="s">
        <v>89</v>
      </c>
      <c r="N638" s="55" t="s">
        <v>90</v>
      </c>
      <c r="O638" s="55"/>
      <c r="P638" s="55" t="s">
        <v>91</v>
      </c>
      <c r="Q638" s="55"/>
      <c r="R638" s="58" t="s">
        <v>36</v>
      </c>
      <c r="S638" s="55"/>
      <c r="T638" s="82"/>
      <c r="U638" s="82"/>
      <c r="V638" s="57"/>
      <c r="W638" s="57"/>
      <c r="X638" s="57" t="str">
        <f t="shared" si="499"/>
        <v>--631-07-05</v>
      </c>
      <c r="Y638" s="58" t="str">
        <f t="shared" ref="Y638:AC638" si="588">TRIM(SUBSTITUTE(SUBSTITUTE(OFFSET(#REF!,0,COLUMN()-COLUMN($AL$1)),CHAR(160)," "),_xludf.UNICHAR(8239)," "))</f>
        <v>#REF!</v>
      </c>
      <c r="Z638" s="58" t="str">
        <f t="shared" si="588"/>
        <v>#REF!</v>
      </c>
      <c r="AA638" s="58" t="str">
        <f t="shared" si="588"/>
        <v>#REF!</v>
      </c>
      <c r="AB638" s="58" t="str">
        <f t="shared" si="588"/>
        <v>#REF!</v>
      </c>
      <c r="AC638" s="58" t="str">
        <f t="shared" si="588"/>
        <v>#REF!</v>
      </c>
      <c r="AD638" s="57">
        <f t="shared" si="582"/>
        <v>1</v>
      </c>
      <c r="AE638" s="57" t="str">
        <f t="shared" si="583"/>
        <v>2026-05</v>
      </c>
      <c r="AF638" s="57">
        <f t="shared" si="584"/>
        <v>1</v>
      </c>
      <c r="AG638" s="59">
        <f t="shared" si="585"/>
        <v>1</v>
      </c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</row>
    <row r="639" ht="24.0" customHeight="1">
      <c r="A639" s="45">
        <v>6.0</v>
      </c>
      <c r="B639" s="74" t="s">
        <v>2181</v>
      </c>
      <c r="C639" s="55" t="s">
        <v>2177</v>
      </c>
      <c r="D639" s="75"/>
      <c r="E639" s="57">
        <v>4.42825865E8</v>
      </c>
      <c r="F639" s="76">
        <v>44660.0</v>
      </c>
      <c r="G639" s="77">
        <v>4.0</v>
      </c>
      <c r="H639" s="78" t="str">
        <f t="shared" si="579"/>
        <v>0-5</v>
      </c>
      <c r="I639" s="79" t="s">
        <v>86</v>
      </c>
      <c r="J639" s="80" t="str">
        <f t="shared" si="580"/>
        <v>female</v>
      </c>
      <c r="K639" s="58">
        <v>5.94327633E8</v>
      </c>
      <c r="L639" s="55" t="s">
        <v>34</v>
      </c>
      <c r="M639" s="57" t="s">
        <v>133</v>
      </c>
      <c r="N639" s="55" t="s">
        <v>90</v>
      </c>
      <c r="O639" s="55"/>
      <c r="P639" s="55" t="s">
        <v>91</v>
      </c>
      <c r="Q639" s="58" t="s">
        <v>16</v>
      </c>
      <c r="R639" s="55"/>
      <c r="S639" s="55"/>
      <c r="T639" s="82"/>
      <c r="U639" s="82"/>
      <c r="V639" s="57"/>
      <c r="W639" s="57"/>
      <c r="X639" s="57" t="str">
        <f t="shared" si="499"/>
        <v>--632-07-05</v>
      </c>
      <c r="Y639" s="58" t="str">
        <f t="shared" ref="Y639:AC639" si="589">TRIM(SUBSTITUTE(SUBSTITUTE(OFFSET(#REF!,0,COLUMN()-COLUMN($AL$1)),CHAR(160)," "),_xludf.UNICHAR(8239)," "))</f>
        <v>#REF!</v>
      </c>
      <c r="Z639" s="58" t="str">
        <f t="shared" si="589"/>
        <v>#REF!</v>
      </c>
      <c r="AA639" s="58" t="str">
        <f t="shared" si="589"/>
        <v>#REF!</v>
      </c>
      <c r="AB639" s="58" t="str">
        <f t="shared" si="589"/>
        <v>#REF!</v>
      </c>
      <c r="AC639" s="58" t="str">
        <f t="shared" si="589"/>
        <v>#REF!</v>
      </c>
      <c r="AD639" s="57">
        <f t="shared" si="582"/>
        <v>1</v>
      </c>
      <c r="AE639" s="57" t="str">
        <f t="shared" si="583"/>
        <v>2026-05</v>
      </c>
      <c r="AF639" s="57">
        <f t="shared" si="584"/>
        <v>1</v>
      </c>
      <c r="AG639" s="59">
        <f t="shared" si="585"/>
        <v>1</v>
      </c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</row>
    <row r="640" ht="24.0" customHeight="1">
      <c r="A640" s="45">
        <v>7.0</v>
      </c>
      <c r="B640" s="74" t="s">
        <v>2182</v>
      </c>
      <c r="C640" s="55" t="s">
        <v>2177</v>
      </c>
      <c r="D640" s="75"/>
      <c r="E640" s="57">
        <v>8.02963678E8</v>
      </c>
      <c r="F640" s="76">
        <v>33511.0</v>
      </c>
      <c r="G640" s="77">
        <v>35.0</v>
      </c>
      <c r="H640" s="78" t="str">
        <f t="shared" si="579"/>
        <v>19-60</v>
      </c>
      <c r="I640" s="79" t="s">
        <v>86</v>
      </c>
      <c r="J640" s="80" t="str">
        <f t="shared" si="580"/>
        <v>female</v>
      </c>
      <c r="K640" s="58">
        <v>5.99622817E8</v>
      </c>
      <c r="L640" s="55" t="s">
        <v>34</v>
      </c>
      <c r="M640" s="57" t="s">
        <v>89</v>
      </c>
      <c r="N640" s="55" t="s">
        <v>90</v>
      </c>
      <c r="O640" s="55"/>
      <c r="P640" s="55" t="s">
        <v>91</v>
      </c>
      <c r="Q640" s="55"/>
      <c r="R640" s="58" t="s">
        <v>27</v>
      </c>
      <c r="S640" s="55"/>
      <c r="T640" s="82"/>
      <c r="U640" s="82"/>
      <c r="V640" s="57"/>
      <c r="W640" s="57"/>
      <c r="X640" s="57" t="str">
        <f t="shared" si="499"/>
        <v>--633-07-05</v>
      </c>
      <c r="Y640" s="58" t="str">
        <f t="shared" ref="Y640:AC640" si="590">TRIM(SUBSTITUTE(SUBSTITUTE(OFFSET(#REF!,0,COLUMN()-COLUMN($AL$1)),CHAR(160)," "),_xludf.UNICHAR(8239)," "))</f>
        <v>#REF!</v>
      </c>
      <c r="Z640" s="58" t="str">
        <f t="shared" si="590"/>
        <v>#REF!</v>
      </c>
      <c r="AA640" s="58" t="str">
        <f t="shared" si="590"/>
        <v>#REF!</v>
      </c>
      <c r="AB640" s="58" t="str">
        <f t="shared" si="590"/>
        <v>#REF!</v>
      </c>
      <c r="AC640" s="58" t="str">
        <f t="shared" si="590"/>
        <v>#REF!</v>
      </c>
      <c r="AD640" s="57">
        <f t="shared" si="582"/>
        <v>1</v>
      </c>
      <c r="AE640" s="57" t="str">
        <f t="shared" si="583"/>
        <v>2026-05</v>
      </c>
      <c r="AF640" s="57">
        <f t="shared" si="584"/>
        <v>1</v>
      </c>
      <c r="AG640" s="59">
        <f t="shared" si="585"/>
        <v>1</v>
      </c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</row>
    <row r="641" ht="24.0" customHeight="1">
      <c r="A641" s="45">
        <v>8.0</v>
      </c>
      <c r="B641" s="74" t="s">
        <v>2183</v>
      </c>
      <c r="C641" s="55" t="s">
        <v>2177</v>
      </c>
      <c r="D641" s="75"/>
      <c r="E641" s="57">
        <v>4.33589926E8</v>
      </c>
      <c r="F641" s="76">
        <v>42047.0</v>
      </c>
      <c r="G641" s="77">
        <v>11.0</v>
      </c>
      <c r="H641" s="78" t="str">
        <f t="shared" si="579"/>
        <v>6-18</v>
      </c>
      <c r="I641" s="79" t="s">
        <v>86</v>
      </c>
      <c r="J641" s="80" t="str">
        <f t="shared" si="580"/>
        <v>female</v>
      </c>
      <c r="K641" s="58">
        <v>5.99622817E8</v>
      </c>
      <c r="L641" s="55" t="s">
        <v>34</v>
      </c>
      <c r="M641" s="57" t="s">
        <v>133</v>
      </c>
      <c r="N641" s="55" t="s">
        <v>90</v>
      </c>
      <c r="O641" s="55"/>
      <c r="P641" s="55" t="s">
        <v>91</v>
      </c>
      <c r="Q641" s="58" t="s">
        <v>16</v>
      </c>
      <c r="R641" s="55"/>
      <c r="S641" s="55"/>
      <c r="T641" s="82"/>
      <c r="U641" s="82"/>
      <c r="V641" s="57"/>
      <c r="W641" s="57"/>
      <c r="X641" s="57" t="str">
        <f t="shared" si="499"/>
        <v>--634-07-05</v>
      </c>
      <c r="Y641" s="58" t="str">
        <f t="shared" ref="Y641:AC641" si="591">TRIM(SUBSTITUTE(SUBSTITUTE(OFFSET(#REF!,0,COLUMN()-COLUMN($AL$1)),CHAR(160)," "),_xludf.UNICHAR(8239)," "))</f>
        <v>#REF!</v>
      </c>
      <c r="Z641" s="58" t="str">
        <f t="shared" si="591"/>
        <v>#REF!</v>
      </c>
      <c r="AA641" s="58" t="str">
        <f t="shared" si="591"/>
        <v>#REF!</v>
      </c>
      <c r="AB641" s="58" t="str">
        <f t="shared" si="591"/>
        <v>#REF!</v>
      </c>
      <c r="AC641" s="58" t="str">
        <f t="shared" si="591"/>
        <v>#REF!</v>
      </c>
      <c r="AD641" s="57">
        <f t="shared" si="582"/>
        <v>1</v>
      </c>
      <c r="AE641" s="57" t="str">
        <f t="shared" si="583"/>
        <v>2026-05</v>
      </c>
      <c r="AF641" s="57">
        <f t="shared" si="584"/>
        <v>1</v>
      </c>
      <c r="AG641" s="59">
        <f t="shared" si="585"/>
        <v>1</v>
      </c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</row>
    <row r="642" ht="24.0" customHeight="1">
      <c r="A642" s="45">
        <v>9.0</v>
      </c>
      <c r="B642" s="74" t="s">
        <v>1933</v>
      </c>
      <c r="C642" s="55" t="s">
        <v>2177</v>
      </c>
      <c r="D642" s="75">
        <v>46147.0</v>
      </c>
      <c r="E642" s="57">
        <v>8.03594116E8</v>
      </c>
      <c r="F642" s="76">
        <v>33444.0</v>
      </c>
      <c r="G642" s="77">
        <v>35.0</v>
      </c>
      <c r="H642" s="78" t="str">
        <f t="shared" si="579"/>
        <v>19-60</v>
      </c>
      <c r="I642" s="79" t="s">
        <v>86</v>
      </c>
      <c r="J642" s="80" t="str">
        <f t="shared" si="580"/>
        <v>female</v>
      </c>
      <c r="K642" s="58">
        <v>5.97855444E8</v>
      </c>
      <c r="L642" s="55" t="s">
        <v>34</v>
      </c>
      <c r="M642" s="57" t="s">
        <v>89</v>
      </c>
      <c r="N642" s="55" t="s">
        <v>90</v>
      </c>
      <c r="O642" s="55"/>
      <c r="P642" s="55" t="s">
        <v>91</v>
      </c>
      <c r="Q642" s="58"/>
      <c r="R642" s="58" t="s">
        <v>27</v>
      </c>
      <c r="S642" s="55"/>
      <c r="T642" s="82"/>
      <c r="U642" s="82"/>
      <c r="V642" s="57"/>
      <c r="W642" s="57"/>
      <c r="X642" s="57" t="str">
        <f t="shared" si="499"/>
        <v>--635-07-05</v>
      </c>
      <c r="Y642" s="58" t="str">
        <f t="shared" ref="Y642:AC642" si="592">TRIM(SUBSTITUTE(SUBSTITUTE(OFFSET(#REF!,0,COLUMN()-COLUMN($AL$1)),CHAR(160)," "),_xludf.UNICHAR(8239)," "))</f>
        <v>#REF!</v>
      </c>
      <c r="Z642" s="58" t="str">
        <f t="shared" si="592"/>
        <v>#REF!</v>
      </c>
      <c r="AA642" s="58" t="str">
        <f t="shared" si="592"/>
        <v>#REF!</v>
      </c>
      <c r="AB642" s="58" t="str">
        <f t="shared" si="592"/>
        <v>#REF!</v>
      </c>
      <c r="AC642" s="58" t="str">
        <f t="shared" si="592"/>
        <v>#REF!</v>
      </c>
      <c r="AD642" s="57">
        <f t="shared" si="582"/>
        <v>1</v>
      </c>
      <c r="AE642" s="57" t="str">
        <f t="shared" si="583"/>
        <v>2026-05</v>
      </c>
      <c r="AF642" s="57">
        <f t="shared" si="584"/>
        <v>0</v>
      </c>
      <c r="AG642" s="59">
        <f t="shared" si="585"/>
        <v>0</v>
      </c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</row>
    <row r="643" ht="24.0" customHeight="1">
      <c r="A643" s="45">
        <v>10.0</v>
      </c>
      <c r="B643" s="74" t="s">
        <v>2184</v>
      </c>
      <c r="C643" s="55" t="s">
        <v>2177</v>
      </c>
      <c r="D643" s="75"/>
      <c r="E643" s="57">
        <v>4.05444043E8</v>
      </c>
      <c r="F643" s="76">
        <v>36222.0</v>
      </c>
      <c r="G643" s="77">
        <v>27.0</v>
      </c>
      <c r="H643" s="78" t="str">
        <f t="shared" si="579"/>
        <v>19-60</v>
      </c>
      <c r="I643" s="79" t="s">
        <v>86</v>
      </c>
      <c r="J643" s="80" t="str">
        <f t="shared" si="580"/>
        <v>female</v>
      </c>
      <c r="K643" s="58">
        <v>5.95614307E8</v>
      </c>
      <c r="L643" s="55" t="s">
        <v>34</v>
      </c>
      <c r="M643" s="57" t="s">
        <v>89</v>
      </c>
      <c r="N643" s="55" t="s">
        <v>90</v>
      </c>
      <c r="O643" s="55"/>
      <c r="P643" s="55" t="s">
        <v>91</v>
      </c>
      <c r="Q643" s="58" t="s">
        <v>16</v>
      </c>
      <c r="R643" s="55"/>
      <c r="S643" s="55"/>
      <c r="T643" s="82"/>
      <c r="U643" s="82"/>
      <c r="V643" s="57"/>
      <c r="W643" s="57"/>
      <c r="X643" s="57" t="str">
        <f t="shared" si="499"/>
        <v>--636-07-05</v>
      </c>
      <c r="Y643" s="58" t="str">
        <f t="shared" ref="Y643:AC643" si="593">TRIM(SUBSTITUTE(SUBSTITUTE(OFFSET(#REF!,0,COLUMN()-COLUMN($AL$1)),CHAR(160)," "),_xludf.UNICHAR(8239)," "))</f>
        <v>#REF!</v>
      </c>
      <c r="Z643" s="58" t="str">
        <f t="shared" si="593"/>
        <v>#REF!</v>
      </c>
      <c r="AA643" s="58" t="str">
        <f t="shared" si="593"/>
        <v>#REF!</v>
      </c>
      <c r="AB643" s="58" t="str">
        <f t="shared" si="593"/>
        <v>#REF!</v>
      </c>
      <c r="AC643" s="58" t="str">
        <f t="shared" si="593"/>
        <v>#REF!</v>
      </c>
      <c r="AD643" s="57">
        <f t="shared" si="582"/>
        <v>1</v>
      </c>
      <c r="AE643" s="57" t="str">
        <f t="shared" si="583"/>
        <v>2026-05</v>
      </c>
      <c r="AF643" s="57">
        <f t="shared" si="584"/>
        <v>1</v>
      </c>
      <c r="AG643" s="59">
        <f t="shared" si="585"/>
        <v>1</v>
      </c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</row>
    <row r="644" ht="24.0" customHeight="1">
      <c r="A644" s="45">
        <v>11.0</v>
      </c>
      <c r="B644" s="74" t="s">
        <v>2185</v>
      </c>
      <c r="C644" s="55" t="s">
        <v>2177</v>
      </c>
      <c r="D644" s="75"/>
      <c r="E644" s="57">
        <v>8.01901067E8</v>
      </c>
      <c r="F644" s="76">
        <v>25128.0</v>
      </c>
      <c r="G644" s="77">
        <v>58.0</v>
      </c>
      <c r="H644" s="78" t="str">
        <f t="shared" si="579"/>
        <v>19-60</v>
      </c>
      <c r="I644" s="79" t="s">
        <v>112</v>
      </c>
      <c r="J644" s="80" t="str">
        <f t="shared" si="580"/>
        <v>male</v>
      </c>
      <c r="K644" s="58">
        <v>5.99530253E8</v>
      </c>
      <c r="L644" s="55" t="s">
        <v>34</v>
      </c>
      <c r="M644" s="57" t="s">
        <v>89</v>
      </c>
      <c r="N644" s="55" t="s">
        <v>90</v>
      </c>
      <c r="O644" s="55"/>
      <c r="P644" s="55" t="s">
        <v>91</v>
      </c>
      <c r="Q644" s="58" t="s">
        <v>4</v>
      </c>
      <c r="R644" s="55"/>
      <c r="S644" s="55"/>
      <c r="T644" s="82"/>
      <c r="U644" s="82"/>
      <c r="V644" s="57"/>
      <c r="W644" s="57"/>
      <c r="X644" s="57" t="str">
        <f t="shared" si="499"/>
        <v>--637-07-05</v>
      </c>
      <c r="Y644" s="58" t="str">
        <f t="shared" ref="Y644:AC644" si="594">TRIM(SUBSTITUTE(SUBSTITUTE(OFFSET(#REF!,0,COLUMN()-COLUMN($AL$1)),CHAR(160)," "),_xludf.UNICHAR(8239)," "))</f>
        <v>#REF!</v>
      </c>
      <c r="Z644" s="58" t="str">
        <f t="shared" si="594"/>
        <v>#REF!</v>
      </c>
      <c r="AA644" s="58" t="str">
        <f t="shared" si="594"/>
        <v>#REF!</v>
      </c>
      <c r="AB644" s="58" t="str">
        <f t="shared" si="594"/>
        <v>#REF!</v>
      </c>
      <c r="AC644" s="58" t="str">
        <f t="shared" si="594"/>
        <v>#REF!</v>
      </c>
      <c r="AD644" s="57">
        <f t="shared" si="582"/>
        <v>1</v>
      </c>
      <c r="AE644" s="57" t="str">
        <f t="shared" si="583"/>
        <v>2026-05</v>
      </c>
      <c r="AF644" s="57">
        <f t="shared" si="584"/>
        <v>1</v>
      </c>
      <c r="AG644" s="59">
        <f t="shared" si="585"/>
        <v>1</v>
      </c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</row>
    <row r="645" ht="24.0" customHeight="1">
      <c r="A645" s="45">
        <v>12.0</v>
      </c>
      <c r="B645" s="74" t="s">
        <v>402</v>
      </c>
      <c r="C645" s="55" t="s">
        <v>2177</v>
      </c>
      <c r="D645" s="75">
        <v>46147.0</v>
      </c>
      <c r="E645" s="57">
        <v>9.21195848E8</v>
      </c>
      <c r="F645" s="76">
        <v>25180.0</v>
      </c>
      <c r="G645" s="77">
        <v>58.0</v>
      </c>
      <c r="H645" s="78" t="str">
        <f t="shared" si="579"/>
        <v>19-60</v>
      </c>
      <c r="I645" s="79" t="s">
        <v>112</v>
      </c>
      <c r="J645" s="80" t="str">
        <f t="shared" si="580"/>
        <v>male</v>
      </c>
      <c r="K645" s="58">
        <v>5.98786975E8</v>
      </c>
      <c r="L645" s="55" t="s">
        <v>34</v>
      </c>
      <c r="M645" s="57" t="s">
        <v>89</v>
      </c>
      <c r="N645" s="55" t="s">
        <v>90</v>
      </c>
      <c r="O645" s="55"/>
      <c r="P645" s="55" t="s">
        <v>91</v>
      </c>
      <c r="Q645" s="58" t="s">
        <v>4</v>
      </c>
      <c r="R645" s="55"/>
      <c r="S645" s="55"/>
      <c r="T645" s="82"/>
      <c r="U645" s="82"/>
      <c r="V645" s="57"/>
      <c r="W645" s="57"/>
      <c r="X645" s="57" t="str">
        <f t="shared" si="499"/>
        <v>--638-07-05</v>
      </c>
      <c r="Y645" s="58" t="str">
        <f t="shared" ref="Y645:AC645" si="595">TRIM(SUBSTITUTE(SUBSTITUTE(OFFSET(#REF!,0,COLUMN()-COLUMN($AL$1)),CHAR(160)," "),_xludf.UNICHAR(8239)," "))</f>
        <v>#REF!</v>
      </c>
      <c r="Z645" s="58" t="str">
        <f t="shared" si="595"/>
        <v>#REF!</v>
      </c>
      <c r="AA645" s="58" t="str">
        <f t="shared" si="595"/>
        <v>#REF!</v>
      </c>
      <c r="AB645" s="58" t="str">
        <f t="shared" si="595"/>
        <v>#REF!</v>
      </c>
      <c r="AC645" s="58" t="str">
        <f t="shared" si="595"/>
        <v>#REF!</v>
      </c>
      <c r="AD645" s="57">
        <f t="shared" si="582"/>
        <v>1</v>
      </c>
      <c r="AE645" s="57" t="str">
        <f t="shared" si="583"/>
        <v>2026-05</v>
      </c>
      <c r="AF645" s="57">
        <f t="shared" si="584"/>
        <v>0</v>
      </c>
      <c r="AG645" s="59">
        <f t="shared" si="585"/>
        <v>0</v>
      </c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</row>
    <row r="646" ht="24.0" customHeight="1">
      <c r="A646" s="45">
        <v>13.0</v>
      </c>
      <c r="B646" s="74" t="s">
        <v>2186</v>
      </c>
      <c r="C646" s="55" t="s">
        <v>2177</v>
      </c>
      <c r="D646" s="75"/>
      <c r="E646" s="57">
        <v>9.21920252E8</v>
      </c>
      <c r="F646" s="76">
        <v>23152.0</v>
      </c>
      <c r="G646" s="77">
        <v>63.0</v>
      </c>
      <c r="H646" s="78" t="str">
        <f t="shared" si="579"/>
        <v>+60</v>
      </c>
      <c r="I646" s="79" t="s">
        <v>86</v>
      </c>
      <c r="J646" s="80" t="str">
        <f t="shared" si="580"/>
        <v>female</v>
      </c>
      <c r="K646" s="58">
        <v>5.95108071E8</v>
      </c>
      <c r="L646" s="55" t="s">
        <v>34</v>
      </c>
      <c r="M646" s="57" t="s">
        <v>89</v>
      </c>
      <c r="N646" s="55" t="s">
        <v>90</v>
      </c>
      <c r="O646" s="55"/>
      <c r="P646" s="55" t="s">
        <v>91</v>
      </c>
      <c r="Q646" s="58" t="s">
        <v>4</v>
      </c>
      <c r="R646" s="55"/>
      <c r="S646" s="55"/>
      <c r="T646" s="82"/>
      <c r="U646" s="82"/>
      <c r="V646" s="57"/>
      <c r="W646" s="57"/>
      <c r="X646" s="57" t="str">
        <f t="shared" si="499"/>
        <v>--639-07-05</v>
      </c>
      <c r="Y646" s="58" t="str">
        <f t="shared" ref="Y646:AC646" si="596">TRIM(SUBSTITUTE(SUBSTITUTE(OFFSET(#REF!,0,COLUMN()-COLUMN($AL$1)),CHAR(160)," "),_xludf.UNICHAR(8239)," "))</f>
        <v>#REF!</v>
      </c>
      <c r="Z646" s="58" t="str">
        <f t="shared" si="596"/>
        <v>#REF!</v>
      </c>
      <c r="AA646" s="58" t="str">
        <f t="shared" si="596"/>
        <v>#REF!</v>
      </c>
      <c r="AB646" s="58" t="str">
        <f t="shared" si="596"/>
        <v>#REF!</v>
      </c>
      <c r="AC646" s="58" t="str">
        <f t="shared" si="596"/>
        <v>#REF!</v>
      </c>
      <c r="AD646" s="57">
        <f t="shared" si="582"/>
        <v>1</v>
      </c>
      <c r="AE646" s="57" t="str">
        <f t="shared" si="583"/>
        <v>2026-05</v>
      </c>
      <c r="AF646" s="57">
        <f t="shared" si="584"/>
        <v>1</v>
      </c>
      <c r="AG646" s="59">
        <f t="shared" si="585"/>
        <v>1</v>
      </c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</row>
    <row r="647" ht="24.0" customHeight="1">
      <c r="A647" s="45">
        <v>14.0</v>
      </c>
      <c r="B647" s="74" t="s">
        <v>2187</v>
      </c>
      <c r="C647" s="55" t="s">
        <v>2177</v>
      </c>
      <c r="D647" s="75"/>
      <c r="E647" s="57">
        <v>4.00796009E8</v>
      </c>
      <c r="F647" s="76">
        <v>35380.0</v>
      </c>
      <c r="G647" s="77">
        <v>30.0</v>
      </c>
      <c r="H647" s="78" t="str">
        <f t="shared" si="579"/>
        <v>19-60</v>
      </c>
      <c r="I647" s="79" t="s">
        <v>86</v>
      </c>
      <c r="J647" s="80" t="str">
        <f t="shared" si="580"/>
        <v>female</v>
      </c>
      <c r="K647" s="58">
        <v>5.999783E9</v>
      </c>
      <c r="L647" s="55" t="s">
        <v>34</v>
      </c>
      <c r="M647" s="57" t="s">
        <v>89</v>
      </c>
      <c r="N647" s="55" t="s">
        <v>90</v>
      </c>
      <c r="O647" s="55"/>
      <c r="P647" s="55" t="s">
        <v>91</v>
      </c>
      <c r="Q647" s="55"/>
      <c r="R647" s="58" t="s">
        <v>5</v>
      </c>
      <c r="S647" s="55"/>
      <c r="T647" s="82"/>
      <c r="U647" s="82" t="s">
        <v>7</v>
      </c>
      <c r="V647" s="57"/>
      <c r="W647" s="57"/>
      <c r="X647" s="57" t="str">
        <f t="shared" si="499"/>
        <v>--640-07-05</v>
      </c>
      <c r="Y647" s="58" t="str">
        <f t="shared" ref="Y647:AC647" si="597">TRIM(SUBSTITUTE(SUBSTITUTE(OFFSET(#REF!,0,COLUMN()-COLUMN($AL$1)),CHAR(160)," "),_xludf.UNICHAR(8239)," "))</f>
        <v>#REF!</v>
      </c>
      <c r="Z647" s="58" t="str">
        <f t="shared" si="597"/>
        <v>#REF!</v>
      </c>
      <c r="AA647" s="58" t="str">
        <f t="shared" si="597"/>
        <v>#REF!</v>
      </c>
      <c r="AB647" s="58" t="str">
        <f t="shared" si="597"/>
        <v>#REF!</v>
      </c>
      <c r="AC647" s="58" t="str">
        <f t="shared" si="597"/>
        <v>#REF!</v>
      </c>
      <c r="AD647" s="57">
        <f t="shared" si="582"/>
        <v>1</v>
      </c>
      <c r="AE647" s="57" t="str">
        <f t="shared" si="583"/>
        <v>2026-05</v>
      </c>
      <c r="AF647" s="57">
        <f t="shared" si="584"/>
        <v>1</v>
      </c>
      <c r="AG647" s="59">
        <f t="shared" si="585"/>
        <v>1</v>
      </c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</row>
    <row r="648" ht="24.0" customHeight="1">
      <c r="A648" s="45">
        <v>15.0</v>
      </c>
      <c r="B648" s="74" t="s">
        <v>2188</v>
      </c>
      <c r="C648" s="55" t="s">
        <v>2177</v>
      </c>
      <c r="D648" s="75"/>
      <c r="E648" s="57">
        <v>9.00818394E8</v>
      </c>
      <c r="F648" s="76">
        <v>27423.0</v>
      </c>
      <c r="G648" s="77">
        <v>51.0</v>
      </c>
      <c r="H648" s="78" t="str">
        <f t="shared" si="579"/>
        <v>19-60</v>
      </c>
      <c r="I648" s="79" t="s">
        <v>86</v>
      </c>
      <c r="J648" s="80" t="str">
        <f t="shared" si="580"/>
        <v>female</v>
      </c>
      <c r="K648" s="58">
        <v>5.99434862E8</v>
      </c>
      <c r="L648" s="55" t="s">
        <v>34</v>
      </c>
      <c r="M648" s="57" t="s">
        <v>89</v>
      </c>
      <c r="N648" s="55" t="s">
        <v>90</v>
      </c>
      <c r="O648" s="55"/>
      <c r="P648" s="55" t="s">
        <v>91</v>
      </c>
      <c r="Q648" s="58" t="s">
        <v>4</v>
      </c>
      <c r="R648" s="55"/>
      <c r="S648" s="55"/>
      <c r="T648" s="82"/>
      <c r="U648" s="82"/>
      <c r="V648" s="57"/>
      <c r="W648" s="57"/>
      <c r="X648" s="57" t="str">
        <f t="shared" si="499"/>
        <v>--641-07-05</v>
      </c>
      <c r="Y648" s="58" t="str">
        <f t="shared" ref="Y648:AC648" si="598">TRIM(SUBSTITUTE(SUBSTITUTE(OFFSET(#REF!,0,COLUMN()-COLUMN($AL$1)),CHAR(160)," "),_xludf.UNICHAR(8239)," "))</f>
        <v>#REF!</v>
      </c>
      <c r="Z648" s="58" t="str">
        <f t="shared" si="598"/>
        <v>#REF!</v>
      </c>
      <c r="AA648" s="58" t="str">
        <f t="shared" si="598"/>
        <v>#REF!</v>
      </c>
      <c r="AB648" s="58" t="str">
        <f t="shared" si="598"/>
        <v>#REF!</v>
      </c>
      <c r="AC648" s="58" t="str">
        <f t="shared" si="598"/>
        <v>#REF!</v>
      </c>
      <c r="AD648" s="57">
        <f t="shared" si="582"/>
        <v>1</v>
      </c>
      <c r="AE648" s="57" t="str">
        <f t="shared" si="583"/>
        <v>2026-05</v>
      </c>
      <c r="AF648" s="57">
        <f t="shared" si="584"/>
        <v>1</v>
      </c>
      <c r="AG648" s="59">
        <f t="shared" si="585"/>
        <v>1</v>
      </c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</row>
    <row r="649" ht="24.0" customHeight="1">
      <c r="A649" s="45">
        <v>16.0</v>
      </c>
      <c r="B649" s="74" t="s">
        <v>2189</v>
      </c>
      <c r="C649" s="55" t="s">
        <v>2177</v>
      </c>
      <c r="D649" s="75"/>
      <c r="E649" s="57">
        <v>4.44328306E8</v>
      </c>
      <c r="F649" s="76">
        <v>44718.0</v>
      </c>
      <c r="G649" s="77">
        <v>4.0</v>
      </c>
      <c r="H649" s="78" t="str">
        <f t="shared" si="579"/>
        <v>0-5</v>
      </c>
      <c r="I649" s="79" t="s">
        <v>112</v>
      </c>
      <c r="J649" s="80" t="str">
        <f t="shared" si="580"/>
        <v>male</v>
      </c>
      <c r="K649" s="58">
        <v>5.97114894E8</v>
      </c>
      <c r="L649" s="55" t="s">
        <v>34</v>
      </c>
      <c r="M649" s="57" t="s">
        <v>133</v>
      </c>
      <c r="N649" s="55" t="s">
        <v>90</v>
      </c>
      <c r="O649" s="55"/>
      <c r="P649" s="55" t="s">
        <v>91</v>
      </c>
      <c r="Q649" s="58" t="s">
        <v>16</v>
      </c>
      <c r="R649" s="55"/>
      <c r="S649" s="55"/>
      <c r="T649" s="82"/>
      <c r="U649" s="82"/>
      <c r="V649" s="57"/>
      <c r="W649" s="57"/>
      <c r="X649" s="57" t="str">
        <f t="shared" si="499"/>
        <v>--642-07-05</v>
      </c>
      <c r="Y649" s="58" t="str">
        <f t="shared" ref="Y649:AC649" si="599">TRIM(SUBSTITUTE(SUBSTITUTE(OFFSET(#REF!,0,COLUMN()-COLUMN($AL$1)),CHAR(160)," "),_xludf.UNICHAR(8239)," "))</f>
        <v>#REF!</v>
      </c>
      <c r="Z649" s="58" t="str">
        <f t="shared" si="599"/>
        <v>#REF!</v>
      </c>
      <c r="AA649" s="58" t="str">
        <f t="shared" si="599"/>
        <v>#REF!</v>
      </c>
      <c r="AB649" s="58" t="str">
        <f t="shared" si="599"/>
        <v>#REF!</v>
      </c>
      <c r="AC649" s="58" t="str">
        <f t="shared" si="599"/>
        <v>#REF!</v>
      </c>
      <c r="AD649" s="57">
        <f t="shared" si="582"/>
        <v>1</v>
      </c>
      <c r="AE649" s="57" t="str">
        <f t="shared" si="583"/>
        <v>2026-05</v>
      </c>
      <c r="AF649" s="57">
        <f t="shared" si="584"/>
        <v>1</v>
      </c>
      <c r="AG649" s="59">
        <f t="shared" si="585"/>
        <v>1</v>
      </c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</row>
    <row r="650" ht="24.0" customHeight="1">
      <c r="A650" s="45">
        <v>17.0</v>
      </c>
      <c r="B650" s="74" t="s">
        <v>2190</v>
      </c>
      <c r="C650" s="55" t="s">
        <v>2177</v>
      </c>
      <c r="D650" s="75"/>
      <c r="E650" s="57">
        <v>4.08399004E8</v>
      </c>
      <c r="F650" s="76">
        <v>37666.0</v>
      </c>
      <c r="G650" s="77">
        <v>23.0</v>
      </c>
      <c r="H650" s="78" t="str">
        <f t="shared" si="579"/>
        <v>19-60</v>
      </c>
      <c r="I650" s="79" t="s">
        <v>86</v>
      </c>
      <c r="J650" s="80" t="str">
        <f t="shared" si="580"/>
        <v>female</v>
      </c>
      <c r="K650" s="58">
        <v>5.93266123E8</v>
      </c>
      <c r="L650" s="55" t="s">
        <v>34</v>
      </c>
      <c r="M650" s="57" t="s">
        <v>89</v>
      </c>
      <c r="N650" s="55" t="s">
        <v>90</v>
      </c>
      <c r="O650" s="55"/>
      <c r="P650" s="55" t="s">
        <v>91</v>
      </c>
      <c r="Q650" s="55"/>
      <c r="R650" s="58" t="s">
        <v>5</v>
      </c>
      <c r="S650" s="55"/>
      <c r="T650" s="82"/>
      <c r="U650" s="82" t="s">
        <v>7</v>
      </c>
      <c r="V650" s="57"/>
      <c r="W650" s="57"/>
      <c r="X650" s="57" t="str">
        <f t="shared" si="499"/>
        <v>--643-07-05</v>
      </c>
      <c r="Y650" s="58" t="str">
        <f t="shared" ref="Y650:AC650" si="600">TRIM(SUBSTITUTE(SUBSTITUTE(OFFSET(#REF!,0,COLUMN()-COLUMN($AL$1)),CHAR(160)," "),_xludf.UNICHAR(8239)," "))</f>
        <v>#REF!</v>
      </c>
      <c r="Z650" s="58" t="str">
        <f t="shared" si="600"/>
        <v>#REF!</v>
      </c>
      <c r="AA650" s="58" t="str">
        <f t="shared" si="600"/>
        <v>#REF!</v>
      </c>
      <c r="AB650" s="58" t="str">
        <f t="shared" si="600"/>
        <v>#REF!</v>
      </c>
      <c r="AC650" s="58" t="str">
        <f t="shared" si="600"/>
        <v>#REF!</v>
      </c>
      <c r="AD650" s="57">
        <f t="shared" si="582"/>
        <v>1</v>
      </c>
      <c r="AE650" s="57" t="str">
        <f t="shared" si="583"/>
        <v>2026-05</v>
      </c>
      <c r="AF650" s="57">
        <f t="shared" si="584"/>
        <v>1</v>
      </c>
      <c r="AG650" s="59">
        <f t="shared" si="585"/>
        <v>1</v>
      </c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</row>
    <row r="651" ht="24.0" customHeight="1">
      <c r="A651" s="45">
        <v>18.0</v>
      </c>
      <c r="B651" s="74" t="s">
        <v>2191</v>
      </c>
      <c r="C651" s="55" t="s">
        <v>2177</v>
      </c>
      <c r="D651" s="75"/>
      <c r="E651" s="57">
        <v>9.67235193E8</v>
      </c>
      <c r="F651" s="76">
        <v>22516.0</v>
      </c>
      <c r="G651" s="77">
        <v>65.0</v>
      </c>
      <c r="H651" s="78" t="str">
        <f t="shared" si="579"/>
        <v>+60</v>
      </c>
      <c r="I651" s="79" t="s">
        <v>86</v>
      </c>
      <c r="J651" s="80" t="str">
        <f t="shared" si="580"/>
        <v>female</v>
      </c>
      <c r="K651" s="58">
        <v>5.92398221E8</v>
      </c>
      <c r="L651" s="55" t="s">
        <v>34</v>
      </c>
      <c r="M651" s="57" t="s">
        <v>89</v>
      </c>
      <c r="N651" s="55" t="s">
        <v>90</v>
      </c>
      <c r="O651" s="55"/>
      <c r="P651" s="55" t="s">
        <v>91</v>
      </c>
      <c r="Q651" s="58" t="s">
        <v>4</v>
      </c>
      <c r="R651" s="55"/>
      <c r="S651" s="55"/>
      <c r="T651" s="82"/>
      <c r="U651" s="82"/>
      <c r="V651" s="57"/>
      <c r="W651" s="57"/>
      <c r="X651" s="57" t="str">
        <f t="shared" si="499"/>
        <v>--644-07-05</v>
      </c>
      <c r="Y651" s="58" t="str">
        <f t="shared" ref="Y651:AC651" si="601">TRIM(SUBSTITUTE(SUBSTITUTE(OFFSET(#REF!,0,COLUMN()-COLUMN($AL$1)),CHAR(160)," "),_xludf.UNICHAR(8239)," "))</f>
        <v>#REF!</v>
      </c>
      <c r="Z651" s="58" t="str">
        <f t="shared" si="601"/>
        <v>#REF!</v>
      </c>
      <c r="AA651" s="58" t="str">
        <f t="shared" si="601"/>
        <v>#REF!</v>
      </c>
      <c r="AB651" s="58" t="str">
        <f t="shared" si="601"/>
        <v>#REF!</v>
      </c>
      <c r="AC651" s="58" t="str">
        <f t="shared" si="601"/>
        <v>#REF!</v>
      </c>
      <c r="AD651" s="57">
        <f t="shared" si="582"/>
        <v>1</v>
      </c>
      <c r="AE651" s="57" t="str">
        <f t="shared" si="583"/>
        <v>2026-05</v>
      </c>
      <c r="AF651" s="57">
        <f t="shared" si="584"/>
        <v>1</v>
      </c>
      <c r="AG651" s="59">
        <f t="shared" si="585"/>
        <v>1</v>
      </c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</row>
    <row r="652" ht="24.0" customHeight="1">
      <c r="A652" s="45">
        <v>19.0</v>
      </c>
      <c r="B652" s="74" t="s">
        <v>2192</v>
      </c>
      <c r="C652" s="55" t="s">
        <v>2177</v>
      </c>
      <c r="D652" s="75"/>
      <c r="E652" s="57">
        <v>8.03213172E8</v>
      </c>
      <c r="F652" s="76">
        <v>33792.0</v>
      </c>
      <c r="G652" s="77">
        <v>34.0</v>
      </c>
      <c r="H652" s="78" t="str">
        <f t="shared" si="579"/>
        <v>19-60</v>
      </c>
      <c r="I652" s="79" t="s">
        <v>86</v>
      </c>
      <c r="J652" s="80" t="str">
        <f t="shared" si="580"/>
        <v>female</v>
      </c>
      <c r="K652" s="58">
        <v>5.99916249E8</v>
      </c>
      <c r="L652" s="55" t="s">
        <v>34</v>
      </c>
      <c r="M652" s="57" t="s">
        <v>89</v>
      </c>
      <c r="N652" s="55" t="s">
        <v>90</v>
      </c>
      <c r="O652" s="55"/>
      <c r="P652" s="55" t="s">
        <v>91</v>
      </c>
      <c r="Q652" s="58"/>
      <c r="R652" s="58" t="s">
        <v>5</v>
      </c>
      <c r="S652" s="55"/>
      <c r="T652" s="82"/>
      <c r="U652" s="82" t="s">
        <v>7</v>
      </c>
      <c r="V652" s="57"/>
      <c r="W652" s="57"/>
      <c r="X652" s="57" t="str">
        <f t="shared" si="499"/>
        <v>--645-07-05</v>
      </c>
      <c r="Y652" s="58" t="str">
        <f t="shared" ref="Y652:AC652" si="602">TRIM(SUBSTITUTE(SUBSTITUTE(OFFSET(#REF!,0,COLUMN()-COLUMN($AL$1)),CHAR(160)," "),_xludf.UNICHAR(8239)," "))</f>
        <v>#REF!</v>
      </c>
      <c r="Z652" s="58" t="str">
        <f t="shared" si="602"/>
        <v>#REF!</v>
      </c>
      <c r="AA652" s="58" t="str">
        <f t="shared" si="602"/>
        <v>#REF!</v>
      </c>
      <c r="AB652" s="58" t="str">
        <f t="shared" si="602"/>
        <v>#REF!</v>
      </c>
      <c r="AC652" s="58" t="str">
        <f t="shared" si="602"/>
        <v>#REF!</v>
      </c>
      <c r="AD652" s="57">
        <f t="shared" si="582"/>
        <v>1</v>
      </c>
      <c r="AE652" s="57" t="str">
        <f t="shared" si="583"/>
        <v>2026-05</v>
      </c>
      <c r="AF652" s="57">
        <f t="shared" si="584"/>
        <v>1</v>
      </c>
      <c r="AG652" s="59">
        <f t="shared" si="585"/>
        <v>1</v>
      </c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</row>
    <row r="653" ht="24.0" customHeight="1">
      <c r="A653" s="45">
        <v>20.0</v>
      </c>
      <c r="B653" s="74" t="s">
        <v>2193</v>
      </c>
      <c r="C653" s="55" t="s">
        <v>2177</v>
      </c>
      <c r="D653" s="75"/>
      <c r="E653" s="57">
        <v>4.3725549E8</v>
      </c>
      <c r="F653" s="76">
        <v>42385.0</v>
      </c>
      <c r="G653" s="77">
        <v>10.0</v>
      </c>
      <c r="H653" s="78" t="str">
        <f t="shared" si="579"/>
        <v>6-18</v>
      </c>
      <c r="I653" s="79" t="s">
        <v>112</v>
      </c>
      <c r="J653" s="80" t="str">
        <f t="shared" si="580"/>
        <v>male</v>
      </c>
      <c r="K653" s="58"/>
      <c r="L653" s="55" t="s">
        <v>34</v>
      </c>
      <c r="M653" s="57" t="s">
        <v>133</v>
      </c>
      <c r="N653" s="55" t="s">
        <v>90</v>
      </c>
      <c r="O653" s="55"/>
      <c r="P653" s="55" t="s">
        <v>91</v>
      </c>
      <c r="Q653" s="58" t="s">
        <v>16</v>
      </c>
      <c r="R653" s="55"/>
      <c r="S653" s="55"/>
      <c r="T653" s="82"/>
      <c r="U653" s="82"/>
      <c r="V653" s="57"/>
      <c r="W653" s="57"/>
      <c r="X653" s="57" t="str">
        <f t="shared" si="499"/>
        <v>--646-07-05</v>
      </c>
      <c r="Y653" s="58" t="str">
        <f t="shared" ref="Y653:AC653" si="603">TRIM(SUBSTITUTE(SUBSTITUTE(OFFSET(#REF!,0,COLUMN()-COLUMN($AL$1)),CHAR(160)," "),_xludf.UNICHAR(8239)," "))</f>
        <v>#REF!</v>
      </c>
      <c r="Z653" s="58" t="str">
        <f t="shared" si="603"/>
        <v>#REF!</v>
      </c>
      <c r="AA653" s="58" t="str">
        <f t="shared" si="603"/>
        <v>#REF!</v>
      </c>
      <c r="AB653" s="58" t="str">
        <f t="shared" si="603"/>
        <v>#REF!</v>
      </c>
      <c r="AC653" s="58" t="str">
        <f t="shared" si="603"/>
        <v>#REF!</v>
      </c>
      <c r="AD653" s="57">
        <f t="shared" si="582"/>
        <v>1</v>
      </c>
      <c r="AE653" s="57" t="str">
        <f t="shared" si="583"/>
        <v>2026-05</v>
      </c>
      <c r="AF653" s="57">
        <f t="shared" si="584"/>
        <v>1</v>
      </c>
      <c r="AG653" s="59">
        <f t="shared" si="585"/>
        <v>1</v>
      </c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</row>
    <row r="654" ht="24.0" customHeight="1">
      <c r="A654" s="45">
        <v>21.0</v>
      </c>
      <c r="B654" s="74" t="s">
        <v>2194</v>
      </c>
      <c r="C654" s="55" t="s">
        <v>2177</v>
      </c>
      <c r="D654" s="75"/>
      <c r="E654" s="57">
        <v>8.03565378E8</v>
      </c>
      <c r="F654" s="76">
        <v>34086.0</v>
      </c>
      <c r="G654" s="77">
        <v>33.0</v>
      </c>
      <c r="H654" s="78" t="str">
        <f t="shared" si="579"/>
        <v>19-60</v>
      </c>
      <c r="I654" s="79" t="s">
        <v>86</v>
      </c>
      <c r="J654" s="80" t="str">
        <f t="shared" si="580"/>
        <v>female</v>
      </c>
      <c r="K654" s="58">
        <v>5.95423534E8</v>
      </c>
      <c r="L654" s="55" t="s">
        <v>34</v>
      </c>
      <c r="M654" s="57" t="s">
        <v>89</v>
      </c>
      <c r="N654" s="55" t="s">
        <v>90</v>
      </c>
      <c r="O654" s="55"/>
      <c r="P654" s="55" t="s">
        <v>91</v>
      </c>
      <c r="Q654" s="55"/>
      <c r="R654" s="58" t="s">
        <v>36</v>
      </c>
      <c r="S654" s="55"/>
      <c r="T654" s="82"/>
      <c r="U654" s="82"/>
      <c r="V654" s="57"/>
      <c r="W654" s="57"/>
      <c r="X654" s="57" t="str">
        <f t="shared" si="499"/>
        <v>--647-07-05</v>
      </c>
      <c r="Y654" s="58" t="str">
        <f t="shared" ref="Y654:AC654" si="604">TRIM(SUBSTITUTE(SUBSTITUTE(OFFSET(#REF!,0,COLUMN()-COLUMN($AL$1)),CHAR(160)," "),_xludf.UNICHAR(8239)," "))</f>
        <v>#REF!</v>
      </c>
      <c r="Z654" s="58" t="str">
        <f t="shared" si="604"/>
        <v>#REF!</v>
      </c>
      <c r="AA654" s="58" t="str">
        <f t="shared" si="604"/>
        <v>#REF!</v>
      </c>
      <c r="AB654" s="58" t="str">
        <f t="shared" si="604"/>
        <v>#REF!</v>
      </c>
      <c r="AC654" s="58" t="str">
        <f t="shared" si="604"/>
        <v>#REF!</v>
      </c>
      <c r="AD654" s="57">
        <f t="shared" si="582"/>
        <v>1</v>
      </c>
      <c r="AE654" s="57" t="str">
        <f t="shared" si="583"/>
        <v>2026-05</v>
      </c>
      <c r="AF654" s="57">
        <f t="shared" si="584"/>
        <v>1</v>
      </c>
      <c r="AG654" s="59">
        <f t="shared" si="585"/>
        <v>1</v>
      </c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</row>
    <row r="655" ht="24.0" customHeight="1">
      <c r="A655" s="45">
        <v>22.0</v>
      </c>
      <c r="B655" s="74" t="s">
        <v>2195</v>
      </c>
      <c r="C655" s="55" t="s">
        <v>2177</v>
      </c>
      <c r="D655" s="75"/>
      <c r="E655" s="57">
        <v>8.00644288E8</v>
      </c>
      <c r="F655" s="76">
        <v>31902.0</v>
      </c>
      <c r="G655" s="77">
        <v>39.0</v>
      </c>
      <c r="H655" s="78" t="str">
        <f t="shared" si="579"/>
        <v>19-60</v>
      </c>
      <c r="I655" s="79" t="s">
        <v>112</v>
      </c>
      <c r="J655" s="80" t="str">
        <f t="shared" si="580"/>
        <v>male</v>
      </c>
      <c r="K655" s="58">
        <v>5.97076421E8</v>
      </c>
      <c r="L655" s="55" t="s">
        <v>34</v>
      </c>
      <c r="M655" s="57" t="s">
        <v>89</v>
      </c>
      <c r="N655" s="55" t="s">
        <v>90</v>
      </c>
      <c r="O655" s="55"/>
      <c r="P655" s="55" t="s">
        <v>91</v>
      </c>
      <c r="Q655" s="55"/>
      <c r="R655" s="55"/>
      <c r="S655" s="58" t="s">
        <v>6</v>
      </c>
      <c r="T655" s="82"/>
      <c r="U655" s="82"/>
      <c r="V655" s="57"/>
      <c r="W655" s="57"/>
      <c r="X655" s="57" t="str">
        <f t="shared" si="499"/>
        <v>--648-07-05</v>
      </c>
      <c r="Y655" s="58" t="str">
        <f t="shared" ref="Y655:AC655" si="605">TRIM(SUBSTITUTE(SUBSTITUTE(OFFSET(#REF!,0,COLUMN()-COLUMN($AL$1)),CHAR(160)," "),_xludf.UNICHAR(8239)," "))</f>
        <v>#REF!</v>
      </c>
      <c r="Z655" s="58" t="str">
        <f t="shared" si="605"/>
        <v>#REF!</v>
      </c>
      <c r="AA655" s="58" t="str">
        <f t="shared" si="605"/>
        <v>#REF!</v>
      </c>
      <c r="AB655" s="58" t="str">
        <f t="shared" si="605"/>
        <v>#REF!</v>
      </c>
      <c r="AC655" s="58" t="str">
        <f t="shared" si="605"/>
        <v>#REF!</v>
      </c>
      <c r="AD655" s="57">
        <f t="shared" si="582"/>
        <v>1</v>
      </c>
      <c r="AE655" s="57" t="str">
        <f t="shared" si="583"/>
        <v>2026-05</v>
      </c>
      <c r="AF655" s="57">
        <f t="shared" si="584"/>
        <v>1</v>
      </c>
      <c r="AG655" s="59">
        <f t="shared" si="585"/>
        <v>1</v>
      </c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</row>
    <row r="656" ht="24.0" customHeight="1">
      <c r="A656" s="45">
        <v>23.0</v>
      </c>
      <c r="B656" s="74" t="s">
        <v>2196</v>
      </c>
      <c r="C656" s="55" t="s">
        <v>2177</v>
      </c>
      <c r="D656" s="75"/>
      <c r="E656" s="57">
        <v>4.71044735E8</v>
      </c>
      <c r="F656" s="76">
        <v>46019.0</v>
      </c>
      <c r="G656" s="55">
        <v>1.0</v>
      </c>
      <c r="H656" s="78" t="str">
        <f t="shared" si="579"/>
        <v>0-5</v>
      </c>
      <c r="I656" s="79" t="s">
        <v>86</v>
      </c>
      <c r="J656" s="80" t="str">
        <f t="shared" si="580"/>
        <v>female</v>
      </c>
      <c r="K656" s="58">
        <v>5.95744929E8</v>
      </c>
      <c r="L656" s="55" t="s">
        <v>34</v>
      </c>
      <c r="M656" s="57" t="s">
        <v>133</v>
      </c>
      <c r="N656" s="55" t="s">
        <v>90</v>
      </c>
      <c r="O656" s="55"/>
      <c r="P656" s="55" t="s">
        <v>91</v>
      </c>
      <c r="Q656" s="58" t="s">
        <v>16</v>
      </c>
      <c r="R656" s="55"/>
      <c r="S656" s="55"/>
      <c r="T656" s="82"/>
      <c r="U656" s="82"/>
      <c r="V656" s="57"/>
      <c r="W656" s="57"/>
      <c r="X656" s="57" t="str">
        <f t="shared" si="499"/>
        <v>--649-07-05</v>
      </c>
      <c r="Y656" s="58" t="str">
        <f t="shared" ref="Y656:AC656" si="606">TRIM(SUBSTITUTE(SUBSTITUTE(OFFSET(#REF!,0,COLUMN()-COLUMN($AL$1)),CHAR(160)," "),_xludf.UNICHAR(8239)," "))</f>
        <v>#REF!</v>
      </c>
      <c r="Z656" s="58" t="str">
        <f t="shared" si="606"/>
        <v>#REF!</v>
      </c>
      <c r="AA656" s="58" t="str">
        <f t="shared" si="606"/>
        <v>#REF!</v>
      </c>
      <c r="AB656" s="58" t="str">
        <f t="shared" si="606"/>
        <v>#REF!</v>
      </c>
      <c r="AC656" s="58" t="str">
        <f t="shared" si="606"/>
        <v>#REF!</v>
      </c>
      <c r="AD656" s="57">
        <f t="shared" si="582"/>
        <v>1</v>
      </c>
      <c r="AE656" s="57" t="str">
        <f t="shared" si="583"/>
        <v>2026-05</v>
      </c>
      <c r="AF656" s="57">
        <f t="shared" si="584"/>
        <v>1</v>
      </c>
      <c r="AG656" s="59">
        <f t="shared" si="585"/>
        <v>1</v>
      </c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</row>
    <row r="657" ht="24.0" customHeight="1">
      <c r="A657" s="45">
        <v>24.0</v>
      </c>
      <c r="B657" s="74" t="s">
        <v>2197</v>
      </c>
      <c r="C657" s="55" t="s">
        <v>2177</v>
      </c>
      <c r="D657" s="75"/>
      <c r="E657" s="57">
        <v>4.08122315E8</v>
      </c>
      <c r="F657" s="76">
        <v>37503.0</v>
      </c>
      <c r="G657" s="77">
        <v>24.0</v>
      </c>
      <c r="H657" s="78" t="str">
        <f t="shared" si="579"/>
        <v>19-60</v>
      </c>
      <c r="I657" s="79" t="s">
        <v>86</v>
      </c>
      <c r="J657" s="80" t="str">
        <f t="shared" si="580"/>
        <v>female</v>
      </c>
      <c r="K657" s="58">
        <v>5.97090421E8</v>
      </c>
      <c r="L657" s="55" t="s">
        <v>34</v>
      </c>
      <c r="M657" s="57" t="s">
        <v>89</v>
      </c>
      <c r="N657" s="55" t="s">
        <v>90</v>
      </c>
      <c r="O657" s="55"/>
      <c r="P657" s="55" t="s">
        <v>91</v>
      </c>
      <c r="Q657" s="58" t="s">
        <v>16</v>
      </c>
      <c r="R657" s="55"/>
      <c r="S657" s="55"/>
      <c r="T657" s="82"/>
      <c r="U657" s="82"/>
      <c r="V657" s="57"/>
      <c r="W657" s="57"/>
      <c r="X657" s="57" t="str">
        <f t="shared" si="499"/>
        <v>--650-07-05</v>
      </c>
      <c r="Y657" s="58" t="str">
        <f t="shared" ref="Y657:AC657" si="607">TRIM(SUBSTITUTE(SUBSTITUTE(OFFSET(#REF!,0,COLUMN()-COLUMN($AL$1)),CHAR(160)," "),_xludf.UNICHAR(8239)," "))</f>
        <v>#REF!</v>
      </c>
      <c r="Z657" s="58" t="str">
        <f t="shared" si="607"/>
        <v>#REF!</v>
      </c>
      <c r="AA657" s="58" t="str">
        <f t="shared" si="607"/>
        <v>#REF!</v>
      </c>
      <c r="AB657" s="58" t="str">
        <f t="shared" si="607"/>
        <v>#REF!</v>
      </c>
      <c r="AC657" s="58" t="str">
        <f t="shared" si="607"/>
        <v>#REF!</v>
      </c>
      <c r="AD657" s="57">
        <f t="shared" si="582"/>
        <v>1</v>
      </c>
      <c r="AE657" s="57" t="str">
        <f t="shared" si="583"/>
        <v>2026-05</v>
      </c>
      <c r="AF657" s="57">
        <f t="shared" si="584"/>
        <v>1</v>
      </c>
      <c r="AG657" s="59">
        <f t="shared" si="585"/>
        <v>1</v>
      </c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</row>
    <row r="658" ht="24.0" customHeight="1">
      <c r="A658" s="45">
        <v>25.0</v>
      </c>
      <c r="B658" s="74" t="s">
        <v>2198</v>
      </c>
      <c r="C658" s="55" t="s">
        <v>2177</v>
      </c>
      <c r="D658" s="75">
        <v>46148.0</v>
      </c>
      <c r="E658" s="57">
        <v>8.01432022E8</v>
      </c>
      <c r="F658" s="76">
        <v>31425.0</v>
      </c>
      <c r="G658" s="77">
        <v>40.0</v>
      </c>
      <c r="H658" s="78" t="str">
        <f t="shared" si="579"/>
        <v>19-60</v>
      </c>
      <c r="I658" s="79" t="s">
        <v>86</v>
      </c>
      <c r="J658" s="80" t="str">
        <f t="shared" si="580"/>
        <v>female</v>
      </c>
      <c r="K658" s="58">
        <v>5.99207273E8</v>
      </c>
      <c r="L658" s="55" t="s">
        <v>34</v>
      </c>
      <c r="M658" s="57" t="s">
        <v>89</v>
      </c>
      <c r="N658" s="55" t="s">
        <v>90</v>
      </c>
      <c r="O658" s="55"/>
      <c r="P658" s="55" t="s">
        <v>91</v>
      </c>
      <c r="Q658" s="55"/>
      <c r="R658" s="58" t="s">
        <v>27</v>
      </c>
      <c r="S658" s="55"/>
      <c r="T658" s="82"/>
      <c r="U658" s="82"/>
      <c r="V658" s="57"/>
      <c r="W658" s="57"/>
      <c r="X658" s="57" t="str">
        <f t="shared" si="499"/>
        <v>--651-07-05</v>
      </c>
      <c r="Y658" s="58" t="str">
        <f t="shared" ref="Y658:AC658" si="608">TRIM(SUBSTITUTE(SUBSTITUTE(OFFSET(#REF!,0,COLUMN()-COLUMN($AL$1)),CHAR(160)," "),_xludf.UNICHAR(8239)," "))</f>
        <v>#REF!</v>
      </c>
      <c r="Z658" s="58" t="str">
        <f t="shared" si="608"/>
        <v>#REF!</v>
      </c>
      <c r="AA658" s="58" t="str">
        <f t="shared" si="608"/>
        <v>#REF!</v>
      </c>
      <c r="AB658" s="58" t="str">
        <f t="shared" si="608"/>
        <v>#REF!</v>
      </c>
      <c r="AC658" s="58" t="str">
        <f t="shared" si="608"/>
        <v>#REF!</v>
      </c>
      <c r="AD658" s="57">
        <f t="shared" si="582"/>
        <v>1</v>
      </c>
      <c r="AE658" s="57" t="str">
        <f t="shared" si="583"/>
        <v>2026-05</v>
      </c>
      <c r="AF658" s="57">
        <f t="shared" si="584"/>
        <v>1</v>
      </c>
      <c r="AG658" s="59">
        <f t="shared" si="585"/>
        <v>0</v>
      </c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</row>
    <row r="659" ht="24.0" customHeight="1">
      <c r="A659" s="45">
        <v>26.0</v>
      </c>
      <c r="B659" s="74" t="s">
        <v>2199</v>
      </c>
      <c r="C659" s="55" t="s">
        <v>2177</v>
      </c>
      <c r="D659" s="75"/>
      <c r="E659" s="57">
        <v>4.0076615E8</v>
      </c>
      <c r="F659" s="76">
        <v>35238.0</v>
      </c>
      <c r="G659" s="77">
        <v>30.0</v>
      </c>
      <c r="H659" s="78" t="str">
        <f t="shared" si="579"/>
        <v>19-60</v>
      </c>
      <c r="I659" s="79" t="s">
        <v>86</v>
      </c>
      <c r="J659" s="80" t="str">
        <f t="shared" si="580"/>
        <v>female</v>
      </c>
      <c r="K659" s="58">
        <v>5.95129145E8</v>
      </c>
      <c r="L659" s="55" t="s">
        <v>34</v>
      </c>
      <c r="M659" s="57" t="s">
        <v>89</v>
      </c>
      <c r="N659" s="55" t="s">
        <v>90</v>
      </c>
      <c r="O659" s="55"/>
      <c r="P659" s="55" t="s">
        <v>91</v>
      </c>
      <c r="Q659" s="55"/>
      <c r="R659" s="58" t="s">
        <v>5</v>
      </c>
      <c r="S659" s="55"/>
      <c r="T659" s="82"/>
      <c r="U659" s="82" t="s">
        <v>7</v>
      </c>
      <c r="V659" s="57"/>
      <c r="W659" s="57"/>
      <c r="X659" s="57" t="str">
        <f t="shared" si="499"/>
        <v>--652-07-05</v>
      </c>
      <c r="Y659" s="58" t="str">
        <f t="shared" ref="Y659:AC659" si="609">TRIM(SUBSTITUTE(SUBSTITUTE(OFFSET(#REF!,0,COLUMN()-COLUMN($AL$1)),CHAR(160)," "),_xludf.UNICHAR(8239)," "))</f>
        <v>#REF!</v>
      </c>
      <c r="Z659" s="58" t="str">
        <f t="shared" si="609"/>
        <v>#REF!</v>
      </c>
      <c r="AA659" s="58" t="str">
        <f t="shared" si="609"/>
        <v>#REF!</v>
      </c>
      <c r="AB659" s="58" t="str">
        <f t="shared" si="609"/>
        <v>#REF!</v>
      </c>
      <c r="AC659" s="58" t="str">
        <f t="shared" si="609"/>
        <v>#REF!</v>
      </c>
      <c r="AD659" s="57">
        <f t="shared" si="582"/>
        <v>1</v>
      </c>
      <c r="AE659" s="57" t="str">
        <f t="shared" si="583"/>
        <v>2026-05</v>
      </c>
      <c r="AF659" s="57">
        <f t="shared" si="584"/>
        <v>1</v>
      </c>
      <c r="AG659" s="59">
        <f t="shared" si="585"/>
        <v>1</v>
      </c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</row>
    <row r="660" ht="24.0" customHeight="1">
      <c r="A660" s="45">
        <v>27.0</v>
      </c>
      <c r="B660" s="74" t="s">
        <v>589</v>
      </c>
      <c r="C660" s="55" t="s">
        <v>2177</v>
      </c>
      <c r="D660" s="75">
        <v>46139.0</v>
      </c>
      <c r="E660" s="57">
        <v>4.05276825E8</v>
      </c>
      <c r="F660" s="76">
        <v>36209.0</v>
      </c>
      <c r="G660" s="77">
        <v>27.0</v>
      </c>
      <c r="H660" s="78" t="str">
        <f t="shared" si="579"/>
        <v>19-60</v>
      </c>
      <c r="I660" s="79" t="s">
        <v>86</v>
      </c>
      <c r="J660" s="80" t="str">
        <f t="shared" si="580"/>
        <v>female</v>
      </c>
      <c r="K660" s="58">
        <v>5.99459178E8</v>
      </c>
      <c r="L660" s="55" t="s">
        <v>34</v>
      </c>
      <c r="M660" s="57" t="s">
        <v>89</v>
      </c>
      <c r="N660" s="55" t="s">
        <v>90</v>
      </c>
      <c r="O660" s="55"/>
      <c r="P660" s="55" t="s">
        <v>91</v>
      </c>
      <c r="Q660" s="58" t="s">
        <v>16</v>
      </c>
      <c r="R660" s="55"/>
      <c r="S660" s="55"/>
      <c r="T660" s="82"/>
      <c r="U660" s="82"/>
      <c r="V660" s="57"/>
      <c r="W660" s="57"/>
      <c r="X660" s="57" t="str">
        <f t="shared" si="499"/>
        <v>--653-07-05</v>
      </c>
      <c r="Y660" s="58" t="str">
        <f t="shared" ref="Y660:AC660" si="610">TRIM(SUBSTITUTE(SUBSTITUTE(OFFSET(#REF!,0,COLUMN()-COLUMN($AL$1)),CHAR(160)," "),_xludf.UNICHAR(8239)," "))</f>
        <v>#REF!</v>
      </c>
      <c r="Z660" s="58" t="str">
        <f t="shared" si="610"/>
        <v>#REF!</v>
      </c>
      <c r="AA660" s="58" t="str">
        <f t="shared" si="610"/>
        <v>#REF!</v>
      </c>
      <c r="AB660" s="58" t="str">
        <f t="shared" si="610"/>
        <v>#REF!</v>
      </c>
      <c r="AC660" s="58" t="str">
        <f t="shared" si="610"/>
        <v>#REF!</v>
      </c>
      <c r="AD660" s="57">
        <f t="shared" si="582"/>
        <v>1</v>
      </c>
      <c r="AE660" s="57" t="str">
        <f t="shared" si="583"/>
        <v>2026-05</v>
      </c>
      <c r="AF660" s="57">
        <f t="shared" si="584"/>
        <v>1</v>
      </c>
      <c r="AG660" s="59">
        <f t="shared" si="585"/>
        <v>0</v>
      </c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</row>
    <row r="661" ht="24.0" customHeight="1">
      <c r="A661" s="45">
        <v>28.0</v>
      </c>
      <c r="B661" s="74" t="s">
        <v>2200</v>
      </c>
      <c r="C661" s="55" t="s">
        <v>2177</v>
      </c>
      <c r="D661" s="75"/>
      <c r="E661" s="57">
        <v>9.16821432E8</v>
      </c>
      <c r="F661" s="76">
        <v>22199.0</v>
      </c>
      <c r="G661" s="77">
        <v>66.0</v>
      </c>
      <c r="H661" s="78" t="str">
        <f t="shared" si="579"/>
        <v>+60</v>
      </c>
      <c r="I661" s="79" t="s">
        <v>112</v>
      </c>
      <c r="J661" s="80" t="str">
        <f t="shared" si="580"/>
        <v>male</v>
      </c>
      <c r="K661" s="58">
        <v>5.99449717E8</v>
      </c>
      <c r="L661" s="55" t="s">
        <v>34</v>
      </c>
      <c r="M661" s="57" t="s">
        <v>89</v>
      </c>
      <c r="N661" s="55" t="s">
        <v>90</v>
      </c>
      <c r="O661" s="55"/>
      <c r="P661" s="55" t="s">
        <v>91</v>
      </c>
      <c r="Q661" s="58" t="s">
        <v>4</v>
      </c>
      <c r="R661" s="55"/>
      <c r="S661" s="55"/>
      <c r="T661" s="82"/>
      <c r="U661" s="82"/>
      <c r="V661" s="57"/>
      <c r="W661" s="57"/>
      <c r="X661" s="57" t="str">
        <f t="shared" si="499"/>
        <v>--654-07-05</v>
      </c>
      <c r="Y661" s="58" t="str">
        <f t="shared" ref="Y661:AC661" si="611">TRIM(SUBSTITUTE(SUBSTITUTE(OFFSET(#REF!,0,COLUMN()-COLUMN($AL$1)),CHAR(160)," "),_xludf.UNICHAR(8239)," "))</f>
        <v>#REF!</v>
      </c>
      <c r="Z661" s="58" t="str">
        <f t="shared" si="611"/>
        <v>#REF!</v>
      </c>
      <c r="AA661" s="58" t="str">
        <f t="shared" si="611"/>
        <v>#REF!</v>
      </c>
      <c r="AB661" s="58" t="str">
        <f t="shared" si="611"/>
        <v>#REF!</v>
      </c>
      <c r="AC661" s="58" t="str">
        <f t="shared" si="611"/>
        <v>#REF!</v>
      </c>
      <c r="AD661" s="57">
        <f t="shared" si="582"/>
        <v>1</v>
      </c>
      <c r="AE661" s="57" t="str">
        <f t="shared" si="583"/>
        <v>2026-05</v>
      </c>
      <c r="AF661" s="57">
        <f t="shared" si="584"/>
        <v>1</v>
      </c>
      <c r="AG661" s="59">
        <f t="shared" si="585"/>
        <v>1</v>
      </c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</row>
    <row r="662" ht="24.0" customHeight="1">
      <c r="A662" s="45">
        <v>29.0</v>
      </c>
      <c r="B662" s="74" t="s">
        <v>2201</v>
      </c>
      <c r="C662" s="55" t="s">
        <v>2177</v>
      </c>
      <c r="D662" s="75"/>
      <c r="E662" s="57">
        <v>8.04783322E8</v>
      </c>
      <c r="F662" s="76">
        <v>34671.0</v>
      </c>
      <c r="G662" s="77">
        <v>32.0</v>
      </c>
      <c r="H662" s="78" t="str">
        <f t="shared" si="579"/>
        <v>19-60</v>
      </c>
      <c r="I662" s="79" t="s">
        <v>86</v>
      </c>
      <c r="J662" s="80" t="str">
        <f t="shared" si="580"/>
        <v>female</v>
      </c>
      <c r="K662" s="58">
        <v>5.92711104E8</v>
      </c>
      <c r="L662" s="55" t="s">
        <v>34</v>
      </c>
      <c r="M662" s="57" t="s">
        <v>89</v>
      </c>
      <c r="N662" s="55" t="s">
        <v>90</v>
      </c>
      <c r="O662" s="55"/>
      <c r="P662" s="55" t="s">
        <v>91</v>
      </c>
      <c r="Q662" s="58" t="s">
        <v>16</v>
      </c>
      <c r="R662" s="55"/>
      <c r="S662" s="55"/>
      <c r="T662" s="82"/>
      <c r="U662" s="82"/>
      <c r="V662" s="57"/>
      <c r="W662" s="57"/>
      <c r="X662" s="57" t="str">
        <f t="shared" si="499"/>
        <v>--655-07-05</v>
      </c>
      <c r="Y662" s="58" t="str">
        <f t="shared" ref="Y662:AC662" si="612">TRIM(SUBSTITUTE(SUBSTITUTE(OFFSET(#REF!,0,COLUMN()-COLUMN($AL$1)),CHAR(160)," "),_xludf.UNICHAR(8239)," "))</f>
        <v>#REF!</v>
      </c>
      <c r="Z662" s="58" t="str">
        <f t="shared" si="612"/>
        <v>#REF!</v>
      </c>
      <c r="AA662" s="58" t="str">
        <f t="shared" si="612"/>
        <v>#REF!</v>
      </c>
      <c r="AB662" s="58" t="str">
        <f t="shared" si="612"/>
        <v>#REF!</v>
      </c>
      <c r="AC662" s="58" t="str">
        <f t="shared" si="612"/>
        <v>#REF!</v>
      </c>
      <c r="AD662" s="57">
        <f t="shared" si="582"/>
        <v>1</v>
      </c>
      <c r="AE662" s="57" t="str">
        <f t="shared" si="583"/>
        <v>2026-05</v>
      </c>
      <c r="AF662" s="57">
        <f t="shared" si="584"/>
        <v>1</v>
      </c>
      <c r="AG662" s="59">
        <f t="shared" si="585"/>
        <v>1</v>
      </c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</row>
    <row r="663" ht="24.0" customHeight="1">
      <c r="A663" s="45">
        <v>30.0</v>
      </c>
      <c r="B663" s="74" t="s">
        <v>1924</v>
      </c>
      <c r="C663" s="55" t="s">
        <v>2177</v>
      </c>
      <c r="D663" s="75">
        <v>46147.0</v>
      </c>
      <c r="E663" s="57">
        <v>4.44132153E8</v>
      </c>
      <c r="F663" s="76">
        <v>45157.0</v>
      </c>
      <c r="G663" s="77">
        <v>3.0</v>
      </c>
      <c r="H663" s="78" t="str">
        <f t="shared" si="579"/>
        <v>0-5</v>
      </c>
      <c r="I663" s="79" t="s">
        <v>86</v>
      </c>
      <c r="J663" s="80" t="str">
        <f t="shared" si="580"/>
        <v>female</v>
      </c>
      <c r="K663" s="58">
        <v>5.92640772E8</v>
      </c>
      <c r="L663" s="55" t="s">
        <v>34</v>
      </c>
      <c r="M663" s="57" t="s">
        <v>133</v>
      </c>
      <c r="N663" s="55" t="s">
        <v>90</v>
      </c>
      <c r="O663" s="55"/>
      <c r="P663" s="55" t="s">
        <v>91</v>
      </c>
      <c r="Q663" s="58" t="s">
        <v>16</v>
      </c>
      <c r="R663" s="55"/>
      <c r="S663" s="55"/>
      <c r="T663" s="82"/>
      <c r="U663" s="82"/>
      <c r="V663" s="57"/>
      <c r="W663" s="57"/>
      <c r="X663" s="57" t="str">
        <f t="shared" si="499"/>
        <v>--656-07-05</v>
      </c>
      <c r="Y663" s="58" t="str">
        <f t="shared" ref="Y663:AC663" si="613">TRIM(SUBSTITUTE(SUBSTITUTE(OFFSET(#REF!,0,COLUMN()-COLUMN($AL$1)),CHAR(160)," "),_xludf.UNICHAR(8239)," "))</f>
        <v>#REF!</v>
      </c>
      <c r="Z663" s="58" t="str">
        <f t="shared" si="613"/>
        <v>#REF!</v>
      </c>
      <c r="AA663" s="58" t="str">
        <f t="shared" si="613"/>
        <v>#REF!</v>
      </c>
      <c r="AB663" s="58" t="str">
        <f t="shared" si="613"/>
        <v>#REF!</v>
      </c>
      <c r="AC663" s="58" t="str">
        <f t="shared" si="613"/>
        <v>#REF!</v>
      </c>
      <c r="AD663" s="57">
        <f t="shared" si="582"/>
        <v>1</v>
      </c>
      <c r="AE663" s="57" t="str">
        <f t="shared" si="583"/>
        <v>2026-05</v>
      </c>
      <c r="AF663" s="57">
        <f t="shared" si="584"/>
        <v>0</v>
      </c>
      <c r="AG663" s="59">
        <f t="shared" si="585"/>
        <v>0</v>
      </c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</row>
    <row r="664" ht="24.0" customHeight="1">
      <c r="A664" s="45">
        <v>31.0</v>
      </c>
      <c r="B664" s="74" t="s">
        <v>2202</v>
      </c>
      <c r="C664" s="55" t="s">
        <v>2177</v>
      </c>
      <c r="D664" s="75"/>
      <c r="E664" s="57">
        <v>9.31514723E8</v>
      </c>
      <c r="F664" s="76">
        <v>30159.0</v>
      </c>
      <c r="G664" s="77">
        <v>43.0</v>
      </c>
      <c r="H664" s="78" t="str">
        <f t="shared" si="579"/>
        <v>19-60</v>
      </c>
      <c r="I664" s="79" t="s">
        <v>112</v>
      </c>
      <c r="J664" s="80" t="str">
        <f t="shared" si="580"/>
        <v>male</v>
      </c>
      <c r="K664" s="58">
        <v>5.95589302E8</v>
      </c>
      <c r="L664" s="55" t="s">
        <v>34</v>
      </c>
      <c r="M664" s="57" t="s">
        <v>89</v>
      </c>
      <c r="N664" s="55" t="s">
        <v>90</v>
      </c>
      <c r="O664" s="55"/>
      <c r="P664" s="55" t="s">
        <v>91</v>
      </c>
      <c r="Q664" s="58" t="s">
        <v>16</v>
      </c>
      <c r="R664" s="55"/>
      <c r="S664" s="55"/>
      <c r="T664" s="82"/>
      <c r="U664" s="82"/>
      <c r="V664" s="57"/>
      <c r="W664" s="57"/>
      <c r="X664" s="57" t="str">
        <f t="shared" si="499"/>
        <v>--657-07-05</v>
      </c>
      <c r="Y664" s="58" t="str">
        <f t="shared" ref="Y664:AC664" si="614">TRIM(SUBSTITUTE(SUBSTITUTE(OFFSET(#REF!,0,COLUMN()-COLUMN($AL$1)),CHAR(160)," "),_xludf.UNICHAR(8239)," "))</f>
        <v>#REF!</v>
      </c>
      <c r="Z664" s="58" t="str">
        <f t="shared" si="614"/>
        <v>#REF!</v>
      </c>
      <c r="AA664" s="58" t="str">
        <f t="shared" si="614"/>
        <v>#REF!</v>
      </c>
      <c r="AB664" s="58" t="str">
        <f t="shared" si="614"/>
        <v>#REF!</v>
      </c>
      <c r="AC664" s="58" t="str">
        <f t="shared" si="614"/>
        <v>#REF!</v>
      </c>
      <c r="AD664" s="57">
        <f t="shared" si="582"/>
        <v>1</v>
      </c>
      <c r="AE664" s="57" t="str">
        <f t="shared" si="583"/>
        <v>2026-05</v>
      </c>
      <c r="AF664" s="57">
        <f t="shared" si="584"/>
        <v>1</v>
      </c>
      <c r="AG664" s="59">
        <f t="shared" si="585"/>
        <v>1</v>
      </c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</row>
    <row r="665" ht="24.0" customHeight="1">
      <c r="A665" s="45">
        <v>32.0</v>
      </c>
      <c r="B665" s="74" t="s">
        <v>2203</v>
      </c>
      <c r="C665" s="55" t="s">
        <v>2177</v>
      </c>
      <c r="D665" s="75"/>
      <c r="E665" s="57">
        <v>8.04517357E8</v>
      </c>
      <c r="F665" s="76">
        <v>34394.0</v>
      </c>
      <c r="G665" s="77">
        <v>32.0</v>
      </c>
      <c r="H665" s="78" t="s">
        <v>85</v>
      </c>
      <c r="I665" s="79" t="s">
        <v>86</v>
      </c>
      <c r="J665" s="80" t="str">
        <f t="shared" si="580"/>
        <v>female</v>
      </c>
      <c r="K665" s="58">
        <v>5.98087158E8</v>
      </c>
      <c r="L665" s="55" t="s">
        <v>34</v>
      </c>
      <c r="M665" s="57" t="s">
        <v>89</v>
      </c>
      <c r="N665" s="55" t="s">
        <v>90</v>
      </c>
      <c r="O665" s="55"/>
      <c r="P665" s="55" t="s">
        <v>91</v>
      </c>
      <c r="Q665" s="58" t="s">
        <v>16</v>
      </c>
      <c r="R665" s="55"/>
      <c r="S665" s="55"/>
      <c r="T665" s="82"/>
      <c r="U665" s="82"/>
      <c r="V665" s="57"/>
      <c r="W665" s="57"/>
      <c r="X665" s="57" t="str">
        <f t="shared" si="499"/>
        <v>--658-07-05</v>
      </c>
      <c r="Y665" s="58" t="str">
        <f t="shared" ref="Y665:AC665" si="615">TRIM(SUBSTITUTE(SUBSTITUTE(OFFSET(#REF!,0,COLUMN()-COLUMN($AL$1)),CHAR(160)," "),_xludf.UNICHAR(8239)," "))</f>
        <v>#REF!</v>
      </c>
      <c r="Z665" s="58" t="str">
        <f t="shared" si="615"/>
        <v>#REF!</v>
      </c>
      <c r="AA665" s="58" t="str">
        <f t="shared" si="615"/>
        <v>#REF!</v>
      </c>
      <c r="AB665" s="58" t="str">
        <f t="shared" si="615"/>
        <v>#REF!</v>
      </c>
      <c r="AC665" s="58" t="str">
        <f t="shared" si="615"/>
        <v>#REF!</v>
      </c>
      <c r="AD665" s="57">
        <f t="shared" si="582"/>
        <v>1</v>
      </c>
      <c r="AE665" s="57" t="str">
        <f t="shared" si="583"/>
        <v>2026-05</v>
      </c>
      <c r="AF665" s="57">
        <f t="shared" si="584"/>
        <v>1</v>
      </c>
      <c r="AG665" s="59">
        <f t="shared" si="585"/>
        <v>1</v>
      </c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</row>
    <row r="666" ht="24.0" customHeight="1">
      <c r="A666" s="45">
        <v>33.0</v>
      </c>
      <c r="B666" s="74" t="s">
        <v>2204</v>
      </c>
      <c r="C666" s="55" t="s">
        <v>2177</v>
      </c>
      <c r="D666" s="75"/>
      <c r="E666" s="57">
        <v>4.31770916E8</v>
      </c>
      <c r="F666" s="76">
        <v>40801.0</v>
      </c>
      <c r="G666" s="77">
        <v>15.0</v>
      </c>
      <c r="H666" s="78" t="str">
        <f t="shared" ref="H666:H745" si="617">IF(G666="","",IF(G666&lt;=5,"0-5",IF(G666&lt;=18,"6-18",IF(G666&lt;=60,"19-60","+60"))))</f>
        <v>6-18</v>
      </c>
      <c r="I666" s="79" t="s">
        <v>86</v>
      </c>
      <c r="J666" s="80" t="str">
        <f t="shared" si="580"/>
        <v>female</v>
      </c>
      <c r="K666" s="58">
        <v>5.98087158E8</v>
      </c>
      <c r="L666" s="55" t="s">
        <v>34</v>
      </c>
      <c r="M666" s="57" t="s">
        <v>133</v>
      </c>
      <c r="N666" s="55" t="s">
        <v>90</v>
      </c>
      <c r="O666" s="55"/>
      <c r="P666" s="55" t="s">
        <v>91</v>
      </c>
      <c r="Q666" s="58" t="s">
        <v>16</v>
      </c>
      <c r="R666" s="55"/>
      <c r="S666" s="55"/>
      <c r="T666" s="82"/>
      <c r="U666" s="82"/>
      <c r="V666" s="57"/>
      <c r="W666" s="57"/>
      <c r="X666" s="57" t="str">
        <f t="shared" si="499"/>
        <v>--659-07-05</v>
      </c>
      <c r="Y666" s="58" t="str">
        <f t="shared" ref="Y666:AC666" si="616">TRIM(SUBSTITUTE(SUBSTITUTE(OFFSET(#REF!,0,COLUMN()-COLUMN($AL$1)),CHAR(160)," "),_xludf.UNICHAR(8239)," "))</f>
        <v>#REF!</v>
      </c>
      <c r="Z666" s="58" t="str">
        <f t="shared" si="616"/>
        <v>#REF!</v>
      </c>
      <c r="AA666" s="58" t="str">
        <f t="shared" si="616"/>
        <v>#REF!</v>
      </c>
      <c r="AB666" s="58" t="str">
        <f t="shared" si="616"/>
        <v>#REF!</v>
      </c>
      <c r="AC666" s="58" t="str">
        <f t="shared" si="616"/>
        <v>#REF!</v>
      </c>
      <c r="AD666" s="57">
        <f t="shared" si="582"/>
        <v>1</v>
      </c>
      <c r="AE666" s="57" t="str">
        <f t="shared" si="583"/>
        <v>2026-05</v>
      </c>
      <c r="AF666" s="57">
        <f t="shared" si="584"/>
        <v>1</v>
      </c>
      <c r="AG666" s="59">
        <f t="shared" si="585"/>
        <v>1</v>
      </c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</row>
    <row r="667" ht="24.0" customHeight="1">
      <c r="A667" s="45">
        <v>34.0</v>
      </c>
      <c r="B667" s="74" t="s">
        <v>2205</v>
      </c>
      <c r="C667" s="55" t="s">
        <v>2177</v>
      </c>
      <c r="D667" s="75"/>
      <c r="E667" s="57">
        <v>8.01230533E8</v>
      </c>
      <c r="F667" s="76">
        <v>32879.0</v>
      </c>
      <c r="G667" s="77">
        <v>36.0</v>
      </c>
      <c r="H667" s="78" t="str">
        <f t="shared" si="617"/>
        <v>19-60</v>
      </c>
      <c r="I667" s="79" t="s">
        <v>86</v>
      </c>
      <c r="J667" s="80" t="str">
        <f t="shared" si="580"/>
        <v>female</v>
      </c>
      <c r="K667" s="58">
        <v>5.94548404E8</v>
      </c>
      <c r="L667" s="55" t="s">
        <v>34</v>
      </c>
      <c r="M667" s="57" t="s">
        <v>89</v>
      </c>
      <c r="N667" s="55" t="s">
        <v>90</v>
      </c>
      <c r="O667" s="55"/>
      <c r="P667" s="55" t="s">
        <v>91</v>
      </c>
      <c r="Q667" s="55"/>
      <c r="R667" s="58" t="s">
        <v>36</v>
      </c>
      <c r="S667" s="55"/>
      <c r="T667" s="82"/>
      <c r="U667" s="82"/>
      <c r="V667" s="57"/>
      <c r="W667" s="57"/>
      <c r="X667" s="57" t="str">
        <f t="shared" si="499"/>
        <v>--660-07-05</v>
      </c>
      <c r="Y667" s="58" t="str">
        <f t="shared" ref="Y667:AC667" si="618">TRIM(SUBSTITUTE(SUBSTITUTE(OFFSET(#REF!,0,COLUMN()-COLUMN($AL$1)),CHAR(160)," "),_xludf.UNICHAR(8239)," "))</f>
        <v>#REF!</v>
      </c>
      <c r="Z667" s="58" t="str">
        <f t="shared" si="618"/>
        <v>#REF!</v>
      </c>
      <c r="AA667" s="58" t="str">
        <f t="shared" si="618"/>
        <v>#REF!</v>
      </c>
      <c r="AB667" s="58" t="str">
        <f t="shared" si="618"/>
        <v>#REF!</v>
      </c>
      <c r="AC667" s="58" t="str">
        <f t="shared" si="618"/>
        <v>#REF!</v>
      </c>
      <c r="AD667" s="57">
        <f t="shared" si="582"/>
        <v>1</v>
      </c>
      <c r="AE667" s="57" t="str">
        <f t="shared" si="583"/>
        <v>2026-05</v>
      </c>
      <c r="AF667" s="57">
        <f t="shared" si="584"/>
        <v>1</v>
      </c>
      <c r="AG667" s="59">
        <f t="shared" si="585"/>
        <v>1</v>
      </c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</row>
    <row r="668" ht="24.0" customHeight="1">
      <c r="A668" s="45">
        <v>35.0</v>
      </c>
      <c r="B668" s="74" t="s">
        <v>2206</v>
      </c>
      <c r="C668" s="55" t="s">
        <v>2177</v>
      </c>
      <c r="D668" s="75"/>
      <c r="E668" s="57">
        <v>8.00813685E8</v>
      </c>
      <c r="F668" s="76">
        <v>29332.0</v>
      </c>
      <c r="G668" s="77">
        <v>46.0</v>
      </c>
      <c r="H668" s="78" t="str">
        <f t="shared" si="617"/>
        <v>19-60</v>
      </c>
      <c r="I668" s="79" t="s">
        <v>112</v>
      </c>
      <c r="J668" s="80" t="str">
        <f t="shared" si="580"/>
        <v>male</v>
      </c>
      <c r="K668" s="58">
        <v>5.94116115E8</v>
      </c>
      <c r="L668" s="55" t="s">
        <v>34</v>
      </c>
      <c r="M668" s="57" t="s">
        <v>89</v>
      </c>
      <c r="N668" s="55" t="s">
        <v>90</v>
      </c>
      <c r="O668" s="55"/>
      <c r="P668" s="55" t="s">
        <v>91</v>
      </c>
      <c r="Q668" s="58" t="s">
        <v>16</v>
      </c>
      <c r="R668" s="55"/>
      <c r="S668" s="55"/>
      <c r="T668" s="82"/>
      <c r="U668" s="82"/>
      <c r="V668" s="57"/>
      <c r="W668" s="57"/>
      <c r="X668" s="57" t="str">
        <f t="shared" si="499"/>
        <v>--661-07-05</v>
      </c>
      <c r="Y668" s="58" t="str">
        <f t="shared" ref="Y668:AC668" si="619">TRIM(SUBSTITUTE(SUBSTITUTE(OFFSET(#REF!,0,COLUMN()-COLUMN($AL$1)),CHAR(160)," "),_xludf.UNICHAR(8239)," "))</f>
        <v>#REF!</v>
      </c>
      <c r="Z668" s="58" t="str">
        <f t="shared" si="619"/>
        <v>#REF!</v>
      </c>
      <c r="AA668" s="58" t="str">
        <f t="shared" si="619"/>
        <v>#REF!</v>
      </c>
      <c r="AB668" s="58" t="str">
        <f t="shared" si="619"/>
        <v>#REF!</v>
      </c>
      <c r="AC668" s="58" t="str">
        <f t="shared" si="619"/>
        <v>#REF!</v>
      </c>
      <c r="AD668" s="57">
        <f t="shared" si="582"/>
        <v>1</v>
      </c>
      <c r="AE668" s="57" t="str">
        <f t="shared" si="583"/>
        <v>2026-05</v>
      </c>
      <c r="AF668" s="57">
        <f t="shared" si="584"/>
        <v>1</v>
      </c>
      <c r="AG668" s="59">
        <f t="shared" si="585"/>
        <v>1</v>
      </c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</row>
    <row r="669" ht="24.0" customHeight="1">
      <c r="A669" s="45">
        <v>36.0</v>
      </c>
      <c r="B669" s="74" t="s">
        <v>2207</v>
      </c>
      <c r="C669" s="55" t="s">
        <v>2177</v>
      </c>
      <c r="D669" s="75"/>
      <c r="E669" s="57">
        <v>4.05784216E8</v>
      </c>
      <c r="F669" s="76">
        <v>37225.0</v>
      </c>
      <c r="G669" s="77">
        <v>25.0</v>
      </c>
      <c r="H669" s="78" t="str">
        <f t="shared" si="617"/>
        <v>19-60</v>
      </c>
      <c r="I669" s="79" t="s">
        <v>86</v>
      </c>
      <c r="J669" s="80" t="str">
        <f t="shared" si="580"/>
        <v>female</v>
      </c>
      <c r="K669" s="58">
        <v>5.9837818E8</v>
      </c>
      <c r="L669" s="55" t="s">
        <v>34</v>
      </c>
      <c r="M669" s="57" t="s">
        <v>89</v>
      </c>
      <c r="N669" s="55" t="s">
        <v>90</v>
      </c>
      <c r="O669" s="55"/>
      <c r="P669" s="55" t="s">
        <v>91</v>
      </c>
      <c r="Q669" s="55"/>
      <c r="R669" s="58" t="s">
        <v>36</v>
      </c>
      <c r="S669" s="55"/>
      <c r="T669" s="82"/>
      <c r="U669" s="82"/>
      <c r="V669" s="57"/>
      <c r="W669" s="57"/>
      <c r="X669" s="57" t="str">
        <f t="shared" si="499"/>
        <v>--662-07-05</v>
      </c>
      <c r="Y669" s="58" t="str">
        <f t="shared" ref="Y669:AC669" si="620">TRIM(SUBSTITUTE(SUBSTITUTE(OFFSET(#REF!,0,COLUMN()-COLUMN($AL$1)),CHAR(160)," "),_xludf.UNICHAR(8239)," "))</f>
        <v>#REF!</v>
      </c>
      <c r="Z669" s="58" t="str">
        <f t="shared" si="620"/>
        <v>#REF!</v>
      </c>
      <c r="AA669" s="58" t="str">
        <f t="shared" si="620"/>
        <v>#REF!</v>
      </c>
      <c r="AB669" s="58" t="str">
        <f t="shared" si="620"/>
        <v>#REF!</v>
      </c>
      <c r="AC669" s="58" t="str">
        <f t="shared" si="620"/>
        <v>#REF!</v>
      </c>
      <c r="AD669" s="57">
        <f t="shared" si="582"/>
        <v>1</v>
      </c>
      <c r="AE669" s="57" t="str">
        <f t="shared" si="583"/>
        <v>2026-05</v>
      </c>
      <c r="AF669" s="57">
        <f t="shared" si="584"/>
        <v>1</v>
      </c>
      <c r="AG669" s="59">
        <f t="shared" si="585"/>
        <v>1</v>
      </c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</row>
    <row r="670" ht="24.0" customHeight="1">
      <c r="A670" s="45">
        <v>37.0</v>
      </c>
      <c r="B670" s="74" t="s">
        <v>2208</v>
      </c>
      <c r="C670" s="55" t="s">
        <v>2177</v>
      </c>
      <c r="D670" s="75"/>
      <c r="E670" s="57">
        <v>4.13057639E8</v>
      </c>
      <c r="F670" s="76">
        <v>28345.0</v>
      </c>
      <c r="G670" s="77">
        <v>49.0</v>
      </c>
      <c r="H670" s="78" t="str">
        <f t="shared" si="617"/>
        <v>19-60</v>
      </c>
      <c r="I670" s="79" t="s">
        <v>86</v>
      </c>
      <c r="J670" s="80" t="str">
        <f t="shared" si="580"/>
        <v>female</v>
      </c>
      <c r="K670" s="58">
        <v>5.99537098E8</v>
      </c>
      <c r="L670" s="55" t="s">
        <v>34</v>
      </c>
      <c r="M670" s="57" t="s">
        <v>89</v>
      </c>
      <c r="N670" s="55" t="s">
        <v>90</v>
      </c>
      <c r="O670" s="55"/>
      <c r="P670" s="55" t="s">
        <v>91</v>
      </c>
      <c r="Q670" s="58" t="s">
        <v>16</v>
      </c>
      <c r="R670" s="55"/>
      <c r="S670" s="55"/>
      <c r="T670" s="82"/>
      <c r="U670" s="82"/>
      <c r="V670" s="57"/>
      <c r="W670" s="57"/>
      <c r="X670" s="57" t="str">
        <f t="shared" si="499"/>
        <v>--663-07-05</v>
      </c>
      <c r="Y670" s="58" t="str">
        <f t="shared" ref="Y670:AC670" si="621">TRIM(SUBSTITUTE(SUBSTITUTE(OFFSET(#REF!,0,COLUMN()-COLUMN($AL$1)),CHAR(160)," "),_xludf.UNICHAR(8239)," "))</f>
        <v>#REF!</v>
      </c>
      <c r="Z670" s="58" t="str">
        <f t="shared" si="621"/>
        <v>#REF!</v>
      </c>
      <c r="AA670" s="58" t="str">
        <f t="shared" si="621"/>
        <v>#REF!</v>
      </c>
      <c r="AB670" s="58" t="str">
        <f t="shared" si="621"/>
        <v>#REF!</v>
      </c>
      <c r="AC670" s="58" t="str">
        <f t="shared" si="621"/>
        <v>#REF!</v>
      </c>
      <c r="AD670" s="57">
        <f t="shared" si="582"/>
        <v>1</v>
      </c>
      <c r="AE670" s="57" t="str">
        <f t="shared" si="583"/>
        <v>2026-05</v>
      </c>
      <c r="AF670" s="57">
        <f t="shared" si="584"/>
        <v>1</v>
      </c>
      <c r="AG670" s="59">
        <f t="shared" si="585"/>
        <v>1</v>
      </c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</row>
    <row r="671" ht="24.0" customHeight="1">
      <c r="A671" s="45">
        <v>38.0</v>
      </c>
      <c r="B671" s="74" t="s">
        <v>2209</v>
      </c>
      <c r="C671" s="55" t="s">
        <v>2177</v>
      </c>
      <c r="D671" s="75"/>
      <c r="E671" s="57">
        <v>4.44608482E8</v>
      </c>
      <c r="F671" s="76">
        <v>44333.0</v>
      </c>
      <c r="G671" s="77">
        <v>5.0</v>
      </c>
      <c r="H671" s="78" t="str">
        <f t="shared" si="617"/>
        <v>0-5</v>
      </c>
      <c r="I671" s="79" t="s">
        <v>112</v>
      </c>
      <c r="J671" s="80" t="str">
        <f t="shared" si="580"/>
        <v>male</v>
      </c>
      <c r="K671" s="58">
        <v>5.9214021E8</v>
      </c>
      <c r="L671" s="55" t="s">
        <v>34</v>
      </c>
      <c r="M671" s="57" t="s">
        <v>133</v>
      </c>
      <c r="N671" s="55" t="s">
        <v>90</v>
      </c>
      <c r="O671" s="55"/>
      <c r="P671" s="55" t="s">
        <v>91</v>
      </c>
      <c r="Q671" s="58" t="s">
        <v>16</v>
      </c>
      <c r="R671" s="55"/>
      <c r="S671" s="55"/>
      <c r="T671" s="82"/>
      <c r="U671" s="82"/>
      <c r="V671" s="57"/>
      <c r="W671" s="57"/>
      <c r="X671" s="57" t="str">
        <f t="shared" si="499"/>
        <v>--664-07-05</v>
      </c>
      <c r="Y671" s="58" t="str">
        <f t="shared" ref="Y671:AC671" si="622">TRIM(SUBSTITUTE(SUBSTITUTE(OFFSET(#REF!,0,COLUMN()-COLUMN($AL$1)),CHAR(160)," "),_xludf.UNICHAR(8239)," "))</f>
        <v>#REF!</v>
      </c>
      <c r="Z671" s="58" t="str">
        <f t="shared" si="622"/>
        <v>#REF!</v>
      </c>
      <c r="AA671" s="58" t="str">
        <f t="shared" si="622"/>
        <v>#REF!</v>
      </c>
      <c r="AB671" s="58" t="str">
        <f t="shared" si="622"/>
        <v>#REF!</v>
      </c>
      <c r="AC671" s="58" t="str">
        <f t="shared" si="622"/>
        <v>#REF!</v>
      </c>
      <c r="AD671" s="57">
        <f t="shared" si="582"/>
        <v>1</v>
      </c>
      <c r="AE671" s="57" t="str">
        <f t="shared" si="583"/>
        <v>2026-05</v>
      </c>
      <c r="AF671" s="57">
        <f t="shared" si="584"/>
        <v>1</v>
      </c>
      <c r="AG671" s="59">
        <f t="shared" si="585"/>
        <v>1</v>
      </c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</row>
    <row r="672" ht="24.0" customHeight="1">
      <c r="A672" s="45">
        <v>39.0</v>
      </c>
      <c r="B672" s="74" t="s">
        <v>2210</v>
      </c>
      <c r="C672" s="55" t="s">
        <v>2177</v>
      </c>
      <c r="D672" s="75">
        <v>46142.0</v>
      </c>
      <c r="E672" s="57">
        <v>8.01258328E8</v>
      </c>
      <c r="F672" s="76">
        <v>31810.0</v>
      </c>
      <c r="G672" s="77">
        <v>39.0</v>
      </c>
      <c r="H672" s="78" t="str">
        <f t="shared" si="617"/>
        <v>19-60</v>
      </c>
      <c r="I672" s="79" t="s">
        <v>86</v>
      </c>
      <c r="J672" s="80" t="str">
        <f t="shared" si="580"/>
        <v>female</v>
      </c>
      <c r="K672" s="58">
        <v>5.99065214E8</v>
      </c>
      <c r="L672" s="55" t="s">
        <v>34</v>
      </c>
      <c r="M672" s="57" t="s">
        <v>89</v>
      </c>
      <c r="N672" s="55" t="s">
        <v>90</v>
      </c>
      <c r="O672" s="55"/>
      <c r="P672" s="55" t="s">
        <v>91</v>
      </c>
      <c r="Q672" s="58" t="s">
        <v>16</v>
      </c>
      <c r="R672" s="55"/>
      <c r="S672" s="55"/>
      <c r="T672" s="82"/>
      <c r="U672" s="82"/>
      <c r="V672" s="57"/>
      <c r="W672" s="57"/>
      <c r="X672" s="57" t="str">
        <f t="shared" si="499"/>
        <v>--665-07-05</v>
      </c>
      <c r="Y672" s="58" t="str">
        <f t="shared" ref="Y672:AC672" si="623">TRIM(SUBSTITUTE(SUBSTITUTE(OFFSET(#REF!,0,COLUMN()-COLUMN($AL$1)),CHAR(160)," "),_xludf.UNICHAR(8239)," "))</f>
        <v>#REF!</v>
      </c>
      <c r="Z672" s="58" t="str">
        <f t="shared" si="623"/>
        <v>#REF!</v>
      </c>
      <c r="AA672" s="58" t="str">
        <f t="shared" si="623"/>
        <v>#REF!</v>
      </c>
      <c r="AB672" s="58" t="str">
        <f t="shared" si="623"/>
        <v>#REF!</v>
      </c>
      <c r="AC672" s="58" t="str">
        <f t="shared" si="623"/>
        <v>#REF!</v>
      </c>
      <c r="AD672" s="57">
        <f t="shared" si="582"/>
        <v>1</v>
      </c>
      <c r="AE672" s="57" t="str">
        <f t="shared" si="583"/>
        <v>2026-05</v>
      </c>
      <c r="AF672" s="57">
        <f t="shared" si="584"/>
        <v>1</v>
      </c>
      <c r="AG672" s="59">
        <f t="shared" si="585"/>
        <v>0</v>
      </c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</row>
    <row r="673" ht="24.0" customHeight="1">
      <c r="A673" s="45">
        <v>40.0</v>
      </c>
      <c r="B673" s="74" t="s">
        <v>2211</v>
      </c>
      <c r="C673" s="55" t="s">
        <v>2177</v>
      </c>
      <c r="D673" s="75">
        <v>46140.0</v>
      </c>
      <c r="E673" s="57">
        <v>4.07825454E8</v>
      </c>
      <c r="F673" s="76">
        <v>37555.0</v>
      </c>
      <c r="G673" s="77">
        <v>24.0</v>
      </c>
      <c r="H673" s="78" t="str">
        <f t="shared" si="617"/>
        <v>19-60</v>
      </c>
      <c r="I673" s="79" t="s">
        <v>86</v>
      </c>
      <c r="J673" s="80" t="str">
        <f t="shared" si="580"/>
        <v>female</v>
      </c>
      <c r="K673" s="58">
        <v>5.92366286E8</v>
      </c>
      <c r="L673" s="55" t="s">
        <v>34</v>
      </c>
      <c r="M673" s="57" t="s">
        <v>89</v>
      </c>
      <c r="N673" s="55" t="s">
        <v>90</v>
      </c>
      <c r="O673" s="55"/>
      <c r="P673" s="55" t="s">
        <v>91</v>
      </c>
      <c r="Q673" s="58" t="s">
        <v>4</v>
      </c>
      <c r="R673" s="55"/>
      <c r="S673" s="55"/>
      <c r="T673" s="82"/>
      <c r="U673" s="82"/>
      <c r="V673" s="57"/>
      <c r="W673" s="57"/>
      <c r="X673" s="57" t="str">
        <f t="shared" si="499"/>
        <v>--666-07-05</v>
      </c>
      <c r="Y673" s="58" t="str">
        <f t="shared" ref="Y673:AC673" si="624">TRIM(SUBSTITUTE(SUBSTITUTE(OFFSET(#REF!,0,COLUMN()-COLUMN($AL$1)),CHAR(160)," "),_xludf.UNICHAR(8239)," "))</f>
        <v>#REF!</v>
      </c>
      <c r="Z673" s="58" t="str">
        <f t="shared" si="624"/>
        <v>#REF!</v>
      </c>
      <c r="AA673" s="58" t="str">
        <f t="shared" si="624"/>
        <v>#REF!</v>
      </c>
      <c r="AB673" s="58" t="str">
        <f t="shared" si="624"/>
        <v>#REF!</v>
      </c>
      <c r="AC673" s="58" t="str">
        <f t="shared" si="624"/>
        <v>#REF!</v>
      </c>
      <c r="AD673" s="57">
        <f t="shared" si="582"/>
        <v>1</v>
      </c>
      <c r="AE673" s="57" t="str">
        <f t="shared" si="583"/>
        <v>2026-05</v>
      </c>
      <c r="AF673" s="57">
        <f t="shared" si="584"/>
        <v>1</v>
      </c>
      <c r="AG673" s="59">
        <f t="shared" si="585"/>
        <v>0</v>
      </c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</row>
    <row r="674" ht="24.0" customHeight="1">
      <c r="A674" s="45">
        <v>41.0</v>
      </c>
      <c r="B674" s="74" t="s">
        <v>2212</v>
      </c>
      <c r="C674" s="55" t="s">
        <v>2177</v>
      </c>
      <c r="D674" s="75"/>
      <c r="E674" s="57">
        <v>4.04116485E8</v>
      </c>
      <c r="F674" s="76">
        <v>36412.0</v>
      </c>
      <c r="G674" s="77">
        <v>27.0</v>
      </c>
      <c r="H674" s="78" t="str">
        <f t="shared" si="617"/>
        <v>19-60</v>
      </c>
      <c r="I674" s="79" t="s">
        <v>86</v>
      </c>
      <c r="J674" s="80" t="str">
        <f t="shared" si="580"/>
        <v>female</v>
      </c>
      <c r="K674" s="58">
        <v>5.92416217E8</v>
      </c>
      <c r="L674" s="55" t="s">
        <v>34</v>
      </c>
      <c r="M674" s="57" t="s">
        <v>89</v>
      </c>
      <c r="N674" s="55" t="s">
        <v>90</v>
      </c>
      <c r="O674" s="55"/>
      <c r="P674" s="55" t="s">
        <v>91</v>
      </c>
      <c r="Q674" s="55"/>
      <c r="R674" s="58" t="s">
        <v>17</v>
      </c>
      <c r="S674" s="55"/>
      <c r="T674" s="82"/>
      <c r="U674" s="82"/>
      <c r="V674" s="57"/>
      <c r="W674" s="57"/>
      <c r="X674" s="57" t="str">
        <f t="shared" si="499"/>
        <v>--667-07-05</v>
      </c>
      <c r="Y674" s="58" t="str">
        <f t="shared" ref="Y674:AC674" si="625">TRIM(SUBSTITUTE(SUBSTITUTE(OFFSET(#REF!,0,COLUMN()-COLUMN($AL$1)),CHAR(160)," "),_xludf.UNICHAR(8239)," "))</f>
        <v>#REF!</v>
      </c>
      <c r="Z674" s="58" t="str">
        <f t="shared" si="625"/>
        <v>#REF!</v>
      </c>
      <c r="AA674" s="58" t="str">
        <f t="shared" si="625"/>
        <v>#REF!</v>
      </c>
      <c r="AB674" s="58" t="str">
        <f t="shared" si="625"/>
        <v>#REF!</v>
      </c>
      <c r="AC674" s="58" t="str">
        <f t="shared" si="625"/>
        <v>#REF!</v>
      </c>
      <c r="AD674" s="57">
        <f t="shared" si="582"/>
        <v>1</v>
      </c>
      <c r="AE674" s="57" t="str">
        <f t="shared" si="583"/>
        <v>2026-05</v>
      </c>
      <c r="AF674" s="57">
        <f t="shared" si="584"/>
        <v>1</v>
      </c>
      <c r="AG674" s="59">
        <f t="shared" si="585"/>
        <v>1</v>
      </c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</row>
    <row r="675" ht="24.0" customHeight="1">
      <c r="A675" s="45">
        <v>42.0</v>
      </c>
      <c r="B675" s="74" t="s">
        <v>2213</v>
      </c>
      <c r="C675" s="55" t="s">
        <v>2177</v>
      </c>
      <c r="D675" s="75"/>
      <c r="E675" s="57">
        <v>4.44508923E8</v>
      </c>
      <c r="F675" s="76">
        <v>45272.0</v>
      </c>
      <c r="G675" s="77">
        <v>3.0</v>
      </c>
      <c r="H675" s="78" t="str">
        <f t="shared" si="617"/>
        <v>0-5</v>
      </c>
      <c r="I675" s="79" t="s">
        <v>86</v>
      </c>
      <c r="J675" s="80" t="str">
        <f t="shared" si="580"/>
        <v>female</v>
      </c>
      <c r="K675" s="58">
        <v>5.94404204E8</v>
      </c>
      <c r="L675" s="55" t="s">
        <v>34</v>
      </c>
      <c r="M675" s="57" t="s">
        <v>133</v>
      </c>
      <c r="N675" s="55" t="s">
        <v>90</v>
      </c>
      <c r="O675" s="55"/>
      <c r="P675" s="55" t="s">
        <v>91</v>
      </c>
      <c r="Q675" s="58" t="s">
        <v>16</v>
      </c>
      <c r="R675" s="55"/>
      <c r="S675" s="58"/>
      <c r="T675" s="82"/>
      <c r="U675" s="82"/>
      <c r="V675" s="57"/>
      <c r="W675" s="57"/>
      <c r="X675" s="57" t="str">
        <f t="shared" si="499"/>
        <v>--668-07-05</v>
      </c>
      <c r="Y675" s="58" t="str">
        <f t="shared" ref="Y675:AC675" si="626">TRIM(SUBSTITUTE(SUBSTITUTE(OFFSET(#REF!,0,COLUMN()-COLUMN($AL$1)),CHAR(160)," "),_xludf.UNICHAR(8239)," "))</f>
        <v>#REF!</v>
      </c>
      <c r="Z675" s="58" t="str">
        <f t="shared" si="626"/>
        <v>#REF!</v>
      </c>
      <c r="AA675" s="58" t="str">
        <f t="shared" si="626"/>
        <v>#REF!</v>
      </c>
      <c r="AB675" s="58" t="str">
        <f t="shared" si="626"/>
        <v>#REF!</v>
      </c>
      <c r="AC675" s="58" t="str">
        <f t="shared" si="626"/>
        <v>#REF!</v>
      </c>
      <c r="AD675" s="57">
        <f t="shared" si="582"/>
        <v>1</v>
      </c>
      <c r="AE675" s="57" t="str">
        <f t="shared" si="583"/>
        <v>2026-05</v>
      </c>
      <c r="AF675" s="57">
        <f t="shared" si="584"/>
        <v>1</v>
      </c>
      <c r="AG675" s="59">
        <f t="shared" si="585"/>
        <v>1</v>
      </c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</row>
    <row r="676" ht="24.0" customHeight="1">
      <c r="A676" s="45">
        <v>43.0</v>
      </c>
      <c r="B676" s="74" t="s">
        <v>1477</v>
      </c>
      <c r="C676" s="55" t="s">
        <v>2177</v>
      </c>
      <c r="D676" s="75">
        <v>46147.0</v>
      </c>
      <c r="E676" s="57">
        <v>4.38224065E8</v>
      </c>
      <c r="F676" s="76">
        <v>42829.0</v>
      </c>
      <c r="G676" s="77">
        <v>9.0</v>
      </c>
      <c r="H676" s="78" t="str">
        <f t="shared" si="617"/>
        <v>6-18</v>
      </c>
      <c r="I676" s="79" t="s">
        <v>112</v>
      </c>
      <c r="J676" s="80" t="str">
        <f t="shared" si="580"/>
        <v>male</v>
      </c>
      <c r="K676" s="58">
        <v>5.99622817E8</v>
      </c>
      <c r="L676" s="55" t="s">
        <v>34</v>
      </c>
      <c r="M676" s="57" t="s">
        <v>133</v>
      </c>
      <c r="N676" s="55" t="s">
        <v>90</v>
      </c>
      <c r="O676" s="55"/>
      <c r="P676" s="55" t="s">
        <v>91</v>
      </c>
      <c r="Q676" s="55"/>
      <c r="R676" s="55"/>
      <c r="S676" s="58" t="s">
        <v>6</v>
      </c>
      <c r="T676" s="82"/>
      <c r="U676" s="82"/>
      <c r="V676" s="57"/>
      <c r="W676" s="57"/>
      <c r="X676" s="57" t="str">
        <f t="shared" si="499"/>
        <v>--669-07-05</v>
      </c>
      <c r="Y676" s="58" t="str">
        <f t="shared" ref="Y676:AC676" si="627">TRIM(SUBSTITUTE(SUBSTITUTE(OFFSET(#REF!,0,COLUMN()-COLUMN($AL$1)),CHAR(160)," "),_xludf.UNICHAR(8239)," "))</f>
        <v>#REF!</v>
      </c>
      <c r="Z676" s="58" t="str">
        <f t="shared" si="627"/>
        <v>#REF!</v>
      </c>
      <c r="AA676" s="58" t="str">
        <f t="shared" si="627"/>
        <v>#REF!</v>
      </c>
      <c r="AB676" s="58" t="str">
        <f t="shared" si="627"/>
        <v>#REF!</v>
      </c>
      <c r="AC676" s="58" t="str">
        <f t="shared" si="627"/>
        <v>#REF!</v>
      </c>
      <c r="AD676" s="57">
        <f t="shared" si="582"/>
        <v>1</v>
      </c>
      <c r="AE676" s="57" t="str">
        <f t="shared" si="583"/>
        <v>2026-05</v>
      </c>
      <c r="AF676" s="57">
        <f t="shared" si="584"/>
        <v>0</v>
      </c>
      <c r="AG676" s="59">
        <f t="shared" si="585"/>
        <v>0</v>
      </c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</row>
    <row r="677" ht="24.0" customHeight="1">
      <c r="A677" s="45">
        <v>44.0</v>
      </c>
      <c r="B677" s="74" t="s">
        <v>2214</v>
      </c>
      <c r="C677" s="55" t="s">
        <v>2177</v>
      </c>
      <c r="D677" s="75"/>
      <c r="E677" s="57">
        <v>4.4298274E8</v>
      </c>
      <c r="F677" s="76">
        <v>44210.0</v>
      </c>
      <c r="G677" s="77">
        <v>5.0</v>
      </c>
      <c r="H677" s="78" t="str">
        <f t="shared" si="617"/>
        <v>0-5</v>
      </c>
      <c r="I677" s="79" t="s">
        <v>86</v>
      </c>
      <c r="J677" s="80" t="str">
        <f t="shared" si="580"/>
        <v>female</v>
      </c>
      <c r="K677" s="58">
        <v>5.94332717E8</v>
      </c>
      <c r="L677" s="55" t="s">
        <v>34</v>
      </c>
      <c r="M677" s="57" t="s">
        <v>133</v>
      </c>
      <c r="N677" s="55" t="s">
        <v>90</v>
      </c>
      <c r="O677" s="55"/>
      <c r="P677" s="55" t="s">
        <v>91</v>
      </c>
      <c r="Q677" s="58" t="s">
        <v>16</v>
      </c>
      <c r="R677" s="55"/>
      <c r="S677" s="55"/>
      <c r="T677" s="82"/>
      <c r="U677" s="82"/>
      <c r="V677" s="57"/>
      <c r="W677" s="57"/>
      <c r="X677" s="57" t="str">
        <f t="shared" si="499"/>
        <v>--670-07-05</v>
      </c>
      <c r="Y677" s="58" t="str">
        <f t="shared" ref="Y677:AC677" si="628">TRIM(SUBSTITUTE(SUBSTITUTE(OFFSET(#REF!,0,COLUMN()-COLUMN($AL$1)),CHAR(160)," "),_xludf.UNICHAR(8239)," "))</f>
        <v>#REF!</v>
      </c>
      <c r="Z677" s="58" t="str">
        <f t="shared" si="628"/>
        <v>#REF!</v>
      </c>
      <c r="AA677" s="58" t="str">
        <f t="shared" si="628"/>
        <v>#REF!</v>
      </c>
      <c r="AB677" s="58" t="str">
        <f t="shared" si="628"/>
        <v>#REF!</v>
      </c>
      <c r="AC677" s="58" t="str">
        <f t="shared" si="628"/>
        <v>#REF!</v>
      </c>
      <c r="AD677" s="57">
        <f t="shared" si="582"/>
        <v>1</v>
      </c>
      <c r="AE677" s="57" t="str">
        <f t="shared" si="583"/>
        <v>2026-05</v>
      </c>
      <c r="AF677" s="57">
        <f t="shared" si="584"/>
        <v>1</v>
      </c>
      <c r="AG677" s="59">
        <f t="shared" si="585"/>
        <v>1</v>
      </c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</row>
    <row r="678" ht="24.0" customHeight="1">
      <c r="A678" s="45">
        <v>45.0</v>
      </c>
      <c r="B678" s="74" t="s">
        <v>2215</v>
      </c>
      <c r="C678" s="55" t="s">
        <v>2177</v>
      </c>
      <c r="D678" s="75"/>
      <c r="E678" s="57">
        <v>4.01202569E8</v>
      </c>
      <c r="F678" s="76">
        <v>35146.0</v>
      </c>
      <c r="G678" s="77">
        <v>30.0</v>
      </c>
      <c r="H678" s="78" t="str">
        <f t="shared" si="617"/>
        <v>19-60</v>
      </c>
      <c r="I678" s="79" t="s">
        <v>86</v>
      </c>
      <c r="J678" s="80" t="str">
        <f t="shared" si="580"/>
        <v>female</v>
      </c>
      <c r="K678" s="58">
        <v>5.99290469E8</v>
      </c>
      <c r="L678" s="55" t="s">
        <v>34</v>
      </c>
      <c r="M678" s="57" t="s">
        <v>89</v>
      </c>
      <c r="N678" s="55" t="s">
        <v>90</v>
      </c>
      <c r="O678" s="55"/>
      <c r="P678" s="55" t="s">
        <v>91</v>
      </c>
      <c r="Q678" s="58" t="s">
        <v>4</v>
      </c>
      <c r="R678" s="55"/>
      <c r="S678" s="55"/>
      <c r="T678" s="82"/>
      <c r="U678" s="82"/>
      <c r="V678" s="57"/>
      <c r="W678" s="57"/>
      <c r="X678" s="57" t="str">
        <f t="shared" si="499"/>
        <v>--671-07-05</v>
      </c>
      <c r="Y678" s="58" t="str">
        <f t="shared" ref="Y678:AC678" si="629">TRIM(SUBSTITUTE(SUBSTITUTE(OFFSET(#REF!,0,COLUMN()-COLUMN($AL$1)),CHAR(160)," "),_xludf.UNICHAR(8239)," "))</f>
        <v>#REF!</v>
      </c>
      <c r="Z678" s="58" t="str">
        <f t="shared" si="629"/>
        <v>#REF!</v>
      </c>
      <c r="AA678" s="58" t="str">
        <f t="shared" si="629"/>
        <v>#REF!</v>
      </c>
      <c r="AB678" s="58" t="str">
        <f t="shared" si="629"/>
        <v>#REF!</v>
      </c>
      <c r="AC678" s="58" t="str">
        <f t="shared" si="629"/>
        <v>#REF!</v>
      </c>
      <c r="AD678" s="57">
        <f t="shared" si="582"/>
        <v>1</v>
      </c>
      <c r="AE678" s="57" t="str">
        <f t="shared" si="583"/>
        <v>2026-05</v>
      </c>
      <c r="AF678" s="57">
        <f t="shared" si="584"/>
        <v>1</v>
      </c>
      <c r="AG678" s="59">
        <f t="shared" si="585"/>
        <v>1</v>
      </c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</row>
    <row r="679" ht="24.0" customHeight="1">
      <c r="A679" s="45">
        <v>46.0</v>
      </c>
      <c r="B679" s="74" t="s">
        <v>2216</v>
      </c>
      <c r="C679" s="55" t="s">
        <v>2177</v>
      </c>
      <c r="D679" s="75"/>
      <c r="E679" s="57">
        <v>8.00338659E8</v>
      </c>
      <c r="F679" s="76">
        <v>31908.0</v>
      </c>
      <c r="G679" s="77">
        <v>39.0</v>
      </c>
      <c r="H679" s="78" t="str">
        <f t="shared" si="617"/>
        <v>19-60</v>
      </c>
      <c r="I679" s="79" t="s">
        <v>86</v>
      </c>
      <c r="J679" s="80" t="str">
        <f t="shared" si="580"/>
        <v>female</v>
      </c>
      <c r="K679" s="58">
        <v>5.99458403E8</v>
      </c>
      <c r="L679" s="55" t="s">
        <v>34</v>
      </c>
      <c r="M679" s="57" t="s">
        <v>89</v>
      </c>
      <c r="N679" s="55" t="s">
        <v>90</v>
      </c>
      <c r="O679" s="55"/>
      <c r="P679" s="55" t="s">
        <v>91</v>
      </c>
      <c r="Q679" s="58" t="s">
        <v>16</v>
      </c>
      <c r="R679" s="55"/>
      <c r="S679" s="55"/>
      <c r="T679" s="82"/>
      <c r="U679" s="82"/>
      <c r="V679" s="57"/>
      <c r="W679" s="57"/>
      <c r="X679" s="57" t="str">
        <f t="shared" si="499"/>
        <v>--672-07-05</v>
      </c>
      <c r="Y679" s="58" t="str">
        <f t="shared" ref="Y679:AC679" si="630">TRIM(SUBSTITUTE(SUBSTITUTE(OFFSET(#REF!,0,COLUMN()-COLUMN($AL$1)),CHAR(160)," "),_xludf.UNICHAR(8239)," "))</f>
        <v>#REF!</v>
      </c>
      <c r="Z679" s="58" t="str">
        <f t="shared" si="630"/>
        <v>#REF!</v>
      </c>
      <c r="AA679" s="58" t="str">
        <f t="shared" si="630"/>
        <v>#REF!</v>
      </c>
      <c r="AB679" s="58" t="str">
        <f t="shared" si="630"/>
        <v>#REF!</v>
      </c>
      <c r="AC679" s="58" t="str">
        <f t="shared" si="630"/>
        <v>#REF!</v>
      </c>
      <c r="AD679" s="57">
        <f t="shared" si="582"/>
        <v>1</v>
      </c>
      <c r="AE679" s="57" t="str">
        <f t="shared" si="583"/>
        <v>2026-05</v>
      </c>
      <c r="AF679" s="57">
        <f t="shared" si="584"/>
        <v>1</v>
      </c>
      <c r="AG679" s="59">
        <f t="shared" si="585"/>
        <v>1</v>
      </c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</row>
    <row r="680" ht="24.0" customHeight="1">
      <c r="A680" s="45">
        <v>47.0</v>
      </c>
      <c r="B680" s="74" t="s">
        <v>2217</v>
      </c>
      <c r="C680" s="55" t="s">
        <v>2177</v>
      </c>
      <c r="D680" s="75"/>
      <c r="E680" s="57">
        <v>9.14567086E8</v>
      </c>
      <c r="F680" s="76">
        <v>26571.0</v>
      </c>
      <c r="G680" s="77">
        <v>54.0</v>
      </c>
      <c r="H680" s="78" t="str">
        <f t="shared" si="617"/>
        <v>19-60</v>
      </c>
      <c r="I680" s="79" t="s">
        <v>86</v>
      </c>
      <c r="J680" s="80" t="str">
        <f t="shared" si="580"/>
        <v>female</v>
      </c>
      <c r="K680" s="58">
        <v>5.92273638E8</v>
      </c>
      <c r="L680" s="55" t="s">
        <v>34</v>
      </c>
      <c r="M680" s="57" t="s">
        <v>89</v>
      </c>
      <c r="N680" s="55" t="s">
        <v>90</v>
      </c>
      <c r="O680" s="55"/>
      <c r="P680" s="55" t="s">
        <v>91</v>
      </c>
      <c r="Q680" s="58" t="s">
        <v>16</v>
      </c>
      <c r="R680" s="55"/>
      <c r="S680" s="55"/>
      <c r="T680" s="82"/>
      <c r="U680" s="82"/>
      <c r="V680" s="57"/>
      <c r="W680" s="57"/>
      <c r="X680" s="57" t="str">
        <f t="shared" si="499"/>
        <v>--673-07-05</v>
      </c>
      <c r="Y680" s="58" t="str">
        <f t="shared" ref="Y680:AC680" si="631">TRIM(SUBSTITUTE(SUBSTITUTE(OFFSET(#REF!,0,COLUMN()-COLUMN($AL$1)),CHAR(160)," "),_xludf.UNICHAR(8239)," "))</f>
        <v>#REF!</v>
      </c>
      <c r="Z680" s="58" t="str">
        <f t="shared" si="631"/>
        <v>#REF!</v>
      </c>
      <c r="AA680" s="58" t="str">
        <f t="shared" si="631"/>
        <v>#REF!</v>
      </c>
      <c r="AB680" s="58" t="str">
        <f t="shared" si="631"/>
        <v>#REF!</v>
      </c>
      <c r="AC680" s="58" t="str">
        <f t="shared" si="631"/>
        <v>#REF!</v>
      </c>
      <c r="AD680" s="57">
        <f t="shared" si="582"/>
        <v>1</v>
      </c>
      <c r="AE680" s="57" t="str">
        <f t="shared" si="583"/>
        <v>2026-05</v>
      </c>
      <c r="AF680" s="57">
        <f t="shared" si="584"/>
        <v>1</v>
      </c>
      <c r="AG680" s="59">
        <f t="shared" si="585"/>
        <v>1</v>
      </c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</row>
    <row r="681" ht="24.0" customHeight="1">
      <c r="A681" s="45">
        <v>48.0</v>
      </c>
      <c r="B681" s="74" t="s">
        <v>2218</v>
      </c>
      <c r="C681" s="55" t="s">
        <v>2177</v>
      </c>
      <c r="D681" s="75"/>
      <c r="E681" s="57">
        <v>8.02425371E8</v>
      </c>
      <c r="F681" s="76">
        <v>32666.0</v>
      </c>
      <c r="G681" s="77">
        <v>37.0</v>
      </c>
      <c r="H681" s="78" t="str">
        <f t="shared" si="617"/>
        <v>19-60</v>
      </c>
      <c r="I681" s="79" t="s">
        <v>86</v>
      </c>
      <c r="J681" s="80" t="str">
        <f t="shared" si="580"/>
        <v>female</v>
      </c>
      <c r="K681" s="58">
        <v>5.97775156E8</v>
      </c>
      <c r="L681" s="55" t="s">
        <v>34</v>
      </c>
      <c r="M681" s="57" t="s">
        <v>89</v>
      </c>
      <c r="N681" s="55" t="s">
        <v>90</v>
      </c>
      <c r="O681" s="55"/>
      <c r="P681" s="55" t="s">
        <v>91</v>
      </c>
      <c r="Q681" s="55"/>
      <c r="R681" s="58" t="s">
        <v>36</v>
      </c>
      <c r="S681" s="55"/>
      <c r="T681" s="82"/>
      <c r="U681" s="82"/>
      <c r="V681" s="57"/>
      <c r="W681" s="57"/>
      <c r="X681" s="57" t="str">
        <f t="shared" si="499"/>
        <v>--674-07-05</v>
      </c>
      <c r="Y681" s="58" t="str">
        <f t="shared" ref="Y681:AC681" si="632">TRIM(SUBSTITUTE(SUBSTITUTE(OFFSET(#REF!,0,COLUMN()-COLUMN($AL$1)),CHAR(160)," "),_xludf.UNICHAR(8239)," "))</f>
        <v>#REF!</v>
      </c>
      <c r="Z681" s="58" t="str">
        <f t="shared" si="632"/>
        <v>#REF!</v>
      </c>
      <c r="AA681" s="58" t="str">
        <f t="shared" si="632"/>
        <v>#REF!</v>
      </c>
      <c r="AB681" s="58" t="str">
        <f t="shared" si="632"/>
        <v>#REF!</v>
      </c>
      <c r="AC681" s="58" t="str">
        <f t="shared" si="632"/>
        <v>#REF!</v>
      </c>
      <c r="AD681" s="57">
        <f t="shared" si="582"/>
        <v>1</v>
      </c>
      <c r="AE681" s="57" t="str">
        <f t="shared" si="583"/>
        <v>2026-05</v>
      </c>
      <c r="AF681" s="57">
        <f t="shared" si="584"/>
        <v>1</v>
      </c>
      <c r="AG681" s="59">
        <f t="shared" si="585"/>
        <v>1</v>
      </c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</row>
    <row r="682" ht="24.0" customHeight="1">
      <c r="A682" s="45">
        <v>49.0</v>
      </c>
      <c r="B682" s="74" t="s">
        <v>2219</v>
      </c>
      <c r="C682" s="55" t="s">
        <v>2177</v>
      </c>
      <c r="D682" s="75"/>
      <c r="E682" s="57">
        <v>4.70586553E8</v>
      </c>
      <c r="F682" s="76">
        <v>45885.0</v>
      </c>
      <c r="G682" s="55">
        <v>1.0</v>
      </c>
      <c r="H682" s="78" t="str">
        <f t="shared" si="617"/>
        <v>0-5</v>
      </c>
      <c r="I682" s="79" t="s">
        <v>112</v>
      </c>
      <c r="J682" s="80" t="str">
        <f t="shared" si="580"/>
        <v>male</v>
      </c>
      <c r="K682" s="58">
        <v>5.97775756E8</v>
      </c>
      <c r="L682" s="55" t="s">
        <v>34</v>
      </c>
      <c r="M682" s="57" t="s">
        <v>133</v>
      </c>
      <c r="N682" s="55" t="s">
        <v>90</v>
      </c>
      <c r="O682" s="55"/>
      <c r="P682" s="55" t="s">
        <v>91</v>
      </c>
      <c r="Q682" s="58" t="s">
        <v>16</v>
      </c>
      <c r="R682" s="55"/>
      <c r="S682" s="55"/>
      <c r="T682" s="82"/>
      <c r="U682" s="82"/>
      <c r="V682" s="57"/>
      <c r="W682" s="57"/>
      <c r="X682" s="57" t="str">
        <f t="shared" si="499"/>
        <v>--675-07-05</v>
      </c>
      <c r="Y682" s="58" t="str">
        <f t="shared" ref="Y682:AC682" si="633">TRIM(SUBSTITUTE(SUBSTITUTE(OFFSET(#REF!,0,COLUMN()-COLUMN($AL$1)),CHAR(160)," "),_xludf.UNICHAR(8239)," "))</f>
        <v>#REF!</v>
      </c>
      <c r="Z682" s="58" t="str">
        <f t="shared" si="633"/>
        <v>#REF!</v>
      </c>
      <c r="AA682" s="58" t="str">
        <f t="shared" si="633"/>
        <v>#REF!</v>
      </c>
      <c r="AB682" s="58" t="str">
        <f t="shared" si="633"/>
        <v>#REF!</v>
      </c>
      <c r="AC682" s="58" t="str">
        <f t="shared" si="633"/>
        <v>#REF!</v>
      </c>
      <c r="AD682" s="57">
        <f t="shared" si="582"/>
        <v>1</v>
      </c>
      <c r="AE682" s="57" t="str">
        <f t="shared" si="583"/>
        <v>2026-05</v>
      </c>
      <c r="AF682" s="57">
        <f t="shared" si="584"/>
        <v>1</v>
      </c>
      <c r="AG682" s="59">
        <f t="shared" si="585"/>
        <v>1</v>
      </c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</row>
    <row r="683" ht="24.0" customHeight="1">
      <c r="A683" s="45">
        <v>50.0</v>
      </c>
      <c r="B683" s="74" t="s">
        <v>2220</v>
      </c>
      <c r="C683" s="55" t="s">
        <v>2177</v>
      </c>
      <c r="D683" s="75"/>
      <c r="E683" s="57">
        <v>8.0385782E8</v>
      </c>
      <c r="F683" s="76">
        <v>34632.0</v>
      </c>
      <c r="G683" s="77">
        <v>32.0</v>
      </c>
      <c r="H683" s="78" t="str">
        <f t="shared" si="617"/>
        <v>19-60</v>
      </c>
      <c r="I683" s="79" t="s">
        <v>112</v>
      </c>
      <c r="J683" s="80" t="str">
        <f t="shared" si="580"/>
        <v>male</v>
      </c>
      <c r="K683" s="58">
        <v>5.92225585E8</v>
      </c>
      <c r="L683" s="55" t="s">
        <v>34</v>
      </c>
      <c r="M683" s="57" t="s">
        <v>89</v>
      </c>
      <c r="N683" s="55" t="s">
        <v>90</v>
      </c>
      <c r="O683" s="55"/>
      <c r="P683" s="55" t="s">
        <v>91</v>
      </c>
      <c r="Q683" s="58" t="s">
        <v>16</v>
      </c>
      <c r="R683" s="55"/>
      <c r="S683" s="55"/>
      <c r="T683" s="82"/>
      <c r="U683" s="82"/>
      <c r="V683" s="57"/>
      <c r="W683" s="57"/>
      <c r="X683" s="57" t="str">
        <f t="shared" si="499"/>
        <v>--676-07-05</v>
      </c>
      <c r="Y683" s="58" t="str">
        <f t="shared" ref="Y683:AC683" si="634">TRIM(SUBSTITUTE(SUBSTITUTE(OFFSET(#REF!,0,COLUMN()-COLUMN($AL$1)),CHAR(160)," "),_xludf.UNICHAR(8239)," "))</f>
        <v>#REF!</v>
      </c>
      <c r="Z683" s="58" t="str">
        <f t="shared" si="634"/>
        <v>#REF!</v>
      </c>
      <c r="AA683" s="58" t="str">
        <f t="shared" si="634"/>
        <v>#REF!</v>
      </c>
      <c r="AB683" s="58" t="str">
        <f t="shared" si="634"/>
        <v>#REF!</v>
      </c>
      <c r="AC683" s="58" t="str">
        <f t="shared" si="634"/>
        <v>#REF!</v>
      </c>
      <c r="AD683" s="57">
        <f t="shared" si="582"/>
        <v>1</v>
      </c>
      <c r="AE683" s="57" t="str">
        <f t="shared" si="583"/>
        <v>2026-05</v>
      </c>
      <c r="AF683" s="57">
        <f t="shared" si="584"/>
        <v>1</v>
      </c>
      <c r="AG683" s="59">
        <f t="shared" si="585"/>
        <v>1</v>
      </c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</row>
    <row r="684" ht="24.0" customHeight="1">
      <c r="A684" s="45">
        <v>51.0</v>
      </c>
      <c r="B684" s="74" t="s">
        <v>2221</v>
      </c>
      <c r="C684" s="55" t="s">
        <v>2177</v>
      </c>
      <c r="D684" s="75"/>
      <c r="E684" s="57">
        <v>4.08442044E8</v>
      </c>
      <c r="F684" s="76">
        <v>37624.0</v>
      </c>
      <c r="G684" s="77">
        <v>23.0</v>
      </c>
      <c r="H684" s="78" t="str">
        <f t="shared" si="617"/>
        <v>19-60</v>
      </c>
      <c r="I684" s="79" t="s">
        <v>86</v>
      </c>
      <c r="J684" s="80" t="str">
        <f t="shared" si="580"/>
        <v>female</v>
      </c>
      <c r="K684" s="58">
        <v>5.9961174E8</v>
      </c>
      <c r="L684" s="55" t="s">
        <v>34</v>
      </c>
      <c r="M684" s="57" t="s">
        <v>89</v>
      </c>
      <c r="N684" s="55" t="s">
        <v>90</v>
      </c>
      <c r="O684" s="55"/>
      <c r="P684" s="55" t="s">
        <v>91</v>
      </c>
      <c r="Q684" s="55"/>
      <c r="R684" s="58" t="s">
        <v>36</v>
      </c>
      <c r="S684" s="55"/>
      <c r="T684" s="82"/>
      <c r="U684" s="82"/>
      <c r="V684" s="57"/>
      <c r="W684" s="57"/>
      <c r="X684" s="57" t="str">
        <f t="shared" si="499"/>
        <v>--677-07-05</v>
      </c>
      <c r="Y684" s="58" t="str">
        <f t="shared" ref="Y684:AC684" si="635">TRIM(SUBSTITUTE(SUBSTITUTE(OFFSET(#REF!,0,COLUMN()-COLUMN($AL$1)),CHAR(160)," "),_xludf.UNICHAR(8239)," "))</f>
        <v>#REF!</v>
      </c>
      <c r="Z684" s="58" t="str">
        <f t="shared" si="635"/>
        <v>#REF!</v>
      </c>
      <c r="AA684" s="58" t="str">
        <f t="shared" si="635"/>
        <v>#REF!</v>
      </c>
      <c r="AB684" s="58" t="str">
        <f t="shared" si="635"/>
        <v>#REF!</v>
      </c>
      <c r="AC684" s="58" t="str">
        <f t="shared" si="635"/>
        <v>#REF!</v>
      </c>
      <c r="AD684" s="57">
        <f t="shared" si="582"/>
        <v>1</v>
      </c>
      <c r="AE684" s="57" t="str">
        <f t="shared" si="583"/>
        <v>2026-05</v>
      </c>
      <c r="AF684" s="57">
        <f t="shared" si="584"/>
        <v>1</v>
      </c>
      <c r="AG684" s="59">
        <f t="shared" si="585"/>
        <v>1</v>
      </c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</row>
    <row r="685" ht="24.0" customHeight="1">
      <c r="A685" s="45">
        <v>52.0</v>
      </c>
      <c r="B685" s="74" t="s">
        <v>2222</v>
      </c>
      <c r="C685" s="55" t="s">
        <v>2177</v>
      </c>
      <c r="D685" s="75"/>
      <c r="E685" s="57">
        <v>4.38320764E8</v>
      </c>
      <c r="F685" s="76">
        <v>43293.0</v>
      </c>
      <c r="G685" s="77">
        <v>8.0</v>
      </c>
      <c r="H685" s="78" t="str">
        <f t="shared" si="617"/>
        <v>6-18</v>
      </c>
      <c r="I685" s="79" t="s">
        <v>86</v>
      </c>
      <c r="J685" s="80" t="str">
        <f t="shared" si="580"/>
        <v>female</v>
      </c>
      <c r="K685" s="58">
        <v>5.67858585E8</v>
      </c>
      <c r="L685" s="55" t="s">
        <v>34</v>
      </c>
      <c r="M685" s="57" t="s">
        <v>133</v>
      </c>
      <c r="N685" s="55" t="s">
        <v>90</v>
      </c>
      <c r="O685" s="55"/>
      <c r="P685" s="55" t="s">
        <v>91</v>
      </c>
      <c r="Q685" s="58" t="s">
        <v>16</v>
      </c>
      <c r="R685" s="55"/>
      <c r="S685" s="55"/>
      <c r="T685" s="82"/>
      <c r="U685" s="82"/>
      <c r="V685" s="57"/>
      <c r="W685" s="57"/>
      <c r="X685" s="57" t="str">
        <f t="shared" si="499"/>
        <v>--678-07-05</v>
      </c>
      <c r="Y685" s="58" t="str">
        <f t="shared" ref="Y685:AC685" si="636">TRIM(SUBSTITUTE(SUBSTITUTE(OFFSET(#REF!,0,COLUMN()-COLUMN($AL$1)),CHAR(160)," "),_xludf.UNICHAR(8239)," "))</f>
        <v>#REF!</v>
      </c>
      <c r="Z685" s="58" t="str">
        <f t="shared" si="636"/>
        <v>#REF!</v>
      </c>
      <c r="AA685" s="58" t="str">
        <f t="shared" si="636"/>
        <v>#REF!</v>
      </c>
      <c r="AB685" s="58" t="str">
        <f t="shared" si="636"/>
        <v>#REF!</v>
      </c>
      <c r="AC685" s="58" t="str">
        <f t="shared" si="636"/>
        <v>#REF!</v>
      </c>
      <c r="AD685" s="57">
        <f t="shared" si="582"/>
        <v>1</v>
      </c>
      <c r="AE685" s="57" t="str">
        <f t="shared" si="583"/>
        <v>2026-05</v>
      </c>
      <c r="AF685" s="57">
        <f t="shared" si="584"/>
        <v>1</v>
      </c>
      <c r="AG685" s="59">
        <f t="shared" si="585"/>
        <v>1</v>
      </c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</row>
    <row r="686" ht="24.0" customHeight="1">
      <c r="A686" s="45">
        <v>53.0</v>
      </c>
      <c r="B686" s="74" t="s">
        <v>2223</v>
      </c>
      <c r="C686" s="55" t="s">
        <v>2177</v>
      </c>
      <c r="D686" s="75"/>
      <c r="E686" s="57">
        <v>4.44669097E8</v>
      </c>
      <c r="F686" s="76">
        <v>44985.0</v>
      </c>
      <c r="G686" s="77">
        <v>3.0</v>
      </c>
      <c r="H686" s="78" t="str">
        <f t="shared" si="617"/>
        <v>0-5</v>
      </c>
      <c r="I686" s="79" t="s">
        <v>86</v>
      </c>
      <c r="J686" s="80" t="str">
        <f t="shared" si="580"/>
        <v>female</v>
      </c>
      <c r="K686" s="58">
        <v>5.67852858E8</v>
      </c>
      <c r="L686" s="55" t="s">
        <v>34</v>
      </c>
      <c r="M686" s="57" t="s">
        <v>133</v>
      </c>
      <c r="N686" s="55" t="s">
        <v>90</v>
      </c>
      <c r="O686" s="55"/>
      <c r="P686" s="55" t="s">
        <v>91</v>
      </c>
      <c r="Q686" s="58" t="s">
        <v>16</v>
      </c>
      <c r="R686" s="55"/>
      <c r="S686" s="55"/>
      <c r="T686" s="82"/>
      <c r="U686" s="82"/>
      <c r="V686" s="57"/>
      <c r="W686" s="57"/>
      <c r="X686" s="57" t="str">
        <f t="shared" si="499"/>
        <v>--679-07-05</v>
      </c>
      <c r="Y686" s="58" t="str">
        <f t="shared" ref="Y686:AC686" si="637">TRIM(SUBSTITUTE(SUBSTITUTE(OFFSET(#REF!,0,COLUMN()-COLUMN($AL$1)),CHAR(160)," "),_xludf.UNICHAR(8239)," "))</f>
        <v>#REF!</v>
      </c>
      <c r="Z686" s="58" t="str">
        <f t="shared" si="637"/>
        <v>#REF!</v>
      </c>
      <c r="AA686" s="58" t="str">
        <f t="shared" si="637"/>
        <v>#REF!</v>
      </c>
      <c r="AB686" s="58" t="str">
        <f t="shared" si="637"/>
        <v>#REF!</v>
      </c>
      <c r="AC686" s="58" t="str">
        <f t="shared" si="637"/>
        <v>#REF!</v>
      </c>
      <c r="AD686" s="57">
        <f t="shared" si="582"/>
        <v>1</v>
      </c>
      <c r="AE686" s="57" t="str">
        <f t="shared" si="583"/>
        <v>2026-05</v>
      </c>
      <c r="AF686" s="57">
        <f t="shared" si="584"/>
        <v>1</v>
      </c>
      <c r="AG686" s="59">
        <f t="shared" si="585"/>
        <v>1</v>
      </c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</row>
    <row r="687" ht="24.0" customHeight="1">
      <c r="A687" s="45">
        <v>54.0</v>
      </c>
      <c r="B687" s="74" t="s">
        <v>2224</v>
      </c>
      <c r="C687" s="55" t="s">
        <v>2177</v>
      </c>
      <c r="D687" s="75"/>
      <c r="E687" s="57">
        <v>8.02557058E8</v>
      </c>
      <c r="F687" s="76">
        <v>33561.0</v>
      </c>
      <c r="G687" s="77">
        <v>35.0</v>
      </c>
      <c r="H687" s="78" t="str">
        <f t="shared" si="617"/>
        <v>19-60</v>
      </c>
      <c r="I687" s="79" t="s">
        <v>86</v>
      </c>
      <c r="J687" s="80" t="str">
        <f t="shared" si="580"/>
        <v>female</v>
      </c>
      <c r="K687" s="58">
        <v>5.97424281E8</v>
      </c>
      <c r="L687" s="55" t="s">
        <v>34</v>
      </c>
      <c r="M687" s="57" t="s">
        <v>89</v>
      </c>
      <c r="N687" s="55" t="s">
        <v>90</v>
      </c>
      <c r="O687" s="55"/>
      <c r="P687" s="55" t="s">
        <v>91</v>
      </c>
      <c r="Q687" s="58" t="s">
        <v>16</v>
      </c>
      <c r="R687" s="55"/>
      <c r="S687" s="55"/>
      <c r="T687" s="82"/>
      <c r="U687" s="82"/>
      <c r="V687" s="57"/>
      <c r="W687" s="57"/>
      <c r="X687" s="57" t="str">
        <f t="shared" si="499"/>
        <v>--680-07-05</v>
      </c>
      <c r="Y687" s="58" t="str">
        <f t="shared" ref="Y687:AC687" si="638">TRIM(SUBSTITUTE(SUBSTITUTE(OFFSET(#REF!,0,COLUMN()-COLUMN($AL$1)),CHAR(160)," "),_xludf.UNICHAR(8239)," "))</f>
        <v>#REF!</v>
      </c>
      <c r="Z687" s="58" t="str">
        <f t="shared" si="638"/>
        <v>#REF!</v>
      </c>
      <c r="AA687" s="58" t="str">
        <f t="shared" si="638"/>
        <v>#REF!</v>
      </c>
      <c r="AB687" s="58" t="str">
        <f t="shared" si="638"/>
        <v>#REF!</v>
      </c>
      <c r="AC687" s="58" t="str">
        <f t="shared" si="638"/>
        <v>#REF!</v>
      </c>
      <c r="AD687" s="57">
        <f t="shared" si="582"/>
        <v>1</v>
      </c>
      <c r="AE687" s="57" t="str">
        <f t="shared" si="583"/>
        <v>2026-05</v>
      </c>
      <c r="AF687" s="57">
        <f t="shared" si="584"/>
        <v>1</v>
      </c>
      <c r="AG687" s="59">
        <f t="shared" si="585"/>
        <v>1</v>
      </c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</row>
    <row r="688" ht="24.0" customHeight="1">
      <c r="A688" s="45">
        <v>55.0</v>
      </c>
      <c r="B688" s="74" t="s">
        <v>2225</v>
      </c>
      <c r="C688" s="55" t="s">
        <v>2177</v>
      </c>
      <c r="D688" s="75"/>
      <c r="E688" s="57">
        <v>8.04400372E8</v>
      </c>
      <c r="F688" s="76">
        <v>34764.0</v>
      </c>
      <c r="G688" s="77">
        <v>31.0</v>
      </c>
      <c r="H688" s="78" t="str">
        <f t="shared" si="617"/>
        <v>19-60</v>
      </c>
      <c r="I688" s="79" t="s">
        <v>86</v>
      </c>
      <c r="J688" s="80" t="str">
        <f t="shared" si="580"/>
        <v>female</v>
      </c>
      <c r="K688" s="58">
        <v>5.97852116E8</v>
      </c>
      <c r="L688" s="55" t="s">
        <v>34</v>
      </c>
      <c r="M688" s="57" t="s">
        <v>89</v>
      </c>
      <c r="N688" s="55" t="s">
        <v>90</v>
      </c>
      <c r="O688" s="55"/>
      <c r="P688" s="55" t="s">
        <v>91</v>
      </c>
      <c r="Q688" s="55"/>
      <c r="R688" s="58" t="s">
        <v>5</v>
      </c>
      <c r="S688" s="55"/>
      <c r="T688" s="82"/>
      <c r="U688" s="82" t="s">
        <v>7</v>
      </c>
      <c r="V688" s="57"/>
      <c r="W688" s="57"/>
      <c r="X688" s="57" t="str">
        <f t="shared" si="499"/>
        <v>--681-07-05</v>
      </c>
      <c r="Y688" s="58" t="str">
        <f t="shared" ref="Y688:AC688" si="639">TRIM(SUBSTITUTE(SUBSTITUTE(OFFSET(#REF!,0,COLUMN()-COLUMN($AL$1)),CHAR(160)," "),_xludf.UNICHAR(8239)," "))</f>
        <v>#REF!</v>
      </c>
      <c r="Z688" s="58" t="str">
        <f t="shared" si="639"/>
        <v>#REF!</v>
      </c>
      <c r="AA688" s="58" t="str">
        <f t="shared" si="639"/>
        <v>#REF!</v>
      </c>
      <c r="AB688" s="58" t="str">
        <f t="shared" si="639"/>
        <v>#REF!</v>
      </c>
      <c r="AC688" s="58" t="str">
        <f t="shared" si="639"/>
        <v>#REF!</v>
      </c>
      <c r="AD688" s="57">
        <f t="shared" si="582"/>
        <v>1</v>
      </c>
      <c r="AE688" s="57" t="str">
        <f t="shared" si="583"/>
        <v>2026-05</v>
      </c>
      <c r="AF688" s="57">
        <f t="shared" si="584"/>
        <v>1</v>
      </c>
      <c r="AG688" s="59">
        <f t="shared" si="585"/>
        <v>1</v>
      </c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</row>
    <row r="689" ht="24.0" customHeight="1">
      <c r="A689" s="45">
        <v>56.0</v>
      </c>
      <c r="B689" s="74" t="s">
        <v>2226</v>
      </c>
      <c r="C689" s="55" t="s">
        <v>2177</v>
      </c>
      <c r="D689" s="75"/>
      <c r="E689" s="57">
        <v>4.00269833E8</v>
      </c>
      <c r="F689" s="76">
        <v>35422.0</v>
      </c>
      <c r="G689" s="77">
        <v>30.0</v>
      </c>
      <c r="H689" s="78" t="str">
        <f t="shared" si="617"/>
        <v>19-60</v>
      </c>
      <c r="I689" s="79" t="s">
        <v>86</v>
      </c>
      <c r="J689" s="80" t="str">
        <f t="shared" si="580"/>
        <v>female</v>
      </c>
      <c r="K689" s="58">
        <v>5.92185222E8</v>
      </c>
      <c r="L689" s="55" t="s">
        <v>34</v>
      </c>
      <c r="M689" s="57" t="s">
        <v>89</v>
      </c>
      <c r="N689" s="55" t="s">
        <v>90</v>
      </c>
      <c r="O689" s="55"/>
      <c r="P689" s="55" t="s">
        <v>91</v>
      </c>
      <c r="Q689" s="55"/>
      <c r="R689" s="58" t="s">
        <v>27</v>
      </c>
      <c r="S689" s="55"/>
      <c r="T689" s="82"/>
      <c r="U689" s="82"/>
      <c r="V689" s="57"/>
      <c r="W689" s="57"/>
      <c r="X689" s="57" t="str">
        <f t="shared" si="499"/>
        <v>--682-07-05</v>
      </c>
      <c r="Y689" s="58" t="str">
        <f t="shared" ref="Y689:AC689" si="640">TRIM(SUBSTITUTE(SUBSTITUTE(OFFSET(#REF!,0,COLUMN()-COLUMN($AL$1)),CHAR(160)," "),_xludf.UNICHAR(8239)," "))</f>
        <v>#REF!</v>
      </c>
      <c r="Z689" s="58" t="str">
        <f t="shared" si="640"/>
        <v>#REF!</v>
      </c>
      <c r="AA689" s="58" t="str">
        <f t="shared" si="640"/>
        <v>#REF!</v>
      </c>
      <c r="AB689" s="58" t="str">
        <f t="shared" si="640"/>
        <v>#REF!</v>
      </c>
      <c r="AC689" s="58" t="str">
        <f t="shared" si="640"/>
        <v>#REF!</v>
      </c>
      <c r="AD689" s="57">
        <f t="shared" si="582"/>
        <v>1</v>
      </c>
      <c r="AE689" s="57" t="str">
        <f t="shared" si="583"/>
        <v>2026-05</v>
      </c>
      <c r="AF689" s="57">
        <f t="shared" si="584"/>
        <v>1</v>
      </c>
      <c r="AG689" s="59">
        <f t="shared" si="585"/>
        <v>1</v>
      </c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</row>
    <row r="690" ht="24.0" customHeight="1">
      <c r="A690" s="45">
        <v>57.0</v>
      </c>
      <c r="B690" s="74" t="s">
        <v>2227</v>
      </c>
      <c r="C690" s="55" t="s">
        <v>2177</v>
      </c>
      <c r="D690" s="75"/>
      <c r="E690" s="57">
        <v>4.45955792E8</v>
      </c>
      <c r="F690" s="76">
        <v>44962.0</v>
      </c>
      <c r="G690" s="77">
        <v>3.0</v>
      </c>
      <c r="H690" s="78" t="str">
        <f t="shared" si="617"/>
        <v>0-5</v>
      </c>
      <c r="I690" s="79" t="s">
        <v>112</v>
      </c>
      <c r="J690" s="80" t="str">
        <f t="shared" si="580"/>
        <v>male</v>
      </c>
      <c r="K690" s="58">
        <v>5.92185222E8</v>
      </c>
      <c r="L690" s="55" t="s">
        <v>34</v>
      </c>
      <c r="M690" s="57" t="s">
        <v>133</v>
      </c>
      <c r="N690" s="55" t="s">
        <v>90</v>
      </c>
      <c r="O690" s="55"/>
      <c r="P690" s="55" t="s">
        <v>91</v>
      </c>
      <c r="Q690" s="58" t="s">
        <v>16</v>
      </c>
      <c r="R690" s="55"/>
      <c r="S690" s="55"/>
      <c r="T690" s="82"/>
      <c r="U690" s="82"/>
      <c r="V690" s="57"/>
      <c r="W690" s="57"/>
      <c r="X690" s="57" t="str">
        <f t="shared" si="499"/>
        <v>--683-07-05</v>
      </c>
      <c r="Y690" s="58" t="str">
        <f t="shared" ref="Y690:AC690" si="641">TRIM(SUBSTITUTE(SUBSTITUTE(OFFSET(#REF!,0,COLUMN()-COLUMN($AL$1)),CHAR(160)," "),_xludf.UNICHAR(8239)," "))</f>
        <v>#REF!</v>
      </c>
      <c r="Z690" s="58" t="str">
        <f t="shared" si="641"/>
        <v>#REF!</v>
      </c>
      <c r="AA690" s="58" t="str">
        <f t="shared" si="641"/>
        <v>#REF!</v>
      </c>
      <c r="AB690" s="58" t="str">
        <f t="shared" si="641"/>
        <v>#REF!</v>
      </c>
      <c r="AC690" s="58" t="str">
        <f t="shared" si="641"/>
        <v>#REF!</v>
      </c>
      <c r="AD690" s="57">
        <f t="shared" si="582"/>
        <v>1</v>
      </c>
      <c r="AE690" s="57" t="str">
        <f t="shared" si="583"/>
        <v>2026-05</v>
      </c>
      <c r="AF690" s="57">
        <f t="shared" si="584"/>
        <v>1</v>
      </c>
      <c r="AG690" s="59">
        <f t="shared" si="585"/>
        <v>1</v>
      </c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</row>
    <row r="691" ht="24.0" customHeight="1">
      <c r="A691" s="45">
        <v>58.0</v>
      </c>
      <c r="B691" s="74" t="s">
        <v>2228</v>
      </c>
      <c r="C691" s="55" t="s">
        <v>2177</v>
      </c>
      <c r="D691" s="75"/>
      <c r="E691" s="57">
        <v>8.02675959E8</v>
      </c>
      <c r="F691" s="76">
        <v>33259.0</v>
      </c>
      <c r="G691" s="77">
        <v>35.0</v>
      </c>
      <c r="H691" s="78" t="str">
        <f t="shared" si="617"/>
        <v>19-60</v>
      </c>
      <c r="I691" s="79" t="s">
        <v>86</v>
      </c>
      <c r="J691" s="80" t="str">
        <f t="shared" si="580"/>
        <v>female</v>
      </c>
      <c r="K691" s="58">
        <v>5.95089961E8</v>
      </c>
      <c r="L691" s="55" t="s">
        <v>34</v>
      </c>
      <c r="M691" s="57" t="s">
        <v>89</v>
      </c>
      <c r="N691" s="55" t="s">
        <v>90</v>
      </c>
      <c r="O691" s="55"/>
      <c r="P691" s="55" t="s">
        <v>91</v>
      </c>
      <c r="Q691" s="55"/>
      <c r="R691" s="58" t="s">
        <v>17</v>
      </c>
      <c r="S691" s="55"/>
      <c r="T691" s="82"/>
      <c r="U691" s="82"/>
      <c r="V691" s="57"/>
      <c r="W691" s="57"/>
      <c r="X691" s="57" t="str">
        <f t="shared" si="499"/>
        <v>--684-07-05</v>
      </c>
      <c r="Y691" s="58" t="str">
        <f t="shared" ref="Y691:AC691" si="642">TRIM(SUBSTITUTE(SUBSTITUTE(OFFSET(#REF!,0,COLUMN()-COLUMN($AL$1)),CHAR(160)," "),_xludf.UNICHAR(8239)," "))</f>
        <v>#REF!</v>
      </c>
      <c r="Z691" s="58" t="str">
        <f t="shared" si="642"/>
        <v>#REF!</v>
      </c>
      <c r="AA691" s="58" t="str">
        <f t="shared" si="642"/>
        <v>#REF!</v>
      </c>
      <c r="AB691" s="58" t="str">
        <f t="shared" si="642"/>
        <v>#REF!</v>
      </c>
      <c r="AC691" s="58" t="str">
        <f t="shared" si="642"/>
        <v>#REF!</v>
      </c>
      <c r="AD691" s="57">
        <f t="shared" si="582"/>
        <v>1</v>
      </c>
      <c r="AE691" s="57" t="str">
        <f t="shared" si="583"/>
        <v>2026-05</v>
      </c>
      <c r="AF691" s="57">
        <f t="shared" si="584"/>
        <v>1</v>
      </c>
      <c r="AG691" s="59">
        <f t="shared" si="585"/>
        <v>1</v>
      </c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</row>
    <row r="692" ht="24.0" customHeight="1">
      <c r="A692" s="45">
        <v>59.0</v>
      </c>
      <c r="B692" s="74" t="s">
        <v>2229</v>
      </c>
      <c r="C692" s="55" t="s">
        <v>2177</v>
      </c>
      <c r="D692" s="75"/>
      <c r="E692" s="57">
        <v>4.22463984E8</v>
      </c>
      <c r="F692" s="76">
        <v>39293.0</v>
      </c>
      <c r="G692" s="77">
        <v>19.0</v>
      </c>
      <c r="H692" s="78" t="str">
        <f t="shared" si="617"/>
        <v>19-60</v>
      </c>
      <c r="I692" s="79" t="s">
        <v>86</v>
      </c>
      <c r="J692" s="80" t="str">
        <f t="shared" si="580"/>
        <v>female</v>
      </c>
      <c r="K692" s="58">
        <v>5.95773164E8</v>
      </c>
      <c r="L692" s="55" t="s">
        <v>34</v>
      </c>
      <c r="M692" s="57" t="s">
        <v>89</v>
      </c>
      <c r="N692" s="55" t="s">
        <v>90</v>
      </c>
      <c r="O692" s="55"/>
      <c r="P692" s="55" t="s">
        <v>91</v>
      </c>
      <c r="Q692" s="55"/>
      <c r="R692" s="58" t="s">
        <v>5</v>
      </c>
      <c r="S692" s="55"/>
      <c r="T692" s="82"/>
      <c r="U692" s="82" t="s">
        <v>7</v>
      </c>
      <c r="V692" s="57"/>
      <c r="W692" s="57"/>
      <c r="X692" s="57" t="str">
        <f t="shared" si="499"/>
        <v>--685-07-05</v>
      </c>
      <c r="Y692" s="58" t="str">
        <f t="shared" ref="Y692:AC692" si="643">TRIM(SUBSTITUTE(SUBSTITUTE(OFFSET(#REF!,0,COLUMN()-COLUMN($AL$1)),CHAR(160)," "),_xludf.UNICHAR(8239)," "))</f>
        <v>#REF!</v>
      </c>
      <c r="Z692" s="58" t="str">
        <f t="shared" si="643"/>
        <v>#REF!</v>
      </c>
      <c r="AA692" s="58" t="str">
        <f t="shared" si="643"/>
        <v>#REF!</v>
      </c>
      <c r="AB692" s="58" t="str">
        <f t="shared" si="643"/>
        <v>#REF!</v>
      </c>
      <c r="AC692" s="58" t="str">
        <f t="shared" si="643"/>
        <v>#REF!</v>
      </c>
      <c r="AD692" s="57">
        <f t="shared" si="582"/>
        <v>1</v>
      </c>
      <c r="AE692" s="57" t="str">
        <f t="shared" si="583"/>
        <v>2026-05</v>
      </c>
      <c r="AF692" s="57">
        <f t="shared" si="584"/>
        <v>1</v>
      </c>
      <c r="AG692" s="59">
        <f t="shared" si="585"/>
        <v>1</v>
      </c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</row>
    <row r="693" ht="24.0" customHeight="1">
      <c r="A693" s="45">
        <v>60.0</v>
      </c>
      <c r="B693" s="74" t="s">
        <v>2230</v>
      </c>
      <c r="C693" s="55" t="s">
        <v>2177</v>
      </c>
      <c r="D693" s="75"/>
      <c r="E693" s="57">
        <v>8.04332435E8</v>
      </c>
      <c r="F693" s="76">
        <v>33671.0</v>
      </c>
      <c r="G693" s="77">
        <v>34.0</v>
      </c>
      <c r="H693" s="78" t="str">
        <f t="shared" si="617"/>
        <v>19-60</v>
      </c>
      <c r="I693" s="79" t="s">
        <v>86</v>
      </c>
      <c r="J693" s="80" t="str">
        <f t="shared" si="580"/>
        <v>female</v>
      </c>
      <c r="K693" s="58">
        <v>5.98510345E8</v>
      </c>
      <c r="L693" s="55" t="s">
        <v>34</v>
      </c>
      <c r="M693" s="57" t="s">
        <v>89</v>
      </c>
      <c r="N693" s="55" t="s">
        <v>90</v>
      </c>
      <c r="O693" s="55"/>
      <c r="P693" s="55" t="s">
        <v>91</v>
      </c>
      <c r="Q693" s="55"/>
      <c r="R693" s="58" t="s">
        <v>5</v>
      </c>
      <c r="S693" s="55"/>
      <c r="T693" s="82"/>
      <c r="U693" s="82" t="s">
        <v>7</v>
      </c>
      <c r="V693" s="57"/>
      <c r="W693" s="57"/>
      <c r="X693" s="57" t="str">
        <f t="shared" si="499"/>
        <v>--686-07-05</v>
      </c>
      <c r="Y693" s="58" t="str">
        <f t="shared" ref="Y693:AC693" si="644">TRIM(SUBSTITUTE(SUBSTITUTE(OFFSET(#REF!,0,COLUMN()-COLUMN($AL$1)),CHAR(160)," "),_xludf.UNICHAR(8239)," "))</f>
        <v>#REF!</v>
      </c>
      <c r="Z693" s="58" t="str">
        <f t="shared" si="644"/>
        <v>#REF!</v>
      </c>
      <c r="AA693" s="58" t="str">
        <f t="shared" si="644"/>
        <v>#REF!</v>
      </c>
      <c r="AB693" s="58" t="str">
        <f t="shared" si="644"/>
        <v>#REF!</v>
      </c>
      <c r="AC693" s="58" t="str">
        <f t="shared" si="644"/>
        <v>#REF!</v>
      </c>
      <c r="AD693" s="57">
        <f t="shared" si="582"/>
        <v>1</v>
      </c>
      <c r="AE693" s="57" t="str">
        <f t="shared" si="583"/>
        <v>2026-05</v>
      </c>
      <c r="AF693" s="57">
        <f t="shared" si="584"/>
        <v>1</v>
      </c>
      <c r="AG693" s="59">
        <f t="shared" si="585"/>
        <v>1</v>
      </c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</row>
    <row r="694" ht="24.0" customHeight="1">
      <c r="A694" s="45">
        <v>61.0</v>
      </c>
      <c r="B694" s="74" t="s">
        <v>1940</v>
      </c>
      <c r="C694" s="55" t="s">
        <v>2177</v>
      </c>
      <c r="D694" s="75">
        <v>46147.0</v>
      </c>
      <c r="E694" s="57">
        <v>8.00199143E8</v>
      </c>
      <c r="F694" s="76">
        <v>30942.0</v>
      </c>
      <c r="G694" s="77">
        <v>42.0</v>
      </c>
      <c r="H694" s="78" t="str">
        <f t="shared" si="617"/>
        <v>19-60</v>
      </c>
      <c r="I694" s="79" t="s">
        <v>86</v>
      </c>
      <c r="J694" s="80" t="str">
        <f t="shared" si="580"/>
        <v>female</v>
      </c>
      <c r="K694" s="58">
        <v>5.9977493E8</v>
      </c>
      <c r="L694" s="55" t="s">
        <v>34</v>
      </c>
      <c r="M694" s="57" t="s">
        <v>89</v>
      </c>
      <c r="N694" s="55" t="s">
        <v>90</v>
      </c>
      <c r="O694" s="55"/>
      <c r="P694" s="55" t="s">
        <v>91</v>
      </c>
      <c r="Q694" s="58"/>
      <c r="R694" s="55"/>
      <c r="S694" s="58" t="s">
        <v>6</v>
      </c>
      <c r="T694" s="82"/>
      <c r="U694" s="82"/>
      <c r="V694" s="57"/>
      <c r="W694" s="57"/>
      <c r="X694" s="57" t="str">
        <f t="shared" si="499"/>
        <v>--687-07-05</v>
      </c>
      <c r="Y694" s="58" t="str">
        <f t="shared" ref="Y694:AC694" si="645">TRIM(SUBSTITUTE(SUBSTITUTE(OFFSET(#REF!,0,COLUMN()-COLUMN($AL$1)),CHAR(160)," "),_xludf.UNICHAR(8239)," "))</f>
        <v>#REF!</v>
      </c>
      <c r="Z694" s="58" t="str">
        <f t="shared" si="645"/>
        <v>#REF!</v>
      </c>
      <c r="AA694" s="58" t="str">
        <f t="shared" si="645"/>
        <v>#REF!</v>
      </c>
      <c r="AB694" s="58" t="str">
        <f t="shared" si="645"/>
        <v>#REF!</v>
      </c>
      <c r="AC694" s="58" t="str">
        <f t="shared" si="645"/>
        <v>#REF!</v>
      </c>
      <c r="AD694" s="57">
        <f t="shared" si="582"/>
        <v>1</v>
      </c>
      <c r="AE694" s="57" t="str">
        <f t="shared" si="583"/>
        <v>2026-05</v>
      </c>
      <c r="AF694" s="57">
        <f t="shared" si="584"/>
        <v>0</v>
      </c>
      <c r="AG694" s="59">
        <f t="shared" si="585"/>
        <v>0</v>
      </c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</row>
    <row r="695" ht="24.0" customHeight="1">
      <c r="A695" s="45">
        <v>62.0</v>
      </c>
      <c r="B695" s="74" t="s">
        <v>2231</v>
      </c>
      <c r="C695" s="55" t="s">
        <v>2177</v>
      </c>
      <c r="D695" s="75"/>
      <c r="E695" s="57">
        <v>4.21085531E8</v>
      </c>
      <c r="F695" s="76">
        <v>38498.0</v>
      </c>
      <c r="G695" s="77">
        <v>21.0</v>
      </c>
      <c r="H695" s="78" t="str">
        <f t="shared" si="617"/>
        <v>19-60</v>
      </c>
      <c r="I695" s="79" t="s">
        <v>86</v>
      </c>
      <c r="J695" s="80" t="str">
        <f t="shared" si="580"/>
        <v>female</v>
      </c>
      <c r="K695" s="58">
        <v>5.98740617E8</v>
      </c>
      <c r="L695" s="55" t="s">
        <v>34</v>
      </c>
      <c r="M695" s="57" t="s">
        <v>89</v>
      </c>
      <c r="N695" s="55" t="s">
        <v>90</v>
      </c>
      <c r="O695" s="55"/>
      <c r="P695" s="55" t="s">
        <v>91</v>
      </c>
      <c r="Q695" s="58" t="s">
        <v>16</v>
      </c>
      <c r="R695" s="55"/>
      <c r="S695" s="55"/>
      <c r="T695" s="82"/>
      <c r="U695" s="82"/>
      <c r="V695" s="57"/>
      <c r="W695" s="57"/>
      <c r="X695" s="57" t="str">
        <f t="shared" si="499"/>
        <v>--688-07-05</v>
      </c>
      <c r="Y695" s="58" t="str">
        <f t="shared" ref="Y695:AC695" si="646">TRIM(SUBSTITUTE(SUBSTITUTE(OFFSET(#REF!,0,COLUMN()-COLUMN($AL$1)),CHAR(160)," "),_xludf.UNICHAR(8239)," "))</f>
        <v>#REF!</v>
      </c>
      <c r="Z695" s="58" t="str">
        <f t="shared" si="646"/>
        <v>#REF!</v>
      </c>
      <c r="AA695" s="58" t="str">
        <f t="shared" si="646"/>
        <v>#REF!</v>
      </c>
      <c r="AB695" s="58" t="str">
        <f t="shared" si="646"/>
        <v>#REF!</v>
      </c>
      <c r="AC695" s="58" t="str">
        <f t="shared" si="646"/>
        <v>#REF!</v>
      </c>
      <c r="AD695" s="57">
        <f t="shared" si="582"/>
        <v>1</v>
      </c>
      <c r="AE695" s="57" t="str">
        <f t="shared" si="583"/>
        <v>2026-05</v>
      </c>
      <c r="AF695" s="57">
        <f t="shared" si="584"/>
        <v>1</v>
      </c>
      <c r="AG695" s="59">
        <f t="shared" si="585"/>
        <v>1</v>
      </c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</row>
    <row r="696" ht="24.0" customHeight="1">
      <c r="A696" s="45">
        <v>63.0</v>
      </c>
      <c r="B696" s="74" t="s">
        <v>2232</v>
      </c>
      <c r="C696" s="55" t="s">
        <v>2177</v>
      </c>
      <c r="D696" s="75"/>
      <c r="E696" s="57">
        <v>4.3712839E8</v>
      </c>
      <c r="F696" s="76">
        <v>42746.0</v>
      </c>
      <c r="G696" s="77">
        <v>9.0</v>
      </c>
      <c r="H696" s="78" t="str">
        <f t="shared" si="617"/>
        <v>6-18</v>
      </c>
      <c r="I696" s="79" t="s">
        <v>86</v>
      </c>
      <c r="J696" s="80" t="str">
        <f t="shared" si="580"/>
        <v>female</v>
      </c>
      <c r="K696" s="58">
        <v>5.98740617E8</v>
      </c>
      <c r="L696" s="55" t="s">
        <v>34</v>
      </c>
      <c r="M696" s="57" t="s">
        <v>133</v>
      </c>
      <c r="N696" s="55" t="s">
        <v>90</v>
      </c>
      <c r="O696" s="55"/>
      <c r="P696" s="55" t="s">
        <v>91</v>
      </c>
      <c r="Q696" s="58" t="s">
        <v>4</v>
      </c>
      <c r="R696" s="55"/>
      <c r="S696" s="55"/>
      <c r="T696" s="82"/>
      <c r="U696" s="82"/>
      <c r="V696" s="57"/>
      <c r="W696" s="57"/>
      <c r="X696" s="57" t="str">
        <f t="shared" si="499"/>
        <v>--689-07-05</v>
      </c>
      <c r="Y696" s="58" t="str">
        <f t="shared" ref="Y696:AC696" si="647">TRIM(SUBSTITUTE(SUBSTITUTE(OFFSET(#REF!,0,COLUMN()-COLUMN($AL$1)),CHAR(160)," "),_xludf.UNICHAR(8239)," "))</f>
        <v>#REF!</v>
      </c>
      <c r="Z696" s="58" t="str">
        <f t="shared" si="647"/>
        <v>#REF!</v>
      </c>
      <c r="AA696" s="58" t="str">
        <f t="shared" si="647"/>
        <v>#REF!</v>
      </c>
      <c r="AB696" s="58" t="str">
        <f t="shared" si="647"/>
        <v>#REF!</v>
      </c>
      <c r="AC696" s="58" t="str">
        <f t="shared" si="647"/>
        <v>#REF!</v>
      </c>
      <c r="AD696" s="57">
        <f t="shared" si="582"/>
        <v>1</v>
      </c>
      <c r="AE696" s="57" t="str">
        <f t="shared" si="583"/>
        <v>2026-05</v>
      </c>
      <c r="AF696" s="57">
        <f t="shared" si="584"/>
        <v>1</v>
      </c>
      <c r="AG696" s="59">
        <f t="shared" si="585"/>
        <v>1</v>
      </c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</row>
    <row r="697" ht="24.0" customHeight="1">
      <c r="A697" s="45">
        <v>64.0</v>
      </c>
      <c r="B697" s="74" t="s">
        <v>2233</v>
      </c>
      <c r="C697" s="55" t="s">
        <v>2177</v>
      </c>
      <c r="D697" s="75"/>
      <c r="E697" s="57">
        <v>4.00953188E8</v>
      </c>
      <c r="F697" s="76">
        <v>35393.0</v>
      </c>
      <c r="G697" s="77">
        <v>30.0</v>
      </c>
      <c r="H697" s="78" t="str">
        <f t="shared" si="617"/>
        <v>19-60</v>
      </c>
      <c r="I697" s="79" t="s">
        <v>86</v>
      </c>
      <c r="J697" s="80" t="str">
        <f t="shared" si="580"/>
        <v>female</v>
      </c>
      <c r="K697" s="58">
        <v>5.9249064E8</v>
      </c>
      <c r="L697" s="55" t="s">
        <v>34</v>
      </c>
      <c r="M697" s="57" t="s">
        <v>89</v>
      </c>
      <c r="N697" s="55" t="s">
        <v>90</v>
      </c>
      <c r="O697" s="55"/>
      <c r="P697" s="55" t="s">
        <v>91</v>
      </c>
      <c r="Q697" s="55"/>
      <c r="R697" s="58" t="s">
        <v>5</v>
      </c>
      <c r="S697" s="55"/>
      <c r="T697" s="82"/>
      <c r="U697" s="82" t="s">
        <v>7</v>
      </c>
      <c r="V697" s="57"/>
      <c r="W697" s="57"/>
      <c r="X697" s="57" t="str">
        <f t="shared" si="499"/>
        <v>--690-07-05</v>
      </c>
      <c r="Y697" s="58" t="str">
        <f t="shared" ref="Y697:AC697" si="648">TRIM(SUBSTITUTE(SUBSTITUTE(OFFSET(#REF!,0,COLUMN()-COLUMN($AL$1)),CHAR(160)," "),_xludf.UNICHAR(8239)," "))</f>
        <v>#REF!</v>
      </c>
      <c r="Z697" s="58" t="str">
        <f t="shared" si="648"/>
        <v>#REF!</v>
      </c>
      <c r="AA697" s="58" t="str">
        <f t="shared" si="648"/>
        <v>#REF!</v>
      </c>
      <c r="AB697" s="58" t="str">
        <f t="shared" si="648"/>
        <v>#REF!</v>
      </c>
      <c r="AC697" s="58" t="str">
        <f t="shared" si="648"/>
        <v>#REF!</v>
      </c>
      <c r="AD697" s="57">
        <f t="shared" si="582"/>
        <v>1</v>
      </c>
      <c r="AE697" s="57" t="str">
        <f t="shared" si="583"/>
        <v>2026-05</v>
      </c>
      <c r="AF697" s="57">
        <f t="shared" si="584"/>
        <v>1</v>
      </c>
      <c r="AG697" s="59">
        <f t="shared" si="585"/>
        <v>1</v>
      </c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</row>
    <row r="698" ht="24.0" customHeight="1">
      <c r="A698" s="45">
        <v>65.0</v>
      </c>
      <c r="B698" s="74" t="s">
        <v>2234</v>
      </c>
      <c r="C698" s="55" t="s">
        <v>2177</v>
      </c>
      <c r="D698" s="75">
        <v>46147.0</v>
      </c>
      <c r="E698" s="57">
        <v>4.44377881E8</v>
      </c>
      <c r="F698" s="76">
        <v>45384.0</v>
      </c>
      <c r="G698" s="77">
        <v>2.0</v>
      </c>
      <c r="H698" s="78" t="str">
        <f t="shared" si="617"/>
        <v>0-5</v>
      </c>
      <c r="I698" s="79" t="s">
        <v>86</v>
      </c>
      <c r="J698" s="80" t="str">
        <f t="shared" si="580"/>
        <v>female</v>
      </c>
      <c r="K698" s="58">
        <v>5.9249064E8</v>
      </c>
      <c r="L698" s="55" t="s">
        <v>34</v>
      </c>
      <c r="M698" s="57" t="s">
        <v>133</v>
      </c>
      <c r="N698" s="55" t="s">
        <v>90</v>
      </c>
      <c r="O698" s="55"/>
      <c r="P698" s="55" t="s">
        <v>91</v>
      </c>
      <c r="Q698" s="58" t="s">
        <v>16</v>
      </c>
      <c r="R698" s="55"/>
      <c r="S698" s="55"/>
      <c r="T698" s="82"/>
      <c r="U698" s="82"/>
      <c r="V698" s="57"/>
      <c r="W698" s="57"/>
      <c r="X698" s="57" t="str">
        <f t="shared" si="499"/>
        <v>--691-07-05</v>
      </c>
      <c r="Y698" s="58" t="str">
        <f t="shared" ref="Y698:AC698" si="649">TRIM(SUBSTITUTE(SUBSTITUTE(OFFSET(#REF!,0,COLUMN()-COLUMN($AL$1)),CHAR(160)," "),_xludf.UNICHAR(8239)," "))</f>
        <v>#REF!</v>
      </c>
      <c r="Z698" s="58" t="str">
        <f t="shared" si="649"/>
        <v>#REF!</v>
      </c>
      <c r="AA698" s="58" t="str">
        <f t="shared" si="649"/>
        <v>#REF!</v>
      </c>
      <c r="AB698" s="58" t="str">
        <f t="shared" si="649"/>
        <v>#REF!</v>
      </c>
      <c r="AC698" s="58" t="str">
        <f t="shared" si="649"/>
        <v>#REF!</v>
      </c>
      <c r="AD698" s="57">
        <f t="shared" si="582"/>
        <v>1</v>
      </c>
      <c r="AE698" s="57" t="str">
        <f t="shared" si="583"/>
        <v>2026-05</v>
      </c>
      <c r="AF698" s="57">
        <f t="shared" si="584"/>
        <v>0</v>
      </c>
      <c r="AG698" s="59">
        <f t="shared" si="585"/>
        <v>0</v>
      </c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</row>
    <row r="699" ht="24.0" customHeight="1">
      <c r="A699" s="45">
        <v>66.0</v>
      </c>
      <c r="B699" s="74" t="s">
        <v>2235</v>
      </c>
      <c r="C699" s="55" t="s">
        <v>2177</v>
      </c>
      <c r="D699" s="75"/>
      <c r="E699" s="57">
        <v>4.30128603E8</v>
      </c>
      <c r="F699" s="76">
        <v>40583.0</v>
      </c>
      <c r="G699" s="77">
        <v>15.0</v>
      </c>
      <c r="H699" s="78" t="str">
        <f t="shared" si="617"/>
        <v>6-18</v>
      </c>
      <c r="I699" s="79" t="s">
        <v>86</v>
      </c>
      <c r="J699" s="80" t="str">
        <f t="shared" si="580"/>
        <v>female</v>
      </c>
      <c r="K699" s="58">
        <v>5.98769075E8</v>
      </c>
      <c r="L699" s="55" t="s">
        <v>34</v>
      </c>
      <c r="M699" s="57" t="s">
        <v>133</v>
      </c>
      <c r="N699" s="55" t="s">
        <v>90</v>
      </c>
      <c r="O699" s="55"/>
      <c r="P699" s="55" t="s">
        <v>91</v>
      </c>
      <c r="Q699" s="58" t="s">
        <v>16</v>
      </c>
      <c r="R699" s="55"/>
      <c r="S699" s="55"/>
      <c r="T699" s="82"/>
      <c r="U699" s="82"/>
      <c r="V699" s="57"/>
      <c r="W699" s="57"/>
      <c r="X699" s="57" t="str">
        <f t="shared" si="499"/>
        <v>--692-07-05</v>
      </c>
      <c r="Y699" s="58" t="str">
        <f t="shared" ref="Y699:AC699" si="650">TRIM(SUBSTITUTE(SUBSTITUTE(OFFSET(#REF!,0,COLUMN()-COLUMN($AL$1)),CHAR(160)," "),_xludf.UNICHAR(8239)," "))</f>
        <v>#REF!</v>
      </c>
      <c r="Z699" s="58" t="str">
        <f t="shared" si="650"/>
        <v>#REF!</v>
      </c>
      <c r="AA699" s="58" t="str">
        <f t="shared" si="650"/>
        <v>#REF!</v>
      </c>
      <c r="AB699" s="58" t="str">
        <f t="shared" si="650"/>
        <v>#REF!</v>
      </c>
      <c r="AC699" s="58" t="str">
        <f t="shared" si="650"/>
        <v>#REF!</v>
      </c>
      <c r="AD699" s="57">
        <f t="shared" si="582"/>
        <v>1</v>
      </c>
      <c r="AE699" s="57" t="str">
        <f t="shared" si="583"/>
        <v>2026-05</v>
      </c>
      <c r="AF699" s="57">
        <f t="shared" si="584"/>
        <v>1</v>
      </c>
      <c r="AG699" s="59">
        <f t="shared" si="585"/>
        <v>1</v>
      </c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</row>
    <row r="700" ht="24.0" customHeight="1">
      <c r="A700" s="45">
        <v>67.0</v>
      </c>
      <c r="B700" s="74" t="s">
        <v>2236</v>
      </c>
      <c r="C700" s="55" t="s">
        <v>2177</v>
      </c>
      <c r="D700" s="75"/>
      <c r="E700" s="57">
        <v>9.52215903E8</v>
      </c>
      <c r="F700" s="76">
        <v>26835.0</v>
      </c>
      <c r="G700" s="77">
        <v>53.0</v>
      </c>
      <c r="H700" s="78" t="str">
        <f t="shared" si="617"/>
        <v>19-60</v>
      </c>
      <c r="I700" s="79" t="s">
        <v>112</v>
      </c>
      <c r="J700" s="80" t="str">
        <f t="shared" si="580"/>
        <v>male</v>
      </c>
      <c r="K700" s="58">
        <v>5.98769075E8</v>
      </c>
      <c r="L700" s="55" t="s">
        <v>34</v>
      </c>
      <c r="M700" s="57" t="s">
        <v>89</v>
      </c>
      <c r="N700" s="55" t="s">
        <v>90</v>
      </c>
      <c r="O700" s="55"/>
      <c r="P700" s="55" t="s">
        <v>91</v>
      </c>
      <c r="Q700" s="58" t="s">
        <v>4</v>
      </c>
      <c r="R700" s="55"/>
      <c r="S700" s="55"/>
      <c r="T700" s="82"/>
      <c r="U700" s="82"/>
      <c r="V700" s="57"/>
      <c r="W700" s="57"/>
      <c r="X700" s="57" t="str">
        <f t="shared" si="499"/>
        <v>--693-07-05</v>
      </c>
      <c r="Y700" s="58" t="str">
        <f t="shared" ref="Y700:AC700" si="651">TRIM(SUBSTITUTE(SUBSTITUTE(OFFSET(#REF!,0,COLUMN()-COLUMN($AL$1)),CHAR(160)," "),_xludf.UNICHAR(8239)," "))</f>
        <v>#REF!</v>
      </c>
      <c r="Z700" s="58" t="str">
        <f t="shared" si="651"/>
        <v>#REF!</v>
      </c>
      <c r="AA700" s="58" t="str">
        <f t="shared" si="651"/>
        <v>#REF!</v>
      </c>
      <c r="AB700" s="58" t="str">
        <f t="shared" si="651"/>
        <v>#REF!</v>
      </c>
      <c r="AC700" s="58" t="str">
        <f t="shared" si="651"/>
        <v>#REF!</v>
      </c>
      <c r="AD700" s="57">
        <f t="shared" si="582"/>
        <v>1</v>
      </c>
      <c r="AE700" s="57" t="str">
        <f t="shared" si="583"/>
        <v>2026-05</v>
      </c>
      <c r="AF700" s="57">
        <f t="shared" si="584"/>
        <v>1</v>
      </c>
      <c r="AG700" s="59">
        <f t="shared" si="585"/>
        <v>1</v>
      </c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</row>
    <row r="701" ht="24.0" customHeight="1">
      <c r="A701" s="45">
        <v>68.0</v>
      </c>
      <c r="B701" s="74" t="s">
        <v>2237</v>
      </c>
      <c r="C701" s="55" t="s">
        <v>2177</v>
      </c>
      <c r="D701" s="75"/>
      <c r="E701" s="57">
        <v>8.03725522E8</v>
      </c>
      <c r="F701" s="76">
        <v>34310.0</v>
      </c>
      <c r="G701" s="77">
        <v>33.0</v>
      </c>
      <c r="H701" s="78" t="str">
        <f t="shared" si="617"/>
        <v>19-60</v>
      </c>
      <c r="I701" s="79" t="s">
        <v>112</v>
      </c>
      <c r="J701" s="80" t="str">
        <f t="shared" si="580"/>
        <v>male</v>
      </c>
      <c r="K701" s="58">
        <v>5.97755007E8</v>
      </c>
      <c r="L701" s="55" t="s">
        <v>34</v>
      </c>
      <c r="M701" s="57" t="s">
        <v>89</v>
      </c>
      <c r="N701" s="55" t="s">
        <v>90</v>
      </c>
      <c r="O701" s="55"/>
      <c r="P701" s="55" t="s">
        <v>91</v>
      </c>
      <c r="Q701" s="58" t="s">
        <v>4</v>
      </c>
      <c r="R701" s="55"/>
      <c r="S701" s="55"/>
      <c r="T701" s="82"/>
      <c r="U701" s="82"/>
      <c r="V701" s="57"/>
      <c r="W701" s="57"/>
      <c r="X701" s="57" t="str">
        <f t="shared" si="499"/>
        <v>--694-07-05</v>
      </c>
      <c r="Y701" s="58" t="str">
        <f t="shared" ref="Y701:AC701" si="652">TRIM(SUBSTITUTE(SUBSTITUTE(OFFSET(#REF!,0,COLUMN()-COLUMN($AL$1)),CHAR(160)," "),_xludf.UNICHAR(8239)," "))</f>
        <v>#REF!</v>
      </c>
      <c r="Z701" s="58" t="str">
        <f t="shared" si="652"/>
        <v>#REF!</v>
      </c>
      <c r="AA701" s="58" t="str">
        <f t="shared" si="652"/>
        <v>#REF!</v>
      </c>
      <c r="AB701" s="58" t="str">
        <f t="shared" si="652"/>
        <v>#REF!</v>
      </c>
      <c r="AC701" s="58" t="str">
        <f t="shared" si="652"/>
        <v>#REF!</v>
      </c>
      <c r="AD701" s="57">
        <f t="shared" si="582"/>
        <v>1</v>
      </c>
      <c r="AE701" s="57" t="str">
        <f t="shared" si="583"/>
        <v>2026-05</v>
      </c>
      <c r="AF701" s="57">
        <f t="shared" si="584"/>
        <v>1</v>
      </c>
      <c r="AG701" s="59">
        <f t="shared" si="585"/>
        <v>1</v>
      </c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</row>
    <row r="702" ht="24.0" customHeight="1">
      <c r="A702" s="45">
        <v>69.0</v>
      </c>
      <c r="B702" s="74" t="s">
        <v>2238</v>
      </c>
      <c r="C702" s="55" t="s">
        <v>2177</v>
      </c>
      <c r="D702" s="75"/>
      <c r="E702" s="57">
        <v>8.01807447E8</v>
      </c>
      <c r="F702" s="76">
        <v>31849.0</v>
      </c>
      <c r="G702" s="77">
        <v>39.0</v>
      </c>
      <c r="H702" s="78" t="str">
        <f t="shared" si="617"/>
        <v>19-60</v>
      </c>
      <c r="I702" s="79" t="s">
        <v>112</v>
      </c>
      <c r="J702" s="80" t="str">
        <f t="shared" si="580"/>
        <v>male</v>
      </c>
      <c r="K702" s="58">
        <v>5.99023853E8</v>
      </c>
      <c r="L702" s="55" t="s">
        <v>34</v>
      </c>
      <c r="M702" s="57" t="s">
        <v>89</v>
      </c>
      <c r="N702" s="55" t="s">
        <v>90</v>
      </c>
      <c r="O702" s="55"/>
      <c r="P702" s="55" t="s">
        <v>91</v>
      </c>
      <c r="Q702" s="58" t="s">
        <v>4</v>
      </c>
      <c r="R702" s="55"/>
      <c r="S702" s="55"/>
      <c r="T702" s="82"/>
      <c r="U702" s="82"/>
      <c r="V702" s="57"/>
      <c r="W702" s="57"/>
      <c r="X702" s="57" t="str">
        <f t="shared" si="499"/>
        <v>--695-07-05</v>
      </c>
      <c r="Y702" s="58" t="str">
        <f t="shared" ref="Y702:AC702" si="653">TRIM(SUBSTITUTE(SUBSTITUTE(OFFSET(#REF!,0,COLUMN()-COLUMN($AL$1)),CHAR(160)," "),_xludf.UNICHAR(8239)," "))</f>
        <v>#REF!</v>
      </c>
      <c r="Z702" s="58" t="str">
        <f t="shared" si="653"/>
        <v>#REF!</v>
      </c>
      <c r="AA702" s="58" t="str">
        <f t="shared" si="653"/>
        <v>#REF!</v>
      </c>
      <c r="AB702" s="58" t="str">
        <f t="shared" si="653"/>
        <v>#REF!</v>
      </c>
      <c r="AC702" s="58" t="str">
        <f t="shared" si="653"/>
        <v>#REF!</v>
      </c>
      <c r="AD702" s="57">
        <f t="shared" si="582"/>
        <v>1</v>
      </c>
      <c r="AE702" s="57" t="str">
        <f t="shared" si="583"/>
        <v>2026-05</v>
      </c>
      <c r="AF702" s="57">
        <f t="shared" si="584"/>
        <v>1</v>
      </c>
      <c r="AG702" s="59">
        <f t="shared" si="585"/>
        <v>1</v>
      </c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</row>
    <row r="703" ht="24.0" customHeight="1">
      <c r="A703" s="45">
        <v>70.0</v>
      </c>
      <c r="B703" s="74" t="s">
        <v>2239</v>
      </c>
      <c r="C703" s="55" t="s">
        <v>2177</v>
      </c>
      <c r="D703" s="75"/>
      <c r="E703" s="57">
        <v>4.32338036E8</v>
      </c>
      <c r="F703" s="76">
        <v>41210.0</v>
      </c>
      <c r="G703" s="77">
        <v>14.0</v>
      </c>
      <c r="H703" s="78" t="str">
        <f t="shared" si="617"/>
        <v>6-18</v>
      </c>
      <c r="I703" s="79" t="s">
        <v>86</v>
      </c>
      <c r="J703" s="80" t="str">
        <f t="shared" si="580"/>
        <v>female</v>
      </c>
      <c r="K703" s="58">
        <v>5.99333433E8</v>
      </c>
      <c r="L703" s="55" t="s">
        <v>34</v>
      </c>
      <c r="M703" s="57" t="s">
        <v>133</v>
      </c>
      <c r="N703" s="55" t="s">
        <v>90</v>
      </c>
      <c r="O703" s="55"/>
      <c r="P703" s="55" t="s">
        <v>91</v>
      </c>
      <c r="Q703" s="58" t="s">
        <v>4</v>
      </c>
      <c r="R703" s="55"/>
      <c r="S703" s="55"/>
      <c r="T703" s="82"/>
      <c r="U703" s="82"/>
      <c r="V703" s="57"/>
      <c r="W703" s="57"/>
      <c r="X703" s="57" t="str">
        <f t="shared" si="499"/>
        <v>--696-07-05</v>
      </c>
      <c r="Y703" s="58" t="str">
        <f t="shared" ref="Y703:AC703" si="654">TRIM(SUBSTITUTE(SUBSTITUTE(OFFSET(#REF!,0,COLUMN()-COLUMN($AL$1)),CHAR(160)," "),_xludf.UNICHAR(8239)," "))</f>
        <v>#REF!</v>
      </c>
      <c r="Z703" s="58" t="str">
        <f t="shared" si="654"/>
        <v>#REF!</v>
      </c>
      <c r="AA703" s="58" t="str">
        <f t="shared" si="654"/>
        <v>#REF!</v>
      </c>
      <c r="AB703" s="58" t="str">
        <f t="shared" si="654"/>
        <v>#REF!</v>
      </c>
      <c r="AC703" s="58" t="str">
        <f t="shared" si="654"/>
        <v>#REF!</v>
      </c>
      <c r="AD703" s="57">
        <f t="shared" si="582"/>
        <v>1</v>
      </c>
      <c r="AE703" s="57" t="str">
        <f t="shared" si="583"/>
        <v>2026-05</v>
      </c>
      <c r="AF703" s="57">
        <f t="shared" si="584"/>
        <v>1</v>
      </c>
      <c r="AG703" s="59">
        <f t="shared" si="585"/>
        <v>1</v>
      </c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</row>
    <row r="704" ht="24.0" customHeight="1">
      <c r="A704" s="45">
        <v>71.0</v>
      </c>
      <c r="B704" s="74" t="s">
        <v>2240</v>
      </c>
      <c r="C704" s="55" t="s">
        <v>2177</v>
      </c>
      <c r="D704" s="75"/>
      <c r="E704" s="57">
        <v>4.11762321E8</v>
      </c>
      <c r="F704" s="76">
        <v>27884.0</v>
      </c>
      <c r="G704" s="77">
        <v>50.0</v>
      </c>
      <c r="H704" s="78" t="str">
        <f t="shared" si="617"/>
        <v>19-60</v>
      </c>
      <c r="I704" s="79" t="s">
        <v>112</v>
      </c>
      <c r="J704" s="80" t="str">
        <f t="shared" si="580"/>
        <v>male</v>
      </c>
      <c r="K704" s="58">
        <v>5.99333433E8</v>
      </c>
      <c r="L704" s="55" t="s">
        <v>34</v>
      </c>
      <c r="M704" s="57" t="s">
        <v>89</v>
      </c>
      <c r="N704" s="55" t="s">
        <v>90</v>
      </c>
      <c r="O704" s="55"/>
      <c r="P704" s="55" t="s">
        <v>91</v>
      </c>
      <c r="Q704" s="58" t="s">
        <v>4</v>
      </c>
      <c r="R704" s="55"/>
      <c r="S704" s="55"/>
      <c r="T704" s="82"/>
      <c r="U704" s="82"/>
      <c r="V704" s="57"/>
      <c r="W704" s="57"/>
      <c r="X704" s="57" t="str">
        <f t="shared" si="499"/>
        <v>--697-07-05</v>
      </c>
      <c r="Y704" s="58" t="str">
        <f t="shared" ref="Y704:AC704" si="655">TRIM(SUBSTITUTE(SUBSTITUTE(OFFSET(#REF!,0,COLUMN()-COLUMN($AL$1)),CHAR(160)," "),_xludf.UNICHAR(8239)," "))</f>
        <v>#REF!</v>
      </c>
      <c r="Z704" s="58" t="str">
        <f t="shared" si="655"/>
        <v>#REF!</v>
      </c>
      <c r="AA704" s="58" t="str">
        <f t="shared" si="655"/>
        <v>#REF!</v>
      </c>
      <c r="AB704" s="58" t="str">
        <f t="shared" si="655"/>
        <v>#REF!</v>
      </c>
      <c r="AC704" s="58" t="str">
        <f t="shared" si="655"/>
        <v>#REF!</v>
      </c>
      <c r="AD704" s="57">
        <f t="shared" si="582"/>
        <v>1</v>
      </c>
      <c r="AE704" s="57" t="str">
        <f t="shared" si="583"/>
        <v>2026-05</v>
      </c>
      <c r="AF704" s="57">
        <f t="shared" si="584"/>
        <v>1</v>
      </c>
      <c r="AG704" s="59">
        <f t="shared" si="585"/>
        <v>1</v>
      </c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</row>
    <row r="705" ht="24.0" customHeight="1">
      <c r="A705" s="45">
        <v>72.0</v>
      </c>
      <c r="B705" s="74" t="s">
        <v>2241</v>
      </c>
      <c r="C705" s="55" t="s">
        <v>2177</v>
      </c>
      <c r="D705" s="75"/>
      <c r="E705" s="57">
        <v>4.00527875E8</v>
      </c>
      <c r="F705" s="76">
        <v>34958.0</v>
      </c>
      <c r="G705" s="77">
        <v>31.0</v>
      </c>
      <c r="H705" s="78" t="str">
        <f t="shared" si="617"/>
        <v>19-60</v>
      </c>
      <c r="I705" s="79" t="s">
        <v>86</v>
      </c>
      <c r="J705" s="80" t="str">
        <f t="shared" si="580"/>
        <v>female</v>
      </c>
      <c r="K705" s="58">
        <v>5.95396006E8</v>
      </c>
      <c r="L705" s="55" t="s">
        <v>34</v>
      </c>
      <c r="M705" s="57" t="s">
        <v>89</v>
      </c>
      <c r="N705" s="55" t="s">
        <v>90</v>
      </c>
      <c r="O705" s="55"/>
      <c r="P705" s="55" t="s">
        <v>91</v>
      </c>
      <c r="Q705" s="58" t="s">
        <v>16</v>
      </c>
      <c r="R705" s="55"/>
      <c r="S705" s="55"/>
      <c r="T705" s="82"/>
      <c r="U705" s="82"/>
      <c r="V705" s="57"/>
      <c r="W705" s="57"/>
      <c r="X705" s="57" t="str">
        <f t="shared" si="499"/>
        <v>--698-07-05</v>
      </c>
      <c r="Y705" s="58" t="str">
        <f t="shared" ref="Y705:AC705" si="656">TRIM(SUBSTITUTE(SUBSTITUTE(OFFSET(#REF!,0,COLUMN()-COLUMN($AL$1)),CHAR(160)," "),_xludf.UNICHAR(8239)," "))</f>
        <v>#REF!</v>
      </c>
      <c r="Z705" s="58" t="str">
        <f t="shared" si="656"/>
        <v>#REF!</v>
      </c>
      <c r="AA705" s="58" t="str">
        <f t="shared" si="656"/>
        <v>#REF!</v>
      </c>
      <c r="AB705" s="58" t="str">
        <f t="shared" si="656"/>
        <v>#REF!</v>
      </c>
      <c r="AC705" s="58" t="str">
        <f t="shared" si="656"/>
        <v>#REF!</v>
      </c>
      <c r="AD705" s="57">
        <f t="shared" si="582"/>
        <v>1</v>
      </c>
      <c r="AE705" s="57" t="str">
        <f t="shared" si="583"/>
        <v>2026-05</v>
      </c>
      <c r="AF705" s="57">
        <f t="shared" si="584"/>
        <v>1</v>
      </c>
      <c r="AG705" s="59">
        <f t="shared" si="585"/>
        <v>1</v>
      </c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</row>
    <row r="706" ht="24.0" customHeight="1">
      <c r="A706" s="45">
        <v>73.0</v>
      </c>
      <c r="B706" s="74" t="s">
        <v>2242</v>
      </c>
      <c r="C706" s="55" t="s">
        <v>2177</v>
      </c>
      <c r="D706" s="75">
        <v>46139.0</v>
      </c>
      <c r="E706" s="57">
        <v>8.02262899E8</v>
      </c>
      <c r="F706" s="76">
        <v>33291.0</v>
      </c>
      <c r="G706" s="77">
        <v>35.0</v>
      </c>
      <c r="H706" s="78" t="str">
        <f t="shared" si="617"/>
        <v>19-60</v>
      </c>
      <c r="I706" s="79" t="s">
        <v>86</v>
      </c>
      <c r="J706" s="80" t="str">
        <f t="shared" si="580"/>
        <v>female</v>
      </c>
      <c r="K706" s="58">
        <v>5.92626573E8</v>
      </c>
      <c r="L706" s="55" t="s">
        <v>34</v>
      </c>
      <c r="M706" s="57" t="s">
        <v>89</v>
      </c>
      <c r="N706" s="55" t="s">
        <v>90</v>
      </c>
      <c r="O706" s="55"/>
      <c r="P706" s="55" t="s">
        <v>91</v>
      </c>
      <c r="Q706" s="55"/>
      <c r="R706" s="58" t="s">
        <v>36</v>
      </c>
      <c r="S706" s="55"/>
      <c r="T706" s="82"/>
      <c r="U706" s="82"/>
      <c r="V706" s="57"/>
      <c r="W706" s="57"/>
      <c r="X706" s="57" t="str">
        <f t="shared" si="499"/>
        <v>--699-07-05</v>
      </c>
      <c r="Y706" s="58" t="str">
        <f t="shared" ref="Y706:AC706" si="657">TRIM(SUBSTITUTE(SUBSTITUTE(OFFSET(#REF!,0,COLUMN()-COLUMN($AL$1)),CHAR(160)," "),_xludf.UNICHAR(8239)," "))</f>
        <v>#REF!</v>
      </c>
      <c r="Z706" s="58" t="str">
        <f t="shared" si="657"/>
        <v>#REF!</v>
      </c>
      <c r="AA706" s="58" t="str">
        <f t="shared" si="657"/>
        <v>#REF!</v>
      </c>
      <c r="AB706" s="58" t="str">
        <f t="shared" si="657"/>
        <v>#REF!</v>
      </c>
      <c r="AC706" s="58" t="str">
        <f t="shared" si="657"/>
        <v>#REF!</v>
      </c>
      <c r="AD706" s="57">
        <f t="shared" si="582"/>
        <v>1</v>
      </c>
      <c r="AE706" s="57" t="str">
        <f t="shared" si="583"/>
        <v>2026-05</v>
      </c>
      <c r="AF706" s="57">
        <f t="shared" si="584"/>
        <v>1</v>
      </c>
      <c r="AG706" s="59">
        <f t="shared" si="585"/>
        <v>0</v>
      </c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</row>
    <row r="707" ht="24.0" customHeight="1">
      <c r="A707" s="45">
        <v>74.0</v>
      </c>
      <c r="B707" s="74" t="s">
        <v>2243</v>
      </c>
      <c r="C707" s="55" t="s">
        <v>2177</v>
      </c>
      <c r="D707" s="75"/>
      <c r="E707" s="57">
        <v>8.02554642E8</v>
      </c>
      <c r="F707" s="76">
        <v>33424.0</v>
      </c>
      <c r="G707" s="77">
        <v>35.0</v>
      </c>
      <c r="H707" s="78" t="str">
        <f t="shared" si="617"/>
        <v>19-60</v>
      </c>
      <c r="I707" s="79" t="s">
        <v>86</v>
      </c>
      <c r="J707" s="80" t="str">
        <f t="shared" si="580"/>
        <v>female</v>
      </c>
      <c r="K707" s="58">
        <v>5.99807417E8</v>
      </c>
      <c r="L707" s="55" t="s">
        <v>34</v>
      </c>
      <c r="M707" s="57" t="s">
        <v>89</v>
      </c>
      <c r="N707" s="55" t="s">
        <v>90</v>
      </c>
      <c r="O707" s="55"/>
      <c r="P707" s="55" t="s">
        <v>91</v>
      </c>
      <c r="Q707" s="55"/>
      <c r="R707" s="58" t="s">
        <v>36</v>
      </c>
      <c r="S707" s="55"/>
      <c r="T707" s="82"/>
      <c r="U707" s="82"/>
      <c r="V707" s="57"/>
      <c r="W707" s="57"/>
      <c r="X707" s="57" t="str">
        <f t="shared" si="499"/>
        <v>--700-07-05</v>
      </c>
      <c r="Y707" s="58" t="str">
        <f t="shared" ref="Y707:AC707" si="658">TRIM(SUBSTITUTE(SUBSTITUTE(OFFSET(#REF!,0,COLUMN()-COLUMN($AL$1)),CHAR(160)," "),_xludf.UNICHAR(8239)," "))</f>
        <v>#REF!</v>
      </c>
      <c r="Z707" s="58" t="str">
        <f t="shared" si="658"/>
        <v>#REF!</v>
      </c>
      <c r="AA707" s="58" t="str">
        <f t="shared" si="658"/>
        <v>#REF!</v>
      </c>
      <c r="AB707" s="58" t="str">
        <f t="shared" si="658"/>
        <v>#REF!</v>
      </c>
      <c r="AC707" s="58" t="str">
        <f t="shared" si="658"/>
        <v>#REF!</v>
      </c>
      <c r="AD707" s="57">
        <f t="shared" si="582"/>
        <v>1</v>
      </c>
      <c r="AE707" s="57" t="str">
        <f t="shared" si="583"/>
        <v>2026-05</v>
      </c>
      <c r="AF707" s="57">
        <f t="shared" si="584"/>
        <v>1</v>
      </c>
      <c r="AG707" s="59">
        <f t="shared" si="585"/>
        <v>1</v>
      </c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</row>
    <row r="708" ht="24.0" customHeight="1">
      <c r="A708" s="45">
        <v>75.0</v>
      </c>
      <c r="B708" s="74" t="s">
        <v>2244</v>
      </c>
      <c r="C708" s="55" t="s">
        <v>2177</v>
      </c>
      <c r="D708" s="75"/>
      <c r="E708" s="57">
        <v>9.07254676E8</v>
      </c>
      <c r="F708" s="76">
        <v>21569.0</v>
      </c>
      <c r="G708" s="77">
        <v>67.0</v>
      </c>
      <c r="H708" s="78" t="str">
        <f t="shared" si="617"/>
        <v>+60</v>
      </c>
      <c r="I708" s="79" t="s">
        <v>86</v>
      </c>
      <c r="J708" s="80" t="str">
        <f t="shared" si="580"/>
        <v>female</v>
      </c>
      <c r="K708" s="58">
        <v>5.99612253E8</v>
      </c>
      <c r="L708" s="55" t="s">
        <v>34</v>
      </c>
      <c r="M708" s="57" t="s">
        <v>115</v>
      </c>
      <c r="N708" s="55" t="s">
        <v>90</v>
      </c>
      <c r="O708" s="55"/>
      <c r="P708" s="55" t="s">
        <v>91</v>
      </c>
      <c r="Q708" s="58" t="s">
        <v>4</v>
      </c>
      <c r="R708" s="55"/>
      <c r="S708" s="55"/>
      <c r="T708" s="82"/>
      <c r="U708" s="82"/>
      <c r="V708" s="57"/>
      <c r="W708" s="57"/>
      <c r="X708" s="57" t="str">
        <f t="shared" si="499"/>
        <v>--701-07-05</v>
      </c>
      <c r="Y708" s="58" t="str">
        <f t="shared" ref="Y708:AC708" si="659">TRIM(SUBSTITUTE(SUBSTITUTE(OFFSET(#REF!,0,COLUMN()-COLUMN($AL$1)),CHAR(160)," "),_xludf.UNICHAR(8239)," "))</f>
        <v>#REF!</v>
      </c>
      <c r="Z708" s="58" t="str">
        <f t="shared" si="659"/>
        <v>#REF!</v>
      </c>
      <c r="AA708" s="58" t="str">
        <f t="shared" si="659"/>
        <v>#REF!</v>
      </c>
      <c r="AB708" s="58" t="str">
        <f t="shared" si="659"/>
        <v>#REF!</v>
      </c>
      <c r="AC708" s="58" t="str">
        <f t="shared" si="659"/>
        <v>#REF!</v>
      </c>
      <c r="AD708" s="57">
        <f t="shared" si="582"/>
        <v>1</v>
      </c>
      <c r="AE708" s="57" t="str">
        <f t="shared" si="583"/>
        <v>2026-05</v>
      </c>
      <c r="AF708" s="57">
        <f t="shared" si="584"/>
        <v>1</v>
      </c>
      <c r="AG708" s="59">
        <f t="shared" si="585"/>
        <v>1</v>
      </c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</row>
    <row r="709" ht="24.0" customHeight="1">
      <c r="A709" s="45">
        <v>76.0</v>
      </c>
      <c r="B709" s="74" t="s">
        <v>2245</v>
      </c>
      <c r="C709" s="55" t="s">
        <v>2177</v>
      </c>
      <c r="D709" s="75"/>
      <c r="E709" s="57">
        <v>4.70844028E8</v>
      </c>
      <c r="F709" s="76">
        <v>45835.0</v>
      </c>
      <c r="G709" s="55">
        <v>1.0</v>
      </c>
      <c r="H709" s="78" t="str">
        <f t="shared" si="617"/>
        <v>0-5</v>
      </c>
      <c r="I709" s="79" t="s">
        <v>112</v>
      </c>
      <c r="J709" s="80" t="str">
        <f t="shared" si="580"/>
        <v>male</v>
      </c>
      <c r="K709" s="58">
        <v>5.95121595E8</v>
      </c>
      <c r="L709" s="55" t="s">
        <v>34</v>
      </c>
      <c r="M709" s="57" t="s">
        <v>133</v>
      </c>
      <c r="N709" s="55" t="s">
        <v>90</v>
      </c>
      <c r="O709" s="55"/>
      <c r="P709" s="55" t="s">
        <v>91</v>
      </c>
      <c r="Q709" s="58" t="s">
        <v>16</v>
      </c>
      <c r="R709" s="55"/>
      <c r="S709" s="55"/>
      <c r="T709" s="82"/>
      <c r="U709" s="82"/>
      <c r="V709" s="57"/>
      <c r="W709" s="57"/>
      <c r="X709" s="57" t="str">
        <f t="shared" si="499"/>
        <v>--702-07-05</v>
      </c>
      <c r="Y709" s="58" t="str">
        <f t="shared" ref="Y709:AC709" si="660">TRIM(SUBSTITUTE(SUBSTITUTE(OFFSET(#REF!,0,COLUMN()-COLUMN($AL$1)),CHAR(160)," "),_xludf.UNICHAR(8239)," "))</f>
        <v>#REF!</v>
      </c>
      <c r="Z709" s="58" t="str">
        <f t="shared" si="660"/>
        <v>#REF!</v>
      </c>
      <c r="AA709" s="58" t="str">
        <f t="shared" si="660"/>
        <v>#REF!</v>
      </c>
      <c r="AB709" s="58" t="str">
        <f t="shared" si="660"/>
        <v>#REF!</v>
      </c>
      <c r="AC709" s="58" t="str">
        <f t="shared" si="660"/>
        <v>#REF!</v>
      </c>
      <c r="AD709" s="57">
        <f t="shared" si="582"/>
        <v>1</v>
      </c>
      <c r="AE709" s="57" t="str">
        <f t="shared" si="583"/>
        <v>2026-05</v>
      </c>
      <c r="AF709" s="57">
        <f t="shared" si="584"/>
        <v>1</v>
      </c>
      <c r="AG709" s="59">
        <f t="shared" si="585"/>
        <v>1</v>
      </c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</row>
    <row r="710" ht="24.0" customHeight="1">
      <c r="A710" s="45">
        <v>77.0</v>
      </c>
      <c r="B710" s="74" t="s">
        <v>2246</v>
      </c>
      <c r="C710" s="55" t="s">
        <v>2177</v>
      </c>
      <c r="D710" s="75"/>
      <c r="E710" s="57">
        <v>4.45514227E8</v>
      </c>
      <c r="F710" s="76">
        <v>44634.0</v>
      </c>
      <c r="G710" s="77">
        <v>4.0</v>
      </c>
      <c r="H710" s="78" t="str">
        <f t="shared" si="617"/>
        <v>0-5</v>
      </c>
      <c r="I710" s="79" t="s">
        <v>112</v>
      </c>
      <c r="J710" s="80" t="str">
        <f t="shared" si="580"/>
        <v>male</v>
      </c>
      <c r="K710" s="58">
        <v>5.95121595E8</v>
      </c>
      <c r="L710" s="55" t="s">
        <v>34</v>
      </c>
      <c r="M710" s="57" t="s">
        <v>133</v>
      </c>
      <c r="N710" s="55" t="s">
        <v>90</v>
      </c>
      <c r="O710" s="55"/>
      <c r="P710" s="55" t="s">
        <v>91</v>
      </c>
      <c r="Q710" s="58" t="s">
        <v>16</v>
      </c>
      <c r="R710" s="55"/>
      <c r="S710" s="55"/>
      <c r="T710" s="82"/>
      <c r="U710" s="82"/>
      <c r="V710" s="57"/>
      <c r="W710" s="57"/>
      <c r="X710" s="57" t="str">
        <f t="shared" si="499"/>
        <v>--703-07-05</v>
      </c>
      <c r="Y710" s="58" t="str">
        <f t="shared" ref="Y710:AC710" si="661">TRIM(SUBSTITUTE(SUBSTITUTE(OFFSET(#REF!,0,COLUMN()-COLUMN($AL$1)),CHAR(160)," "),_xludf.UNICHAR(8239)," "))</f>
        <v>#REF!</v>
      </c>
      <c r="Z710" s="58" t="str">
        <f t="shared" si="661"/>
        <v>#REF!</v>
      </c>
      <c r="AA710" s="58" t="str">
        <f t="shared" si="661"/>
        <v>#REF!</v>
      </c>
      <c r="AB710" s="58" t="str">
        <f t="shared" si="661"/>
        <v>#REF!</v>
      </c>
      <c r="AC710" s="58" t="str">
        <f t="shared" si="661"/>
        <v>#REF!</v>
      </c>
      <c r="AD710" s="57">
        <f t="shared" si="582"/>
        <v>1</v>
      </c>
      <c r="AE710" s="57" t="str">
        <f t="shared" si="583"/>
        <v>2026-05</v>
      </c>
      <c r="AF710" s="57">
        <f t="shared" si="584"/>
        <v>1</v>
      </c>
      <c r="AG710" s="59">
        <f t="shared" si="585"/>
        <v>1</v>
      </c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</row>
    <row r="711" ht="24.0" customHeight="1">
      <c r="A711" s="45">
        <v>78.0</v>
      </c>
      <c r="B711" s="74" t="s">
        <v>2247</v>
      </c>
      <c r="C711" s="55" t="s">
        <v>2177</v>
      </c>
      <c r="D711" s="75"/>
      <c r="E711" s="57">
        <v>9.03291508E8</v>
      </c>
      <c r="F711" s="76">
        <v>29455.0</v>
      </c>
      <c r="G711" s="77">
        <v>46.0</v>
      </c>
      <c r="H711" s="78" t="str">
        <f t="shared" si="617"/>
        <v>19-60</v>
      </c>
      <c r="I711" s="79" t="s">
        <v>86</v>
      </c>
      <c r="J711" s="80" t="str">
        <f t="shared" si="580"/>
        <v>female</v>
      </c>
      <c r="K711" s="58">
        <v>5.99571346E8</v>
      </c>
      <c r="L711" s="55" t="s">
        <v>34</v>
      </c>
      <c r="M711" s="57" t="s">
        <v>89</v>
      </c>
      <c r="N711" s="55" t="s">
        <v>90</v>
      </c>
      <c r="O711" s="55"/>
      <c r="P711" s="55" t="s">
        <v>91</v>
      </c>
      <c r="Q711" s="55"/>
      <c r="R711" s="58" t="s">
        <v>36</v>
      </c>
      <c r="S711" s="55"/>
      <c r="T711" s="82"/>
      <c r="U711" s="82"/>
      <c r="V711" s="57"/>
      <c r="W711" s="57"/>
      <c r="X711" s="57" t="str">
        <f t="shared" si="499"/>
        <v>--704-07-05</v>
      </c>
      <c r="Y711" s="58" t="str">
        <f t="shared" ref="Y711:AC711" si="662">TRIM(SUBSTITUTE(SUBSTITUTE(OFFSET(#REF!,0,COLUMN()-COLUMN($AL$1)),CHAR(160)," "),_xludf.UNICHAR(8239)," "))</f>
        <v>#REF!</v>
      </c>
      <c r="Z711" s="58" t="str">
        <f t="shared" si="662"/>
        <v>#REF!</v>
      </c>
      <c r="AA711" s="58" t="str">
        <f t="shared" si="662"/>
        <v>#REF!</v>
      </c>
      <c r="AB711" s="58" t="str">
        <f t="shared" si="662"/>
        <v>#REF!</v>
      </c>
      <c r="AC711" s="58" t="str">
        <f t="shared" si="662"/>
        <v>#REF!</v>
      </c>
      <c r="AD711" s="57">
        <f t="shared" si="582"/>
        <v>1</v>
      </c>
      <c r="AE711" s="57" t="str">
        <f t="shared" si="583"/>
        <v>2026-05</v>
      </c>
      <c r="AF711" s="57">
        <f t="shared" si="584"/>
        <v>1</v>
      </c>
      <c r="AG711" s="59">
        <f t="shared" si="585"/>
        <v>1</v>
      </c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</row>
    <row r="712" ht="24.0" customHeight="1">
      <c r="A712" s="45">
        <v>79.0</v>
      </c>
      <c r="B712" s="74" t="s">
        <v>2248</v>
      </c>
      <c r="C712" s="55" t="s">
        <v>2177</v>
      </c>
      <c r="D712" s="75"/>
      <c r="E712" s="57">
        <v>4.07686435E8</v>
      </c>
      <c r="F712" s="76">
        <v>36896.0</v>
      </c>
      <c r="G712" s="77">
        <v>25.0</v>
      </c>
      <c r="H712" s="78" t="str">
        <f t="shared" si="617"/>
        <v>19-60</v>
      </c>
      <c r="I712" s="79" t="s">
        <v>112</v>
      </c>
      <c r="J712" s="80" t="str">
        <f t="shared" si="580"/>
        <v>male</v>
      </c>
      <c r="K712" s="58">
        <v>5.92556005E8</v>
      </c>
      <c r="L712" s="55" t="s">
        <v>34</v>
      </c>
      <c r="M712" s="57" t="s">
        <v>89</v>
      </c>
      <c r="N712" s="55" t="s">
        <v>90</v>
      </c>
      <c r="O712" s="55"/>
      <c r="P712" s="55" t="s">
        <v>91</v>
      </c>
      <c r="Q712" s="58" t="s">
        <v>16</v>
      </c>
      <c r="R712" s="55"/>
      <c r="S712" s="55"/>
      <c r="T712" s="82"/>
      <c r="U712" s="82"/>
      <c r="V712" s="57"/>
      <c r="W712" s="57"/>
      <c r="X712" s="57" t="str">
        <f t="shared" si="499"/>
        <v>--705-07-05</v>
      </c>
      <c r="Y712" s="58" t="str">
        <f t="shared" ref="Y712:AC712" si="663">TRIM(SUBSTITUTE(SUBSTITUTE(OFFSET(#REF!,0,COLUMN()-COLUMN($AL$1)),CHAR(160)," "),_xludf.UNICHAR(8239)," "))</f>
        <v>#REF!</v>
      </c>
      <c r="Z712" s="58" t="str">
        <f t="shared" si="663"/>
        <v>#REF!</v>
      </c>
      <c r="AA712" s="58" t="str">
        <f t="shared" si="663"/>
        <v>#REF!</v>
      </c>
      <c r="AB712" s="58" t="str">
        <f t="shared" si="663"/>
        <v>#REF!</v>
      </c>
      <c r="AC712" s="58" t="str">
        <f t="shared" si="663"/>
        <v>#REF!</v>
      </c>
      <c r="AD712" s="57">
        <f t="shared" si="582"/>
        <v>1</v>
      </c>
      <c r="AE712" s="57" t="str">
        <f t="shared" si="583"/>
        <v>2026-05</v>
      </c>
      <c r="AF712" s="57">
        <f t="shared" si="584"/>
        <v>1</v>
      </c>
      <c r="AG712" s="59">
        <f t="shared" si="585"/>
        <v>1</v>
      </c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</row>
    <row r="713" ht="24.0" customHeight="1">
      <c r="A713" s="45">
        <v>80.0</v>
      </c>
      <c r="B713" s="74" t="s">
        <v>2249</v>
      </c>
      <c r="C713" s="55" t="s">
        <v>2177</v>
      </c>
      <c r="D713" s="75"/>
      <c r="E713" s="57">
        <v>4.7056224E8</v>
      </c>
      <c r="F713" s="76">
        <v>45461.0</v>
      </c>
      <c r="G713" s="77">
        <v>1.0</v>
      </c>
      <c r="H713" s="78" t="str">
        <f t="shared" si="617"/>
        <v>0-5</v>
      </c>
      <c r="I713" s="79" t="s">
        <v>86</v>
      </c>
      <c r="J713" s="80" t="str">
        <f t="shared" si="580"/>
        <v>female</v>
      </c>
      <c r="K713" s="58">
        <v>5.92360076E8</v>
      </c>
      <c r="L713" s="55" t="s">
        <v>34</v>
      </c>
      <c r="M713" s="57" t="s">
        <v>133</v>
      </c>
      <c r="N713" s="55" t="s">
        <v>90</v>
      </c>
      <c r="O713" s="55"/>
      <c r="P713" s="55" t="s">
        <v>91</v>
      </c>
      <c r="Q713" s="58" t="s">
        <v>16</v>
      </c>
      <c r="R713" s="55"/>
      <c r="S713" s="55"/>
      <c r="T713" s="82"/>
      <c r="U713" s="82"/>
      <c r="V713" s="57"/>
      <c r="W713" s="57"/>
      <c r="X713" s="57" t="str">
        <f t="shared" si="499"/>
        <v>--706-07-05</v>
      </c>
      <c r="Y713" s="58" t="str">
        <f t="shared" ref="Y713:AC713" si="664">TRIM(SUBSTITUTE(SUBSTITUTE(OFFSET(#REF!,0,COLUMN()-COLUMN($AL$1)),CHAR(160)," "),_xludf.UNICHAR(8239)," "))</f>
        <v>#REF!</v>
      </c>
      <c r="Z713" s="58" t="str">
        <f t="shared" si="664"/>
        <v>#REF!</v>
      </c>
      <c r="AA713" s="58" t="str">
        <f t="shared" si="664"/>
        <v>#REF!</v>
      </c>
      <c r="AB713" s="58" t="str">
        <f t="shared" si="664"/>
        <v>#REF!</v>
      </c>
      <c r="AC713" s="58" t="str">
        <f t="shared" si="664"/>
        <v>#REF!</v>
      </c>
      <c r="AD713" s="57">
        <f t="shared" si="582"/>
        <v>1</v>
      </c>
      <c r="AE713" s="57" t="str">
        <f t="shared" si="583"/>
        <v>2026-05</v>
      </c>
      <c r="AF713" s="57">
        <f t="shared" si="584"/>
        <v>1</v>
      </c>
      <c r="AG713" s="59">
        <f t="shared" si="585"/>
        <v>1</v>
      </c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</row>
    <row r="714" ht="24.0" customHeight="1">
      <c r="A714" s="45">
        <v>81.0</v>
      </c>
      <c r="B714" s="74" t="s">
        <v>2250</v>
      </c>
      <c r="C714" s="55" t="s">
        <v>2177</v>
      </c>
      <c r="D714" s="75"/>
      <c r="E714" s="57">
        <v>4.45458961E8</v>
      </c>
      <c r="F714" s="76">
        <v>45257.0</v>
      </c>
      <c r="G714" s="77">
        <v>3.0</v>
      </c>
      <c r="H714" s="78" t="str">
        <f t="shared" si="617"/>
        <v>0-5</v>
      </c>
      <c r="I714" s="79" t="s">
        <v>112</v>
      </c>
      <c r="J714" s="80" t="str">
        <f t="shared" si="580"/>
        <v>male</v>
      </c>
      <c r="K714" s="58">
        <v>5.92360076E8</v>
      </c>
      <c r="L714" s="55" t="s">
        <v>34</v>
      </c>
      <c r="M714" s="57" t="s">
        <v>133</v>
      </c>
      <c r="N714" s="55" t="s">
        <v>90</v>
      </c>
      <c r="O714" s="55"/>
      <c r="P714" s="55" t="s">
        <v>91</v>
      </c>
      <c r="Q714" s="58" t="s">
        <v>16</v>
      </c>
      <c r="R714" s="55"/>
      <c r="S714" s="55"/>
      <c r="T714" s="82"/>
      <c r="U714" s="82"/>
      <c r="V714" s="57"/>
      <c r="W714" s="57"/>
      <c r="X714" s="57" t="str">
        <f t="shared" si="499"/>
        <v>--707-07-05</v>
      </c>
      <c r="Y714" s="58" t="str">
        <f t="shared" ref="Y714:AC714" si="665">TRIM(SUBSTITUTE(SUBSTITUTE(OFFSET(#REF!,0,COLUMN()-COLUMN($AL$1)),CHAR(160)," "),_xludf.UNICHAR(8239)," "))</f>
        <v>#REF!</v>
      </c>
      <c r="Z714" s="58" t="str">
        <f t="shared" si="665"/>
        <v>#REF!</v>
      </c>
      <c r="AA714" s="58" t="str">
        <f t="shared" si="665"/>
        <v>#REF!</v>
      </c>
      <c r="AB714" s="58" t="str">
        <f t="shared" si="665"/>
        <v>#REF!</v>
      </c>
      <c r="AC714" s="58" t="str">
        <f t="shared" si="665"/>
        <v>#REF!</v>
      </c>
      <c r="AD714" s="57">
        <f t="shared" si="582"/>
        <v>1</v>
      </c>
      <c r="AE714" s="57" t="str">
        <f t="shared" si="583"/>
        <v>2026-05</v>
      </c>
      <c r="AF714" s="57">
        <f t="shared" si="584"/>
        <v>1</v>
      </c>
      <c r="AG714" s="59">
        <f t="shared" si="585"/>
        <v>1</v>
      </c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</row>
    <row r="715" ht="24.0" customHeight="1">
      <c r="A715" s="45">
        <v>82.0</v>
      </c>
      <c r="B715" s="74" t="s">
        <v>2251</v>
      </c>
      <c r="C715" s="55" t="s">
        <v>2177</v>
      </c>
      <c r="D715" s="75"/>
      <c r="E715" s="57">
        <v>4.41297124E8</v>
      </c>
      <c r="F715" s="76">
        <v>43564.0</v>
      </c>
      <c r="G715" s="77">
        <v>7.0</v>
      </c>
      <c r="H715" s="78" t="str">
        <f t="shared" si="617"/>
        <v>6-18</v>
      </c>
      <c r="I715" s="79" t="s">
        <v>112</v>
      </c>
      <c r="J715" s="80" t="str">
        <f t="shared" si="580"/>
        <v>male</v>
      </c>
      <c r="K715" s="58">
        <v>5.99647336E8</v>
      </c>
      <c r="L715" s="55" t="s">
        <v>34</v>
      </c>
      <c r="M715" s="57" t="s">
        <v>133</v>
      </c>
      <c r="N715" s="55" t="s">
        <v>90</v>
      </c>
      <c r="O715" s="55"/>
      <c r="P715" s="55" t="s">
        <v>91</v>
      </c>
      <c r="Q715" s="58" t="s">
        <v>4</v>
      </c>
      <c r="R715" s="55"/>
      <c r="S715" s="55"/>
      <c r="T715" s="82"/>
      <c r="U715" s="82"/>
      <c r="V715" s="57"/>
      <c r="W715" s="57"/>
      <c r="X715" s="57" t="str">
        <f t="shared" si="499"/>
        <v>--708-07-05</v>
      </c>
      <c r="Y715" s="58" t="str">
        <f t="shared" ref="Y715:AC715" si="666">TRIM(SUBSTITUTE(SUBSTITUTE(OFFSET(#REF!,0,COLUMN()-COLUMN($AL$1)),CHAR(160)," "),_xludf.UNICHAR(8239)," "))</f>
        <v>#REF!</v>
      </c>
      <c r="Z715" s="58" t="str">
        <f t="shared" si="666"/>
        <v>#REF!</v>
      </c>
      <c r="AA715" s="58" t="str">
        <f t="shared" si="666"/>
        <v>#REF!</v>
      </c>
      <c r="AB715" s="58" t="str">
        <f t="shared" si="666"/>
        <v>#REF!</v>
      </c>
      <c r="AC715" s="58" t="str">
        <f t="shared" si="666"/>
        <v>#REF!</v>
      </c>
      <c r="AD715" s="57">
        <f t="shared" si="582"/>
        <v>1</v>
      </c>
      <c r="AE715" s="57" t="str">
        <f t="shared" si="583"/>
        <v>2026-05</v>
      </c>
      <c r="AF715" s="57">
        <f t="shared" si="584"/>
        <v>1</v>
      </c>
      <c r="AG715" s="59">
        <f t="shared" si="585"/>
        <v>1</v>
      </c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</row>
    <row r="716" ht="24.0" customHeight="1">
      <c r="A716" s="45">
        <v>83.0</v>
      </c>
      <c r="B716" s="74" t="s">
        <v>2252</v>
      </c>
      <c r="C716" s="55" t="s">
        <v>2177</v>
      </c>
      <c r="D716" s="75"/>
      <c r="E716" s="57">
        <v>4.21299595E8</v>
      </c>
      <c r="F716" s="76">
        <v>38625.0</v>
      </c>
      <c r="G716" s="77">
        <v>21.0</v>
      </c>
      <c r="H716" s="78" t="str">
        <f t="shared" si="617"/>
        <v>19-60</v>
      </c>
      <c r="I716" s="79" t="s">
        <v>86</v>
      </c>
      <c r="J716" s="80" t="str">
        <f t="shared" si="580"/>
        <v>female</v>
      </c>
      <c r="K716" s="58">
        <v>5.9344302E8</v>
      </c>
      <c r="L716" s="55" t="s">
        <v>34</v>
      </c>
      <c r="M716" s="57" t="s">
        <v>89</v>
      </c>
      <c r="N716" s="55" t="s">
        <v>90</v>
      </c>
      <c r="O716" s="55"/>
      <c r="P716" s="55" t="s">
        <v>91</v>
      </c>
      <c r="Q716" s="55"/>
      <c r="R716" s="58" t="s">
        <v>5</v>
      </c>
      <c r="S716" s="55"/>
      <c r="T716" s="82"/>
      <c r="U716" s="82" t="s">
        <v>7</v>
      </c>
      <c r="V716" s="57"/>
      <c r="W716" s="57"/>
      <c r="X716" s="57" t="str">
        <f t="shared" si="499"/>
        <v>--709-07-05</v>
      </c>
      <c r="Y716" s="58" t="str">
        <f t="shared" ref="Y716:AC716" si="667">TRIM(SUBSTITUTE(SUBSTITUTE(OFFSET(#REF!,0,COLUMN()-COLUMN($AL$1)),CHAR(160)," "),_xludf.UNICHAR(8239)," "))</f>
        <v>#REF!</v>
      </c>
      <c r="Z716" s="58" t="str">
        <f t="shared" si="667"/>
        <v>#REF!</v>
      </c>
      <c r="AA716" s="58" t="str">
        <f t="shared" si="667"/>
        <v>#REF!</v>
      </c>
      <c r="AB716" s="58" t="str">
        <f t="shared" si="667"/>
        <v>#REF!</v>
      </c>
      <c r="AC716" s="58" t="str">
        <f t="shared" si="667"/>
        <v>#REF!</v>
      </c>
      <c r="AD716" s="57">
        <f t="shared" si="582"/>
        <v>1</v>
      </c>
      <c r="AE716" s="57" t="str">
        <f t="shared" si="583"/>
        <v>2026-05</v>
      </c>
      <c r="AF716" s="57">
        <f t="shared" si="584"/>
        <v>1</v>
      </c>
      <c r="AG716" s="59">
        <f t="shared" si="585"/>
        <v>1</v>
      </c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</row>
    <row r="717" ht="24.0" customHeight="1">
      <c r="A717" s="45">
        <v>84.0</v>
      </c>
      <c r="B717" s="74" t="s">
        <v>2253</v>
      </c>
      <c r="C717" s="55" t="s">
        <v>2177</v>
      </c>
      <c r="D717" s="75"/>
      <c r="E717" s="57">
        <v>4.09879442E8</v>
      </c>
      <c r="F717" s="76">
        <v>38029.0</v>
      </c>
      <c r="G717" s="77">
        <v>22.0</v>
      </c>
      <c r="H717" s="78" t="str">
        <f t="shared" si="617"/>
        <v>19-60</v>
      </c>
      <c r="I717" s="79" t="s">
        <v>86</v>
      </c>
      <c r="J717" s="80" t="str">
        <f t="shared" si="580"/>
        <v>female</v>
      </c>
      <c r="K717" s="58">
        <v>5.94768385E8</v>
      </c>
      <c r="L717" s="55" t="s">
        <v>34</v>
      </c>
      <c r="M717" s="57" t="s">
        <v>89</v>
      </c>
      <c r="N717" s="55" t="s">
        <v>90</v>
      </c>
      <c r="O717" s="55"/>
      <c r="P717" s="55" t="s">
        <v>91</v>
      </c>
      <c r="Q717" s="55"/>
      <c r="R717" s="58" t="s">
        <v>36</v>
      </c>
      <c r="S717" s="55"/>
      <c r="T717" s="82"/>
      <c r="U717" s="82"/>
      <c r="V717" s="57"/>
      <c r="W717" s="57"/>
      <c r="X717" s="57" t="str">
        <f t="shared" si="499"/>
        <v>--710-07-05</v>
      </c>
      <c r="Y717" s="58" t="str">
        <f t="shared" ref="Y717:AC717" si="668">TRIM(SUBSTITUTE(SUBSTITUTE(OFFSET(#REF!,0,COLUMN()-COLUMN($AL$1)),CHAR(160)," "),_xludf.UNICHAR(8239)," "))</f>
        <v>#REF!</v>
      </c>
      <c r="Z717" s="58" t="str">
        <f t="shared" si="668"/>
        <v>#REF!</v>
      </c>
      <c r="AA717" s="58" t="str">
        <f t="shared" si="668"/>
        <v>#REF!</v>
      </c>
      <c r="AB717" s="58" t="str">
        <f t="shared" si="668"/>
        <v>#REF!</v>
      </c>
      <c r="AC717" s="58" t="str">
        <f t="shared" si="668"/>
        <v>#REF!</v>
      </c>
      <c r="AD717" s="57">
        <f t="shared" si="582"/>
        <v>1</v>
      </c>
      <c r="AE717" s="57" t="str">
        <f t="shared" si="583"/>
        <v>2026-05</v>
      </c>
      <c r="AF717" s="57">
        <f t="shared" si="584"/>
        <v>1</v>
      </c>
      <c r="AG717" s="59">
        <f t="shared" si="585"/>
        <v>1</v>
      </c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</row>
    <row r="718" ht="24.0" customHeight="1">
      <c r="A718" s="45">
        <v>85.0</v>
      </c>
      <c r="B718" s="74" t="s">
        <v>169</v>
      </c>
      <c r="C718" s="55" t="s">
        <v>2177</v>
      </c>
      <c r="D718" s="75">
        <v>46145.0</v>
      </c>
      <c r="E718" s="57">
        <v>4.56702083E8</v>
      </c>
      <c r="F718" s="76">
        <v>38193.0</v>
      </c>
      <c r="G718" s="77">
        <v>22.0</v>
      </c>
      <c r="H718" s="78" t="str">
        <f t="shared" si="617"/>
        <v>19-60</v>
      </c>
      <c r="I718" s="79" t="s">
        <v>86</v>
      </c>
      <c r="J718" s="80" t="str">
        <f t="shared" si="580"/>
        <v>female</v>
      </c>
      <c r="K718" s="58">
        <v>5.98194042E8</v>
      </c>
      <c r="L718" s="55" t="s">
        <v>34</v>
      </c>
      <c r="M718" s="57" t="s">
        <v>89</v>
      </c>
      <c r="N718" s="55" t="s">
        <v>90</v>
      </c>
      <c r="O718" s="55"/>
      <c r="P718" s="55" t="s">
        <v>91</v>
      </c>
      <c r="Q718" s="55"/>
      <c r="R718" s="55"/>
      <c r="S718" s="58" t="s">
        <v>6</v>
      </c>
      <c r="T718" s="82"/>
      <c r="U718" s="82"/>
      <c r="V718" s="57"/>
      <c r="W718" s="57"/>
      <c r="X718" s="57" t="str">
        <f t="shared" si="499"/>
        <v>--711-07-05</v>
      </c>
      <c r="Y718" s="58" t="str">
        <f t="shared" ref="Y718:AC718" si="669">TRIM(SUBSTITUTE(SUBSTITUTE(OFFSET(#REF!,0,COLUMN()-COLUMN($AL$1)),CHAR(160)," "),_xludf.UNICHAR(8239)," "))</f>
        <v>#REF!</v>
      </c>
      <c r="Z718" s="58" t="str">
        <f t="shared" si="669"/>
        <v>#REF!</v>
      </c>
      <c r="AA718" s="58" t="str">
        <f t="shared" si="669"/>
        <v>#REF!</v>
      </c>
      <c r="AB718" s="58" t="str">
        <f t="shared" si="669"/>
        <v>#REF!</v>
      </c>
      <c r="AC718" s="58" t="str">
        <f t="shared" si="669"/>
        <v>#REF!</v>
      </c>
      <c r="AD718" s="57">
        <f t="shared" si="582"/>
        <v>1</v>
      </c>
      <c r="AE718" s="57" t="str">
        <f t="shared" si="583"/>
        <v>2026-05</v>
      </c>
      <c r="AF718" s="57">
        <f t="shared" si="584"/>
        <v>0</v>
      </c>
      <c r="AG718" s="59">
        <f t="shared" si="585"/>
        <v>0</v>
      </c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</row>
    <row r="719" ht="24.0" customHeight="1">
      <c r="A719" s="45">
        <v>86.0</v>
      </c>
      <c r="B719" s="74" t="s">
        <v>2254</v>
      </c>
      <c r="C719" s="55" t="s">
        <v>2177</v>
      </c>
      <c r="D719" s="75"/>
      <c r="E719" s="57">
        <v>4.70668195E8</v>
      </c>
      <c r="F719" s="76">
        <v>45903.0</v>
      </c>
      <c r="G719" s="55">
        <v>1.0</v>
      </c>
      <c r="H719" s="78" t="str">
        <f t="shared" si="617"/>
        <v>0-5</v>
      </c>
      <c r="I719" s="79" t="s">
        <v>112</v>
      </c>
      <c r="J719" s="80" t="str">
        <f t="shared" si="580"/>
        <v>male</v>
      </c>
      <c r="K719" s="58">
        <v>5.98194042E8</v>
      </c>
      <c r="L719" s="55" t="s">
        <v>34</v>
      </c>
      <c r="M719" s="57" t="s">
        <v>133</v>
      </c>
      <c r="N719" s="55" t="s">
        <v>90</v>
      </c>
      <c r="O719" s="55"/>
      <c r="P719" s="55" t="s">
        <v>91</v>
      </c>
      <c r="Q719" s="58" t="s">
        <v>4</v>
      </c>
      <c r="R719" s="55"/>
      <c r="S719" s="55"/>
      <c r="T719" s="82"/>
      <c r="U719" s="82"/>
      <c r="V719" s="57"/>
      <c r="W719" s="57"/>
      <c r="X719" s="57" t="str">
        <f t="shared" si="499"/>
        <v>--712-07-05</v>
      </c>
      <c r="Y719" s="58" t="str">
        <f t="shared" ref="Y719:AC719" si="670">TRIM(SUBSTITUTE(SUBSTITUTE(OFFSET(#REF!,0,COLUMN()-COLUMN($AL$1)),CHAR(160)," "),_xludf.UNICHAR(8239)," "))</f>
        <v>#REF!</v>
      </c>
      <c r="Z719" s="58" t="str">
        <f t="shared" si="670"/>
        <v>#REF!</v>
      </c>
      <c r="AA719" s="58" t="str">
        <f t="shared" si="670"/>
        <v>#REF!</v>
      </c>
      <c r="AB719" s="58" t="str">
        <f t="shared" si="670"/>
        <v>#REF!</v>
      </c>
      <c r="AC719" s="58" t="str">
        <f t="shared" si="670"/>
        <v>#REF!</v>
      </c>
      <c r="AD719" s="57">
        <f t="shared" si="582"/>
        <v>1</v>
      </c>
      <c r="AE719" s="57" t="str">
        <f t="shared" si="583"/>
        <v>2026-05</v>
      </c>
      <c r="AF719" s="57">
        <f t="shared" si="584"/>
        <v>1</v>
      </c>
      <c r="AG719" s="59">
        <f t="shared" si="585"/>
        <v>1</v>
      </c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</row>
    <row r="720" ht="24.0" customHeight="1">
      <c r="A720" s="45">
        <v>87.0</v>
      </c>
      <c r="B720" s="74" t="s">
        <v>2255</v>
      </c>
      <c r="C720" s="55" t="s">
        <v>2177</v>
      </c>
      <c r="D720" s="75"/>
      <c r="E720" s="57">
        <v>4.56702117E8</v>
      </c>
      <c r="F720" s="76">
        <v>38031.0</v>
      </c>
      <c r="G720" s="77">
        <v>22.0</v>
      </c>
      <c r="H720" s="78" t="str">
        <f t="shared" si="617"/>
        <v>19-60</v>
      </c>
      <c r="I720" s="79" t="s">
        <v>86</v>
      </c>
      <c r="J720" s="80" t="str">
        <f t="shared" si="580"/>
        <v>female</v>
      </c>
      <c r="K720" s="58">
        <v>5.99051883E8</v>
      </c>
      <c r="L720" s="55" t="s">
        <v>34</v>
      </c>
      <c r="M720" s="57" t="s">
        <v>89</v>
      </c>
      <c r="N720" s="55" t="s">
        <v>90</v>
      </c>
      <c r="O720" s="55"/>
      <c r="P720" s="55" t="s">
        <v>91</v>
      </c>
      <c r="Q720" s="58" t="s">
        <v>4</v>
      </c>
      <c r="R720" s="55"/>
      <c r="S720" s="55"/>
      <c r="T720" s="82"/>
      <c r="U720" s="82"/>
      <c r="V720" s="57"/>
      <c r="W720" s="57"/>
      <c r="X720" s="57" t="str">
        <f t="shared" si="499"/>
        <v>--713-07-05</v>
      </c>
      <c r="Y720" s="58" t="str">
        <f t="shared" ref="Y720:AC720" si="671">TRIM(SUBSTITUTE(SUBSTITUTE(OFFSET(#REF!,0,COLUMN()-COLUMN($AL$1)),CHAR(160)," "),_xludf.UNICHAR(8239)," "))</f>
        <v>#REF!</v>
      </c>
      <c r="Z720" s="58" t="str">
        <f t="shared" si="671"/>
        <v>#REF!</v>
      </c>
      <c r="AA720" s="58" t="str">
        <f t="shared" si="671"/>
        <v>#REF!</v>
      </c>
      <c r="AB720" s="58" t="str">
        <f t="shared" si="671"/>
        <v>#REF!</v>
      </c>
      <c r="AC720" s="58" t="str">
        <f t="shared" si="671"/>
        <v>#REF!</v>
      </c>
      <c r="AD720" s="57">
        <f t="shared" si="582"/>
        <v>1</v>
      </c>
      <c r="AE720" s="57" t="str">
        <f t="shared" si="583"/>
        <v>2026-05</v>
      </c>
      <c r="AF720" s="57">
        <f t="shared" si="584"/>
        <v>1</v>
      </c>
      <c r="AG720" s="59">
        <f t="shared" si="585"/>
        <v>1</v>
      </c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</row>
    <row r="721" ht="24.0" customHeight="1">
      <c r="A721" s="45">
        <v>88.0</v>
      </c>
      <c r="B721" s="74" t="s">
        <v>2256</v>
      </c>
      <c r="C721" s="55" t="s">
        <v>2177</v>
      </c>
      <c r="D721" s="75"/>
      <c r="E721" s="57">
        <v>9.60879024E8</v>
      </c>
      <c r="F721" s="76">
        <v>27963.0</v>
      </c>
      <c r="G721" s="77">
        <v>50.0</v>
      </c>
      <c r="H721" s="78" t="str">
        <f t="shared" si="617"/>
        <v>19-60</v>
      </c>
      <c r="I721" s="79" t="s">
        <v>112</v>
      </c>
      <c r="J721" s="80" t="str">
        <f t="shared" si="580"/>
        <v>male</v>
      </c>
      <c r="K721" s="58">
        <v>5.99883615E8</v>
      </c>
      <c r="L721" s="55" t="s">
        <v>34</v>
      </c>
      <c r="M721" s="57" t="s">
        <v>89</v>
      </c>
      <c r="N721" s="55" t="s">
        <v>90</v>
      </c>
      <c r="O721" s="55"/>
      <c r="P721" s="55" t="s">
        <v>91</v>
      </c>
      <c r="Q721" s="58" t="s">
        <v>16</v>
      </c>
      <c r="R721" s="55"/>
      <c r="S721" s="55"/>
      <c r="T721" s="82"/>
      <c r="U721" s="82"/>
      <c r="V721" s="57"/>
      <c r="W721" s="57"/>
      <c r="X721" s="57" t="str">
        <f t="shared" si="499"/>
        <v>--714-07-05</v>
      </c>
      <c r="Y721" s="58" t="str">
        <f t="shared" ref="Y721:AC721" si="672">TRIM(SUBSTITUTE(SUBSTITUTE(OFFSET(#REF!,0,COLUMN()-COLUMN($AL$1)),CHAR(160)," "),_xludf.UNICHAR(8239)," "))</f>
        <v>#REF!</v>
      </c>
      <c r="Z721" s="58" t="str">
        <f t="shared" si="672"/>
        <v>#REF!</v>
      </c>
      <c r="AA721" s="58" t="str">
        <f t="shared" si="672"/>
        <v>#REF!</v>
      </c>
      <c r="AB721" s="58" t="str">
        <f t="shared" si="672"/>
        <v>#REF!</v>
      </c>
      <c r="AC721" s="58" t="str">
        <f t="shared" si="672"/>
        <v>#REF!</v>
      </c>
      <c r="AD721" s="57">
        <f t="shared" si="582"/>
        <v>1</v>
      </c>
      <c r="AE721" s="57" t="str">
        <f t="shared" si="583"/>
        <v>2026-05</v>
      </c>
      <c r="AF721" s="57">
        <f t="shared" si="584"/>
        <v>1</v>
      </c>
      <c r="AG721" s="59">
        <f t="shared" si="585"/>
        <v>1</v>
      </c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</row>
    <row r="722" ht="24.0" customHeight="1">
      <c r="A722" s="45">
        <v>89.0</v>
      </c>
      <c r="B722" s="74" t="s">
        <v>2257</v>
      </c>
      <c r="C722" s="55" t="s">
        <v>2177</v>
      </c>
      <c r="D722" s="75"/>
      <c r="E722" s="57">
        <v>4.0226276E8</v>
      </c>
      <c r="F722" s="76">
        <v>35069.0</v>
      </c>
      <c r="G722" s="77">
        <v>30.0</v>
      </c>
      <c r="H722" s="78" t="str">
        <f t="shared" si="617"/>
        <v>19-60</v>
      </c>
      <c r="I722" s="79" t="s">
        <v>86</v>
      </c>
      <c r="J722" s="80" t="str">
        <f t="shared" si="580"/>
        <v>female</v>
      </c>
      <c r="K722" s="58">
        <v>5.92537557E8</v>
      </c>
      <c r="L722" s="55" t="s">
        <v>34</v>
      </c>
      <c r="M722" s="57" t="s">
        <v>89</v>
      </c>
      <c r="N722" s="55" t="s">
        <v>90</v>
      </c>
      <c r="O722" s="55"/>
      <c r="P722" s="55" t="s">
        <v>91</v>
      </c>
      <c r="Q722" s="58"/>
      <c r="R722" s="58" t="s">
        <v>36</v>
      </c>
      <c r="S722" s="55"/>
      <c r="T722" s="82"/>
      <c r="U722" s="82"/>
      <c r="V722" s="57"/>
      <c r="W722" s="57"/>
      <c r="X722" s="57" t="str">
        <f t="shared" si="499"/>
        <v>--715-07-05</v>
      </c>
      <c r="Y722" s="58" t="str">
        <f t="shared" ref="Y722:AC722" si="673">TRIM(SUBSTITUTE(SUBSTITUTE(OFFSET(#REF!,0,COLUMN()-COLUMN($AL$1)),CHAR(160)," "),_xludf.UNICHAR(8239)," "))</f>
        <v>#REF!</v>
      </c>
      <c r="Z722" s="58" t="str">
        <f t="shared" si="673"/>
        <v>#REF!</v>
      </c>
      <c r="AA722" s="58" t="str">
        <f t="shared" si="673"/>
        <v>#REF!</v>
      </c>
      <c r="AB722" s="58" t="str">
        <f t="shared" si="673"/>
        <v>#REF!</v>
      </c>
      <c r="AC722" s="58" t="str">
        <f t="shared" si="673"/>
        <v>#REF!</v>
      </c>
      <c r="AD722" s="57">
        <f t="shared" si="582"/>
        <v>1</v>
      </c>
      <c r="AE722" s="57" t="str">
        <f t="shared" si="583"/>
        <v>2026-05</v>
      </c>
      <c r="AF722" s="57">
        <f t="shared" si="584"/>
        <v>1</v>
      </c>
      <c r="AG722" s="59">
        <f t="shared" si="585"/>
        <v>1</v>
      </c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</row>
    <row r="723" ht="24.0" customHeight="1">
      <c r="A723" s="45">
        <v>90.0</v>
      </c>
      <c r="B723" s="74" t="s">
        <v>2258</v>
      </c>
      <c r="C723" s="55" t="s">
        <v>2177</v>
      </c>
      <c r="D723" s="75"/>
      <c r="E723" s="57">
        <v>4.3720759E8</v>
      </c>
      <c r="F723" s="76">
        <v>42539.0</v>
      </c>
      <c r="G723" s="77">
        <v>10.0</v>
      </c>
      <c r="H723" s="78" t="str">
        <f t="shared" si="617"/>
        <v>6-18</v>
      </c>
      <c r="I723" s="79" t="s">
        <v>86</v>
      </c>
      <c r="J723" s="80" t="str">
        <f t="shared" si="580"/>
        <v>female</v>
      </c>
      <c r="K723" s="58">
        <v>5.92158081E8</v>
      </c>
      <c r="L723" s="55" t="s">
        <v>34</v>
      </c>
      <c r="M723" s="57" t="s">
        <v>133</v>
      </c>
      <c r="N723" s="55" t="s">
        <v>90</v>
      </c>
      <c r="O723" s="55"/>
      <c r="P723" s="55" t="s">
        <v>91</v>
      </c>
      <c r="Q723" s="58" t="s">
        <v>16</v>
      </c>
      <c r="R723" s="55"/>
      <c r="S723" s="55"/>
      <c r="T723" s="82"/>
      <c r="U723" s="82"/>
      <c r="V723" s="57"/>
      <c r="W723" s="57"/>
      <c r="X723" s="57" t="str">
        <f t="shared" si="499"/>
        <v>--716-07-05</v>
      </c>
      <c r="Y723" s="58" t="str">
        <f t="shared" ref="Y723:AC723" si="674">TRIM(SUBSTITUTE(SUBSTITUTE(OFFSET(#REF!,0,COLUMN()-COLUMN($AL$1)),CHAR(160)," "),_xludf.UNICHAR(8239)," "))</f>
        <v>#REF!</v>
      </c>
      <c r="Z723" s="58" t="str">
        <f t="shared" si="674"/>
        <v>#REF!</v>
      </c>
      <c r="AA723" s="58" t="str">
        <f t="shared" si="674"/>
        <v>#REF!</v>
      </c>
      <c r="AB723" s="58" t="str">
        <f t="shared" si="674"/>
        <v>#REF!</v>
      </c>
      <c r="AC723" s="58" t="str">
        <f t="shared" si="674"/>
        <v>#REF!</v>
      </c>
      <c r="AD723" s="57">
        <f t="shared" si="582"/>
        <v>1</v>
      </c>
      <c r="AE723" s="57" t="str">
        <f t="shared" si="583"/>
        <v>2026-05</v>
      </c>
      <c r="AF723" s="57">
        <f t="shared" si="584"/>
        <v>1</v>
      </c>
      <c r="AG723" s="59">
        <f t="shared" si="585"/>
        <v>1</v>
      </c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</row>
    <row r="724" ht="24.0" customHeight="1">
      <c r="A724" s="45">
        <v>91.0</v>
      </c>
      <c r="B724" s="74" t="s">
        <v>2259</v>
      </c>
      <c r="C724" s="55" t="s">
        <v>2177</v>
      </c>
      <c r="D724" s="75"/>
      <c r="E724" s="57">
        <v>9.70338034E8</v>
      </c>
      <c r="F724" s="76">
        <v>22977.0</v>
      </c>
      <c r="G724" s="77">
        <v>64.0</v>
      </c>
      <c r="H724" s="78" t="str">
        <f t="shared" si="617"/>
        <v>+60</v>
      </c>
      <c r="I724" s="79" t="s">
        <v>86</v>
      </c>
      <c r="J724" s="80" t="str">
        <f t="shared" si="580"/>
        <v>female</v>
      </c>
      <c r="K724" s="58">
        <v>5.95607243E8</v>
      </c>
      <c r="L724" s="55" t="s">
        <v>34</v>
      </c>
      <c r="M724" s="57" t="s">
        <v>89</v>
      </c>
      <c r="N724" s="55" t="s">
        <v>90</v>
      </c>
      <c r="O724" s="55"/>
      <c r="P724" s="55" t="s">
        <v>91</v>
      </c>
      <c r="Q724" s="58" t="s">
        <v>4</v>
      </c>
      <c r="R724" s="55"/>
      <c r="S724" s="55"/>
      <c r="T724" s="82"/>
      <c r="U724" s="82"/>
      <c r="V724" s="57"/>
      <c r="W724" s="57"/>
      <c r="X724" s="57" t="str">
        <f t="shared" si="499"/>
        <v>--717-07-05</v>
      </c>
      <c r="Y724" s="58" t="str">
        <f t="shared" ref="Y724:AC724" si="675">TRIM(SUBSTITUTE(SUBSTITUTE(OFFSET(#REF!,0,COLUMN()-COLUMN($AL$1)),CHAR(160)," "),_xludf.UNICHAR(8239)," "))</f>
        <v>#REF!</v>
      </c>
      <c r="Z724" s="58" t="str">
        <f t="shared" si="675"/>
        <v>#REF!</v>
      </c>
      <c r="AA724" s="58" t="str">
        <f t="shared" si="675"/>
        <v>#REF!</v>
      </c>
      <c r="AB724" s="58" t="str">
        <f t="shared" si="675"/>
        <v>#REF!</v>
      </c>
      <c r="AC724" s="58" t="str">
        <f t="shared" si="675"/>
        <v>#REF!</v>
      </c>
      <c r="AD724" s="57">
        <f t="shared" si="582"/>
        <v>1</v>
      </c>
      <c r="AE724" s="57" t="str">
        <f t="shared" si="583"/>
        <v>2026-05</v>
      </c>
      <c r="AF724" s="57">
        <f t="shared" si="584"/>
        <v>1</v>
      </c>
      <c r="AG724" s="59">
        <f t="shared" si="585"/>
        <v>1</v>
      </c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</row>
    <row r="725" ht="24.0" customHeight="1">
      <c r="A725" s="45">
        <v>92.0</v>
      </c>
      <c r="B725" s="74" t="s">
        <v>2260</v>
      </c>
      <c r="C725" s="55" t="s">
        <v>2177</v>
      </c>
      <c r="D725" s="75"/>
      <c r="E725" s="57">
        <v>9.38871241E8</v>
      </c>
      <c r="F725" s="76">
        <v>22380.0</v>
      </c>
      <c r="G725" s="77">
        <v>65.0</v>
      </c>
      <c r="H725" s="78" t="str">
        <f t="shared" si="617"/>
        <v>+60</v>
      </c>
      <c r="I725" s="79" t="s">
        <v>86</v>
      </c>
      <c r="J725" s="80" t="str">
        <f t="shared" si="580"/>
        <v>female</v>
      </c>
      <c r="K725" s="58">
        <v>5.92178019E8</v>
      </c>
      <c r="L725" s="55" t="s">
        <v>34</v>
      </c>
      <c r="M725" s="57" t="s">
        <v>89</v>
      </c>
      <c r="N725" s="55" t="s">
        <v>90</v>
      </c>
      <c r="O725" s="55"/>
      <c r="P725" s="55" t="s">
        <v>91</v>
      </c>
      <c r="Q725" s="58" t="s">
        <v>4</v>
      </c>
      <c r="R725" s="55"/>
      <c r="S725" s="55"/>
      <c r="T725" s="82"/>
      <c r="U725" s="82"/>
      <c r="V725" s="57"/>
      <c r="W725" s="57"/>
      <c r="X725" s="57" t="str">
        <f t="shared" si="499"/>
        <v>--718-07-05</v>
      </c>
      <c r="Y725" s="58" t="str">
        <f t="shared" ref="Y725:AC725" si="676">TRIM(SUBSTITUTE(SUBSTITUTE(OFFSET(#REF!,0,COLUMN()-COLUMN($AL$1)),CHAR(160)," "),_xludf.UNICHAR(8239)," "))</f>
        <v>#REF!</v>
      </c>
      <c r="Z725" s="58" t="str">
        <f t="shared" si="676"/>
        <v>#REF!</v>
      </c>
      <c r="AA725" s="58" t="str">
        <f t="shared" si="676"/>
        <v>#REF!</v>
      </c>
      <c r="AB725" s="58" t="str">
        <f t="shared" si="676"/>
        <v>#REF!</v>
      </c>
      <c r="AC725" s="58" t="str">
        <f t="shared" si="676"/>
        <v>#REF!</v>
      </c>
      <c r="AD725" s="57">
        <f t="shared" si="582"/>
        <v>1</v>
      </c>
      <c r="AE725" s="57" t="str">
        <f t="shared" si="583"/>
        <v>2026-05</v>
      </c>
      <c r="AF725" s="57">
        <f t="shared" si="584"/>
        <v>1</v>
      </c>
      <c r="AG725" s="59">
        <f t="shared" si="585"/>
        <v>1</v>
      </c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</row>
    <row r="726" ht="24.0" customHeight="1">
      <c r="A726" s="45">
        <v>93.0</v>
      </c>
      <c r="B726" s="74" t="s">
        <v>2261</v>
      </c>
      <c r="C726" s="55" t="s">
        <v>2177</v>
      </c>
      <c r="D726" s="75"/>
      <c r="E726" s="57">
        <v>4.0720677E8</v>
      </c>
      <c r="F726" s="76">
        <v>37529.0</v>
      </c>
      <c r="G726" s="77">
        <v>24.0</v>
      </c>
      <c r="H726" s="78" t="str">
        <f t="shared" si="617"/>
        <v>19-60</v>
      </c>
      <c r="I726" s="79" t="s">
        <v>86</v>
      </c>
      <c r="J726" s="80" t="str">
        <f t="shared" si="580"/>
        <v>female</v>
      </c>
      <c r="K726" s="58">
        <v>5.99991584E8</v>
      </c>
      <c r="L726" s="55" t="s">
        <v>34</v>
      </c>
      <c r="M726" s="57" t="s">
        <v>89</v>
      </c>
      <c r="N726" s="55" t="s">
        <v>90</v>
      </c>
      <c r="O726" s="55"/>
      <c r="P726" s="55" t="s">
        <v>91</v>
      </c>
      <c r="Q726" s="55"/>
      <c r="R726" s="58" t="s">
        <v>5</v>
      </c>
      <c r="S726" s="55"/>
      <c r="T726" s="82"/>
      <c r="U726" s="82" t="s">
        <v>7</v>
      </c>
      <c r="V726" s="57"/>
      <c r="W726" s="57"/>
      <c r="X726" s="57" t="str">
        <f t="shared" si="499"/>
        <v>--719-07-05</v>
      </c>
      <c r="Y726" s="58" t="str">
        <f t="shared" ref="Y726:AC726" si="677">TRIM(SUBSTITUTE(SUBSTITUTE(OFFSET(#REF!,0,COLUMN()-COLUMN($AL$1)),CHAR(160)," "),_xludf.UNICHAR(8239)," "))</f>
        <v>#REF!</v>
      </c>
      <c r="Z726" s="58" t="str">
        <f t="shared" si="677"/>
        <v>#REF!</v>
      </c>
      <c r="AA726" s="58" t="str">
        <f t="shared" si="677"/>
        <v>#REF!</v>
      </c>
      <c r="AB726" s="58" t="str">
        <f t="shared" si="677"/>
        <v>#REF!</v>
      </c>
      <c r="AC726" s="58" t="str">
        <f t="shared" si="677"/>
        <v>#REF!</v>
      </c>
      <c r="AD726" s="57">
        <f t="shared" si="582"/>
        <v>1</v>
      </c>
      <c r="AE726" s="57" t="str">
        <f t="shared" si="583"/>
        <v>2026-05</v>
      </c>
      <c r="AF726" s="57">
        <f t="shared" si="584"/>
        <v>1</v>
      </c>
      <c r="AG726" s="59">
        <f t="shared" si="585"/>
        <v>1</v>
      </c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</row>
    <row r="727" ht="24.0" customHeight="1">
      <c r="A727" s="45">
        <v>94.0</v>
      </c>
      <c r="B727" s="74" t="s">
        <v>2262</v>
      </c>
      <c r="C727" s="55" t="s">
        <v>2177</v>
      </c>
      <c r="D727" s="75"/>
      <c r="E727" s="57">
        <v>4.03605066E8</v>
      </c>
      <c r="F727" s="76">
        <v>36203.0</v>
      </c>
      <c r="G727" s="77">
        <v>27.0</v>
      </c>
      <c r="H727" s="78" t="str">
        <f t="shared" si="617"/>
        <v>19-60</v>
      </c>
      <c r="I727" s="79" t="s">
        <v>86</v>
      </c>
      <c r="J727" s="80" t="str">
        <f t="shared" si="580"/>
        <v>female</v>
      </c>
      <c r="K727" s="58">
        <v>5.99285358E8</v>
      </c>
      <c r="L727" s="55" t="s">
        <v>34</v>
      </c>
      <c r="M727" s="57" t="s">
        <v>89</v>
      </c>
      <c r="N727" s="55" t="s">
        <v>90</v>
      </c>
      <c r="O727" s="55"/>
      <c r="P727" s="55" t="s">
        <v>91</v>
      </c>
      <c r="Q727" s="55"/>
      <c r="R727" s="58" t="s">
        <v>5</v>
      </c>
      <c r="S727" s="55"/>
      <c r="T727" s="82"/>
      <c r="U727" s="82" t="s">
        <v>7</v>
      </c>
      <c r="V727" s="57"/>
      <c r="W727" s="57"/>
      <c r="X727" s="57" t="str">
        <f t="shared" si="499"/>
        <v>--720-07-05</v>
      </c>
      <c r="Y727" s="58" t="str">
        <f t="shared" ref="Y727:AC727" si="678">TRIM(SUBSTITUTE(SUBSTITUTE(OFFSET(#REF!,0,COLUMN()-COLUMN($AL$1)),CHAR(160)," "),_xludf.UNICHAR(8239)," "))</f>
        <v>#REF!</v>
      </c>
      <c r="Z727" s="58" t="str">
        <f t="shared" si="678"/>
        <v>#REF!</v>
      </c>
      <c r="AA727" s="58" t="str">
        <f t="shared" si="678"/>
        <v>#REF!</v>
      </c>
      <c r="AB727" s="58" t="str">
        <f t="shared" si="678"/>
        <v>#REF!</v>
      </c>
      <c r="AC727" s="58" t="str">
        <f t="shared" si="678"/>
        <v>#REF!</v>
      </c>
      <c r="AD727" s="57">
        <f t="shared" si="582"/>
        <v>1</v>
      </c>
      <c r="AE727" s="57" t="str">
        <f t="shared" si="583"/>
        <v>2026-05</v>
      </c>
      <c r="AF727" s="57">
        <f t="shared" si="584"/>
        <v>1</v>
      </c>
      <c r="AG727" s="59">
        <f t="shared" si="585"/>
        <v>1</v>
      </c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</row>
    <row r="728" ht="24.0" customHeight="1">
      <c r="A728" s="45">
        <v>95.0</v>
      </c>
      <c r="B728" s="74" t="s">
        <v>2263</v>
      </c>
      <c r="C728" s="55" t="s">
        <v>2177</v>
      </c>
      <c r="D728" s="75"/>
      <c r="E728" s="57">
        <v>9.00764499E8</v>
      </c>
      <c r="F728" s="76">
        <v>28696.0</v>
      </c>
      <c r="G728" s="77">
        <v>48.0</v>
      </c>
      <c r="H728" s="78" t="str">
        <f t="shared" si="617"/>
        <v>19-60</v>
      </c>
      <c r="I728" s="79" t="s">
        <v>86</v>
      </c>
      <c r="J728" s="80" t="str">
        <f t="shared" si="580"/>
        <v>female</v>
      </c>
      <c r="K728" s="58">
        <v>5.99302934E8</v>
      </c>
      <c r="L728" s="55" t="s">
        <v>34</v>
      </c>
      <c r="M728" s="57" t="s">
        <v>89</v>
      </c>
      <c r="N728" s="55" t="s">
        <v>90</v>
      </c>
      <c r="O728" s="55"/>
      <c r="P728" s="55" t="s">
        <v>91</v>
      </c>
      <c r="Q728" s="58" t="s">
        <v>16</v>
      </c>
      <c r="R728" s="55"/>
      <c r="S728" s="55"/>
      <c r="T728" s="82"/>
      <c r="U728" s="82"/>
      <c r="V728" s="57"/>
      <c r="W728" s="57"/>
      <c r="X728" s="57" t="str">
        <f t="shared" si="499"/>
        <v>--721-07-05</v>
      </c>
      <c r="Y728" s="58" t="str">
        <f t="shared" ref="Y728:AC728" si="679">TRIM(SUBSTITUTE(SUBSTITUTE(OFFSET(#REF!,0,COLUMN()-COLUMN($AL$1)),CHAR(160)," "),_xludf.UNICHAR(8239)," "))</f>
        <v>#REF!</v>
      </c>
      <c r="Z728" s="58" t="str">
        <f t="shared" si="679"/>
        <v>#REF!</v>
      </c>
      <c r="AA728" s="58" t="str">
        <f t="shared" si="679"/>
        <v>#REF!</v>
      </c>
      <c r="AB728" s="58" t="str">
        <f t="shared" si="679"/>
        <v>#REF!</v>
      </c>
      <c r="AC728" s="58" t="str">
        <f t="shared" si="679"/>
        <v>#REF!</v>
      </c>
      <c r="AD728" s="57">
        <f t="shared" si="582"/>
        <v>1</v>
      </c>
      <c r="AE728" s="57" t="str">
        <f t="shared" si="583"/>
        <v>2026-05</v>
      </c>
      <c r="AF728" s="57">
        <f t="shared" si="584"/>
        <v>1</v>
      </c>
      <c r="AG728" s="59">
        <f t="shared" si="585"/>
        <v>1</v>
      </c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</row>
    <row r="729" ht="24.0" customHeight="1">
      <c r="A729" s="45">
        <v>96.0</v>
      </c>
      <c r="B729" s="74" t="s">
        <v>2264</v>
      </c>
      <c r="C729" s="55" t="s">
        <v>2177</v>
      </c>
      <c r="D729" s="75"/>
      <c r="E729" s="57">
        <v>4.35063185E8</v>
      </c>
      <c r="F729" s="76">
        <v>41336.0</v>
      </c>
      <c r="G729" s="77">
        <v>13.0</v>
      </c>
      <c r="H729" s="78" t="str">
        <f t="shared" si="617"/>
        <v>6-18</v>
      </c>
      <c r="I729" s="79" t="s">
        <v>86</v>
      </c>
      <c r="J729" s="80" t="str">
        <f t="shared" si="580"/>
        <v>female</v>
      </c>
      <c r="K729" s="58">
        <v>5.99858512E8</v>
      </c>
      <c r="L729" s="55" t="s">
        <v>34</v>
      </c>
      <c r="M729" s="57" t="s">
        <v>133</v>
      </c>
      <c r="N729" s="55" t="s">
        <v>90</v>
      </c>
      <c r="O729" s="55"/>
      <c r="P729" s="55" t="s">
        <v>91</v>
      </c>
      <c r="Q729" s="55"/>
      <c r="R729" s="55"/>
      <c r="S729" s="58" t="s">
        <v>6</v>
      </c>
      <c r="T729" s="82"/>
      <c r="U729" s="82"/>
      <c r="V729" s="57"/>
      <c r="W729" s="57"/>
      <c r="X729" s="57" t="str">
        <f t="shared" si="499"/>
        <v>--722-07-05</v>
      </c>
      <c r="Y729" s="58" t="str">
        <f t="shared" ref="Y729:AC729" si="680">TRIM(SUBSTITUTE(SUBSTITUTE(OFFSET(#REF!,0,COLUMN()-COLUMN($AL$1)),CHAR(160)," "),_xludf.UNICHAR(8239)," "))</f>
        <v>#REF!</v>
      </c>
      <c r="Z729" s="58" t="str">
        <f t="shared" si="680"/>
        <v>#REF!</v>
      </c>
      <c r="AA729" s="58" t="str">
        <f t="shared" si="680"/>
        <v>#REF!</v>
      </c>
      <c r="AB729" s="58" t="str">
        <f t="shared" si="680"/>
        <v>#REF!</v>
      </c>
      <c r="AC729" s="58" t="str">
        <f t="shared" si="680"/>
        <v>#REF!</v>
      </c>
      <c r="AD729" s="57">
        <f t="shared" si="582"/>
        <v>1</v>
      </c>
      <c r="AE729" s="57" t="str">
        <f t="shared" si="583"/>
        <v>2026-05</v>
      </c>
      <c r="AF729" s="57">
        <f t="shared" si="584"/>
        <v>1</v>
      </c>
      <c r="AG729" s="59">
        <f t="shared" si="585"/>
        <v>1</v>
      </c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</row>
    <row r="730" ht="24.0" customHeight="1">
      <c r="A730" s="45">
        <v>97.0</v>
      </c>
      <c r="B730" s="74" t="s">
        <v>2265</v>
      </c>
      <c r="C730" s="55" t="s">
        <v>2177</v>
      </c>
      <c r="D730" s="75"/>
      <c r="E730" s="57">
        <v>9.05935136E8</v>
      </c>
      <c r="F730" s="76">
        <v>23301.0</v>
      </c>
      <c r="G730" s="77">
        <v>63.0</v>
      </c>
      <c r="H730" s="78" t="str">
        <f t="shared" si="617"/>
        <v>+60</v>
      </c>
      <c r="I730" s="79" t="s">
        <v>112</v>
      </c>
      <c r="J730" s="80" t="str">
        <f t="shared" si="580"/>
        <v>male</v>
      </c>
      <c r="K730" s="58">
        <v>5.99453132E8</v>
      </c>
      <c r="L730" s="55" t="s">
        <v>34</v>
      </c>
      <c r="M730" s="57" t="s">
        <v>89</v>
      </c>
      <c r="N730" s="55" t="s">
        <v>90</v>
      </c>
      <c r="O730" s="55"/>
      <c r="P730" s="55" t="s">
        <v>91</v>
      </c>
      <c r="Q730" s="58" t="s">
        <v>16</v>
      </c>
      <c r="R730" s="55"/>
      <c r="S730" s="55"/>
      <c r="T730" s="82"/>
      <c r="U730" s="82"/>
      <c r="V730" s="57"/>
      <c r="W730" s="57"/>
      <c r="X730" s="57" t="str">
        <f t="shared" si="499"/>
        <v>--723-07-05</v>
      </c>
      <c r="Y730" s="58" t="str">
        <f t="shared" ref="Y730:AC730" si="681">TRIM(SUBSTITUTE(SUBSTITUTE(OFFSET(#REF!,0,COLUMN()-COLUMN($AL$1)),CHAR(160)," "),_xludf.UNICHAR(8239)," "))</f>
        <v>#REF!</v>
      </c>
      <c r="Z730" s="58" t="str">
        <f t="shared" si="681"/>
        <v>#REF!</v>
      </c>
      <c r="AA730" s="58" t="str">
        <f t="shared" si="681"/>
        <v>#REF!</v>
      </c>
      <c r="AB730" s="58" t="str">
        <f t="shared" si="681"/>
        <v>#REF!</v>
      </c>
      <c r="AC730" s="58" t="str">
        <f t="shared" si="681"/>
        <v>#REF!</v>
      </c>
      <c r="AD730" s="57">
        <f t="shared" si="582"/>
        <v>1</v>
      </c>
      <c r="AE730" s="57" t="str">
        <f t="shared" si="583"/>
        <v>2026-05</v>
      </c>
      <c r="AF730" s="57">
        <f t="shared" si="584"/>
        <v>1</v>
      </c>
      <c r="AG730" s="59">
        <f t="shared" si="585"/>
        <v>1</v>
      </c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</row>
    <row r="731" ht="24.0" customHeight="1">
      <c r="A731" s="45">
        <v>1.0</v>
      </c>
      <c r="B731" s="74" t="s">
        <v>481</v>
      </c>
      <c r="C731" s="55" t="s">
        <v>2266</v>
      </c>
      <c r="D731" s="75">
        <v>46139.0</v>
      </c>
      <c r="E731" s="57">
        <v>9.16486004E8</v>
      </c>
      <c r="F731" s="76">
        <v>20066.0</v>
      </c>
      <c r="G731" s="77">
        <v>72.0</v>
      </c>
      <c r="H731" s="78" t="str">
        <f t="shared" si="617"/>
        <v>+60</v>
      </c>
      <c r="I731" s="79" t="s">
        <v>112</v>
      </c>
      <c r="J731" s="80" t="str">
        <f t="shared" si="580"/>
        <v>male</v>
      </c>
      <c r="K731" s="58">
        <v>5.99014548E8</v>
      </c>
      <c r="L731" s="55" t="s">
        <v>34</v>
      </c>
      <c r="M731" s="57" t="s">
        <v>115</v>
      </c>
      <c r="N731" s="55" t="s">
        <v>90</v>
      </c>
      <c r="O731" s="55"/>
      <c r="P731" s="55" t="s">
        <v>91</v>
      </c>
      <c r="Q731" s="58" t="s">
        <v>4</v>
      </c>
      <c r="R731" s="55"/>
      <c r="S731" s="55"/>
      <c r="T731" s="82"/>
      <c r="U731" s="82"/>
      <c r="V731" s="57"/>
      <c r="W731" s="57"/>
      <c r="X731" s="57" t="str">
        <f t="shared" si="499"/>
        <v>--724-10-05</v>
      </c>
      <c r="Y731" s="58" t="str">
        <f t="shared" ref="Y731:AC731" si="682">TRIM(SUBSTITUTE(SUBSTITUTE(OFFSET(#REF!,0,COLUMN()-COLUMN($AL$1)),CHAR(160)," "),_xludf.UNICHAR(8239)," "))</f>
        <v>#REF!</v>
      </c>
      <c r="Z731" s="58" t="str">
        <f t="shared" si="682"/>
        <v>#REF!</v>
      </c>
      <c r="AA731" s="58" t="str">
        <f t="shared" si="682"/>
        <v>#REF!</v>
      </c>
      <c r="AB731" s="58" t="str">
        <f t="shared" si="682"/>
        <v>#REF!</v>
      </c>
      <c r="AC731" s="58" t="str">
        <f t="shared" si="682"/>
        <v>#REF!</v>
      </c>
      <c r="AD731" s="57">
        <f t="shared" si="582"/>
        <v>1</v>
      </c>
      <c r="AE731" s="57" t="str">
        <f t="shared" si="583"/>
        <v>2026-05</v>
      </c>
      <c r="AF731" s="57">
        <f t="shared" si="584"/>
        <v>1</v>
      </c>
      <c r="AG731" s="59">
        <f t="shared" si="585"/>
        <v>0</v>
      </c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</row>
    <row r="732" ht="24.0" customHeight="1">
      <c r="A732" s="45">
        <v>2.0</v>
      </c>
      <c r="B732" s="74" t="s">
        <v>485</v>
      </c>
      <c r="C732" s="55" t="s">
        <v>2266</v>
      </c>
      <c r="D732" s="75">
        <v>46139.0</v>
      </c>
      <c r="E732" s="57">
        <v>9.75888553E8</v>
      </c>
      <c r="F732" s="76">
        <v>22422.0</v>
      </c>
      <c r="G732" s="77">
        <v>65.0</v>
      </c>
      <c r="H732" s="78" t="str">
        <f t="shared" si="617"/>
        <v>+60</v>
      </c>
      <c r="I732" s="79" t="s">
        <v>86</v>
      </c>
      <c r="J732" s="80" t="str">
        <f t="shared" si="580"/>
        <v>female</v>
      </c>
      <c r="K732" s="58">
        <v>5.99014548E8</v>
      </c>
      <c r="L732" s="55" t="s">
        <v>34</v>
      </c>
      <c r="M732" s="57" t="s">
        <v>89</v>
      </c>
      <c r="N732" s="55" t="s">
        <v>90</v>
      </c>
      <c r="O732" s="55"/>
      <c r="P732" s="55" t="s">
        <v>91</v>
      </c>
      <c r="Q732" s="58" t="s">
        <v>4</v>
      </c>
      <c r="R732" s="55"/>
      <c r="S732" s="55"/>
      <c r="T732" s="82"/>
      <c r="U732" s="82"/>
      <c r="V732" s="57"/>
      <c r="W732" s="57"/>
      <c r="X732" s="57" t="str">
        <f t="shared" si="499"/>
        <v>--725-10-05</v>
      </c>
      <c r="Y732" s="58" t="str">
        <f t="shared" ref="Y732:AC732" si="683">TRIM(SUBSTITUTE(SUBSTITUTE(OFFSET(#REF!,0,COLUMN()-COLUMN($AL$1)),CHAR(160)," "),_xludf.UNICHAR(8239)," "))</f>
        <v>#REF!</v>
      </c>
      <c r="Z732" s="58" t="str">
        <f t="shared" si="683"/>
        <v>#REF!</v>
      </c>
      <c r="AA732" s="58" t="str">
        <f t="shared" si="683"/>
        <v>#REF!</v>
      </c>
      <c r="AB732" s="58" t="str">
        <f t="shared" si="683"/>
        <v>#REF!</v>
      </c>
      <c r="AC732" s="58" t="str">
        <f t="shared" si="683"/>
        <v>#REF!</v>
      </c>
      <c r="AD732" s="57">
        <f t="shared" si="582"/>
        <v>1</v>
      </c>
      <c r="AE732" s="57" t="str">
        <f t="shared" si="583"/>
        <v>2026-05</v>
      </c>
      <c r="AF732" s="57">
        <f t="shared" si="584"/>
        <v>1</v>
      </c>
      <c r="AG732" s="59">
        <f t="shared" si="585"/>
        <v>0</v>
      </c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</row>
    <row r="733" ht="24.0" customHeight="1">
      <c r="A733" s="45">
        <v>3.0</v>
      </c>
      <c r="B733" s="74" t="s">
        <v>1042</v>
      </c>
      <c r="C733" s="55" t="s">
        <v>2266</v>
      </c>
      <c r="D733" s="75">
        <v>46141.0</v>
      </c>
      <c r="E733" s="57">
        <v>4.07722123E8</v>
      </c>
      <c r="F733" s="76">
        <v>37571.0</v>
      </c>
      <c r="G733" s="77">
        <v>24.0</v>
      </c>
      <c r="H733" s="78" t="str">
        <f t="shared" si="617"/>
        <v>19-60</v>
      </c>
      <c r="I733" s="79" t="s">
        <v>86</v>
      </c>
      <c r="J733" s="80" t="str">
        <f t="shared" si="580"/>
        <v>female</v>
      </c>
      <c r="K733" s="58">
        <v>5.97164434E8</v>
      </c>
      <c r="L733" s="55" t="s">
        <v>34</v>
      </c>
      <c r="M733" s="57" t="s">
        <v>89</v>
      </c>
      <c r="N733" s="55" t="s">
        <v>90</v>
      </c>
      <c r="O733" s="55"/>
      <c r="P733" s="55" t="s">
        <v>91</v>
      </c>
      <c r="Q733" s="58"/>
      <c r="R733" s="55" t="s">
        <v>5</v>
      </c>
      <c r="S733" s="55"/>
      <c r="T733" s="82"/>
      <c r="U733" s="82" t="s">
        <v>7</v>
      </c>
      <c r="V733" s="57"/>
      <c r="W733" s="57"/>
      <c r="X733" s="57" t="str">
        <f t="shared" si="499"/>
        <v>--726-10-05</v>
      </c>
      <c r="Y733" s="58" t="str">
        <f t="shared" ref="Y733:AC733" si="684">TRIM(SUBSTITUTE(SUBSTITUTE(OFFSET(#REF!,0,COLUMN()-COLUMN($AL$1)),CHAR(160)," "),_xludf.UNICHAR(8239)," "))</f>
        <v>#REF!</v>
      </c>
      <c r="Z733" s="58" t="str">
        <f t="shared" si="684"/>
        <v>#REF!</v>
      </c>
      <c r="AA733" s="58" t="str">
        <f t="shared" si="684"/>
        <v>#REF!</v>
      </c>
      <c r="AB733" s="58" t="str">
        <f t="shared" si="684"/>
        <v>#REF!</v>
      </c>
      <c r="AC733" s="58" t="str">
        <f t="shared" si="684"/>
        <v>#REF!</v>
      </c>
      <c r="AD733" s="57">
        <f t="shared" si="582"/>
        <v>1</v>
      </c>
      <c r="AE733" s="57" t="str">
        <f t="shared" si="583"/>
        <v>2026-05</v>
      </c>
      <c r="AF733" s="57">
        <f t="shared" si="584"/>
        <v>1</v>
      </c>
      <c r="AG733" s="59">
        <f t="shared" si="585"/>
        <v>0</v>
      </c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</row>
    <row r="734" ht="24.0" customHeight="1">
      <c r="A734" s="45">
        <v>4.0</v>
      </c>
      <c r="B734" s="74" t="s">
        <v>2267</v>
      </c>
      <c r="C734" s="55" t="s">
        <v>2266</v>
      </c>
      <c r="D734" s="75"/>
      <c r="E734" s="57">
        <v>8.0248479E8</v>
      </c>
      <c r="F734" s="76">
        <v>27788.0</v>
      </c>
      <c r="G734" s="77">
        <v>50.0</v>
      </c>
      <c r="H734" s="78" t="str">
        <f t="shared" si="617"/>
        <v>19-60</v>
      </c>
      <c r="I734" s="79" t="s">
        <v>112</v>
      </c>
      <c r="J734" s="80" t="str">
        <f t="shared" si="580"/>
        <v>male</v>
      </c>
      <c r="K734" s="58">
        <v>5.92206468E8</v>
      </c>
      <c r="L734" s="55" t="s">
        <v>34</v>
      </c>
      <c r="M734" s="57" t="s">
        <v>89</v>
      </c>
      <c r="N734" s="55" t="s">
        <v>90</v>
      </c>
      <c r="O734" s="55"/>
      <c r="P734" s="55" t="s">
        <v>91</v>
      </c>
      <c r="Q734" s="58" t="s">
        <v>4</v>
      </c>
      <c r="R734" s="55"/>
      <c r="S734" s="55"/>
      <c r="T734" s="82"/>
      <c r="U734" s="82"/>
      <c r="V734" s="57"/>
      <c r="W734" s="57"/>
      <c r="X734" s="57" t="str">
        <f t="shared" si="499"/>
        <v>--727-10-05</v>
      </c>
      <c r="Y734" s="58" t="str">
        <f t="shared" ref="Y734:AC734" si="685">TRIM(SUBSTITUTE(SUBSTITUTE(OFFSET(#REF!,0,COLUMN()-COLUMN($AL$1)),CHAR(160)," "),_xludf.UNICHAR(8239)," "))</f>
        <v>#REF!</v>
      </c>
      <c r="Z734" s="58" t="str">
        <f t="shared" si="685"/>
        <v>#REF!</v>
      </c>
      <c r="AA734" s="58" t="str">
        <f t="shared" si="685"/>
        <v>#REF!</v>
      </c>
      <c r="AB734" s="58" t="str">
        <f t="shared" si="685"/>
        <v>#REF!</v>
      </c>
      <c r="AC734" s="58" t="str">
        <f t="shared" si="685"/>
        <v>#REF!</v>
      </c>
      <c r="AD734" s="57">
        <f t="shared" si="582"/>
        <v>1</v>
      </c>
      <c r="AE734" s="57" t="str">
        <f t="shared" si="583"/>
        <v>2026-05</v>
      </c>
      <c r="AF734" s="57">
        <f t="shared" si="584"/>
        <v>1</v>
      </c>
      <c r="AG734" s="59">
        <f t="shared" si="585"/>
        <v>1</v>
      </c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</row>
    <row r="735" ht="24.0" customHeight="1">
      <c r="A735" s="45">
        <v>5.0</v>
      </c>
      <c r="B735" s="74" t="s">
        <v>2268</v>
      </c>
      <c r="C735" s="55" t="s">
        <v>2266</v>
      </c>
      <c r="D735" s="75"/>
      <c r="E735" s="57">
        <v>4.70691049E8</v>
      </c>
      <c r="F735" s="76">
        <v>45906.0</v>
      </c>
      <c r="G735" s="55">
        <v>1.0</v>
      </c>
      <c r="H735" s="78" t="str">
        <f t="shared" si="617"/>
        <v>0-5</v>
      </c>
      <c r="I735" s="79" t="s">
        <v>112</v>
      </c>
      <c r="J735" s="80" t="str">
        <f t="shared" si="580"/>
        <v>male</v>
      </c>
      <c r="K735" s="58">
        <v>5.97409895E8</v>
      </c>
      <c r="L735" s="55" t="s">
        <v>34</v>
      </c>
      <c r="M735" s="57" t="s">
        <v>133</v>
      </c>
      <c r="N735" s="55" t="s">
        <v>90</v>
      </c>
      <c r="O735" s="55"/>
      <c r="P735" s="55" t="s">
        <v>91</v>
      </c>
      <c r="Q735" s="58" t="s">
        <v>16</v>
      </c>
      <c r="R735" s="55"/>
      <c r="S735" s="55"/>
      <c r="T735" s="82"/>
      <c r="U735" s="82"/>
      <c r="V735" s="57"/>
      <c r="W735" s="57"/>
      <c r="X735" s="57" t="str">
        <f t="shared" si="499"/>
        <v>--728-10-05</v>
      </c>
      <c r="Y735" s="58" t="str">
        <f t="shared" ref="Y735:AC735" si="686">TRIM(SUBSTITUTE(SUBSTITUTE(OFFSET(#REF!,0,COLUMN()-COLUMN($AL$1)),CHAR(160)," "),_xludf.UNICHAR(8239)," "))</f>
        <v>#REF!</v>
      </c>
      <c r="Z735" s="58" t="str">
        <f t="shared" si="686"/>
        <v>#REF!</v>
      </c>
      <c r="AA735" s="58" t="str">
        <f t="shared" si="686"/>
        <v>#REF!</v>
      </c>
      <c r="AB735" s="58" t="str">
        <f t="shared" si="686"/>
        <v>#REF!</v>
      </c>
      <c r="AC735" s="58" t="str">
        <f t="shared" si="686"/>
        <v>#REF!</v>
      </c>
      <c r="AD735" s="57">
        <f t="shared" si="582"/>
        <v>1</v>
      </c>
      <c r="AE735" s="57" t="str">
        <f t="shared" si="583"/>
        <v>2026-05</v>
      </c>
      <c r="AF735" s="57">
        <f t="shared" si="584"/>
        <v>1</v>
      </c>
      <c r="AG735" s="59">
        <f t="shared" si="585"/>
        <v>1</v>
      </c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</row>
    <row r="736" ht="24.0" customHeight="1">
      <c r="A736" s="45">
        <v>6.0</v>
      </c>
      <c r="B736" s="74" t="s">
        <v>2269</v>
      </c>
      <c r="C736" s="55" t="s">
        <v>2266</v>
      </c>
      <c r="D736" s="75">
        <v>46149.0</v>
      </c>
      <c r="E736" s="57">
        <v>9.21195848E8</v>
      </c>
      <c r="F736" s="76">
        <v>24882.0</v>
      </c>
      <c r="G736" s="77">
        <v>58.0</v>
      </c>
      <c r="H736" s="78" t="str">
        <f t="shared" si="617"/>
        <v>19-60</v>
      </c>
      <c r="I736" s="79" t="s">
        <v>112</v>
      </c>
      <c r="J736" s="80" t="str">
        <f t="shared" si="580"/>
        <v>male</v>
      </c>
      <c r="K736" s="58">
        <v>5.98786975E8</v>
      </c>
      <c r="L736" s="55" t="s">
        <v>34</v>
      </c>
      <c r="M736" s="57" t="s">
        <v>89</v>
      </c>
      <c r="N736" s="55" t="s">
        <v>90</v>
      </c>
      <c r="O736" s="55"/>
      <c r="P736" s="55" t="s">
        <v>91</v>
      </c>
      <c r="Q736" s="55"/>
      <c r="R736" s="55"/>
      <c r="S736" s="58" t="s">
        <v>6</v>
      </c>
      <c r="T736" s="82"/>
      <c r="U736" s="82"/>
      <c r="V736" s="57"/>
      <c r="W736" s="57"/>
      <c r="X736" s="57" t="str">
        <f t="shared" si="499"/>
        <v>--729-10-05</v>
      </c>
      <c r="Y736" s="58" t="str">
        <f t="shared" ref="Y736:AC736" si="687">TRIM(SUBSTITUTE(SUBSTITUTE(OFFSET(#REF!,0,COLUMN()-COLUMN($AL$1)),CHAR(160)," "),_xludf.UNICHAR(8239)," "))</f>
        <v>#REF!</v>
      </c>
      <c r="Z736" s="58" t="str">
        <f t="shared" si="687"/>
        <v>#REF!</v>
      </c>
      <c r="AA736" s="58" t="str">
        <f t="shared" si="687"/>
        <v>#REF!</v>
      </c>
      <c r="AB736" s="58" t="str">
        <f t="shared" si="687"/>
        <v>#REF!</v>
      </c>
      <c r="AC736" s="58" t="str">
        <f t="shared" si="687"/>
        <v>#REF!</v>
      </c>
      <c r="AD736" s="57">
        <f t="shared" si="582"/>
        <v>1</v>
      </c>
      <c r="AE736" s="57" t="str">
        <f t="shared" si="583"/>
        <v>2026-05</v>
      </c>
      <c r="AF736" s="57">
        <f t="shared" si="584"/>
        <v>0</v>
      </c>
      <c r="AG736" s="59">
        <f t="shared" si="585"/>
        <v>0</v>
      </c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</row>
    <row r="737" ht="24.0" customHeight="1">
      <c r="A737" s="45">
        <v>7.0</v>
      </c>
      <c r="B737" s="74" t="s">
        <v>1703</v>
      </c>
      <c r="C737" s="55" t="s">
        <v>2266</v>
      </c>
      <c r="D737" s="75">
        <v>46145.0</v>
      </c>
      <c r="E737" s="57">
        <v>4.31702489E8</v>
      </c>
      <c r="F737" s="76">
        <v>40778.0</v>
      </c>
      <c r="G737" s="77">
        <v>15.0</v>
      </c>
      <c r="H737" s="78" t="str">
        <f t="shared" si="617"/>
        <v>6-18</v>
      </c>
      <c r="I737" s="79" t="s">
        <v>86</v>
      </c>
      <c r="J737" s="80" t="str">
        <f t="shared" si="580"/>
        <v>female</v>
      </c>
      <c r="K737" s="58">
        <v>5.95126701E8</v>
      </c>
      <c r="L737" s="55" t="s">
        <v>34</v>
      </c>
      <c r="M737" s="57" t="s">
        <v>133</v>
      </c>
      <c r="N737" s="55" t="s">
        <v>90</v>
      </c>
      <c r="O737" s="55"/>
      <c r="P737" s="55" t="s">
        <v>91</v>
      </c>
      <c r="Q737" s="58" t="s">
        <v>16</v>
      </c>
      <c r="R737" s="55"/>
      <c r="S737" s="55"/>
      <c r="T737" s="82"/>
      <c r="U737" s="82"/>
      <c r="V737" s="57"/>
      <c r="W737" s="57"/>
      <c r="X737" s="57" t="str">
        <f t="shared" si="499"/>
        <v>--730-10-05</v>
      </c>
      <c r="Y737" s="58" t="str">
        <f t="shared" ref="Y737:AC737" si="688">TRIM(SUBSTITUTE(SUBSTITUTE(OFFSET(#REF!,0,COLUMN()-COLUMN($AL$1)),CHAR(160)," "),_xludf.UNICHAR(8239)," "))</f>
        <v>#REF!</v>
      </c>
      <c r="Z737" s="58" t="str">
        <f t="shared" si="688"/>
        <v>#REF!</v>
      </c>
      <c r="AA737" s="58" t="str">
        <f t="shared" si="688"/>
        <v>#REF!</v>
      </c>
      <c r="AB737" s="58" t="str">
        <f t="shared" si="688"/>
        <v>#REF!</v>
      </c>
      <c r="AC737" s="58" t="str">
        <f t="shared" si="688"/>
        <v>#REF!</v>
      </c>
      <c r="AD737" s="57">
        <f t="shared" si="582"/>
        <v>1</v>
      </c>
      <c r="AE737" s="57" t="str">
        <f t="shared" si="583"/>
        <v>2026-05</v>
      </c>
      <c r="AF737" s="57">
        <f t="shared" si="584"/>
        <v>0</v>
      </c>
      <c r="AG737" s="59">
        <f t="shared" si="585"/>
        <v>0</v>
      </c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</row>
    <row r="738" ht="24.0" customHeight="1">
      <c r="A738" s="45">
        <v>8.0</v>
      </c>
      <c r="B738" s="74" t="s">
        <v>2270</v>
      </c>
      <c r="C738" s="55" t="s">
        <v>2266</v>
      </c>
      <c r="D738" s="75"/>
      <c r="E738" s="57">
        <v>8.01453812E8</v>
      </c>
      <c r="F738" s="76">
        <v>31600.0</v>
      </c>
      <c r="G738" s="77">
        <v>40.0</v>
      </c>
      <c r="H738" s="78" t="str">
        <f t="shared" si="617"/>
        <v>19-60</v>
      </c>
      <c r="I738" s="79" t="s">
        <v>86</v>
      </c>
      <c r="J738" s="80" t="str">
        <f t="shared" si="580"/>
        <v>female</v>
      </c>
      <c r="K738" s="58">
        <v>5.99667458E8</v>
      </c>
      <c r="L738" s="55" t="s">
        <v>34</v>
      </c>
      <c r="M738" s="57" t="s">
        <v>89</v>
      </c>
      <c r="N738" s="55" t="s">
        <v>90</v>
      </c>
      <c r="O738" s="55"/>
      <c r="P738" s="55" t="s">
        <v>91</v>
      </c>
      <c r="Q738" s="55"/>
      <c r="R738" s="58" t="s">
        <v>36</v>
      </c>
      <c r="S738" s="55"/>
      <c r="T738" s="82"/>
      <c r="U738" s="82"/>
      <c r="V738" s="57"/>
      <c r="W738" s="57"/>
      <c r="X738" s="57" t="str">
        <f t="shared" si="499"/>
        <v>--731-10-05</v>
      </c>
      <c r="Y738" s="58" t="str">
        <f t="shared" ref="Y738:AC738" si="689">TRIM(SUBSTITUTE(SUBSTITUTE(OFFSET(#REF!,0,COLUMN()-COLUMN($AL$1)),CHAR(160)," "),_xludf.UNICHAR(8239)," "))</f>
        <v>#REF!</v>
      </c>
      <c r="Z738" s="58" t="str">
        <f t="shared" si="689"/>
        <v>#REF!</v>
      </c>
      <c r="AA738" s="58" t="str">
        <f t="shared" si="689"/>
        <v>#REF!</v>
      </c>
      <c r="AB738" s="58" t="str">
        <f t="shared" si="689"/>
        <v>#REF!</v>
      </c>
      <c r="AC738" s="58" t="str">
        <f t="shared" si="689"/>
        <v>#REF!</v>
      </c>
      <c r="AD738" s="57">
        <f t="shared" si="582"/>
        <v>1</v>
      </c>
      <c r="AE738" s="57" t="str">
        <f t="shared" si="583"/>
        <v>2026-05</v>
      </c>
      <c r="AF738" s="57">
        <f t="shared" si="584"/>
        <v>1</v>
      </c>
      <c r="AG738" s="59">
        <f t="shared" si="585"/>
        <v>1</v>
      </c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</row>
    <row r="739" ht="24.0" customHeight="1">
      <c r="A739" s="45">
        <v>9.0</v>
      </c>
      <c r="B739" s="74" t="s">
        <v>2271</v>
      </c>
      <c r="C739" s="55" t="s">
        <v>2266</v>
      </c>
      <c r="D739" s="75"/>
      <c r="E739" s="57">
        <v>4.31935188E8</v>
      </c>
      <c r="F739" s="76">
        <v>41655.0</v>
      </c>
      <c r="G739" s="77">
        <v>12.0</v>
      </c>
      <c r="H739" s="78" t="str">
        <f t="shared" si="617"/>
        <v>6-18</v>
      </c>
      <c r="I739" s="79" t="s">
        <v>112</v>
      </c>
      <c r="J739" s="80" t="str">
        <f t="shared" si="580"/>
        <v>male</v>
      </c>
      <c r="K739" s="58">
        <v>5.95266744E8</v>
      </c>
      <c r="L739" s="55" t="s">
        <v>34</v>
      </c>
      <c r="M739" s="57" t="s">
        <v>133</v>
      </c>
      <c r="N739" s="55" t="s">
        <v>90</v>
      </c>
      <c r="O739" s="55"/>
      <c r="P739" s="55" t="s">
        <v>91</v>
      </c>
      <c r="Q739" s="55"/>
      <c r="R739" s="55"/>
      <c r="S739" s="58" t="s">
        <v>6</v>
      </c>
      <c r="T739" s="82"/>
      <c r="U739" s="82"/>
      <c r="V739" s="57"/>
      <c r="W739" s="57"/>
      <c r="X739" s="57" t="str">
        <f t="shared" si="499"/>
        <v>--732-10-05</v>
      </c>
      <c r="Y739" s="58" t="str">
        <f t="shared" ref="Y739:AC739" si="690">TRIM(SUBSTITUTE(SUBSTITUTE(OFFSET(#REF!,0,COLUMN()-COLUMN($AL$1)),CHAR(160)," "),_xludf.UNICHAR(8239)," "))</f>
        <v>#REF!</v>
      </c>
      <c r="Z739" s="58" t="str">
        <f t="shared" si="690"/>
        <v>#REF!</v>
      </c>
      <c r="AA739" s="58" t="str">
        <f t="shared" si="690"/>
        <v>#REF!</v>
      </c>
      <c r="AB739" s="58" t="str">
        <f t="shared" si="690"/>
        <v>#REF!</v>
      </c>
      <c r="AC739" s="58" t="str">
        <f t="shared" si="690"/>
        <v>#REF!</v>
      </c>
      <c r="AD739" s="57">
        <f t="shared" si="582"/>
        <v>1</v>
      </c>
      <c r="AE739" s="57" t="str">
        <f t="shared" si="583"/>
        <v>2026-05</v>
      </c>
      <c r="AF739" s="57">
        <f t="shared" si="584"/>
        <v>1</v>
      </c>
      <c r="AG739" s="59">
        <f t="shared" si="585"/>
        <v>1</v>
      </c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</row>
    <row r="740" ht="24.0" customHeight="1">
      <c r="A740" s="45">
        <v>10.0</v>
      </c>
      <c r="B740" s="74" t="s">
        <v>2272</v>
      </c>
      <c r="C740" s="55" t="s">
        <v>2266</v>
      </c>
      <c r="D740" s="75"/>
      <c r="E740" s="57">
        <v>4.34422721E8</v>
      </c>
      <c r="F740" s="76">
        <v>41391.0</v>
      </c>
      <c r="G740" s="77">
        <v>13.0</v>
      </c>
      <c r="H740" s="78" t="str">
        <f t="shared" si="617"/>
        <v>6-18</v>
      </c>
      <c r="I740" s="79" t="s">
        <v>112</v>
      </c>
      <c r="J740" s="80" t="str">
        <f t="shared" si="580"/>
        <v>male</v>
      </c>
      <c r="K740" s="58">
        <v>5.99667458E8</v>
      </c>
      <c r="L740" s="55" t="s">
        <v>34</v>
      </c>
      <c r="M740" s="57" t="s">
        <v>133</v>
      </c>
      <c r="N740" s="55" t="s">
        <v>90</v>
      </c>
      <c r="O740" s="55"/>
      <c r="P740" s="55" t="s">
        <v>91</v>
      </c>
      <c r="Q740" s="58" t="s">
        <v>16</v>
      </c>
      <c r="R740" s="55"/>
      <c r="S740" s="55"/>
      <c r="T740" s="82"/>
      <c r="U740" s="82"/>
      <c r="V740" s="57"/>
      <c r="W740" s="57"/>
      <c r="X740" s="57" t="str">
        <f t="shared" si="499"/>
        <v>--733-10-05</v>
      </c>
      <c r="Y740" s="58" t="str">
        <f t="shared" ref="Y740:AC740" si="691">TRIM(SUBSTITUTE(SUBSTITUTE(OFFSET(#REF!,0,COLUMN()-COLUMN($AL$1)),CHAR(160)," "),_xludf.UNICHAR(8239)," "))</f>
        <v>#REF!</v>
      </c>
      <c r="Z740" s="58" t="str">
        <f t="shared" si="691"/>
        <v>#REF!</v>
      </c>
      <c r="AA740" s="58" t="str">
        <f t="shared" si="691"/>
        <v>#REF!</v>
      </c>
      <c r="AB740" s="58" t="str">
        <f t="shared" si="691"/>
        <v>#REF!</v>
      </c>
      <c r="AC740" s="58" t="str">
        <f t="shared" si="691"/>
        <v>#REF!</v>
      </c>
      <c r="AD740" s="57">
        <f t="shared" si="582"/>
        <v>1</v>
      </c>
      <c r="AE740" s="57" t="str">
        <f t="shared" si="583"/>
        <v>2026-05</v>
      </c>
      <c r="AF740" s="57">
        <f t="shared" si="584"/>
        <v>1</v>
      </c>
      <c r="AG740" s="59">
        <f t="shared" si="585"/>
        <v>1</v>
      </c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</row>
    <row r="741" ht="24.0" customHeight="1">
      <c r="A741" s="45">
        <v>11.0</v>
      </c>
      <c r="B741" s="74" t="s">
        <v>2273</v>
      </c>
      <c r="C741" s="55" t="s">
        <v>2266</v>
      </c>
      <c r="D741" s="75"/>
      <c r="E741" s="57">
        <v>9.15549216E8</v>
      </c>
      <c r="F741" s="76">
        <v>27154.0</v>
      </c>
      <c r="G741" s="77">
        <v>52.0</v>
      </c>
      <c r="H741" s="78" t="str">
        <f t="shared" si="617"/>
        <v>19-60</v>
      </c>
      <c r="I741" s="79" t="s">
        <v>112</v>
      </c>
      <c r="J741" s="80" t="str">
        <f t="shared" si="580"/>
        <v>male</v>
      </c>
      <c r="K741" s="58">
        <v>5.99688952E8</v>
      </c>
      <c r="L741" s="55" t="s">
        <v>34</v>
      </c>
      <c r="M741" s="57" t="s">
        <v>89</v>
      </c>
      <c r="N741" s="55" t="s">
        <v>90</v>
      </c>
      <c r="O741" s="55"/>
      <c r="P741" s="55" t="s">
        <v>91</v>
      </c>
      <c r="Q741" s="58" t="s">
        <v>16</v>
      </c>
      <c r="R741" s="55"/>
      <c r="S741" s="55"/>
      <c r="T741" s="82"/>
      <c r="U741" s="82"/>
      <c r="V741" s="57"/>
      <c r="W741" s="57"/>
      <c r="X741" s="57" t="str">
        <f t="shared" si="499"/>
        <v>--734-10-05</v>
      </c>
      <c r="Y741" s="58" t="str">
        <f t="shared" ref="Y741:AC741" si="692">TRIM(SUBSTITUTE(SUBSTITUTE(OFFSET(#REF!,0,COLUMN()-COLUMN($AL$1)),CHAR(160)," "),_xludf.UNICHAR(8239)," "))</f>
        <v>#REF!</v>
      </c>
      <c r="Z741" s="58" t="str">
        <f t="shared" si="692"/>
        <v>#REF!</v>
      </c>
      <c r="AA741" s="58" t="str">
        <f t="shared" si="692"/>
        <v>#REF!</v>
      </c>
      <c r="AB741" s="58" t="str">
        <f t="shared" si="692"/>
        <v>#REF!</v>
      </c>
      <c r="AC741" s="58" t="str">
        <f t="shared" si="692"/>
        <v>#REF!</v>
      </c>
      <c r="AD741" s="57">
        <f t="shared" si="582"/>
        <v>1</v>
      </c>
      <c r="AE741" s="57" t="str">
        <f t="shared" si="583"/>
        <v>2026-05</v>
      </c>
      <c r="AF741" s="57">
        <f t="shared" si="584"/>
        <v>1</v>
      </c>
      <c r="AG741" s="59">
        <f t="shared" si="585"/>
        <v>1</v>
      </c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</row>
    <row r="742" ht="24.0" customHeight="1">
      <c r="A742" s="45">
        <v>12.0</v>
      </c>
      <c r="B742" s="74" t="s">
        <v>2274</v>
      </c>
      <c r="C742" s="55" t="s">
        <v>2266</v>
      </c>
      <c r="D742" s="75"/>
      <c r="E742" s="57">
        <v>9.94024024E8</v>
      </c>
      <c r="F742" s="76">
        <v>29887.0</v>
      </c>
      <c r="G742" s="77">
        <v>45.0</v>
      </c>
      <c r="H742" s="78" t="str">
        <f t="shared" si="617"/>
        <v>19-60</v>
      </c>
      <c r="I742" s="79" t="s">
        <v>86</v>
      </c>
      <c r="J742" s="80" t="str">
        <f t="shared" si="580"/>
        <v>female</v>
      </c>
      <c r="K742" s="58">
        <v>5.99063915E8</v>
      </c>
      <c r="L742" s="55" t="s">
        <v>34</v>
      </c>
      <c r="M742" s="57" t="s">
        <v>89</v>
      </c>
      <c r="N742" s="55" t="s">
        <v>90</v>
      </c>
      <c r="O742" s="55"/>
      <c r="P742" s="55" t="s">
        <v>91</v>
      </c>
      <c r="Q742" s="55"/>
      <c r="R742" s="58" t="s">
        <v>36</v>
      </c>
      <c r="S742" s="55"/>
      <c r="T742" s="82"/>
      <c r="U742" s="82"/>
      <c r="V742" s="57"/>
      <c r="W742" s="57"/>
      <c r="X742" s="57" t="str">
        <f t="shared" si="499"/>
        <v>--735-10-05</v>
      </c>
      <c r="Y742" s="58" t="str">
        <f t="shared" ref="Y742:AC742" si="693">TRIM(SUBSTITUTE(SUBSTITUTE(OFFSET(#REF!,0,COLUMN()-COLUMN($AL$1)),CHAR(160)," "),_xludf.UNICHAR(8239)," "))</f>
        <v>#REF!</v>
      </c>
      <c r="Z742" s="58" t="str">
        <f t="shared" si="693"/>
        <v>#REF!</v>
      </c>
      <c r="AA742" s="58" t="str">
        <f t="shared" si="693"/>
        <v>#REF!</v>
      </c>
      <c r="AB742" s="58" t="str">
        <f t="shared" si="693"/>
        <v>#REF!</v>
      </c>
      <c r="AC742" s="58" t="str">
        <f t="shared" si="693"/>
        <v>#REF!</v>
      </c>
      <c r="AD742" s="57">
        <f t="shared" si="582"/>
        <v>1</v>
      </c>
      <c r="AE742" s="57" t="str">
        <f t="shared" si="583"/>
        <v>2026-05</v>
      </c>
      <c r="AF742" s="57">
        <f t="shared" si="584"/>
        <v>1</v>
      </c>
      <c r="AG742" s="59">
        <f t="shared" si="585"/>
        <v>1</v>
      </c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</row>
    <row r="743" ht="24.0" customHeight="1">
      <c r="A743" s="45">
        <v>13.0</v>
      </c>
      <c r="B743" s="74" t="s">
        <v>2275</v>
      </c>
      <c r="C743" s="55" t="s">
        <v>2266</v>
      </c>
      <c r="D743" s="75"/>
      <c r="E743" s="57">
        <v>4.34429304E8</v>
      </c>
      <c r="F743" s="76">
        <v>42251.0</v>
      </c>
      <c r="G743" s="77">
        <v>11.0</v>
      </c>
      <c r="H743" s="78" t="str">
        <f t="shared" si="617"/>
        <v>6-18</v>
      </c>
      <c r="I743" s="79" t="s">
        <v>112</v>
      </c>
      <c r="J743" s="80" t="str">
        <f t="shared" si="580"/>
        <v>male</v>
      </c>
      <c r="K743" s="58"/>
      <c r="L743" s="55" t="s">
        <v>34</v>
      </c>
      <c r="M743" s="57" t="s">
        <v>133</v>
      </c>
      <c r="N743" s="55" t="s">
        <v>90</v>
      </c>
      <c r="O743" s="55"/>
      <c r="P743" s="55" t="s">
        <v>91</v>
      </c>
      <c r="Q743" s="58" t="s">
        <v>16</v>
      </c>
      <c r="R743" s="55"/>
      <c r="S743" s="58"/>
      <c r="T743" s="82"/>
      <c r="U743" s="82"/>
      <c r="V743" s="57"/>
      <c r="W743" s="57"/>
      <c r="X743" s="57" t="str">
        <f t="shared" si="499"/>
        <v>--736-10-05</v>
      </c>
      <c r="Y743" s="58" t="str">
        <f t="shared" ref="Y743:AC743" si="694">TRIM(SUBSTITUTE(SUBSTITUTE(OFFSET(#REF!,0,COLUMN()-COLUMN($AL$1)),CHAR(160)," "),_xludf.UNICHAR(8239)," "))</f>
        <v>#REF!</v>
      </c>
      <c r="Z743" s="58" t="str">
        <f t="shared" si="694"/>
        <v>#REF!</v>
      </c>
      <c r="AA743" s="58" t="str">
        <f t="shared" si="694"/>
        <v>#REF!</v>
      </c>
      <c r="AB743" s="58" t="str">
        <f t="shared" si="694"/>
        <v>#REF!</v>
      </c>
      <c r="AC743" s="58" t="str">
        <f t="shared" si="694"/>
        <v>#REF!</v>
      </c>
      <c r="AD743" s="57">
        <f t="shared" si="582"/>
        <v>1</v>
      </c>
      <c r="AE743" s="57" t="str">
        <f t="shared" si="583"/>
        <v>2026-05</v>
      </c>
      <c r="AF743" s="57">
        <f t="shared" si="584"/>
        <v>1</v>
      </c>
      <c r="AG743" s="59">
        <f t="shared" si="585"/>
        <v>1</v>
      </c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</row>
    <row r="744" ht="24.0" customHeight="1">
      <c r="A744" s="45">
        <v>14.0</v>
      </c>
      <c r="B744" s="74" t="s">
        <v>2276</v>
      </c>
      <c r="C744" s="55" t="s">
        <v>2266</v>
      </c>
      <c r="D744" s="75"/>
      <c r="E744" s="57">
        <v>9.15875157E8</v>
      </c>
      <c r="F744" s="76">
        <v>24850.0</v>
      </c>
      <c r="G744" s="77">
        <v>58.0</v>
      </c>
      <c r="H744" s="78" t="str">
        <f t="shared" si="617"/>
        <v>19-60</v>
      </c>
      <c r="I744" s="79" t="s">
        <v>112</v>
      </c>
      <c r="J744" s="80" t="str">
        <f t="shared" si="580"/>
        <v>male</v>
      </c>
      <c r="K744" s="58">
        <v>5.95373132E8</v>
      </c>
      <c r="L744" s="55" t="s">
        <v>34</v>
      </c>
      <c r="M744" s="57" t="s">
        <v>89</v>
      </c>
      <c r="N744" s="55" t="s">
        <v>90</v>
      </c>
      <c r="O744" s="55"/>
      <c r="P744" s="55" t="s">
        <v>91</v>
      </c>
      <c r="Q744" s="58" t="s">
        <v>4</v>
      </c>
      <c r="R744" s="55"/>
      <c r="S744" s="58"/>
      <c r="T744" s="82"/>
      <c r="U744" s="82"/>
      <c r="V744" s="57"/>
      <c r="W744" s="57"/>
      <c r="X744" s="57" t="str">
        <f t="shared" si="499"/>
        <v>--737-10-05</v>
      </c>
      <c r="Y744" s="58" t="str">
        <f t="shared" ref="Y744:AC744" si="695">TRIM(SUBSTITUTE(SUBSTITUTE(OFFSET(#REF!,0,COLUMN()-COLUMN($AL$1)),CHAR(160)," "),_xludf.UNICHAR(8239)," "))</f>
        <v>#REF!</v>
      </c>
      <c r="Z744" s="58" t="str">
        <f t="shared" si="695"/>
        <v>#REF!</v>
      </c>
      <c r="AA744" s="58" t="str">
        <f t="shared" si="695"/>
        <v>#REF!</v>
      </c>
      <c r="AB744" s="58" t="str">
        <f t="shared" si="695"/>
        <v>#REF!</v>
      </c>
      <c r="AC744" s="58" t="str">
        <f t="shared" si="695"/>
        <v>#REF!</v>
      </c>
      <c r="AD744" s="57">
        <f t="shared" si="582"/>
        <v>1</v>
      </c>
      <c r="AE744" s="57" t="str">
        <f t="shared" si="583"/>
        <v>2026-05</v>
      </c>
      <c r="AF744" s="57">
        <f t="shared" si="584"/>
        <v>1</v>
      </c>
      <c r="AG744" s="59">
        <f t="shared" si="585"/>
        <v>1</v>
      </c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</row>
    <row r="745" ht="24.0" customHeight="1">
      <c r="A745" s="45">
        <v>15.0</v>
      </c>
      <c r="B745" s="74" t="s">
        <v>2277</v>
      </c>
      <c r="C745" s="55" t="s">
        <v>2266</v>
      </c>
      <c r="D745" s="75"/>
      <c r="E745" s="57">
        <v>8.00136277E8</v>
      </c>
      <c r="F745" s="76">
        <v>30124.0</v>
      </c>
      <c r="G745" s="77">
        <v>43.0</v>
      </c>
      <c r="H745" s="78" t="str">
        <f t="shared" si="617"/>
        <v>19-60</v>
      </c>
      <c r="I745" s="79" t="s">
        <v>86</v>
      </c>
      <c r="J745" s="80" t="str">
        <f t="shared" si="580"/>
        <v>female</v>
      </c>
      <c r="K745" s="58">
        <v>5.97504983E8</v>
      </c>
      <c r="L745" s="55" t="s">
        <v>34</v>
      </c>
      <c r="M745" s="57" t="s">
        <v>89</v>
      </c>
      <c r="N745" s="55" t="s">
        <v>90</v>
      </c>
      <c r="O745" s="55"/>
      <c r="P745" s="55" t="s">
        <v>91</v>
      </c>
      <c r="Q745" s="58" t="s">
        <v>16</v>
      </c>
      <c r="R745" s="55"/>
      <c r="S745" s="58"/>
      <c r="T745" s="82"/>
      <c r="U745" s="82"/>
      <c r="V745" s="57"/>
      <c r="W745" s="57"/>
      <c r="X745" s="57" t="str">
        <f t="shared" si="499"/>
        <v>--738-10-05</v>
      </c>
      <c r="Y745" s="58" t="str">
        <f t="shared" ref="Y745:AC745" si="696">TRIM(SUBSTITUTE(SUBSTITUTE(OFFSET(#REF!,0,COLUMN()-COLUMN($AL$1)),CHAR(160)," "),_xludf.UNICHAR(8239)," "))</f>
        <v>#REF!</v>
      </c>
      <c r="Z745" s="58" t="str">
        <f t="shared" si="696"/>
        <v>#REF!</v>
      </c>
      <c r="AA745" s="58" t="str">
        <f t="shared" si="696"/>
        <v>#REF!</v>
      </c>
      <c r="AB745" s="58" t="str">
        <f t="shared" si="696"/>
        <v>#REF!</v>
      </c>
      <c r="AC745" s="58" t="str">
        <f t="shared" si="696"/>
        <v>#REF!</v>
      </c>
      <c r="AD745" s="57">
        <f t="shared" si="582"/>
        <v>1</v>
      </c>
      <c r="AE745" s="57" t="str">
        <f t="shared" si="583"/>
        <v>2026-05</v>
      </c>
      <c r="AF745" s="57">
        <f t="shared" si="584"/>
        <v>1</v>
      </c>
      <c r="AG745" s="59">
        <f t="shared" si="585"/>
        <v>1</v>
      </c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</row>
    <row r="746" ht="24.0" customHeight="1">
      <c r="A746" s="45">
        <v>16.0</v>
      </c>
      <c r="B746" s="74" t="s">
        <v>2278</v>
      </c>
      <c r="C746" s="55" t="s">
        <v>2266</v>
      </c>
      <c r="D746" s="75"/>
      <c r="E746" s="57">
        <v>4.08388213E8</v>
      </c>
      <c r="F746" s="76">
        <v>37670.0</v>
      </c>
      <c r="G746" s="77">
        <v>23.0</v>
      </c>
      <c r="H746" s="78" t="s">
        <v>85</v>
      </c>
      <c r="I746" s="79" t="s">
        <v>86</v>
      </c>
      <c r="J746" s="80" t="str">
        <f t="shared" si="580"/>
        <v>female</v>
      </c>
      <c r="K746" s="58">
        <v>5.92491305E8</v>
      </c>
      <c r="L746" s="55" t="s">
        <v>34</v>
      </c>
      <c r="M746" s="57" t="s">
        <v>89</v>
      </c>
      <c r="N746" s="55" t="s">
        <v>90</v>
      </c>
      <c r="O746" s="55"/>
      <c r="P746" s="55" t="s">
        <v>91</v>
      </c>
      <c r="Q746" s="58" t="s">
        <v>16</v>
      </c>
      <c r="R746" s="55"/>
      <c r="S746" s="58"/>
      <c r="T746" s="82"/>
      <c r="U746" s="82"/>
      <c r="V746" s="57"/>
      <c r="W746" s="57"/>
      <c r="X746" s="57" t="str">
        <f t="shared" si="499"/>
        <v>--739-10-05</v>
      </c>
      <c r="Y746" s="58" t="str">
        <f t="shared" ref="Y746:AC746" si="697">TRIM(SUBSTITUTE(SUBSTITUTE(OFFSET(#REF!,0,COLUMN()-COLUMN($AL$1)),CHAR(160)," "),_xludf.UNICHAR(8239)," "))</f>
        <v>#REF!</v>
      </c>
      <c r="Z746" s="58" t="str">
        <f t="shared" si="697"/>
        <v>#REF!</v>
      </c>
      <c r="AA746" s="58" t="str">
        <f t="shared" si="697"/>
        <v>#REF!</v>
      </c>
      <c r="AB746" s="58" t="str">
        <f t="shared" si="697"/>
        <v>#REF!</v>
      </c>
      <c r="AC746" s="58" t="str">
        <f t="shared" si="697"/>
        <v>#REF!</v>
      </c>
      <c r="AD746" s="57">
        <f t="shared" si="582"/>
        <v>1</v>
      </c>
      <c r="AE746" s="57" t="str">
        <f t="shared" si="583"/>
        <v>2026-05</v>
      </c>
      <c r="AF746" s="57">
        <f t="shared" si="584"/>
        <v>1</v>
      </c>
      <c r="AG746" s="59">
        <f t="shared" si="585"/>
        <v>1</v>
      </c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</row>
    <row r="747" ht="24.0" customHeight="1">
      <c r="A747" s="45">
        <v>17.0</v>
      </c>
      <c r="B747" s="74" t="s">
        <v>2279</v>
      </c>
      <c r="C747" s="55" t="s">
        <v>2266</v>
      </c>
      <c r="D747" s="75"/>
      <c r="E747" s="57">
        <v>8.03629856E8</v>
      </c>
      <c r="F747" s="76">
        <v>33887.0</v>
      </c>
      <c r="G747" s="77">
        <v>34.0</v>
      </c>
      <c r="H747" s="78" t="str">
        <f t="shared" ref="H747:H814" si="699">IF(G747="","",IF(G747&lt;=5,"0-5",IF(G747&lt;=18,"6-18",IF(G747&lt;=60,"19-60","+60"))))</f>
        <v>19-60</v>
      </c>
      <c r="I747" s="79" t="s">
        <v>86</v>
      </c>
      <c r="J747" s="80" t="str">
        <f t="shared" si="580"/>
        <v>female</v>
      </c>
      <c r="K747" s="58">
        <v>5.99582169E8</v>
      </c>
      <c r="L747" s="55" t="s">
        <v>34</v>
      </c>
      <c r="M747" s="57" t="s">
        <v>89</v>
      </c>
      <c r="N747" s="55" t="s">
        <v>90</v>
      </c>
      <c r="O747" s="55"/>
      <c r="P747" s="55" t="s">
        <v>91</v>
      </c>
      <c r="Q747" s="55"/>
      <c r="R747" s="58" t="s">
        <v>17</v>
      </c>
      <c r="S747" s="55"/>
      <c r="T747" s="82"/>
      <c r="U747" s="82"/>
      <c r="V747" s="57"/>
      <c r="W747" s="57"/>
      <c r="X747" s="57" t="str">
        <f t="shared" si="499"/>
        <v>--740-10-05</v>
      </c>
      <c r="Y747" s="58" t="str">
        <f t="shared" ref="Y747:AC747" si="698">TRIM(SUBSTITUTE(SUBSTITUTE(OFFSET(#REF!,0,COLUMN()-COLUMN($AL$1)),CHAR(160)," "),_xludf.UNICHAR(8239)," "))</f>
        <v>#REF!</v>
      </c>
      <c r="Z747" s="58" t="str">
        <f t="shared" si="698"/>
        <v>#REF!</v>
      </c>
      <c r="AA747" s="58" t="str">
        <f t="shared" si="698"/>
        <v>#REF!</v>
      </c>
      <c r="AB747" s="58" t="str">
        <f t="shared" si="698"/>
        <v>#REF!</v>
      </c>
      <c r="AC747" s="58" t="str">
        <f t="shared" si="698"/>
        <v>#REF!</v>
      </c>
      <c r="AD747" s="57">
        <f t="shared" si="582"/>
        <v>1</v>
      </c>
      <c r="AE747" s="57" t="str">
        <f t="shared" si="583"/>
        <v>2026-05</v>
      </c>
      <c r="AF747" s="57">
        <f t="shared" si="584"/>
        <v>1</v>
      </c>
      <c r="AG747" s="59">
        <f t="shared" si="585"/>
        <v>1</v>
      </c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</row>
    <row r="748" ht="24.0" customHeight="1">
      <c r="A748" s="45">
        <v>18.0</v>
      </c>
      <c r="B748" s="74" t="s">
        <v>2280</v>
      </c>
      <c r="C748" s="55" t="s">
        <v>2266</v>
      </c>
      <c r="D748" s="75"/>
      <c r="E748" s="57">
        <v>4.3392753E8</v>
      </c>
      <c r="F748" s="76">
        <v>41611.0</v>
      </c>
      <c r="G748" s="77">
        <v>13.0</v>
      </c>
      <c r="H748" s="78" t="str">
        <f t="shared" si="699"/>
        <v>6-18</v>
      </c>
      <c r="I748" s="79" t="s">
        <v>86</v>
      </c>
      <c r="J748" s="80" t="str">
        <f t="shared" si="580"/>
        <v>female</v>
      </c>
      <c r="K748" s="58">
        <v>5.99582169E8</v>
      </c>
      <c r="L748" s="55" t="s">
        <v>34</v>
      </c>
      <c r="M748" s="57" t="s">
        <v>133</v>
      </c>
      <c r="N748" s="55" t="s">
        <v>90</v>
      </c>
      <c r="O748" s="55"/>
      <c r="P748" s="55" t="s">
        <v>91</v>
      </c>
      <c r="Q748" s="58" t="s">
        <v>16</v>
      </c>
      <c r="R748" s="55"/>
      <c r="S748" s="55"/>
      <c r="T748" s="82"/>
      <c r="U748" s="82"/>
      <c r="V748" s="57"/>
      <c r="W748" s="57"/>
      <c r="X748" s="57" t="str">
        <f t="shared" si="499"/>
        <v>--741-10-05</v>
      </c>
      <c r="Y748" s="58" t="str">
        <f t="shared" ref="Y748:AC748" si="700">TRIM(SUBSTITUTE(SUBSTITUTE(OFFSET(#REF!,0,COLUMN()-COLUMN($AL$1)),CHAR(160)," "),_xludf.UNICHAR(8239)," "))</f>
        <v>#REF!</v>
      </c>
      <c r="Z748" s="58" t="str">
        <f t="shared" si="700"/>
        <v>#REF!</v>
      </c>
      <c r="AA748" s="58" t="str">
        <f t="shared" si="700"/>
        <v>#REF!</v>
      </c>
      <c r="AB748" s="58" t="str">
        <f t="shared" si="700"/>
        <v>#REF!</v>
      </c>
      <c r="AC748" s="58" t="str">
        <f t="shared" si="700"/>
        <v>#REF!</v>
      </c>
      <c r="AD748" s="57">
        <f t="shared" si="582"/>
        <v>1</v>
      </c>
      <c r="AE748" s="57" t="str">
        <f t="shared" si="583"/>
        <v>2026-05</v>
      </c>
      <c r="AF748" s="57">
        <f t="shared" si="584"/>
        <v>1</v>
      </c>
      <c r="AG748" s="59">
        <f t="shared" si="585"/>
        <v>1</v>
      </c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</row>
    <row r="749" ht="24.0" customHeight="1">
      <c r="A749" s="45">
        <v>19.0</v>
      </c>
      <c r="B749" s="74" t="s">
        <v>2225</v>
      </c>
      <c r="C749" s="55" t="s">
        <v>2266</v>
      </c>
      <c r="D749" s="75">
        <v>46149.0</v>
      </c>
      <c r="E749" s="57">
        <v>8.04400372E8</v>
      </c>
      <c r="F749" s="76">
        <v>34565.0</v>
      </c>
      <c r="G749" s="77">
        <v>32.0</v>
      </c>
      <c r="H749" s="78" t="str">
        <f t="shared" si="699"/>
        <v>19-60</v>
      </c>
      <c r="I749" s="79" t="s">
        <v>86</v>
      </c>
      <c r="J749" s="80" t="str">
        <f t="shared" si="580"/>
        <v>female</v>
      </c>
      <c r="K749" s="58">
        <v>5.97852116E8</v>
      </c>
      <c r="L749" s="55" t="s">
        <v>34</v>
      </c>
      <c r="M749" s="57" t="s">
        <v>89</v>
      </c>
      <c r="N749" s="55" t="s">
        <v>90</v>
      </c>
      <c r="O749" s="55"/>
      <c r="P749" s="55" t="s">
        <v>91</v>
      </c>
      <c r="Q749" s="55"/>
      <c r="R749" s="58" t="s">
        <v>5</v>
      </c>
      <c r="S749" s="55"/>
      <c r="T749" s="82"/>
      <c r="U749" s="82" t="s">
        <v>7</v>
      </c>
      <c r="V749" s="57"/>
      <c r="W749" s="57"/>
      <c r="X749" s="57" t="str">
        <f t="shared" si="499"/>
        <v>--742-10-05</v>
      </c>
      <c r="Y749" s="58" t="str">
        <f t="shared" ref="Y749:AC749" si="701">TRIM(SUBSTITUTE(SUBSTITUTE(OFFSET(#REF!,0,COLUMN()-COLUMN($AL$1)),CHAR(160)," "),_xludf.UNICHAR(8239)," "))</f>
        <v>#REF!</v>
      </c>
      <c r="Z749" s="58" t="str">
        <f t="shared" si="701"/>
        <v>#REF!</v>
      </c>
      <c r="AA749" s="58" t="str">
        <f t="shared" si="701"/>
        <v>#REF!</v>
      </c>
      <c r="AB749" s="58" t="str">
        <f t="shared" si="701"/>
        <v>#REF!</v>
      </c>
      <c r="AC749" s="58" t="str">
        <f t="shared" si="701"/>
        <v>#REF!</v>
      </c>
      <c r="AD749" s="57">
        <f t="shared" si="582"/>
        <v>1</v>
      </c>
      <c r="AE749" s="57" t="str">
        <f t="shared" si="583"/>
        <v>2026-05</v>
      </c>
      <c r="AF749" s="57">
        <f t="shared" si="584"/>
        <v>0</v>
      </c>
      <c r="AG749" s="59">
        <f t="shared" si="585"/>
        <v>0</v>
      </c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</row>
    <row r="750" ht="24.0" customHeight="1">
      <c r="A750" s="45">
        <v>20.0</v>
      </c>
      <c r="B750" s="74" t="s">
        <v>2281</v>
      </c>
      <c r="C750" s="55" t="s">
        <v>2266</v>
      </c>
      <c r="D750" s="75"/>
      <c r="E750" s="57">
        <v>4.24449619E8</v>
      </c>
      <c r="F750" s="76">
        <v>38925.0</v>
      </c>
      <c r="G750" s="77">
        <v>20.0</v>
      </c>
      <c r="H750" s="78" t="str">
        <f t="shared" si="699"/>
        <v>19-60</v>
      </c>
      <c r="I750" s="79" t="s">
        <v>86</v>
      </c>
      <c r="J750" s="80" t="str">
        <f t="shared" si="580"/>
        <v>female</v>
      </c>
      <c r="K750" s="58">
        <v>5.97807597E8</v>
      </c>
      <c r="L750" s="55" t="s">
        <v>34</v>
      </c>
      <c r="M750" s="57" t="s">
        <v>89</v>
      </c>
      <c r="N750" s="55" t="s">
        <v>90</v>
      </c>
      <c r="O750" s="55"/>
      <c r="P750" s="55" t="s">
        <v>91</v>
      </c>
      <c r="Q750" s="55"/>
      <c r="R750" s="58" t="s">
        <v>36</v>
      </c>
      <c r="S750" s="55"/>
      <c r="T750" s="82"/>
      <c r="U750" s="82"/>
      <c r="V750" s="57"/>
      <c r="W750" s="57"/>
      <c r="X750" s="57" t="str">
        <f t="shared" si="499"/>
        <v>--743-10-05</v>
      </c>
      <c r="Y750" s="58" t="str">
        <f t="shared" ref="Y750:AC750" si="702">TRIM(SUBSTITUTE(SUBSTITUTE(OFFSET(#REF!,0,COLUMN()-COLUMN($AL$1)),CHAR(160)," "),_xludf.UNICHAR(8239)," "))</f>
        <v>#REF!</v>
      </c>
      <c r="Z750" s="58" t="str">
        <f t="shared" si="702"/>
        <v>#REF!</v>
      </c>
      <c r="AA750" s="58" t="str">
        <f t="shared" si="702"/>
        <v>#REF!</v>
      </c>
      <c r="AB750" s="58" t="str">
        <f t="shared" si="702"/>
        <v>#REF!</v>
      </c>
      <c r="AC750" s="58" t="str">
        <f t="shared" si="702"/>
        <v>#REF!</v>
      </c>
      <c r="AD750" s="57">
        <f t="shared" si="582"/>
        <v>1</v>
      </c>
      <c r="AE750" s="57" t="str">
        <f t="shared" si="583"/>
        <v>2026-05</v>
      </c>
      <c r="AF750" s="57">
        <f t="shared" si="584"/>
        <v>1</v>
      </c>
      <c r="AG750" s="59">
        <f t="shared" si="585"/>
        <v>1</v>
      </c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</row>
    <row r="751" ht="24.0" customHeight="1">
      <c r="A751" s="45">
        <v>21.0</v>
      </c>
      <c r="B751" s="74" t="s">
        <v>2282</v>
      </c>
      <c r="C751" s="55" t="s">
        <v>2266</v>
      </c>
      <c r="D751" s="75"/>
      <c r="E751" s="57">
        <v>4.05918939E8</v>
      </c>
      <c r="F751" s="76">
        <v>36586.0</v>
      </c>
      <c r="G751" s="77">
        <v>26.0</v>
      </c>
      <c r="H751" s="78" t="str">
        <f t="shared" si="699"/>
        <v>19-60</v>
      </c>
      <c r="I751" s="79" t="s">
        <v>86</v>
      </c>
      <c r="J751" s="80" t="str">
        <f t="shared" si="580"/>
        <v>female</v>
      </c>
      <c r="K751" s="58">
        <v>5.98191071E8</v>
      </c>
      <c r="L751" s="55" t="s">
        <v>34</v>
      </c>
      <c r="M751" s="57" t="s">
        <v>89</v>
      </c>
      <c r="N751" s="55" t="s">
        <v>90</v>
      </c>
      <c r="O751" s="55"/>
      <c r="P751" s="55" t="s">
        <v>91</v>
      </c>
      <c r="Q751" s="55"/>
      <c r="R751" s="58" t="s">
        <v>36</v>
      </c>
      <c r="S751" s="55"/>
      <c r="T751" s="82"/>
      <c r="U751" s="82"/>
      <c r="V751" s="57"/>
      <c r="W751" s="57"/>
      <c r="X751" s="57" t="str">
        <f t="shared" si="499"/>
        <v>--744-10-05</v>
      </c>
      <c r="Y751" s="58" t="str">
        <f t="shared" ref="Y751:AC751" si="703">TRIM(SUBSTITUTE(SUBSTITUTE(OFFSET(#REF!,0,COLUMN()-COLUMN($AL$1)),CHAR(160)," "),_xludf.UNICHAR(8239)," "))</f>
        <v>#REF!</v>
      </c>
      <c r="Z751" s="58" t="str">
        <f t="shared" si="703"/>
        <v>#REF!</v>
      </c>
      <c r="AA751" s="58" t="str">
        <f t="shared" si="703"/>
        <v>#REF!</v>
      </c>
      <c r="AB751" s="58" t="str">
        <f t="shared" si="703"/>
        <v>#REF!</v>
      </c>
      <c r="AC751" s="58" t="str">
        <f t="shared" si="703"/>
        <v>#REF!</v>
      </c>
      <c r="AD751" s="57">
        <f t="shared" si="582"/>
        <v>1</v>
      </c>
      <c r="AE751" s="57" t="str">
        <f t="shared" si="583"/>
        <v>2026-05</v>
      </c>
      <c r="AF751" s="57">
        <f t="shared" si="584"/>
        <v>1</v>
      </c>
      <c r="AG751" s="59">
        <f t="shared" si="585"/>
        <v>1</v>
      </c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</row>
    <row r="752" ht="24.0" customHeight="1">
      <c r="A752" s="45">
        <v>22.0</v>
      </c>
      <c r="B752" s="74" t="s">
        <v>2283</v>
      </c>
      <c r="C752" s="55" t="s">
        <v>2266</v>
      </c>
      <c r="D752" s="75"/>
      <c r="E752" s="57">
        <v>4.24464949E8</v>
      </c>
      <c r="F752" s="76">
        <v>39340.0</v>
      </c>
      <c r="G752" s="77">
        <v>19.0</v>
      </c>
      <c r="H752" s="78" t="str">
        <f t="shared" si="699"/>
        <v>19-60</v>
      </c>
      <c r="I752" s="79" t="s">
        <v>86</v>
      </c>
      <c r="J752" s="80" t="str">
        <f t="shared" si="580"/>
        <v>female</v>
      </c>
      <c r="K752" s="58">
        <v>5.97700542E8</v>
      </c>
      <c r="L752" s="55" t="s">
        <v>34</v>
      </c>
      <c r="M752" s="57" t="s">
        <v>89</v>
      </c>
      <c r="N752" s="55" t="s">
        <v>90</v>
      </c>
      <c r="O752" s="55"/>
      <c r="P752" s="55" t="s">
        <v>91</v>
      </c>
      <c r="Q752" s="55"/>
      <c r="R752" s="58" t="s">
        <v>5</v>
      </c>
      <c r="S752" s="55"/>
      <c r="T752" s="82"/>
      <c r="U752" s="82" t="s">
        <v>7</v>
      </c>
      <c r="V752" s="57"/>
      <c r="W752" s="57"/>
      <c r="X752" s="57" t="str">
        <f t="shared" si="499"/>
        <v>--745-10-05</v>
      </c>
      <c r="Y752" s="58" t="str">
        <f t="shared" ref="Y752:AC752" si="704">TRIM(SUBSTITUTE(SUBSTITUTE(OFFSET(#REF!,0,COLUMN()-COLUMN($AL$1)),CHAR(160)," "),_xludf.UNICHAR(8239)," "))</f>
        <v>#REF!</v>
      </c>
      <c r="Z752" s="58" t="str">
        <f t="shared" si="704"/>
        <v>#REF!</v>
      </c>
      <c r="AA752" s="58" t="str">
        <f t="shared" si="704"/>
        <v>#REF!</v>
      </c>
      <c r="AB752" s="58" t="str">
        <f t="shared" si="704"/>
        <v>#REF!</v>
      </c>
      <c r="AC752" s="58" t="str">
        <f t="shared" si="704"/>
        <v>#REF!</v>
      </c>
      <c r="AD752" s="57">
        <f t="shared" si="582"/>
        <v>1</v>
      </c>
      <c r="AE752" s="57" t="str">
        <f t="shared" si="583"/>
        <v>2026-05</v>
      </c>
      <c r="AF752" s="57">
        <f t="shared" si="584"/>
        <v>1</v>
      </c>
      <c r="AG752" s="59">
        <f t="shared" si="585"/>
        <v>1</v>
      </c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</row>
    <row r="753" ht="24.0" customHeight="1">
      <c r="A753" s="45">
        <v>23.0</v>
      </c>
      <c r="B753" s="74" t="s">
        <v>2284</v>
      </c>
      <c r="C753" s="55" t="s">
        <v>2266</v>
      </c>
      <c r="D753" s="75"/>
      <c r="E753" s="57">
        <v>4.2235504E8</v>
      </c>
      <c r="F753" s="76">
        <v>39453.0</v>
      </c>
      <c r="G753" s="77">
        <v>18.0</v>
      </c>
      <c r="H753" s="78" t="str">
        <f t="shared" si="699"/>
        <v>6-18</v>
      </c>
      <c r="I753" s="79" t="s">
        <v>86</v>
      </c>
      <c r="J753" s="80" t="str">
        <f t="shared" si="580"/>
        <v>female</v>
      </c>
      <c r="K753" s="58">
        <v>5.97504983E8</v>
      </c>
      <c r="L753" s="55" t="s">
        <v>34</v>
      </c>
      <c r="M753" s="57" t="s">
        <v>89</v>
      </c>
      <c r="N753" s="55" t="s">
        <v>90</v>
      </c>
      <c r="O753" s="55"/>
      <c r="P753" s="55" t="s">
        <v>91</v>
      </c>
      <c r="Q753" s="55"/>
      <c r="R753" s="58" t="s">
        <v>5</v>
      </c>
      <c r="S753" s="55"/>
      <c r="T753" s="82"/>
      <c r="U753" s="82" t="s">
        <v>7</v>
      </c>
      <c r="V753" s="57"/>
      <c r="W753" s="57"/>
      <c r="X753" s="57" t="str">
        <f t="shared" si="499"/>
        <v>--746-10-05</v>
      </c>
      <c r="Y753" s="58" t="str">
        <f t="shared" ref="Y753:AC753" si="705">TRIM(SUBSTITUTE(SUBSTITUTE(OFFSET(#REF!,0,COLUMN()-COLUMN($AL$1)),CHAR(160)," "),_xludf.UNICHAR(8239)," "))</f>
        <v>#REF!</v>
      </c>
      <c r="Z753" s="58" t="str">
        <f t="shared" si="705"/>
        <v>#REF!</v>
      </c>
      <c r="AA753" s="58" t="str">
        <f t="shared" si="705"/>
        <v>#REF!</v>
      </c>
      <c r="AB753" s="58" t="str">
        <f t="shared" si="705"/>
        <v>#REF!</v>
      </c>
      <c r="AC753" s="58" t="str">
        <f t="shared" si="705"/>
        <v>#REF!</v>
      </c>
      <c r="AD753" s="57">
        <f t="shared" si="582"/>
        <v>1</v>
      </c>
      <c r="AE753" s="57" t="str">
        <f t="shared" si="583"/>
        <v>2026-05</v>
      </c>
      <c r="AF753" s="57">
        <f t="shared" si="584"/>
        <v>1</v>
      </c>
      <c r="AG753" s="59">
        <f t="shared" si="585"/>
        <v>1</v>
      </c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</row>
    <row r="754" ht="24.0" customHeight="1">
      <c r="A754" s="45">
        <v>24.0</v>
      </c>
      <c r="B754" s="74" t="s">
        <v>2285</v>
      </c>
      <c r="C754" s="55" t="s">
        <v>2266</v>
      </c>
      <c r="D754" s="75"/>
      <c r="E754" s="57">
        <v>8.03251727E8</v>
      </c>
      <c r="F754" s="76">
        <v>33715.0</v>
      </c>
      <c r="G754" s="77">
        <v>34.0</v>
      </c>
      <c r="H754" s="78" t="str">
        <f t="shared" si="699"/>
        <v>19-60</v>
      </c>
      <c r="I754" s="79" t="s">
        <v>86</v>
      </c>
      <c r="J754" s="80" t="str">
        <f t="shared" si="580"/>
        <v>female</v>
      </c>
      <c r="K754" s="58">
        <v>5.97664397E8</v>
      </c>
      <c r="L754" s="55" t="s">
        <v>34</v>
      </c>
      <c r="M754" s="57" t="s">
        <v>89</v>
      </c>
      <c r="N754" s="55" t="s">
        <v>90</v>
      </c>
      <c r="O754" s="55"/>
      <c r="P754" s="55" t="s">
        <v>91</v>
      </c>
      <c r="Q754" s="55"/>
      <c r="R754" s="58" t="s">
        <v>5</v>
      </c>
      <c r="S754" s="55"/>
      <c r="T754" s="82"/>
      <c r="U754" s="82" t="s">
        <v>7</v>
      </c>
      <c r="V754" s="57"/>
      <c r="W754" s="57"/>
      <c r="X754" s="57" t="str">
        <f t="shared" si="499"/>
        <v>--747-10-05</v>
      </c>
      <c r="Y754" s="58" t="str">
        <f t="shared" ref="Y754:AC754" si="706">TRIM(SUBSTITUTE(SUBSTITUTE(OFFSET(#REF!,0,COLUMN()-COLUMN($AL$1)),CHAR(160)," "),_xludf.UNICHAR(8239)," "))</f>
        <v>#REF!</v>
      </c>
      <c r="Z754" s="58" t="str">
        <f t="shared" si="706"/>
        <v>#REF!</v>
      </c>
      <c r="AA754" s="58" t="str">
        <f t="shared" si="706"/>
        <v>#REF!</v>
      </c>
      <c r="AB754" s="58" t="str">
        <f t="shared" si="706"/>
        <v>#REF!</v>
      </c>
      <c r="AC754" s="58" t="str">
        <f t="shared" si="706"/>
        <v>#REF!</v>
      </c>
      <c r="AD754" s="57">
        <f t="shared" si="582"/>
        <v>1</v>
      </c>
      <c r="AE754" s="57" t="str">
        <f t="shared" si="583"/>
        <v>2026-05</v>
      </c>
      <c r="AF754" s="57">
        <f t="shared" si="584"/>
        <v>1</v>
      </c>
      <c r="AG754" s="59">
        <f t="shared" si="585"/>
        <v>1</v>
      </c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</row>
    <row r="755" ht="24.0" customHeight="1">
      <c r="A755" s="45">
        <v>25.0</v>
      </c>
      <c r="B755" s="74" t="s">
        <v>2286</v>
      </c>
      <c r="C755" s="55" t="s">
        <v>2266</v>
      </c>
      <c r="D755" s="75"/>
      <c r="E755" s="57">
        <v>4.07839422E8</v>
      </c>
      <c r="F755" s="76">
        <v>37590.0</v>
      </c>
      <c r="G755" s="77">
        <v>24.0</v>
      </c>
      <c r="H755" s="78" t="str">
        <f t="shared" si="699"/>
        <v>19-60</v>
      </c>
      <c r="I755" s="79" t="s">
        <v>86</v>
      </c>
      <c r="J755" s="80" t="str">
        <f t="shared" si="580"/>
        <v>female</v>
      </c>
      <c r="K755" s="58">
        <v>5.93434195E8</v>
      </c>
      <c r="L755" s="55" t="s">
        <v>34</v>
      </c>
      <c r="M755" s="57" t="s">
        <v>89</v>
      </c>
      <c r="N755" s="55" t="s">
        <v>90</v>
      </c>
      <c r="O755" s="55"/>
      <c r="P755" s="55" t="s">
        <v>91</v>
      </c>
      <c r="Q755" s="55"/>
      <c r="R755" s="58" t="s">
        <v>5</v>
      </c>
      <c r="S755" s="55"/>
      <c r="T755" s="82"/>
      <c r="U755" s="82" t="s">
        <v>7</v>
      </c>
      <c r="V755" s="57"/>
      <c r="W755" s="57"/>
      <c r="X755" s="57" t="str">
        <f t="shared" si="499"/>
        <v>--748-10-05</v>
      </c>
      <c r="Y755" s="58" t="str">
        <f t="shared" ref="Y755:AC755" si="707">TRIM(SUBSTITUTE(SUBSTITUTE(OFFSET(#REF!,0,COLUMN()-COLUMN($AL$1)),CHAR(160)," "),_xludf.UNICHAR(8239)," "))</f>
        <v>#REF!</v>
      </c>
      <c r="Z755" s="58" t="str">
        <f t="shared" si="707"/>
        <v>#REF!</v>
      </c>
      <c r="AA755" s="58" t="str">
        <f t="shared" si="707"/>
        <v>#REF!</v>
      </c>
      <c r="AB755" s="58" t="str">
        <f t="shared" si="707"/>
        <v>#REF!</v>
      </c>
      <c r="AC755" s="58" t="str">
        <f t="shared" si="707"/>
        <v>#REF!</v>
      </c>
      <c r="AD755" s="57">
        <f t="shared" si="582"/>
        <v>1</v>
      </c>
      <c r="AE755" s="57" t="str">
        <f t="shared" si="583"/>
        <v>2026-05</v>
      </c>
      <c r="AF755" s="57">
        <f t="shared" si="584"/>
        <v>1</v>
      </c>
      <c r="AG755" s="59">
        <f t="shared" si="585"/>
        <v>1</v>
      </c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</row>
    <row r="756" ht="24.0" customHeight="1">
      <c r="A756" s="45">
        <v>26.0</v>
      </c>
      <c r="B756" s="74" t="s">
        <v>2287</v>
      </c>
      <c r="C756" s="55" t="s">
        <v>2266</v>
      </c>
      <c r="D756" s="75">
        <v>46142.0</v>
      </c>
      <c r="E756" s="57">
        <v>9.05198735E8</v>
      </c>
      <c r="F756" s="76">
        <v>29806.0</v>
      </c>
      <c r="G756" s="77">
        <v>45.0</v>
      </c>
      <c r="H756" s="78" t="str">
        <f t="shared" si="699"/>
        <v>19-60</v>
      </c>
      <c r="I756" s="79" t="s">
        <v>112</v>
      </c>
      <c r="J756" s="80" t="str">
        <f t="shared" si="580"/>
        <v>male</v>
      </c>
      <c r="K756" s="58">
        <v>5.9949163E8</v>
      </c>
      <c r="L756" s="55" t="s">
        <v>34</v>
      </c>
      <c r="M756" s="57" t="s">
        <v>89</v>
      </c>
      <c r="N756" s="55" t="s">
        <v>90</v>
      </c>
      <c r="O756" s="55"/>
      <c r="P756" s="55" t="s">
        <v>91</v>
      </c>
      <c r="Q756" s="58" t="s">
        <v>4</v>
      </c>
      <c r="R756" s="55"/>
      <c r="S756" s="55"/>
      <c r="T756" s="82"/>
      <c r="U756" s="82"/>
      <c r="V756" s="57"/>
      <c r="W756" s="57"/>
      <c r="X756" s="57" t="str">
        <f t="shared" si="499"/>
        <v>--749-10-05</v>
      </c>
      <c r="Y756" s="58" t="str">
        <f t="shared" ref="Y756:AC756" si="708">TRIM(SUBSTITUTE(SUBSTITUTE(OFFSET(#REF!,0,COLUMN()-COLUMN($AL$1)),CHAR(160)," "),_xludf.UNICHAR(8239)," "))</f>
        <v>#REF!</v>
      </c>
      <c r="Z756" s="58" t="str">
        <f t="shared" si="708"/>
        <v>#REF!</v>
      </c>
      <c r="AA756" s="58" t="str">
        <f t="shared" si="708"/>
        <v>#REF!</v>
      </c>
      <c r="AB756" s="58" t="str">
        <f t="shared" si="708"/>
        <v>#REF!</v>
      </c>
      <c r="AC756" s="58" t="str">
        <f t="shared" si="708"/>
        <v>#REF!</v>
      </c>
      <c r="AD756" s="57">
        <f t="shared" si="582"/>
        <v>1</v>
      </c>
      <c r="AE756" s="57" t="str">
        <f t="shared" si="583"/>
        <v>2026-05</v>
      </c>
      <c r="AF756" s="57">
        <f t="shared" si="584"/>
        <v>1</v>
      </c>
      <c r="AG756" s="59">
        <f t="shared" si="585"/>
        <v>0</v>
      </c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</row>
    <row r="757" ht="24.0" customHeight="1">
      <c r="A757" s="45">
        <v>27.0</v>
      </c>
      <c r="B757" s="74" t="s">
        <v>2288</v>
      </c>
      <c r="C757" s="55" t="s">
        <v>2266</v>
      </c>
      <c r="D757" s="75"/>
      <c r="E757" s="57">
        <v>4.33789328E8</v>
      </c>
      <c r="F757" s="76">
        <v>41776.0</v>
      </c>
      <c r="G757" s="77">
        <v>12.0</v>
      </c>
      <c r="H757" s="78" t="str">
        <f t="shared" si="699"/>
        <v>6-18</v>
      </c>
      <c r="I757" s="79" t="s">
        <v>112</v>
      </c>
      <c r="J757" s="80" t="str">
        <f t="shared" si="580"/>
        <v>male</v>
      </c>
      <c r="K757" s="58">
        <v>5.92215695E8</v>
      </c>
      <c r="L757" s="55" t="s">
        <v>34</v>
      </c>
      <c r="M757" s="57" t="s">
        <v>133</v>
      </c>
      <c r="N757" s="55" t="s">
        <v>90</v>
      </c>
      <c r="O757" s="55"/>
      <c r="P757" s="55" t="s">
        <v>91</v>
      </c>
      <c r="Q757" s="58" t="s">
        <v>16</v>
      </c>
      <c r="R757" s="55"/>
      <c r="S757" s="55"/>
      <c r="T757" s="82"/>
      <c r="U757" s="82"/>
      <c r="V757" s="57"/>
      <c r="W757" s="57"/>
      <c r="X757" s="57" t="str">
        <f t="shared" si="499"/>
        <v>--750-10-05</v>
      </c>
      <c r="Y757" s="58" t="str">
        <f t="shared" ref="Y757:AC757" si="709">TRIM(SUBSTITUTE(SUBSTITUTE(OFFSET(#REF!,0,COLUMN()-COLUMN($AL$1)),CHAR(160)," "),_xludf.UNICHAR(8239)," "))</f>
        <v>#REF!</v>
      </c>
      <c r="Z757" s="58" t="str">
        <f t="shared" si="709"/>
        <v>#REF!</v>
      </c>
      <c r="AA757" s="58" t="str">
        <f t="shared" si="709"/>
        <v>#REF!</v>
      </c>
      <c r="AB757" s="58" t="str">
        <f t="shared" si="709"/>
        <v>#REF!</v>
      </c>
      <c r="AC757" s="58" t="str">
        <f t="shared" si="709"/>
        <v>#REF!</v>
      </c>
      <c r="AD757" s="57">
        <f t="shared" si="582"/>
        <v>1</v>
      </c>
      <c r="AE757" s="57" t="str">
        <f t="shared" si="583"/>
        <v>2026-05</v>
      </c>
      <c r="AF757" s="57">
        <f t="shared" si="584"/>
        <v>1</v>
      </c>
      <c r="AG757" s="59">
        <f t="shared" si="585"/>
        <v>1</v>
      </c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</row>
    <row r="758" ht="24.0" customHeight="1">
      <c r="A758" s="45">
        <v>28.0</v>
      </c>
      <c r="B758" s="74" t="s">
        <v>2289</v>
      </c>
      <c r="C758" s="55" t="s">
        <v>2266</v>
      </c>
      <c r="D758" s="75"/>
      <c r="E758" s="57">
        <v>4.00869178E8</v>
      </c>
      <c r="F758" s="76">
        <v>35097.0</v>
      </c>
      <c r="G758" s="77">
        <v>30.0</v>
      </c>
      <c r="H758" s="78" t="str">
        <f t="shared" si="699"/>
        <v>19-60</v>
      </c>
      <c r="I758" s="79" t="s">
        <v>86</v>
      </c>
      <c r="J758" s="80" t="str">
        <f t="shared" si="580"/>
        <v>female</v>
      </c>
      <c r="K758" s="58">
        <v>5.92215695E8</v>
      </c>
      <c r="L758" s="55" t="s">
        <v>34</v>
      </c>
      <c r="M758" s="57" t="s">
        <v>89</v>
      </c>
      <c r="N758" s="55" t="s">
        <v>90</v>
      </c>
      <c r="O758" s="55"/>
      <c r="P758" s="55" t="s">
        <v>91</v>
      </c>
      <c r="Q758" s="58" t="s">
        <v>4</v>
      </c>
      <c r="R758" s="55"/>
      <c r="S758" s="55"/>
      <c r="T758" s="82"/>
      <c r="U758" s="82"/>
      <c r="V758" s="57"/>
      <c r="W758" s="57"/>
      <c r="X758" s="57" t="str">
        <f t="shared" si="499"/>
        <v>--751-10-05</v>
      </c>
      <c r="Y758" s="58" t="str">
        <f t="shared" ref="Y758:AC758" si="710">TRIM(SUBSTITUTE(SUBSTITUTE(OFFSET(#REF!,0,COLUMN()-COLUMN($AL$1)),CHAR(160)," "),_xludf.UNICHAR(8239)," "))</f>
        <v>#REF!</v>
      </c>
      <c r="Z758" s="58" t="str">
        <f t="shared" si="710"/>
        <v>#REF!</v>
      </c>
      <c r="AA758" s="58" t="str">
        <f t="shared" si="710"/>
        <v>#REF!</v>
      </c>
      <c r="AB758" s="58" t="str">
        <f t="shared" si="710"/>
        <v>#REF!</v>
      </c>
      <c r="AC758" s="58" t="str">
        <f t="shared" si="710"/>
        <v>#REF!</v>
      </c>
      <c r="AD758" s="57">
        <f t="shared" si="582"/>
        <v>1</v>
      </c>
      <c r="AE758" s="57" t="str">
        <f t="shared" si="583"/>
        <v>2026-05</v>
      </c>
      <c r="AF758" s="57">
        <f t="shared" si="584"/>
        <v>1</v>
      </c>
      <c r="AG758" s="59">
        <f t="shared" si="585"/>
        <v>1</v>
      </c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</row>
    <row r="759" ht="24.0" customHeight="1">
      <c r="A759" s="45">
        <v>29.0</v>
      </c>
      <c r="B759" s="74" t="s">
        <v>2290</v>
      </c>
      <c r="C759" s="55" t="s">
        <v>2266</v>
      </c>
      <c r="D759" s="75"/>
      <c r="E759" s="57">
        <v>8.02402768E8</v>
      </c>
      <c r="F759" s="76">
        <v>33172.0</v>
      </c>
      <c r="G759" s="77">
        <v>36.0</v>
      </c>
      <c r="H759" s="78" t="str">
        <f t="shared" si="699"/>
        <v>19-60</v>
      </c>
      <c r="I759" s="79" t="s">
        <v>86</v>
      </c>
      <c r="J759" s="80" t="str">
        <f t="shared" si="580"/>
        <v>female</v>
      </c>
      <c r="K759" s="58">
        <v>5.99690342E8</v>
      </c>
      <c r="L759" s="55" t="s">
        <v>34</v>
      </c>
      <c r="M759" s="57" t="s">
        <v>89</v>
      </c>
      <c r="N759" s="55" t="s">
        <v>90</v>
      </c>
      <c r="O759" s="55"/>
      <c r="P759" s="55" t="s">
        <v>91</v>
      </c>
      <c r="Q759" s="58" t="s">
        <v>16</v>
      </c>
      <c r="R759" s="55"/>
      <c r="S759" s="55"/>
      <c r="T759" s="82"/>
      <c r="U759" s="82"/>
      <c r="V759" s="57"/>
      <c r="W759" s="57"/>
      <c r="X759" s="57" t="str">
        <f t="shared" si="499"/>
        <v>--752-10-05</v>
      </c>
      <c r="Y759" s="58" t="str">
        <f t="shared" ref="Y759:AC759" si="711">TRIM(SUBSTITUTE(SUBSTITUTE(OFFSET(#REF!,0,COLUMN()-COLUMN($AL$1)),CHAR(160)," "),_xludf.UNICHAR(8239)," "))</f>
        <v>#REF!</v>
      </c>
      <c r="Z759" s="58" t="str">
        <f t="shared" si="711"/>
        <v>#REF!</v>
      </c>
      <c r="AA759" s="58" t="str">
        <f t="shared" si="711"/>
        <v>#REF!</v>
      </c>
      <c r="AB759" s="58" t="str">
        <f t="shared" si="711"/>
        <v>#REF!</v>
      </c>
      <c r="AC759" s="58" t="str">
        <f t="shared" si="711"/>
        <v>#REF!</v>
      </c>
      <c r="AD759" s="57">
        <f t="shared" si="582"/>
        <v>1</v>
      </c>
      <c r="AE759" s="57" t="str">
        <f t="shared" si="583"/>
        <v>2026-05</v>
      </c>
      <c r="AF759" s="57">
        <f t="shared" si="584"/>
        <v>1</v>
      </c>
      <c r="AG759" s="59">
        <f t="shared" si="585"/>
        <v>1</v>
      </c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</row>
    <row r="760" ht="24.0" customHeight="1">
      <c r="A760" s="45">
        <v>30.0</v>
      </c>
      <c r="B760" s="74" t="s">
        <v>1150</v>
      </c>
      <c r="C760" s="55" t="s">
        <v>2266</v>
      </c>
      <c r="D760" s="75">
        <v>46146.0</v>
      </c>
      <c r="E760" s="57">
        <v>8.02821488E8</v>
      </c>
      <c r="F760" s="76">
        <v>33490.0</v>
      </c>
      <c r="G760" s="77">
        <v>35.0</v>
      </c>
      <c r="H760" s="78" t="str">
        <f t="shared" si="699"/>
        <v>19-60</v>
      </c>
      <c r="I760" s="79" t="s">
        <v>86</v>
      </c>
      <c r="J760" s="80" t="str">
        <f t="shared" si="580"/>
        <v>female</v>
      </c>
      <c r="K760" s="58">
        <v>5.99867573E8</v>
      </c>
      <c r="L760" s="55" t="s">
        <v>34</v>
      </c>
      <c r="M760" s="57" t="s">
        <v>89</v>
      </c>
      <c r="N760" s="55" t="s">
        <v>90</v>
      </c>
      <c r="O760" s="55"/>
      <c r="P760" s="55" t="s">
        <v>91</v>
      </c>
      <c r="Q760" s="55"/>
      <c r="R760" s="58" t="s">
        <v>5</v>
      </c>
      <c r="S760" s="58"/>
      <c r="T760" s="82"/>
      <c r="U760" s="82" t="s">
        <v>7</v>
      </c>
      <c r="V760" s="57"/>
      <c r="W760" s="57"/>
      <c r="X760" s="57" t="str">
        <f t="shared" si="499"/>
        <v>--753-10-05</v>
      </c>
      <c r="Y760" s="58" t="str">
        <f t="shared" ref="Y760:AC760" si="712">TRIM(SUBSTITUTE(SUBSTITUTE(OFFSET(#REF!,0,COLUMN()-COLUMN($AL$1)),CHAR(160)," "),_xludf.UNICHAR(8239)," "))</f>
        <v>#REF!</v>
      </c>
      <c r="Z760" s="58" t="str">
        <f t="shared" si="712"/>
        <v>#REF!</v>
      </c>
      <c r="AA760" s="58" t="str">
        <f t="shared" si="712"/>
        <v>#REF!</v>
      </c>
      <c r="AB760" s="58" t="str">
        <f t="shared" si="712"/>
        <v>#REF!</v>
      </c>
      <c r="AC760" s="58" t="str">
        <f t="shared" si="712"/>
        <v>#REF!</v>
      </c>
      <c r="AD760" s="57">
        <f t="shared" si="582"/>
        <v>1</v>
      </c>
      <c r="AE760" s="57" t="str">
        <f t="shared" si="583"/>
        <v>2026-05</v>
      </c>
      <c r="AF760" s="57">
        <f t="shared" si="584"/>
        <v>0</v>
      </c>
      <c r="AG760" s="59">
        <f t="shared" si="585"/>
        <v>0</v>
      </c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</row>
    <row r="761" ht="24.0" customHeight="1">
      <c r="A761" s="45">
        <v>31.0</v>
      </c>
      <c r="B761" s="74" t="s">
        <v>2291</v>
      </c>
      <c r="C761" s="55" t="s">
        <v>2266</v>
      </c>
      <c r="D761" s="75"/>
      <c r="E761" s="57">
        <v>8.03263904E8</v>
      </c>
      <c r="F761" s="76">
        <v>33950.0</v>
      </c>
      <c r="G761" s="77">
        <v>34.0</v>
      </c>
      <c r="H761" s="78" t="str">
        <f t="shared" si="699"/>
        <v>19-60</v>
      </c>
      <c r="I761" s="79" t="s">
        <v>86</v>
      </c>
      <c r="J761" s="80" t="str">
        <f t="shared" si="580"/>
        <v>female</v>
      </c>
      <c r="K761" s="58">
        <v>5.95445066E8</v>
      </c>
      <c r="L761" s="55" t="s">
        <v>34</v>
      </c>
      <c r="M761" s="57" t="s">
        <v>89</v>
      </c>
      <c r="N761" s="55" t="s">
        <v>90</v>
      </c>
      <c r="O761" s="55"/>
      <c r="P761" s="55" t="s">
        <v>91</v>
      </c>
      <c r="Q761" s="55"/>
      <c r="R761" s="58" t="s">
        <v>17</v>
      </c>
      <c r="S761" s="58"/>
      <c r="T761" s="82"/>
      <c r="U761" s="82"/>
      <c r="V761" s="57"/>
      <c r="W761" s="57"/>
      <c r="X761" s="57" t="str">
        <f t="shared" si="499"/>
        <v>--754-10-05</v>
      </c>
      <c r="Y761" s="58" t="str">
        <f t="shared" ref="Y761:AC761" si="713">TRIM(SUBSTITUTE(SUBSTITUTE(OFFSET(#REF!,0,COLUMN()-COLUMN($AL$1)),CHAR(160)," "),_xludf.UNICHAR(8239)," "))</f>
        <v>#REF!</v>
      </c>
      <c r="Z761" s="58" t="str">
        <f t="shared" si="713"/>
        <v>#REF!</v>
      </c>
      <c r="AA761" s="58" t="str">
        <f t="shared" si="713"/>
        <v>#REF!</v>
      </c>
      <c r="AB761" s="58" t="str">
        <f t="shared" si="713"/>
        <v>#REF!</v>
      </c>
      <c r="AC761" s="58" t="str">
        <f t="shared" si="713"/>
        <v>#REF!</v>
      </c>
      <c r="AD761" s="57">
        <f t="shared" si="582"/>
        <v>1</v>
      </c>
      <c r="AE761" s="57" t="str">
        <f t="shared" si="583"/>
        <v>2026-05</v>
      </c>
      <c r="AF761" s="57">
        <f t="shared" si="584"/>
        <v>1</v>
      </c>
      <c r="AG761" s="59">
        <f t="shared" si="585"/>
        <v>1</v>
      </c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</row>
    <row r="762" ht="24.0" customHeight="1">
      <c r="A762" s="45">
        <v>32.0</v>
      </c>
      <c r="B762" s="74" t="s">
        <v>2292</v>
      </c>
      <c r="C762" s="55" t="s">
        <v>2266</v>
      </c>
      <c r="D762" s="75"/>
      <c r="E762" s="57">
        <v>9.60708642E8</v>
      </c>
      <c r="F762" s="76">
        <v>22375.0</v>
      </c>
      <c r="G762" s="77">
        <v>65.0</v>
      </c>
      <c r="H762" s="78" t="str">
        <f t="shared" si="699"/>
        <v>+60</v>
      </c>
      <c r="I762" s="79" t="s">
        <v>112</v>
      </c>
      <c r="J762" s="80" t="str">
        <f t="shared" si="580"/>
        <v>male</v>
      </c>
      <c r="K762" s="58">
        <v>5.99333501E8</v>
      </c>
      <c r="L762" s="55" t="s">
        <v>34</v>
      </c>
      <c r="M762" s="57" t="s">
        <v>89</v>
      </c>
      <c r="N762" s="55" t="s">
        <v>90</v>
      </c>
      <c r="O762" s="55"/>
      <c r="P762" s="55" t="s">
        <v>91</v>
      </c>
      <c r="Q762" s="58" t="s">
        <v>4</v>
      </c>
      <c r="R762" s="55"/>
      <c r="S762" s="55"/>
      <c r="T762" s="82"/>
      <c r="U762" s="82"/>
      <c r="V762" s="57"/>
      <c r="W762" s="57"/>
      <c r="X762" s="57" t="str">
        <f t="shared" si="499"/>
        <v>--755-10-05</v>
      </c>
      <c r="Y762" s="58" t="str">
        <f t="shared" ref="Y762:AC762" si="714">TRIM(SUBSTITUTE(SUBSTITUTE(OFFSET(#REF!,0,COLUMN()-COLUMN($AL$1)),CHAR(160)," "),_xludf.UNICHAR(8239)," "))</f>
        <v>#REF!</v>
      </c>
      <c r="Z762" s="58" t="str">
        <f t="shared" si="714"/>
        <v>#REF!</v>
      </c>
      <c r="AA762" s="58" t="str">
        <f t="shared" si="714"/>
        <v>#REF!</v>
      </c>
      <c r="AB762" s="58" t="str">
        <f t="shared" si="714"/>
        <v>#REF!</v>
      </c>
      <c r="AC762" s="58" t="str">
        <f t="shared" si="714"/>
        <v>#REF!</v>
      </c>
      <c r="AD762" s="57">
        <f t="shared" si="582"/>
        <v>1</v>
      </c>
      <c r="AE762" s="57" t="str">
        <f t="shared" si="583"/>
        <v>2026-05</v>
      </c>
      <c r="AF762" s="57">
        <f t="shared" si="584"/>
        <v>1</v>
      </c>
      <c r="AG762" s="59">
        <f t="shared" si="585"/>
        <v>1</v>
      </c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</row>
    <row r="763" ht="24.0" customHeight="1">
      <c r="A763" s="45">
        <v>33.0</v>
      </c>
      <c r="B763" s="74" t="s">
        <v>2293</v>
      </c>
      <c r="C763" s="55" t="s">
        <v>2266</v>
      </c>
      <c r="D763" s="75"/>
      <c r="E763" s="57">
        <v>4.4112775E8</v>
      </c>
      <c r="F763" s="76">
        <v>44940.0</v>
      </c>
      <c r="G763" s="77">
        <v>3.0</v>
      </c>
      <c r="H763" s="78" t="str">
        <f t="shared" si="699"/>
        <v>0-5</v>
      </c>
      <c r="I763" s="79" t="s">
        <v>112</v>
      </c>
      <c r="J763" s="80" t="str">
        <f t="shared" si="580"/>
        <v>male</v>
      </c>
      <c r="K763" s="58">
        <v>5.98707638E8</v>
      </c>
      <c r="L763" s="55" t="s">
        <v>34</v>
      </c>
      <c r="M763" s="57" t="s">
        <v>133</v>
      </c>
      <c r="N763" s="55" t="s">
        <v>90</v>
      </c>
      <c r="O763" s="55"/>
      <c r="P763" s="55" t="s">
        <v>91</v>
      </c>
      <c r="Q763" s="58" t="s">
        <v>16</v>
      </c>
      <c r="R763" s="55"/>
      <c r="S763" s="55"/>
      <c r="T763" s="82"/>
      <c r="U763" s="82"/>
      <c r="V763" s="57"/>
      <c r="W763" s="57"/>
      <c r="X763" s="57" t="str">
        <f t="shared" si="499"/>
        <v>--756-10-05</v>
      </c>
      <c r="Y763" s="58" t="str">
        <f t="shared" ref="Y763:AC763" si="715">TRIM(SUBSTITUTE(SUBSTITUTE(OFFSET(#REF!,0,COLUMN()-COLUMN($AL$1)),CHAR(160)," "),_xludf.UNICHAR(8239)," "))</f>
        <v>#REF!</v>
      </c>
      <c r="Z763" s="58" t="str">
        <f t="shared" si="715"/>
        <v>#REF!</v>
      </c>
      <c r="AA763" s="58" t="str">
        <f t="shared" si="715"/>
        <v>#REF!</v>
      </c>
      <c r="AB763" s="58" t="str">
        <f t="shared" si="715"/>
        <v>#REF!</v>
      </c>
      <c r="AC763" s="58" t="str">
        <f t="shared" si="715"/>
        <v>#REF!</v>
      </c>
      <c r="AD763" s="57">
        <f t="shared" si="582"/>
        <v>1</v>
      </c>
      <c r="AE763" s="57" t="str">
        <f t="shared" si="583"/>
        <v>2026-05</v>
      </c>
      <c r="AF763" s="57">
        <f t="shared" si="584"/>
        <v>1</v>
      </c>
      <c r="AG763" s="59">
        <f t="shared" si="585"/>
        <v>1</v>
      </c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</row>
    <row r="764" ht="24.0" customHeight="1">
      <c r="A764" s="45">
        <v>34.0</v>
      </c>
      <c r="B764" s="74" t="s">
        <v>2294</v>
      </c>
      <c r="C764" s="55" t="s">
        <v>2266</v>
      </c>
      <c r="D764" s="75"/>
      <c r="E764" s="57">
        <v>4.38485625E8</v>
      </c>
      <c r="F764" s="76">
        <v>43181.0</v>
      </c>
      <c r="G764" s="77">
        <v>8.0</v>
      </c>
      <c r="H764" s="78" t="str">
        <f t="shared" si="699"/>
        <v>6-18</v>
      </c>
      <c r="I764" s="79" t="s">
        <v>86</v>
      </c>
      <c r="J764" s="80" t="str">
        <f t="shared" si="580"/>
        <v>female</v>
      </c>
      <c r="K764" s="58">
        <v>5.94989024E8</v>
      </c>
      <c r="L764" s="55" t="s">
        <v>34</v>
      </c>
      <c r="M764" s="57" t="s">
        <v>133</v>
      </c>
      <c r="N764" s="55" t="s">
        <v>90</v>
      </c>
      <c r="O764" s="55"/>
      <c r="P764" s="55" t="s">
        <v>91</v>
      </c>
      <c r="Q764" s="58" t="s">
        <v>16</v>
      </c>
      <c r="R764" s="55"/>
      <c r="S764" s="55"/>
      <c r="T764" s="82"/>
      <c r="U764" s="82"/>
      <c r="V764" s="57"/>
      <c r="W764" s="57"/>
      <c r="X764" s="57" t="str">
        <f t="shared" si="499"/>
        <v>--757-10-05</v>
      </c>
      <c r="Y764" s="58" t="str">
        <f t="shared" ref="Y764:AC764" si="716">TRIM(SUBSTITUTE(SUBSTITUTE(OFFSET(#REF!,0,COLUMN()-COLUMN($AL$1)),CHAR(160)," "),_xludf.UNICHAR(8239)," "))</f>
        <v>#REF!</v>
      </c>
      <c r="Z764" s="58" t="str">
        <f t="shared" si="716"/>
        <v>#REF!</v>
      </c>
      <c r="AA764" s="58" t="str">
        <f t="shared" si="716"/>
        <v>#REF!</v>
      </c>
      <c r="AB764" s="58" t="str">
        <f t="shared" si="716"/>
        <v>#REF!</v>
      </c>
      <c r="AC764" s="58" t="str">
        <f t="shared" si="716"/>
        <v>#REF!</v>
      </c>
      <c r="AD764" s="57">
        <f t="shared" si="582"/>
        <v>1</v>
      </c>
      <c r="AE764" s="57" t="str">
        <f t="shared" si="583"/>
        <v>2026-05</v>
      </c>
      <c r="AF764" s="57">
        <f t="shared" si="584"/>
        <v>1</v>
      </c>
      <c r="AG764" s="59">
        <f t="shared" si="585"/>
        <v>1</v>
      </c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</row>
    <row r="765" ht="24.0" customHeight="1">
      <c r="A765" s="45">
        <v>35.0</v>
      </c>
      <c r="B765" s="74" t="s">
        <v>2295</v>
      </c>
      <c r="C765" s="55" t="s">
        <v>2266</v>
      </c>
      <c r="D765" s="75"/>
      <c r="E765" s="57">
        <v>4.45279433E8</v>
      </c>
      <c r="F765" s="76">
        <v>44327.0</v>
      </c>
      <c r="G765" s="77">
        <v>5.0</v>
      </c>
      <c r="H765" s="78" t="str">
        <f t="shared" si="699"/>
        <v>0-5</v>
      </c>
      <c r="I765" s="79" t="s">
        <v>112</v>
      </c>
      <c r="J765" s="80" t="str">
        <f t="shared" si="580"/>
        <v>male</v>
      </c>
      <c r="K765" s="58">
        <v>5.94989024E8</v>
      </c>
      <c r="L765" s="55" t="s">
        <v>34</v>
      </c>
      <c r="M765" s="57" t="s">
        <v>133</v>
      </c>
      <c r="N765" s="55" t="s">
        <v>90</v>
      </c>
      <c r="O765" s="55"/>
      <c r="P765" s="55" t="s">
        <v>91</v>
      </c>
      <c r="Q765" s="58" t="s">
        <v>16</v>
      </c>
      <c r="R765" s="55"/>
      <c r="S765" s="55"/>
      <c r="T765" s="82"/>
      <c r="U765" s="82"/>
      <c r="V765" s="57"/>
      <c r="W765" s="57"/>
      <c r="X765" s="57" t="str">
        <f t="shared" si="499"/>
        <v>--758-10-05</v>
      </c>
      <c r="Y765" s="58" t="str">
        <f t="shared" ref="Y765:AC765" si="717">TRIM(SUBSTITUTE(SUBSTITUTE(OFFSET(#REF!,0,COLUMN()-COLUMN($AL$1)),CHAR(160)," "),_xludf.UNICHAR(8239)," "))</f>
        <v>#REF!</v>
      </c>
      <c r="Z765" s="58" t="str">
        <f t="shared" si="717"/>
        <v>#REF!</v>
      </c>
      <c r="AA765" s="58" t="str">
        <f t="shared" si="717"/>
        <v>#REF!</v>
      </c>
      <c r="AB765" s="58" t="str">
        <f t="shared" si="717"/>
        <v>#REF!</v>
      </c>
      <c r="AC765" s="58" t="str">
        <f t="shared" si="717"/>
        <v>#REF!</v>
      </c>
      <c r="AD765" s="57">
        <f t="shared" si="582"/>
        <v>1</v>
      </c>
      <c r="AE765" s="57" t="str">
        <f t="shared" si="583"/>
        <v>2026-05</v>
      </c>
      <c r="AF765" s="57">
        <f t="shared" si="584"/>
        <v>1</v>
      </c>
      <c r="AG765" s="59">
        <f t="shared" si="585"/>
        <v>1</v>
      </c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</row>
    <row r="766" ht="24.0" customHeight="1">
      <c r="A766" s="45">
        <v>36.0</v>
      </c>
      <c r="B766" s="74" t="s">
        <v>2296</v>
      </c>
      <c r="C766" s="55" t="s">
        <v>2266</v>
      </c>
      <c r="D766" s="75"/>
      <c r="E766" s="57">
        <v>4.42831764E8</v>
      </c>
      <c r="F766" s="76">
        <v>44468.0</v>
      </c>
      <c r="G766" s="77">
        <v>5.0</v>
      </c>
      <c r="H766" s="78" t="str">
        <f t="shared" si="699"/>
        <v>0-5</v>
      </c>
      <c r="I766" s="79" t="s">
        <v>112</v>
      </c>
      <c r="J766" s="80" t="str">
        <f t="shared" si="580"/>
        <v>male</v>
      </c>
      <c r="K766" s="58">
        <v>5.98602858E8</v>
      </c>
      <c r="L766" s="55" t="s">
        <v>34</v>
      </c>
      <c r="M766" s="57" t="s">
        <v>133</v>
      </c>
      <c r="N766" s="55" t="s">
        <v>90</v>
      </c>
      <c r="O766" s="55"/>
      <c r="P766" s="55" t="s">
        <v>91</v>
      </c>
      <c r="Q766" s="58" t="s">
        <v>16</v>
      </c>
      <c r="R766" s="55"/>
      <c r="S766" s="55"/>
      <c r="T766" s="82"/>
      <c r="U766" s="82"/>
      <c r="V766" s="57"/>
      <c r="W766" s="57"/>
      <c r="X766" s="57" t="str">
        <f t="shared" si="499"/>
        <v>--759-10-05</v>
      </c>
      <c r="Y766" s="58" t="str">
        <f t="shared" ref="Y766:AC766" si="718">TRIM(SUBSTITUTE(SUBSTITUTE(OFFSET(#REF!,0,COLUMN()-COLUMN($AL$1)),CHAR(160)," "),_xludf.UNICHAR(8239)," "))</f>
        <v>#REF!</v>
      </c>
      <c r="Z766" s="58" t="str">
        <f t="shared" si="718"/>
        <v>#REF!</v>
      </c>
      <c r="AA766" s="58" t="str">
        <f t="shared" si="718"/>
        <v>#REF!</v>
      </c>
      <c r="AB766" s="58" t="str">
        <f t="shared" si="718"/>
        <v>#REF!</v>
      </c>
      <c r="AC766" s="58" t="str">
        <f t="shared" si="718"/>
        <v>#REF!</v>
      </c>
      <c r="AD766" s="57">
        <f t="shared" si="582"/>
        <v>1</v>
      </c>
      <c r="AE766" s="57" t="str">
        <f t="shared" si="583"/>
        <v>2026-05</v>
      </c>
      <c r="AF766" s="57">
        <f t="shared" si="584"/>
        <v>1</v>
      </c>
      <c r="AG766" s="59">
        <f t="shared" si="585"/>
        <v>1</v>
      </c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</row>
    <row r="767" ht="24.0" customHeight="1">
      <c r="A767" s="45">
        <v>37.0</v>
      </c>
      <c r="B767" s="74" t="s">
        <v>2297</v>
      </c>
      <c r="C767" s="55" t="s">
        <v>2266</v>
      </c>
      <c r="D767" s="75"/>
      <c r="E767" s="57">
        <v>4.56702315E8</v>
      </c>
      <c r="F767" s="76">
        <v>28648.0</v>
      </c>
      <c r="G767" s="77">
        <v>48.0</v>
      </c>
      <c r="H767" s="78" t="str">
        <f t="shared" si="699"/>
        <v>19-60</v>
      </c>
      <c r="I767" s="79" t="s">
        <v>86</v>
      </c>
      <c r="J767" s="80" t="str">
        <f t="shared" si="580"/>
        <v>female</v>
      </c>
      <c r="K767" s="58">
        <v>5.99246582E8</v>
      </c>
      <c r="L767" s="55" t="s">
        <v>34</v>
      </c>
      <c r="M767" s="57" t="s">
        <v>89</v>
      </c>
      <c r="N767" s="55" t="s">
        <v>90</v>
      </c>
      <c r="O767" s="55"/>
      <c r="P767" s="55" t="s">
        <v>91</v>
      </c>
      <c r="Q767" s="58" t="s">
        <v>16</v>
      </c>
      <c r="R767" s="55"/>
      <c r="S767" s="55"/>
      <c r="T767" s="82"/>
      <c r="U767" s="82"/>
      <c r="V767" s="57"/>
      <c r="W767" s="57"/>
      <c r="X767" s="57" t="str">
        <f t="shared" si="499"/>
        <v>--760-10-05</v>
      </c>
      <c r="Y767" s="58" t="str">
        <f t="shared" ref="Y767:AC767" si="719">TRIM(SUBSTITUTE(SUBSTITUTE(OFFSET(#REF!,0,COLUMN()-COLUMN($AL$1)),CHAR(160)," "),_xludf.UNICHAR(8239)," "))</f>
        <v>#REF!</v>
      </c>
      <c r="Z767" s="58" t="str">
        <f t="shared" si="719"/>
        <v>#REF!</v>
      </c>
      <c r="AA767" s="58" t="str">
        <f t="shared" si="719"/>
        <v>#REF!</v>
      </c>
      <c r="AB767" s="58" t="str">
        <f t="shared" si="719"/>
        <v>#REF!</v>
      </c>
      <c r="AC767" s="58" t="str">
        <f t="shared" si="719"/>
        <v>#REF!</v>
      </c>
      <c r="AD767" s="57">
        <f t="shared" si="582"/>
        <v>1</v>
      </c>
      <c r="AE767" s="57" t="str">
        <f t="shared" si="583"/>
        <v>2026-05</v>
      </c>
      <c r="AF767" s="57">
        <f t="shared" si="584"/>
        <v>1</v>
      </c>
      <c r="AG767" s="59">
        <f t="shared" si="585"/>
        <v>1</v>
      </c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</row>
    <row r="768" ht="24.0" customHeight="1">
      <c r="A768" s="45">
        <v>38.0</v>
      </c>
      <c r="B768" s="74" t="s">
        <v>2265</v>
      </c>
      <c r="C768" s="55" t="s">
        <v>2266</v>
      </c>
      <c r="D768" s="75">
        <v>46149.0</v>
      </c>
      <c r="E768" s="57">
        <v>9.05935136E8</v>
      </c>
      <c r="F768" s="76">
        <v>23239.0</v>
      </c>
      <c r="G768" s="77">
        <v>63.0</v>
      </c>
      <c r="H768" s="78" t="str">
        <f t="shared" si="699"/>
        <v>+60</v>
      </c>
      <c r="I768" s="79" t="s">
        <v>112</v>
      </c>
      <c r="J768" s="80" t="str">
        <f t="shared" si="580"/>
        <v>male</v>
      </c>
      <c r="K768" s="58">
        <v>5.99453132E8</v>
      </c>
      <c r="L768" s="55" t="s">
        <v>34</v>
      </c>
      <c r="M768" s="57" t="s">
        <v>89</v>
      </c>
      <c r="N768" s="55" t="s">
        <v>90</v>
      </c>
      <c r="O768" s="55"/>
      <c r="P768" s="55" t="s">
        <v>91</v>
      </c>
      <c r="Q768" s="55"/>
      <c r="R768" s="55"/>
      <c r="S768" s="58" t="s">
        <v>6</v>
      </c>
      <c r="T768" s="82"/>
      <c r="U768" s="82"/>
      <c r="V768" s="57"/>
      <c r="W768" s="57"/>
      <c r="X768" s="57" t="str">
        <f t="shared" si="499"/>
        <v>--761-10-05</v>
      </c>
      <c r="Y768" s="58" t="str">
        <f t="shared" ref="Y768:AC768" si="720">TRIM(SUBSTITUTE(SUBSTITUTE(OFFSET(#REF!,0,COLUMN()-COLUMN($AL$1)),CHAR(160)," "),_xludf.UNICHAR(8239)," "))</f>
        <v>#REF!</v>
      </c>
      <c r="Z768" s="58" t="str">
        <f t="shared" si="720"/>
        <v>#REF!</v>
      </c>
      <c r="AA768" s="58" t="str">
        <f t="shared" si="720"/>
        <v>#REF!</v>
      </c>
      <c r="AB768" s="58" t="str">
        <f t="shared" si="720"/>
        <v>#REF!</v>
      </c>
      <c r="AC768" s="58" t="str">
        <f t="shared" si="720"/>
        <v>#REF!</v>
      </c>
      <c r="AD768" s="57">
        <f t="shared" si="582"/>
        <v>1</v>
      </c>
      <c r="AE768" s="57" t="str">
        <f t="shared" si="583"/>
        <v>2026-05</v>
      </c>
      <c r="AF768" s="57">
        <f t="shared" si="584"/>
        <v>0</v>
      </c>
      <c r="AG768" s="59">
        <f t="shared" si="585"/>
        <v>0</v>
      </c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</row>
    <row r="769" ht="24.0" customHeight="1">
      <c r="A769" s="45">
        <v>39.0</v>
      </c>
      <c r="B769" s="74" t="s">
        <v>1830</v>
      </c>
      <c r="C769" s="55" t="s">
        <v>2266</v>
      </c>
      <c r="D769" s="75">
        <v>46146.0</v>
      </c>
      <c r="E769" s="57">
        <v>4.09391018E8</v>
      </c>
      <c r="F769" s="76">
        <v>38285.0</v>
      </c>
      <c r="G769" s="77">
        <v>22.0</v>
      </c>
      <c r="H769" s="78" t="str">
        <f t="shared" si="699"/>
        <v>19-60</v>
      </c>
      <c r="I769" s="79" t="s">
        <v>86</v>
      </c>
      <c r="J769" s="80" t="str">
        <f t="shared" si="580"/>
        <v>female</v>
      </c>
      <c r="K769" s="58">
        <v>5.95913176E8</v>
      </c>
      <c r="L769" s="55" t="s">
        <v>34</v>
      </c>
      <c r="M769" s="57" t="s">
        <v>89</v>
      </c>
      <c r="N769" s="55" t="s">
        <v>90</v>
      </c>
      <c r="O769" s="55"/>
      <c r="P769" s="55" t="s">
        <v>91</v>
      </c>
      <c r="Q769" s="58"/>
      <c r="R769" s="58" t="s">
        <v>27</v>
      </c>
      <c r="S769" s="55"/>
      <c r="T769" s="82"/>
      <c r="U769" s="82"/>
      <c r="V769" s="57"/>
      <c r="W769" s="57"/>
      <c r="X769" s="57" t="str">
        <f t="shared" si="499"/>
        <v>--762-10-05</v>
      </c>
      <c r="Y769" s="58" t="str">
        <f t="shared" ref="Y769:AC769" si="721">TRIM(SUBSTITUTE(SUBSTITUTE(OFFSET(#REF!,0,COLUMN()-COLUMN($AL$1)),CHAR(160)," "),_xludf.UNICHAR(8239)," "))</f>
        <v>#REF!</v>
      </c>
      <c r="Z769" s="58" t="str">
        <f t="shared" si="721"/>
        <v>#REF!</v>
      </c>
      <c r="AA769" s="58" t="str">
        <f t="shared" si="721"/>
        <v>#REF!</v>
      </c>
      <c r="AB769" s="58" t="str">
        <f t="shared" si="721"/>
        <v>#REF!</v>
      </c>
      <c r="AC769" s="58" t="str">
        <f t="shared" si="721"/>
        <v>#REF!</v>
      </c>
      <c r="AD769" s="57">
        <f t="shared" si="582"/>
        <v>1</v>
      </c>
      <c r="AE769" s="57" t="str">
        <f t="shared" si="583"/>
        <v>2026-05</v>
      </c>
      <c r="AF769" s="57">
        <f t="shared" si="584"/>
        <v>0</v>
      </c>
      <c r="AG769" s="59">
        <f t="shared" si="585"/>
        <v>0</v>
      </c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</row>
    <row r="770" ht="24.0" customHeight="1">
      <c r="A770" s="45">
        <v>40.0</v>
      </c>
      <c r="B770" s="74" t="s">
        <v>2298</v>
      </c>
      <c r="C770" s="55" t="s">
        <v>2266</v>
      </c>
      <c r="D770" s="75"/>
      <c r="E770" s="57">
        <v>4.06040287E8</v>
      </c>
      <c r="F770" s="76">
        <v>36894.0</v>
      </c>
      <c r="G770" s="77">
        <v>25.0</v>
      </c>
      <c r="H770" s="78" t="str">
        <f t="shared" si="699"/>
        <v>19-60</v>
      </c>
      <c r="I770" s="79" t="s">
        <v>86</v>
      </c>
      <c r="J770" s="80" t="str">
        <f t="shared" si="580"/>
        <v>female</v>
      </c>
      <c r="K770" s="58">
        <v>5.94348361E8</v>
      </c>
      <c r="L770" s="55" t="s">
        <v>34</v>
      </c>
      <c r="M770" s="57" t="s">
        <v>89</v>
      </c>
      <c r="N770" s="55" t="s">
        <v>90</v>
      </c>
      <c r="O770" s="55"/>
      <c r="P770" s="55" t="s">
        <v>91</v>
      </c>
      <c r="Q770" s="58" t="s">
        <v>16</v>
      </c>
      <c r="R770" s="55"/>
      <c r="S770" s="55"/>
      <c r="T770" s="82"/>
      <c r="U770" s="82"/>
      <c r="V770" s="57"/>
      <c r="W770" s="57"/>
      <c r="X770" s="57" t="str">
        <f t="shared" si="499"/>
        <v>--763-10-05</v>
      </c>
      <c r="Y770" s="58" t="str">
        <f t="shared" ref="Y770:AC770" si="722">TRIM(SUBSTITUTE(SUBSTITUTE(OFFSET(#REF!,0,COLUMN()-COLUMN($AL$1)),CHAR(160)," "),_xludf.UNICHAR(8239)," "))</f>
        <v>#REF!</v>
      </c>
      <c r="Z770" s="58" t="str">
        <f t="shared" si="722"/>
        <v>#REF!</v>
      </c>
      <c r="AA770" s="58" t="str">
        <f t="shared" si="722"/>
        <v>#REF!</v>
      </c>
      <c r="AB770" s="58" t="str">
        <f t="shared" si="722"/>
        <v>#REF!</v>
      </c>
      <c r="AC770" s="58" t="str">
        <f t="shared" si="722"/>
        <v>#REF!</v>
      </c>
      <c r="AD770" s="57">
        <f t="shared" si="582"/>
        <v>1</v>
      </c>
      <c r="AE770" s="57" t="str">
        <f t="shared" si="583"/>
        <v>2026-05</v>
      </c>
      <c r="AF770" s="57">
        <f t="shared" si="584"/>
        <v>1</v>
      </c>
      <c r="AG770" s="59">
        <f t="shared" si="585"/>
        <v>1</v>
      </c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</row>
    <row r="771" ht="24.0" customHeight="1">
      <c r="A771" s="45">
        <v>41.0</v>
      </c>
      <c r="B771" s="74" t="s">
        <v>2299</v>
      </c>
      <c r="C771" s="55" t="s">
        <v>2266</v>
      </c>
      <c r="D771" s="75"/>
      <c r="E771" s="57">
        <v>8.03658889E8</v>
      </c>
      <c r="F771" s="76">
        <v>33797.0</v>
      </c>
      <c r="G771" s="77">
        <v>34.0</v>
      </c>
      <c r="H771" s="78" t="str">
        <f t="shared" si="699"/>
        <v>19-60</v>
      </c>
      <c r="I771" s="79" t="s">
        <v>112</v>
      </c>
      <c r="J771" s="80" t="str">
        <f t="shared" si="580"/>
        <v>male</v>
      </c>
      <c r="K771" s="58">
        <v>5.9826834E8</v>
      </c>
      <c r="L771" s="55" t="s">
        <v>34</v>
      </c>
      <c r="M771" s="57" t="s">
        <v>89</v>
      </c>
      <c r="N771" s="55" t="s">
        <v>90</v>
      </c>
      <c r="O771" s="55"/>
      <c r="P771" s="55" t="s">
        <v>91</v>
      </c>
      <c r="Q771" s="58" t="s">
        <v>4</v>
      </c>
      <c r="R771" s="55"/>
      <c r="S771" s="55"/>
      <c r="T771" s="82"/>
      <c r="U771" s="82"/>
      <c r="V771" s="57"/>
      <c r="W771" s="57"/>
      <c r="X771" s="57" t="str">
        <f t="shared" si="499"/>
        <v>--764-10-05</v>
      </c>
      <c r="Y771" s="58" t="str">
        <f t="shared" ref="Y771:AC771" si="723">TRIM(SUBSTITUTE(SUBSTITUTE(OFFSET(#REF!,0,COLUMN()-COLUMN($AL$1)),CHAR(160)," "),_xludf.UNICHAR(8239)," "))</f>
        <v>#REF!</v>
      </c>
      <c r="Z771" s="58" t="str">
        <f t="shared" si="723"/>
        <v>#REF!</v>
      </c>
      <c r="AA771" s="58" t="str">
        <f t="shared" si="723"/>
        <v>#REF!</v>
      </c>
      <c r="AB771" s="58" t="str">
        <f t="shared" si="723"/>
        <v>#REF!</v>
      </c>
      <c r="AC771" s="58" t="str">
        <f t="shared" si="723"/>
        <v>#REF!</v>
      </c>
      <c r="AD771" s="57">
        <f t="shared" si="582"/>
        <v>1</v>
      </c>
      <c r="AE771" s="57" t="str">
        <f t="shared" si="583"/>
        <v>2026-05</v>
      </c>
      <c r="AF771" s="57">
        <f t="shared" si="584"/>
        <v>1</v>
      </c>
      <c r="AG771" s="59">
        <f t="shared" si="585"/>
        <v>1</v>
      </c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</row>
    <row r="772" ht="24.0" customHeight="1">
      <c r="A772" s="45">
        <v>42.0</v>
      </c>
      <c r="B772" s="74" t="s">
        <v>2300</v>
      </c>
      <c r="C772" s="55" t="s">
        <v>2266</v>
      </c>
      <c r="D772" s="75"/>
      <c r="E772" s="57">
        <v>4.27438528E8</v>
      </c>
      <c r="F772" s="76">
        <v>39872.0</v>
      </c>
      <c r="G772" s="77">
        <v>17.0</v>
      </c>
      <c r="H772" s="78" t="str">
        <f t="shared" si="699"/>
        <v>6-18</v>
      </c>
      <c r="I772" s="79" t="s">
        <v>112</v>
      </c>
      <c r="J772" s="80" t="str">
        <f t="shared" si="580"/>
        <v>male</v>
      </c>
      <c r="K772" s="58">
        <v>5.9441457E8</v>
      </c>
      <c r="L772" s="55" t="s">
        <v>34</v>
      </c>
      <c r="M772" s="57" t="s">
        <v>89</v>
      </c>
      <c r="N772" s="55" t="s">
        <v>90</v>
      </c>
      <c r="O772" s="55"/>
      <c r="P772" s="55" t="s">
        <v>91</v>
      </c>
      <c r="Q772" s="58" t="s">
        <v>16</v>
      </c>
      <c r="R772" s="55"/>
      <c r="S772" s="58"/>
      <c r="T772" s="82"/>
      <c r="U772" s="82"/>
      <c r="V772" s="57"/>
      <c r="W772" s="57"/>
      <c r="X772" s="57" t="str">
        <f t="shared" si="499"/>
        <v>--765-10-05</v>
      </c>
      <c r="Y772" s="58" t="str">
        <f t="shared" ref="Y772:AC772" si="724">TRIM(SUBSTITUTE(SUBSTITUTE(OFFSET(#REF!,0,COLUMN()-COLUMN($AL$1)),CHAR(160)," "),_xludf.UNICHAR(8239)," "))</f>
        <v>#REF!</v>
      </c>
      <c r="Z772" s="58" t="str">
        <f t="shared" si="724"/>
        <v>#REF!</v>
      </c>
      <c r="AA772" s="58" t="str">
        <f t="shared" si="724"/>
        <v>#REF!</v>
      </c>
      <c r="AB772" s="58" t="str">
        <f t="shared" si="724"/>
        <v>#REF!</v>
      </c>
      <c r="AC772" s="58" t="str">
        <f t="shared" si="724"/>
        <v>#REF!</v>
      </c>
      <c r="AD772" s="57">
        <f t="shared" si="582"/>
        <v>1</v>
      </c>
      <c r="AE772" s="57" t="str">
        <f t="shared" si="583"/>
        <v>2026-05</v>
      </c>
      <c r="AF772" s="57">
        <f t="shared" si="584"/>
        <v>1</v>
      </c>
      <c r="AG772" s="59">
        <f t="shared" si="585"/>
        <v>1</v>
      </c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</row>
    <row r="773" ht="24.0" customHeight="1">
      <c r="A773" s="45">
        <v>43.0</v>
      </c>
      <c r="B773" s="74" t="s">
        <v>1684</v>
      </c>
      <c r="C773" s="55" t="s">
        <v>2266</v>
      </c>
      <c r="D773" s="75">
        <v>46145.0</v>
      </c>
      <c r="E773" s="57">
        <v>8.02967521E8</v>
      </c>
      <c r="F773" s="76">
        <v>33561.0</v>
      </c>
      <c r="G773" s="77">
        <v>35.0</v>
      </c>
      <c r="H773" s="78" t="str">
        <f t="shared" si="699"/>
        <v>19-60</v>
      </c>
      <c r="I773" s="79" t="s">
        <v>112</v>
      </c>
      <c r="J773" s="80" t="str">
        <f t="shared" si="580"/>
        <v>male</v>
      </c>
      <c r="K773" s="58">
        <v>5.95779839E8</v>
      </c>
      <c r="L773" s="55" t="s">
        <v>34</v>
      </c>
      <c r="M773" s="57" t="s">
        <v>89</v>
      </c>
      <c r="N773" s="55" t="s">
        <v>90</v>
      </c>
      <c r="O773" s="55"/>
      <c r="P773" s="55" t="s">
        <v>91</v>
      </c>
      <c r="Q773" s="55"/>
      <c r="R773" s="55"/>
      <c r="S773" s="58" t="s">
        <v>6</v>
      </c>
      <c r="T773" s="82"/>
      <c r="U773" s="82"/>
      <c r="V773" s="57"/>
      <c r="W773" s="57"/>
      <c r="X773" s="57" t="str">
        <f t="shared" si="499"/>
        <v>--766-10-05</v>
      </c>
      <c r="Y773" s="58" t="str">
        <f t="shared" ref="Y773:AC773" si="725">TRIM(SUBSTITUTE(SUBSTITUTE(OFFSET(#REF!,0,COLUMN()-COLUMN($AL$1)),CHAR(160)," "),_xludf.UNICHAR(8239)," "))</f>
        <v>#REF!</v>
      </c>
      <c r="Z773" s="58" t="str">
        <f t="shared" si="725"/>
        <v>#REF!</v>
      </c>
      <c r="AA773" s="58" t="str">
        <f t="shared" si="725"/>
        <v>#REF!</v>
      </c>
      <c r="AB773" s="58" t="str">
        <f t="shared" si="725"/>
        <v>#REF!</v>
      </c>
      <c r="AC773" s="58" t="str">
        <f t="shared" si="725"/>
        <v>#REF!</v>
      </c>
      <c r="AD773" s="57">
        <f t="shared" si="582"/>
        <v>1</v>
      </c>
      <c r="AE773" s="57" t="str">
        <f t="shared" si="583"/>
        <v>2026-05</v>
      </c>
      <c r="AF773" s="57">
        <f t="shared" si="584"/>
        <v>0</v>
      </c>
      <c r="AG773" s="59">
        <f t="shared" si="585"/>
        <v>0</v>
      </c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</row>
    <row r="774" ht="24.0" customHeight="1">
      <c r="A774" s="45">
        <v>44.0</v>
      </c>
      <c r="B774" s="74" t="s">
        <v>2301</v>
      </c>
      <c r="C774" s="55" t="s">
        <v>2266</v>
      </c>
      <c r="D774" s="75"/>
      <c r="E774" s="57">
        <v>4.21131418E8</v>
      </c>
      <c r="F774" s="76">
        <v>38052.0</v>
      </c>
      <c r="G774" s="77">
        <v>22.0</v>
      </c>
      <c r="H774" s="78" t="str">
        <f t="shared" si="699"/>
        <v>19-60</v>
      </c>
      <c r="I774" s="79" t="s">
        <v>86</v>
      </c>
      <c r="J774" s="80" t="str">
        <f t="shared" si="580"/>
        <v>female</v>
      </c>
      <c r="K774" s="58">
        <v>5.98602858E8</v>
      </c>
      <c r="L774" s="55" t="s">
        <v>34</v>
      </c>
      <c r="M774" s="57" t="s">
        <v>89</v>
      </c>
      <c r="N774" s="55" t="s">
        <v>90</v>
      </c>
      <c r="O774" s="55"/>
      <c r="P774" s="55" t="s">
        <v>91</v>
      </c>
      <c r="Q774" s="58"/>
      <c r="R774" s="58" t="s">
        <v>5</v>
      </c>
      <c r="S774" s="55"/>
      <c r="T774" s="82"/>
      <c r="U774" s="82" t="s">
        <v>7</v>
      </c>
      <c r="V774" s="57"/>
      <c r="W774" s="57"/>
      <c r="X774" s="57" t="str">
        <f t="shared" si="499"/>
        <v>--767-10-05</v>
      </c>
      <c r="Y774" s="58" t="str">
        <f t="shared" ref="Y774:AC774" si="726">TRIM(SUBSTITUTE(SUBSTITUTE(OFFSET(#REF!,0,COLUMN()-COLUMN($AL$1)),CHAR(160)," "),_xludf.UNICHAR(8239)," "))</f>
        <v>#REF!</v>
      </c>
      <c r="Z774" s="58" t="str">
        <f t="shared" si="726"/>
        <v>#REF!</v>
      </c>
      <c r="AA774" s="58" t="str">
        <f t="shared" si="726"/>
        <v>#REF!</v>
      </c>
      <c r="AB774" s="58" t="str">
        <f t="shared" si="726"/>
        <v>#REF!</v>
      </c>
      <c r="AC774" s="58" t="str">
        <f t="shared" si="726"/>
        <v>#REF!</v>
      </c>
      <c r="AD774" s="57">
        <f t="shared" si="582"/>
        <v>1</v>
      </c>
      <c r="AE774" s="57" t="str">
        <f t="shared" si="583"/>
        <v>2026-05</v>
      </c>
      <c r="AF774" s="57">
        <f t="shared" si="584"/>
        <v>1</v>
      </c>
      <c r="AG774" s="59">
        <f t="shared" si="585"/>
        <v>1</v>
      </c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</row>
    <row r="775" ht="24.0" customHeight="1">
      <c r="A775" s="45">
        <v>45.0</v>
      </c>
      <c r="B775" s="74" t="s">
        <v>1414</v>
      </c>
      <c r="C775" s="55" t="s">
        <v>2266</v>
      </c>
      <c r="D775" s="75">
        <v>46142.0</v>
      </c>
      <c r="E775" s="57">
        <v>4.45903883E8</v>
      </c>
      <c r="F775" s="76">
        <v>45283.0</v>
      </c>
      <c r="G775" s="77">
        <v>3.0</v>
      </c>
      <c r="H775" s="78" t="str">
        <f t="shared" si="699"/>
        <v>0-5</v>
      </c>
      <c r="I775" s="79" t="s">
        <v>112</v>
      </c>
      <c r="J775" s="80" t="str">
        <f t="shared" si="580"/>
        <v>male</v>
      </c>
      <c r="K775" s="58">
        <v>5.97292073E8</v>
      </c>
      <c r="L775" s="55" t="s">
        <v>34</v>
      </c>
      <c r="M775" s="57" t="s">
        <v>133</v>
      </c>
      <c r="N775" s="55" t="s">
        <v>90</v>
      </c>
      <c r="O775" s="55"/>
      <c r="P775" s="55" t="s">
        <v>91</v>
      </c>
      <c r="Q775" s="58" t="s">
        <v>16</v>
      </c>
      <c r="R775" s="55"/>
      <c r="S775" s="55"/>
      <c r="T775" s="82"/>
      <c r="U775" s="82"/>
      <c r="V775" s="57"/>
      <c r="W775" s="57"/>
      <c r="X775" s="57" t="str">
        <f t="shared" si="499"/>
        <v>--768-10-05</v>
      </c>
      <c r="Y775" s="58" t="str">
        <f t="shared" ref="Y775:AC775" si="727">TRIM(SUBSTITUTE(SUBSTITUTE(OFFSET(#REF!,0,COLUMN()-COLUMN($AL$1)),CHAR(160)," "),_xludf.UNICHAR(8239)," "))</f>
        <v>#REF!</v>
      </c>
      <c r="Z775" s="58" t="str">
        <f t="shared" si="727"/>
        <v>#REF!</v>
      </c>
      <c r="AA775" s="58" t="str">
        <f t="shared" si="727"/>
        <v>#REF!</v>
      </c>
      <c r="AB775" s="58" t="str">
        <f t="shared" si="727"/>
        <v>#REF!</v>
      </c>
      <c r="AC775" s="58" t="str">
        <f t="shared" si="727"/>
        <v>#REF!</v>
      </c>
      <c r="AD775" s="57">
        <f t="shared" si="582"/>
        <v>1</v>
      </c>
      <c r="AE775" s="57" t="str">
        <f t="shared" si="583"/>
        <v>2026-05</v>
      </c>
      <c r="AF775" s="57">
        <f t="shared" si="584"/>
        <v>1</v>
      </c>
      <c r="AG775" s="59">
        <f t="shared" si="585"/>
        <v>0</v>
      </c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</row>
    <row r="776" ht="24.0" customHeight="1">
      <c r="A776" s="45">
        <v>46.0</v>
      </c>
      <c r="B776" s="74" t="s">
        <v>2302</v>
      </c>
      <c r="C776" s="55" t="s">
        <v>2266</v>
      </c>
      <c r="D776" s="75"/>
      <c r="E776" s="57">
        <v>4.24642155E8</v>
      </c>
      <c r="F776" s="76">
        <v>39483.0</v>
      </c>
      <c r="G776" s="77">
        <v>18.0</v>
      </c>
      <c r="H776" s="78" t="str">
        <f t="shared" si="699"/>
        <v>6-18</v>
      </c>
      <c r="I776" s="79" t="s">
        <v>86</v>
      </c>
      <c r="J776" s="80" t="str">
        <f t="shared" si="580"/>
        <v>female</v>
      </c>
      <c r="K776" s="58">
        <v>5.95552813E8</v>
      </c>
      <c r="L776" s="55" t="s">
        <v>34</v>
      </c>
      <c r="M776" s="57" t="s">
        <v>89</v>
      </c>
      <c r="N776" s="55" t="s">
        <v>90</v>
      </c>
      <c r="O776" s="55"/>
      <c r="P776" s="55" t="s">
        <v>91</v>
      </c>
      <c r="Q776" s="58"/>
      <c r="R776" s="58" t="s">
        <v>36</v>
      </c>
      <c r="S776" s="55"/>
      <c r="T776" s="82"/>
      <c r="U776" s="82"/>
      <c r="V776" s="57"/>
      <c r="W776" s="57"/>
      <c r="X776" s="57" t="str">
        <f t="shared" si="499"/>
        <v>--769-10-05</v>
      </c>
      <c r="Y776" s="58" t="str">
        <f t="shared" ref="Y776:AC776" si="728">TRIM(SUBSTITUTE(SUBSTITUTE(OFFSET(#REF!,0,COLUMN()-COLUMN($AL$1)),CHAR(160)," "),_xludf.UNICHAR(8239)," "))</f>
        <v>#REF!</v>
      </c>
      <c r="Z776" s="58" t="str">
        <f t="shared" si="728"/>
        <v>#REF!</v>
      </c>
      <c r="AA776" s="58" t="str">
        <f t="shared" si="728"/>
        <v>#REF!</v>
      </c>
      <c r="AB776" s="58" t="str">
        <f t="shared" si="728"/>
        <v>#REF!</v>
      </c>
      <c r="AC776" s="58" t="str">
        <f t="shared" si="728"/>
        <v>#REF!</v>
      </c>
      <c r="AD776" s="57">
        <f t="shared" si="582"/>
        <v>1</v>
      </c>
      <c r="AE776" s="57" t="str">
        <f t="shared" si="583"/>
        <v>2026-05</v>
      </c>
      <c r="AF776" s="57">
        <f t="shared" si="584"/>
        <v>1</v>
      </c>
      <c r="AG776" s="59">
        <f t="shared" si="585"/>
        <v>1</v>
      </c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</row>
    <row r="777" ht="24.0" customHeight="1">
      <c r="A777" s="45">
        <v>47.0</v>
      </c>
      <c r="B777" s="74" t="s">
        <v>1266</v>
      </c>
      <c r="C777" s="55" t="s">
        <v>2266</v>
      </c>
      <c r="D777" s="75">
        <v>46142.0</v>
      </c>
      <c r="E777" s="57">
        <v>8.01403924E8</v>
      </c>
      <c r="F777" s="76">
        <v>32529.0</v>
      </c>
      <c r="G777" s="77">
        <v>37.0</v>
      </c>
      <c r="H777" s="78" t="str">
        <f t="shared" si="699"/>
        <v>19-60</v>
      </c>
      <c r="I777" s="79" t="s">
        <v>86</v>
      </c>
      <c r="J777" s="80" t="str">
        <f t="shared" si="580"/>
        <v>female</v>
      </c>
      <c r="K777" s="58">
        <v>5.92433651E8</v>
      </c>
      <c r="L777" s="55" t="s">
        <v>34</v>
      </c>
      <c r="M777" s="57" t="s">
        <v>89</v>
      </c>
      <c r="N777" s="55" t="s">
        <v>90</v>
      </c>
      <c r="O777" s="55"/>
      <c r="P777" s="55" t="s">
        <v>91</v>
      </c>
      <c r="Q777" s="55"/>
      <c r="R777" s="58" t="s">
        <v>36</v>
      </c>
      <c r="S777" s="55"/>
      <c r="T777" s="82"/>
      <c r="U777" s="82"/>
      <c r="V777" s="57"/>
      <c r="W777" s="57"/>
      <c r="X777" s="57" t="str">
        <f t="shared" si="499"/>
        <v>--770-10-05</v>
      </c>
      <c r="Y777" s="58" t="str">
        <f t="shared" ref="Y777:AC777" si="729">TRIM(SUBSTITUTE(SUBSTITUTE(OFFSET(#REF!,0,COLUMN()-COLUMN($AL$1)),CHAR(160)," "),_xludf.UNICHAR(8239)," "))</f>
        <v>#REF!</v>
      </c>
      <c r="Z777" s="58" t="str">
        <f t="shared" si="729"/>
        <v>#REF!</v>
      </c>
      <c r="AA777" s="58" t="str">
        <f t="shared" si="729"/>
        <v>#REF!</v>
      </c>
      <c r="AB777" s="58" t="str">
        <f t="shared" si="729"/>
        <v>#REF!</v>
      </c>
      <c r="AC777" s="58" t="str">
        <f t="shared" si="729"/>
        <v>#REF!</v>
      </c>
      <c r="AD777" s="57">
        <f t="shared" si="582"/>
        <v>1</v>
      </c>
      <c r="AE777" s="57" t="str">
        <f t="shared" si="583"/>
        <v>2026-05</v>
      </c>
      <c r="AF777" s="57">
        <f t="shared" si="584"/>
        <v>1</v>
      </c>
      <c r="AG777" s="59">
        <f t="shared" si="585"/>
        <v>0</v>
      </c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</row>
    <row r="778" ht="24.0" customHeight="1">
      <c r="A778" s="45">
        <v>48.0</v>
      </c>
      <c r="B778" s="74" t="s">
        <v>2303</v>
      </c>
      <c r="C778" s="55" t="s">
        <v>2266</v>
      </c>
      <c r="D778" s="75"/>
      <c r="E778" s="57">
        <v>4.0812865E8</v>
      </c>
      <c r="F778" s="76">
        <v>38198.0</v>
      </c>
      <c r="G778" s="77">
        <v>22.0</v>
      </c>
      <c r="H778" s="78" t="str">
        <f t="shared" si="699"/>
        <v>19-60</v>
      </c>
      <c r="I778" s="79" t="s">
        <v>86</v>
      </c>
      <c r="J778" s="80" t="str">
        <f t="shared" si="580"/>
        <v>female</v>
      </c>
      <c r="K778" s="58">
        <v>5.97326435E8</v>
      </c>
      <c r="L778" s="55" t="s">
        <v>34</v>
      </c>
      <c r="M778" s="57" t="s">
        <v>89</v>
      </c>
      <c r="N778" s="55" t="s">
        <v>90</v>
      </c>
      <c r="O778" s="55"/>
      <c r="P778" s="55" t="s">
        <v>91</v>
      </c>
      <c r="Q778" s="55"/>
      <c r="R778" s="58" t="s">
        <v>27</v>
      </c>
      <c r="S778" s="55"/>
      <c r="T778" s="82"/>
      <c r="U778" s="82"/>
      <c r="V778" s="57"/>
      <c r="W778" s="57"/>
      <c r="X778" s="57" t="str">
        <f t="shared" si="499"/>
        <v>--771-10-05</v>
      </c>
      <c r="Y778" s="58" t="str">
        <f t="shared" ref="Y778:AC778" si="730">TRIM(SUBSTITUTE(SUBSTITUTE(OFFSET(#REF!,0,COLUMN()-COLUMN($AL$1)),CHAR(160)," "),_xludf.UNICHAR(8239)," "))</f>
        <v>#REF!</v>
      </c>
      <c r="Z778" s="58" t="str">
        <f t="shared" si="730"/>
        <v>#REF!</v>
      </c>
      <c r="AA778" s="58" t="str">
        <f t="shared" si="730"/>
        <v>#REF!</v>
      </c>
      <c r="AB778" s="58" t="str">
        <f t="shared" si="730"/>
        <v>#REF!</v>
      </c>
      <c r="AC778" s="58" t="str">
        <f t="shared" si="730"/>
        <v>#REF!</v>
      </c>
      <c r="AD778" s="57">
        <f t="shared" si="582"/>
        <v>1</v>
      </c>
      <c r="AE778" s="57" t="str">
        <f t="shared" si="583"/>
        <v>2026-05</v>
      </c>
      <c r="AF778" s="57">
        <f t="shared" si="584"/>
        <v>1</v>
      </c>
      <c r="AG778" s="59">
        <f t="shared" si="585"/>
        <v>1</v>
      </c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</row>
    <row r="779" ht="24.0" customHeight="1">
      <c r="A779" s="45">
        <v>49.0</v>
      </c>
      <c r="B779" s="74" t="s">
        <v>2304</v>
      </c>
      <c r="C779" s="55" t="s">
        <v>2266</v>
      </c>
      <c r="D779" s="75"/>
      <c r="E779" s="57">
        <v>4.0590322E8</v>
      </c>
      <c r="F779" s="76">
        <v>36593.0</v>
      </c>
      <c r="G779" s="77">
        <v>26.0</v>
      </c>
      <c r="H779" s="78" t="str">
        <f t="shared" si="699"/>
        <v>19-60</v>
      </c>
      <c r="I779" s="79" t="s">
        <v>86</v>
      </c>
      <c r="J779" s="80" t="str">
        <f t="shared" si="580"/>
        <v>female</v>
      </c>
      <c r="K779" s="58">
        <v>5.92623033E8</v>
      </c>
      <c r="L779" s="55" t="s">
        <v>34</v>
      </c>
      <c r="M779" s="57" t="s">
        <v>89</v>
      </c>
      <c r="N779" s="55" t="s">
        <v>90</v>
      </c>
      <c r="O779" s="55"/>
      <c r="P779" s="55" t="s">
        <v>91</v>
      </c>
      <c r="Q779" s="55"/>
      <c r="R779" s="58" t="s">
        <v>36</v>
      </c>
      <c r="S779" s="55"/>
      <c r="T779" s="82"/>
      <c r="U779" s="82"/>
      <c r="V779" s="57"/>
      <c r="W779" s="57"/>
      <c r="X779" s="57" t="str">
        <f t="shared" si="499"/>
        <v>--772-10-05</v>
      </c>
      <c r="Y779" s="58" t="str">
        <f t="shared" ref="Y779:AC779" si="731">TRIM(SUBSTITUTE(SUBSTITUTE(OFFSET(#REF!,0,COLUMN()-COLUMN($AL$1)),CHAR(160)," "),_xludf.UNICHAR(8239)," "))</f>
        <v>#REF!</v>
      </c>
      <c r="Z779" s="58" t="str">
        <f t="shared" si="731"/>
        <v>#REF!</v>
      </c>
      <c r="AA779" s="58" t="str">
        <f t="shared" si="731"/>
        <v>#REF!</v>
      </c>
      <c r="AB779" s="58" t="str">
        <f t="shared" si="731"/>
        <v>#REF!</v>
      </c>
      <c r="AC779" s="58" t="str">
        <f t="shared" si="731"/>
        <v>#REF!</v>
      </c>
      <c r="AD779" s="57">
        <f t="shared" si="582"/>
        <v>1</v>
      </c>
      <c r="AE779" s="57" t="str">
        <f t="shared" si="583"/>
        <v>2026-05</v>
      </c>
      <c r="AF779" s="57">
        <f t="shared" si="584"/>
        <v>1</v>
      </c>
      <c r="AG779" s="59">
        <f t="shared" si="585"/>
        <v>1</v>
      </c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</row>
    <row r="780" ht="24.0" customHeight="1">
      <c r="A780" s="45">
        <v>50.0</v>
      </c>
      <c r="B780" s="74" t="s">
        <v>2305</v>
      </c>
      <c r="C780" s="55" t="s">
        <v>2266</v>
      </c>
      <c r="D780" s="75"/>
      <c r="E780" s="57">
        <v>4.1249875E8</v>
      </c>
      <c r="F780" s="76">
        <v>34959.0</v>
      </c>
      <c r="G780" s="77">
        <v>31.0</v>
      </c>
      <c r="H780" s="78" t="str">
        <f t="shared" si="699"/>
        <v>19-60</v>
      </c>
      <c r="I780" s="79" t="s">
        <v>86</v>
      </c>
      <c r="J780" s="80" t="str">
        <f t="shared" si="580"/>
        <v>female</v>
      </c>
      <c r="K780" s="58">
        <v>5.92170191E8</v>
      </c>
      <c r="L780" s="55" t="s">
        <v>34</v>
      </c>
      <c r="M780" s="57" t="s">
        <v>89</v>
      </c>
      <c r="N780" s="55" t="s">
        <v>90</v>
      </c>
      <c r="O780" s="55"/>
      <c r="P780" s="55" t="s">
        <v>91</v>
      </c>
      <c r="Q780" s="55"/>
      <c r="R780" s="58" t="s">
        <v>5</v>
      </c>
      <c r="S780" s="55"/>
      <c r="T780" s="82"/>
      <c r="U780" s="82" t="s">
        <v>7</v>
      </c>
      <c r="V780" s="57"/>
      <c r="W780" s="57"/>
      <c r="X780" s="57" t="str">
        <f t="shared" si="499"/>
        <v>--773-10-05</v>
      </c>
      <c r="Y780" s="58" t="str">
        <f t="shared" ref="Y780:AC780" si="732">TRIM(SUBSTITUTE(SUBSTITUTE(OFFSET(#REF!,0,COLUMN()-COLUMN($AL$1)),CHAR(160)," "),_xludf.UNICHAR(8239)," "))</f>
        <v>#REF!</v>
      </c>
      <c r="Z780" s="58" t="str">
        <f t="shared" si="732"/>
        <v>#REF!</v>
      </c>
      <c r="AA780" s="58" t="str">
        <f t="shared" si="732"/>
        <v>#REF!</v>
      </c>
      <c r="AB780" s="58" t="str">
        <f t="shared" si="732"/>
        <v>#REF!</v>
      </c>
      <c r="AC780" s="58" t="str">
        <f t="shared" si="732"/>
        <v>#REF!</v>
      </c>
      <c r="AD780" s="57">
        <f t="shared" si="582"/>
        <v>1</v>
      </c>
      <c r="AE780" s="57" t="str">
        <f t="shared" si="583"/>
        <v>2026-05</v>
      </c>
      <c r="AF780" s="57">
        <f t="shared" si="584"/>
        <v>1</v>
      </c>
      <c r="AG780" s="59">
        <f t="shared" si="585"/>
        <v>1</v>
      </c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</row>
    <row r="781" ht="24.0" customHeight="1">
      <c r="A781" s="45">
        <v>51.0</v>
      </c>
      <c r="B781" s="74" t="s">
        <v>2306</v>
      </c>
      <c r="C781" s="55" t="s">
        <v>2266</v>
      </c>
      <c r="D781" s="75"/>
      <c r="E781" s="57">
        <v>4.06106526E8</v>
      </c>
      <c r="F781" s="76">
        <v>36672.0</v>
      </c>
      <c r="G781" s="77">
        <v>26.0</v>
      </c>
      <c r="H781" s="78" t="str">
        <f t="shared" si="699"/>
        <v>19-60</v>
      </c>
      <c r="I781" s="79" t="s">
        <v>86</v>
      </c>
      <c r="J781" s="80" t="str">
        <f t="shared" si="580"/>
        <v>female</v>
      </c>
      <c r="K781" s="58">
        <v>5.98611352E8</v>
      </c>
      <c r="L781" s="55" t="s">
        <v>34</v>
      </c>
      <c r="M781" s="57" t="s">
        <v>89</v>
      </c>
      <c r="N781" s="55" t="s">
        <v>90</v>
      </c>
      <c r="O781" s="55"/>
      <c r="P781" s="55" t="s">
        <v>91</v>
      </c>
      <c r="Q781" s="55"/>
      <c r="R781" s="58" t="s">
        <v>27</v>
      </c>
      <c r="S781" s="55"/>
      <c r="T781" s="82"/>
      <c r="U781" s="82"/>
      <c r="V781" s="57"/>
      <c r="W781" s="57"/>
      <c r="X781" s="57" t="str">
        <f t="shared" si="499"/>
        <v>--774-10-05</v>
      </c>
      <c r="Y781" s="58" t="str">
        <f t="shared" ref="Y781:AC781" si="733">TRIM(SUBSTITUTE(SUBSTITUTE(OFFSET(#REF!,0,COLUMN()-COLUMN($AL$1)),CHAR(160)," "),_xludf.UNICHAR(8239)," "))</f>
        <v>#REF!</v>
      </c>
      <c r="Z781" s="58" t="str">
        <f t="shared" si="733"/>
        <v>#REF!</v>
      </c>
      <c r="AA781" s="58" t="str">
        <f t="shared" si="733"/>
        <v>#REF!</v>
      </c>
      <c r="AB781" s="58" t="str">
        <f t="shared" si="733"/>
        <v>#REF!</v>
      </c>
      <c r="AC781" s="58" t="str">
        <f t="shared" si="733"/>
        <v>#REF!</v>
      </c>
      <c r="AD781" s="57">
        <f t="shared" si="582"/>
        <v>1</v>
      </c>
      <c r="AE781" s="57" t="str">
        <f t="shared" si="583"/>
        <v>2026-05</v>
      </c>
      <c r="AF781" s="57">
        <f t="shared" si="584"/>
        <v>1</v>
      </c>
      <c r="AG781" s="59">
        <f t="shared" si="585"/>
        <v>1</v>
      </c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</row>
    <row r="782" ht="24.0" customHeight="1">
      <c r="A782" s="45">
        <v>52.0</v>
      </c>
      <c r="B782" s="74" t="s">
        <v>2307</v>
      </c>
      <c r="C782" s="55" t="s">
        <v>2266</v>
      </c>
      <c r="D782" s="75"/>
      <c r="E782" s="57">
        <v>4.4550299E8</v>
      </c>
      <c r="F782" s="76">
        <v>44937.0</v>
      </c>
      <c r="G782" s="77">
        <v>3.0</v>
      </c>
      <c r="H782" s="78" t="str">
        <f t="shared" si="699"/>
        <v>0-5</v>
      </c>
      <c r="I782" s="79" t="s">
        <v>86</v>
      </c>
      <c r="J782" s="80" t="str">
        <f t="shared" si="580"/>
        <v>female</v>
      </c>
      <c r="K782" s="58">
        <v>5.92511897E8</v>
      </c>
      <c r="L782" s="55" t="s">
        <v>34</v>
      </c>
      <c r="M782" s="57" t="s">
        <v>133</v>
      </c>
      <c r="N782" s="55" t="s">
        <v>90</v>
      </c>
      <c r="O782" s="55"/>
      <c r="P782" s="55" t="s">
        <v>91</v>
      </c>
      <c r="Q782" s="58" t="s">
        <v>16</v>
      </c>
      <c r="R782" s="55"/>
      <c r="S782" s="55"/>
      <c r="T782" s="82"/>
      <c r="U782" s="82"/>
      <c r="V782" s="57"/>
      <c r="W782" s="57"/>
      <c r="X782" s="57" t="str">
        <f t="shared" si="499"/>
        <v>--775-10-05</v>
      </c>
      <c r="Y782" s="58" t="str">
        <f t="shared" ref="Y782:AC782" si="734">TRIM(SUBSTITUTE(SUBSTITUTE(OFFSET(#REF!,0,COLUMN()-COLUMN($AL$1)),CHAR(160)," "),_xludf.UNICHAR(8239)," "))</f>
        <v>#REF!</v>
      </c>
      <c r="Z782" s="58" t="str">
        <f t="shared" si="734"/>
        <v>#REF!</v>
      </c>
      <c r="AA782" s="58" t="str">
        <f t="shared" si="734"/>
        <v>#REF!</v>
      </c>
      <c r="AB782" s="58" t="str">
        <f t="shared" si="734"/>
        <v>#REF!</v>
      </c>
      <c r="AC782" s="58" t="str">
        <f t="shared" si="734"/>
        <v>#REF!</v>
      </c>
      <c r="AD782" s="57">
        <f t="shared" si="582"/>
        <v>1</v>
      </c>
      <c r="AE782" s="57" t="str">
        <f t="shared" si="583"/>
        <v>2026-05</v>
      </c>
      <c r="AF782" s="57">
        <f t="shared" si="584"/>
        <v>1</v>
      </c>
      <c r="AG782" s="59">
        <f t="shared" si="585"/>
        <v>1</v>
      </c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</row>
    <row r="783" ht="24.0" customHeight="1">
      <c r="A783" s="45">
        <v>53.0</v>
      </c>
      <c r="B783" s="74" t="s">
        <v>2308</v>
      </c>
      <c r="C783" s="55" t="s">
        <v>2266</v>
      </c>
      <c r="D783" s="75"/>
      <c r="E783" s="57">
        <v>4.29973092E8</v>
      </c>
      <c r="F783" s="76">
        <v>40506.0</v>
      </c>
      <c r="G783" s="77">
        <v>16.0</v>
      </c>
      <c r="H783" s="78" t="str">
        <f t="shared" si="699"/>
        <v>6-18</v>
      </c>
      <c r="I783" s="79" t="s">
        <v>86</v>
      </c>
      <c r="J783" s="80" t="str">
        <f t="shared" si="580"/>
        <v>female</v>
      </c>
      <c r="K783" s="58">
        <v>5.99622817E8</v>
      </c>
      <c r="L783" s="55" t="s">
        <v>34</v>
      </c>
      <c r="M783" s="57" t="s">
        <v>133</v>
      </c>
      <c r="N783" s="55" t="s">
        <v>90</v>
      </c>
      <c r="O783" s="55"/>
      <c r="P783" s="55" t="s">
        <v>91</v>
      </c>
      <c r="Q783" s="55"/>
      <c r="R783" s="55"/>
      <c r="S783" s="58" t="s">
        <v>6</v>
      </c>
      <c r="T783" s="82"/>
      <c r="U783" s="82"/>
      <c r="V783" s="57"/>
      <c r="W783" s="57"/>
      <c r="X783" s="57" t="str">
        <f t="shared" si="499"/>
        <v>--776-10-05</v>
      </c>
      <c r="Y783" s="58" t="str">
        <f t="shared" ref="Y783:AC783" si="735">TRIM(SUBSTITUTE(SUBSTITUTE(OFFSET(#REF!,0,COLUMN()-COLUMN($AL$1)),CHAR(160)," "),_xludf.UNICHAR(8239)," "))</f>
        <v>#REF!</v>
      </c>
      <c r="Z783" s="58" t="str">
        <f t="shared" si="735"/>
        <v>#REF!</v>
      </c>
      <c r="AA783" s="58" t="str">
        <f t="shared" si="735"/>
        <v>#REF!</v>
      </c>
      <c r="AB783" s="58" t="str">
        <f t="shared" si="735"/>
        <v>#REF!</v>
      </c>
      <c r="AC783" s="58" t="str">
        <f t="shared" si="735"/>
        <v>#REF!</v>
      </c>
      <c r="AD783" s="57">
        <f t="shared" si="582"/>
        <v>1</v>
      </c>
      <c r="AE783" s="57" t="str">
        <f t="shared" si="583"/>
        <v>2026-05</v>
      </c>
      <c r="AF783" s="57">
        <f t="shared" si="584"/>
        <v>1</v>
      </c>
      <c r="AG783" s="59">
        <f t="shared" si="585"/>
        <v>1</v>
      </c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</row>
    <row r="784" ht="24.0" customHeight="1">
      <c r="A784" s="45">
        <v>54.0</v>
      </c>
      <c r="B784" s="74" t="s">
        <v>2309</v>
      </c>
      <c r="C784" s="55" t="s">
        <v>2266</v>
      </c>
      <c r="D784" s="75"/>
      <c r="E784" s="57">
        <v>8.00765273E8</v>
      </c>
      <c r="F784" s="76">
        <v>32235.0</v>
      </c>
      <c r="G784" s="77">
        <v>38.0</v>
      </c>
      <c r="H784" s="78" t="str">
        <f t="shared" si="699"/>
        <v>19-60</v>
      </c>
      <c r="I784" s="79" t="s">
        <v>86</v>
      </c>
      <c r="J784" s="80" t="str">
        <f t="shared" si="580"/>
        <v>female</v>
      </c>
      <c r="K784" s="58">
        <v>5.99388301E8</v>
      </c>
      <c r="L784" s="55" t="s">
        <v>34</v>
      </c>
      <c r="M784" s="57" t="s">
        <v>89</v>
      </c>
      <c r="N784" s="55" t="s">
        <v>90</v>
      </c>
      <c r="O784" s="55"/>
      <c r="P784" s="55" t="s">
        <v>91</v>
      </c>
      <c r="Q784" s="58" t="s">
        <v>16</v>
      </c>
      <c r="R784" s="55"/>
      <c r="S784" s="55"/>
      <c r="T784" s="82"/>
      <c r="U784" s="82"/>
      <c r="V784" s="57"/>
      <c r="W784" s="57"/>
      <c r="X784" s="57" t="str">
        <f t="shared" si="499"/>
        <v>--777-10-05</v>
      </c>
      <c r="Y784" s="58" t="str">
        <f t="shared" ref="Y784:AC784" si="736">TRIM(SUBSTITUTE(SUBSTITUTE(OFFSET(#REF!,0,COLUMN()-COLUMN($AL$1)),CHAR(160)," "),_xludf.UNICHAR(8239)," "))</f>
        <v>#REF!</v>
      </c>
      <c r="Z784" s="58" t="str">
        <f t="shared" si="736"/>
        <v>#REF!</v>
      </c>
      <c r="AA784" s="58" t="str">
        <f t="shared" si="736"/>
        <v>#REF!</v>
      </c>
      <c r="AB784" s="58" t="str">
        <f t="shared" si="736"/>
        <v>#REF!</v>
      </c>
      <c r="AC784" s="58" t="str">
        <f t="shared" si="736"/>
        <v>#REF!</v>
      </c>
      <c r="AD784" s="57">
        <f t="shared" si="582"/>
        <v>1</v>
      </c>
      <c r="AE784" s="57" t="str">
        <f t="shared" si="583"/>
        <v>2026-05</v>
      </c>
      <c r="AF784" s="57">
        <f t="shared" si="584"/>
        <v>1</v>
      </c>
      <c r="AG784" s="59">
        <f t="shared" si="585"/>
        <v>1</v>
      </c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</row>
    <row r="785" ht="24.0" customHeight="1">
      <c r="A785" s="45">
        <v>55.0</v>
      </c>
      <c r="B785" s="74" t="s">
        <v>781</v>
      </c>
      <c r="C785" s="55" t="s">
        <v>2266</v>
      </c>
      <c r="D785" s="75">
        <v>46148.0</v>
      </c>
      <c r="E785" s="57">
        <v>4.24390664E8</v>
      </c>
      <c r="F785" s="76">
        <v>39487.0</v>
      </c>
      <c r="G785" s="77">
        <v>18.0</v>
      </c>
      <c r="H785" s="78" t="str">
        <f t="shared" si="699"/>
        <v>6-18</v>
      </c>
      <c r="I785" s="79" t="s">
        <v>112</v>
      </c>
      <c r="J785" s="80" t="str">
        <f t="shared" si="580"/>
        <v>male</v>
      </c>
      <c r="K785" s="58">
        <v>5.99021489E8</v>
      </c>
      <c r="L785" s="55" t="s">
        <v>34</v>
      </c>
      <c r="M785" s="57" t="s">
        <v>89</v>
      </c>
      <c r="N785" s="55" t="s">
        <v>90</v>
      </c>
      <c r="O785" s="55"/>
      <c r="P785" s="55" t="s">
        <v>91</v>
      </c>
      <c r="Q785" s="55"/>
      <c r="R785" s="55"/>
      <c r="S785" s="58" t="s">
        <v>6</v>
      </c>
      <c r="T785" s="82"/>
      <c r="U785" s="82"/>
      <c r="V785" s="57"/>
      <c r="W785" s="57"/>
      <c r="X785" s="57" t="str">
        <f t="shared" si="499"/>
        <v>--778-10-05</v>
      </c>
      <c r="Y785" s="58" t="str">
        <f t="shared" ref="Y785:AC785" si="737">TRIM(SUBSTITUTE(SUBSTITUTE(OFFSET(#REF!,0,COLUMN()-COLUMN($AL$1)),CHAR(160)," "),_xludf.UNICHAR(8239)," "))</f>
        <v>#REF!</v>
      </c>
      <c r="Z785" s="58" t="str">
        <f t="shared" si="737"/>
        <v>#REF!</v>
      </c>
      <c r="AA785" s="58" t="str">
        <f t="shared" si="737"/>
        <v>#REF!</v>
      </c>
      <c r="AB785" s="58" t="str">
        <f t="shared" si="737"/>
        <v>#REF!</v>
      </c>
      <c r="AC785" s="58" t="str">
        <f t="shared" si="737"/>
        <v>#REF!</v>
      </c>
      <c r="AD785" s="57">
        <f t="shared" si="582"/>
        <v>1</v>
      </c>
      <c r="AE785" s="57" t="str">
        <f t="shared" si="583"/>
        <v>2026-05</v>
      </c>
      <c r="AF785" s="57">
        <f t="shared" si="584"/>
        <v>0</v>
      </c>
      <c r="AG785" s="59">
        <f t="shared" si="585"/>
        <v>0</v>
      </c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</row>
    <row r="786" ht="24.0" customHeight="1">
      <c r="A786" s="45">
        <v>56.0</v>
      </c>
      <c r="B786" s="74" t="s">
        <v>2310</v>
      </c>
      <c r="C786" s="55" t="s">
        <v>2266</v>
      </c>
      <c r="D786" s="75"/>
      <c r="E786" s="57">
        <v>4.36981369E8</v>
      </c>
      <c r="F786" s="76">
        <v>42541.0</v>
      </c>
      <c r="G786" s="77">
        <v>10.0</v>
      </c>
      <c r="H786" s="78" t="str">
        <f t="shared" si="699"/>
        <v>6-18</v>
      </c>
      <c r="I786" s="79" t="s">
        <v>86</v>
      </c>
      <c r="J786" s="80" t="str">
        <f t="shared" si="580"/>
        <v>female</v>
      </c>
      <c r="K786" s="58">
        <v>5.95210839E8</v>
      </c>
      <c r="L786" s="55" t="s">
        <v>34</v>
      </c>
      <c r="M786" s="57" t="s">
        <v>133</v>
      </c>
      <c r="N786" s="55" t="s">
        <v>90</v>
      </c>
      <c r="O786" s="55"/>
      <c r="P786" s="55" t="s">
        <v>91</v>
      </c>
      <c r="Q786" s="58" t="s">
        <v>16</v>
      </c>
      <c r="R786" s="55"/>
      <c r="S786" s="55"/>
      <c r="T786" s="82"/>
      <c r="U786" s="82"/>
      <c r="V786" s="57"/>
      <c r="W786" s="57"/>
      <c r="X786" s="57" t="str">
        <f t="shared" si="499"/>
        <v>--779-10-05</v>
      </c>
      <c r="Y786" s="58" t="str">
        <f t="shared" ref="Y786:AC786" si="738">TRIM(SUBSTITUTE(SUBSTITUTE(OFFSET(#REF!,0,COLUMN()-COLUMN($AL$1)),CHAR(160)," "),_xludf.UNICHAR(8239)," "))</f>
        <v>#REF!</v>
      </c>
      <c r="Z786" s="58" t="str">
        <f t="shared" si="738"/>
        <v>#REF!</v>
      </c>
      <c r="AA786" s="58" t="str">
        <f t="shared" si="738"/>
        <v>#REF!</v>
      </c>
      <c r="AB786" s="58" t="str">
        <f t="shared" si="738"/>
        <v>#REF!</v>
      </c>
      <c r="AC786" s="58" t="str">
        <f t="shared" si="738"/>
        <v>#REF!</v>
      </c>
      <c r="AD786" s="57">
        <f t="shared" si="582"/>
        <v>1</v>
      </c>
      <c r="AE786" s="57" t="str">
        <f t="shared" si="583"/>
        <v>2026-05</v>
      </c>
      <c r="AF786" s="57">
        <f t="shared" si="584"/>
        <v>1</v>
      </c>
      <c r="AG786" s="59">
        <f t="shared" si="585"/>
        <v>1</v>
      </c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</row>
    <row r="787" ht="24.0" customHeight="1">
      <c r="A787" s="45">
        <v>57.0</v>
      </c>
      <c r="B787" s="74" t="s">
        <v>2311</v>
      </c>
      <c r="C787" s="55" t="s">
        <v>2266</v>
      </c>
      <c r="D787" s="75"/>
      <c r="E787" s="57">
        <v>8.00539033E8</v>
      </c>
      <c r="F787" s="76">
        <v>31753.0</v>
      </c>
      <c r="G787" s="77">
        <v>40.0</v>
      </c>
      <c r="H787" s="78" t="str">
        <f t="shared" si="699"/>
        <v>19-60</v>
      </c>
      <c r="I787" s="79" t="s">
        <v>86</v>
      </c>
      <c r="J787" s="80" t="str">
        <f t="shared" si="580"/>
        <v>female</v>
      </c>
      <c r="K787" s="58">
        <v>5.99631176E8</v>
      </c>
      <c r="L787" s="55" t="s">
        <v>34</v>
      </c>
      <c r="M787" s="57" t="s">
        <v>89</v>
      </c>
      <c r="N787" s="55" t="s">
        <v>90</v>
      </c>
      <c r="O787" s="55"/>
      <c r="P787" s="55" t="s">
        <v>91</v>
      </c>
      <c r="Q787" s="58" t="s">
        <v>16</v>
      </c>
      <c r="R787" s="55"/>
      <c r="S787" s="55"/>
      <c r="T787" s="82"/>
      <c r="U787" s="82"/>
      <c r="V787" s="57"/>
      <c r="W787" s="57"/>
      <c r="X787" s="57" t="str">
        <f t="shared" si="499"/>
        <v>--780-10-05</v>
      </c>
      <c r="Y787" s="58" t="str">
        <f t="shared" ref="Y787:AC787" si="739">TRIM(SUBSTITUTE(SUBSTITUTE(OFFSET(#REF!,0,COLUMN()-COLUMN($AL$1)),CHAR(160)," "),_xludf.UNICHAR(8239)," "))</f>
        <v>#REF!</v>
      </c>
      <c r="Z787" s="58" t="str">
        <f t="shared" si="739"/>
        <v>#REF!</v>
      </c>
      <c r="AA787" s="58" t="str">
        <f t="shared" si="739"/>
        <v>#REF!</v>
      </c>
      <c r="AB787" s="58" t="str">
        <f t="shared" si="739"/>
        <v>#REF!</v>
      </c>
      <c r="AC787" s="58" t="str">
        <f t="shared" si="739"/>
        <v>#REF!</v>
      </c>
      <c r="AD787" s="57">
        <f t="shared" si="582"/>
        <v>1</v>
      </c>
      <c r="AE787" s="57" t="str">
        <f t="shared" si="583"/>
        <v>2026-05</v>
      </c>
      <c r="AF787" s="57">
        <f t="shared" si="584"/>
        <v>1</v>
      </c>
      <c r="AG787" s="59">
        <f t="shared" si="585"/>
        <v>1</v>
      </c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</row>
    <row r="788" ht="24.0" customHeight="1">
      <c r="A788" s="45">
        <v>58.0</v>
      </c>
      <c r="B788" s="74" t="s">
        <v>2312</v>
      </c>
      <c r="C788" s="55" t="s">
        <v>2266</v>
      </c>
      <c r="D788" s="75"/>
      <c r="E788" s="57">
        <v>4.04322026E8</v>
      </c>
      <c r="F788" s="76">
        <v>36232.0</v>
      </c>
      <c r="G788" s="77">
        <v>27.0</v>
      </c>
      <c r="H788" s="78" t="str">
        <f t="shared" si="699"/>
        <v>19-60</v>
      </c>
      <c r="I788" s="79" t="s">
        <v>86</v>
      </c>
      <c r="J788" s="80" t="str">
        <f t="shared" si="580"/>
        <v>female</v>
      </c>
      <c r="K788" s="58">
        <v>5.97087559E8</v>
      </c>
      <c r="L788" s="55" t="s">
        <v>34</v>
      </c>
      <c r="M788" s="57" t="s">
        <v>89</v>
      </c>
      <c r="N788" s="55" t="s">
        <v>90</v>
      </c>
      <c r="O788" s="55"/>
      <c r="P788" s="55" t="s">
        <v>91</v>
      </c>
      <c r="Q788" s="55"/>
      <c r="R788" s="58" t="s">
        <v>36</v>
      </c>
      <c r="S788" s="55"/>
      <c r="T788" s="82"/>
      <c r="U788" s="82"/>
      <c r="V788" s="57"/>
      <c r="W788" s="57"/>
      <c r="X788" s="57" t="str">
        <f t="shared" si="499"/>
        <v>--781-10-05</v>
      </c>
      <c r="Y788" s="58" t="str">
        <f t="shared" ref="Y788:AC788" si="740">TRIM(SUBSTITUTE(SUBSTITUTE(OFFSET(#REF!,0,COLUMN()-COLUMN($AL$1)),CHAR(160)," "),_xludf.UNICHAR(8239)," "))</f>
        <v>#REF!</v>
      </c>
      <c r="Z788" s="58" t="str">
        <f t="shared" si="740"/>
        <v>#REF!</v>
      </c>
      <c r="AA788" s="58" t="str">
        <f t="shared" si="740"/>
        <v>#REF!</v>
      </c>
      <c r="AB788" s="58" t="str">
        <f t="shared" si="740"/>
        <v>#REF!</v>
      </c>
      <c r="AC788" s="58" t="str">
        <f t="shared" si="740"/>
        <v>#REF!</v>
      </c>
      <c r="AD788" s="57">
        <f t="shared" si="582"/>
        <v>1</v>
      </c>
      <c r="AE788" s="57" t="str">
        <f t="shared" si="583"/>
        <v>2026-05</v>
      </c>
      <c r="AF788" s="57">
        <f t="shared" si="584"/>
        <v>1</v>
      </c>
      <c r="AG788" s="59">
        <f t="shared" si="585"/>
        <v>1</v>
      </c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</row>
    <row r="789" ht="24.0" customHeight="1">
      <c r="A789" s="45">
        <v>59.0</v>
      </c>
      <c r="B789" s="74" t="s">
        <v>1940</v>
      </c>
      <c r="C789" s="55" t="s">
        <v>2266</v>
      </c>
      <c r="D789" s="75">
        <v>46149.0</v>
      </c>
      <c r="E789" s="57">
        <v>8.00199143E8</v>
      </c>
      <c r="F789" s="76">
        <v>30983.0</v>
      </c>
      <c r="G789" s="77">
        <v>42.0</v>
      </c>
      <c r="H789" s="78" t="str">
        <f t="shared" si="699"/>
        <v>19-60</v>
      </c>
      <c r="I789" s="79" t="s">
        <v>86</v>
      </c>
      <c r="J789" s="80" t="str">
        <f t="shared" si="580"/>
        <v>female</v>
      </c>
      <c r="K789" s="58">
        <v>5.9977493E8</v>
      </c>
      <c r="L789" s="55" t="s">
        <v>34</v>
      </c>
      <c r="M789" s="57" t="s">
        <v>89</v>
      </c>
      <c r="N789" s="55" t="s">
        <v>90</v>
      </c>
      <c r="O789" s="55"/>
      <c r="P789" s="55" t="s">
        <v>91</v>
      </c>
      <c r="Q789" s="55"/>
      <c r="R789" s="55"/>
      <c r="S789" s="58" t="s">
        <v>6</v>
      </c>
      <c r="T789" s="82"/>
      <c r="U789" s="82"/>
      <c r="V789" s="57"/>
      <c r="W789" s="57"/>
      <c r="X789" s="57" t="str">
        <f t="shared" si="499"/>
        <v>--782-10-05</v>
      </c>
      <c r="Y789" s="58" t="str">
        <f t="shared" ref="Y789:AC789" si="741">TRIM(SUBSTITUTE(SUBSTITUTE(OFFSET(#REF!,0,COLUMN()-COLUMN($AL$1)),CHAR(160)," "),_xludf.UNICHAR(8239)," "))</f>
        <v>#REF!</v>
      </c>
      <c r="Z789" s="58" t="str">
        <f t="shared" si="741"/>
        <v>#REF!</v>
      </c>
      <c r="AA789" s="58" t="str">
        <f t="shared" si="741"/>
        <v>#REF!</v>
      </c>
      <c r="AB789" s="58" t="str">
        <f t="shared" si="741"/>
        <v>#REF!</v>
      </c>
      <c r="AC789" s="58" t="str">
        <f t="shared" si="741"/>
        <v>#REF!</v>
      </c>
      <c r="AD789" s="57">
        <f t="shared" si="582"/>
        <v>1</v>
      </c>
      <c r="AE789" s="57" t="str">
        <f t="shared" si="583"/>
        <v>2026-05</v>
      </c>
      <c r="AF789" s="57">
        <f t="shared" si="584"/>
        <v>0</v>
      </c>
      <c r="AG789" s="59">
        <f t="shared" si="585"/>
        <v>0</v>
      </c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</row>
    <row r="790" ht="24.0" customHeight="1">
      <c r="A790" s="45">
        <v>60.0</v>
      </c>
      <c r="B790" s="74" t="s">
        <v>2313</v>
      </c>
      <c r="C790" s="55" t="s">
        <v>2266</v>
      </c>
      <c r="D790" s="75"/>
      <c r="E790" s="57">
        <v>4.21139023E8</v>
      </c>
      <c r="F790" s="76">
        <v>38476.0</v>
      </c>
      <c r="G790" s="77">
        <v>21.0</v>
      </c>
      <c r="H790" s="78" t="str">
        <f t="shared" si="699"/>
        <v>19-60</v>
      </c>
      <c r="I790" s="79" t="s">
        <v>86</v>
      </c>
      <c r="J790" s="80" t="str">
        <f t="shared" si="580"/>
        <v>female</v>
      </c>
      <c r="K790" s="58">
        <v>5.97099881E8</v>
      </c>
      <c r="L790" s="55" t="s">
        <v>34</v>
      </c>
      <c r="M790" s="57" t="s">
        <v>89</v>
      </c>
      <c r="N790" s="55" t="s">
        <v>90</v>
      </c>
      <c r="O790" s="55"/>
      <c r="P790" s="55" t="s">
        <v>91</v>
      </c>
      <c r="Q790" s="55"/>
      <c r="R790" s="58" t="s">
        <v>5</v>
      </c>
      <c r="S790" s="55"/>
      <c r="T790" s="82"/>
      <c r="U790" s="82" t="s">
        <v>7</v>
      </c>
      <c r="V790" s="57"/>
      <c r="W790" s="57"/>
      <c r="X790" s="57" t="str">
        <f t="shared" si="499"/>
        <v>--783-10-05</v>
      </c>
      <c r="Y790" s="58" t="str">
        <f t="shared" ref="Y790:AC790" si="742">TRIM(SUBSTITUTE(SUBSTITUTE(OFFSET(#REF!,0,COLUMN()-COLUMN($AL$1)),CHAR(160)," "),_xludf.UNICHAR(8239)," "))</f>
        <v>#REF!</v>
      </c>
      <c r="Z790" s="58" t="str">
        <f t="shared" si="742"/>
        <v>#REF!</v>
      </c>
      <c r="AA790" s="58" t="str">
        <f t="shared" si="742"/>
        <v>#REF!</v>
      </c>
      <c r="AB790" s="58" t="str">
        <f t="shared" si="742"/>
        <v>#REF!</v>
      </c>
      <c r="AC790" s="58" t="str">
        <f t="shared" si="742"/>
        <v>#REF!</v>
      </c>
      <c r="AD790" s="57">
        <f t="shared" si="582"/>
        <v>1</v>
      </c>
      <c r="AE790" s="57" t="str">
        <f t="shared" si="583"/>
        <v>2026-05</v>
      </c>
      <c r="AF790" s="57">
        <f t="shared" si="584"/>
        <v>1</v>
      </c>
      <c r="AG790" s="59">
        <f t="shared" si="585"/>
        <v>1</v>
      </c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</row>
    <row r="791" ht="24.0" customHeight="1">
      <c r="A791" s="45">
        <v>61.0</v>
      </c>
      <c r="B791" s="74" t="s">
        <v>2314</v>
      </c>
      <c r="C791" s="55" t="s">
        <v>2266</v>
      </c>
      <c r="D791" s="75"/>
      <c r="E791" s="57">
        <v>8.01584061E8</v>
      </c>
      <c r="F791" s="76">
        <v>32402.0</v>
      </c>
      <c r="G791" s="77">
        <v>38.0</v>
      </c>
      <c r="H791" s="78" t="str">
        <f t="shared" si="699"/>
        <v>19-60</v>
      </c>
      <c r="I791" s="79" t="s">
        <v>86</v>
      </c>
      <c r="J791" s="80" t="str">
        <f t="shared" si="580"/>
        <v>female</v>
      </c>
      <c r="K791" s="58">
        <v>5.98880433E8</v>
      </c>
      <c r="L791" s="55" t="s">
        <v>34</v>
      </c>
      <c r="M791" s="57" t="s">
        <v>89</v>
      </c>
      <c r="N791" s="55" t="s">
        <v>90</v>
      </c>
      <c r="O791" s="55"/>
      <c r="P791" s="55" t="s">
        <v>91</v>
      </c>
      <c r="Q791" s="55"/>
      <c r="R791" s="58" t="s">
        <v>5</v>
      </c>
      <c r="S791" s="55"/>
      <c r="T791" s="82"/>
      <c r="U791" s="82" t="s">
        <v>7</v>
      </c>
      <c r="V791" s="57"/>
      <c r="W791" s="57"/>
      <c r="X791" s="57" t="str">
        <f t="shared" si="499"/>
        <v>--784-10-05</v>
      </c>
      <c r="Y791" s="58" t="str">
        <f t="shared" ref="Y791:AC791" si="743">TRIM(SUBSTITUTE(SUBSTITUTE(OFFSET(#REF!,0,COLUMN()-COLUMN($AL$1)),CHAR(160)," "),_xludf.UNICHAR(8239)," "))</f>
        <v>#REF!</v>
      </c>
      <c r="Z791" s="58" t="str">
        <f t="shared" si="743"/>
        <v>#REF!</v>
      </c>
      <c r="AA791" s="58" t="str">
        <f t="shared" si="743"/>
        <v>#REF!</v>
      </c>
      <c r="AB791" s="58" t="str">
        <f t="shared" si="743"/>
        <v>#REF!</v>
      </c>
      <c r="AC791" s="58" t="str">
        <f t="shared" si="743"/>
        <v>#REF!</v>
      </c>
      <c r="AD791" s="57">
        <f t="shared" si="582"/>
        <v>1</v>
      </c>
      <c r="AE791" s="57" t="str">
        <f t="shared" si="583"/>
        <v>2026-05</v>
      </c>
      <c r="AF791" s="57">
        <f t="shared" si="584"/>
        <v>1</v>
      </c>
      <c r="AG791" s="59">
        <f t="shared" si="585"/>
        <v>1</v>
      </c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</row>
    <row r="792" ht="24.0" customHeight="1">
      <c r="A792" s="45">
        <v>62.0</v>
      </c>
      <c r="B792" s="74" t="s">
        <v>984</v>
      </c>
      <c r="C792" s="55" t="s">
        <v>2266</v>
      </c>
      <c r="D792" s="75">
        <v>46141.0</v>
      </c>
      <c r="E792" s="57">
        <v>4.07038512E8</v>
      </c>
      <c r="F792" s="76">
        <v>37309.0</v>
      </c>
      <c r="G792" s="77">
        <v>24.0</v>
      </c>
      <c r="H792" s="78" t="str">
        <f t="shared" si="699"/>
        <v>19-60</v>
      </c>
      <c r="I792" s="79" t="s">
        <v>86</v>
      </c>
      <c r="J792" s="80" t="str">
        <f t="shared" si="580"/>
        <v>female</v>
      </c>
      <c r="K792" s="58">
        <v>5.95210839E8</v>
      </c>
      <c r="L792" s="55" t="s">
        <v>34</v>
      </c>
      <c r="M792" s="57" t="s">
        <v>89</v>
      </c>
      <c r="N792" s="55" t="s">
        <v>90</v>
      </c>
      <c r="O792" s="55"/>
      <c r="P792" s="55" t="s">
        <v>91</v>
      </c>
      <c r="Q792" s="55"/>
      <c r="R792" s="58" t="s">
        <v>36</v>
      </c>
      <c r="S792" s="55"/>
      <c r="T792" s="82"/>
      <c r="U792" s="82"/>
      <c r="V792" s="57"/>
      <c r="W792" s="57"/>
      <c r="X792" s="57" t="str">
        <f t="shared" si="499"/>
        <v>--785-10-05</v>
      </c>
      <c r="Y792" s="58" t="str">
        <f t="shared" ref="Y792:AC792" si="744">TRIM(SUBSTITUTE(SUBSTITUTE(OFFSET(#REF!,0,COLUMN()-COLUMN($AL$1)),CHAR(160)," "),_xludf.UNICHAR(8239)," "))</f>
        <v>#REF!</v>
      </c>
      <c r="Z792" s="58" t="str">
        <f t="shared" si="744"/>
        <v>#REF!</v>
      </c>
      <c r="AA792" s="58" t="str">
        <f t="shared" si="744"/>
        <v>#REF!</v>
      </c>
      <c r="AB792" s="58" t="str">
        <f t="shared" si="744"/>
        <v>#REF!</v>
      </c>
      <c r="AC792" s="58" t="str">
        <f t="shared" si="744"/>
        <v>#REF!</v>
      </c>
      <c r="AD792" s="57">
        <f t="shared" si="582"/>
        <v>1</v>
      </c>
      <c r="AE792" s="57" t="str">
        <f t="shared" si="583"/>
        <v>2026-05</v>
      </c>
      <c r="AF792" s="57">
        <f t="shared" si="584"/>
        <v>1</v>
      </c>
      <c r="AG792" s="59">
        <f t="shared" si="585"/>
        <v>0</v>
      </c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</row>
    <row r="793" ht="24.0" customHeight="1">
      <c r="A793" s="45">
        <v>63.0</v>
      </c>
      <c r="B793" s="74" t="s">
        <v>2315</v>
      </c>
      <c r="C793" s="55" t="s">
        <v>2266</v>
      </c>
      <c r="D793" s="75"/>
      <c r="E793" s="57">
        <v>4.45174782E8</v>
      </c>
      <c r="F793" s="76">
        <v>45112.0</v>
      </c>
      <c r="G793" s="77">
        <v>3.0</v>
      </c>
      <c r="H793" s="78" t="str">
        <f t="shared" si="699"/>
        <v>0-5</v>
      </c>
      <c r="I793" s="79" t="s">
        <v>86</v>
      </c>
      <c r="J793" s="80" t="str">
        <f t="shared" si="580"/>
        <v>female</v>
      </c>
      <c r="K793" s="58">
        <v>5.92714334E8</v>
      </c>
      <c r="L793" s="55" t="s">
        <v>34</v>
      </c>
      <c r="M793" s="57" t="s">
        <v>133</v>
      </c>
      <c r="N793" s="55" t="s">
        <v>90</v>
      </c>
      <c r="O793" s="55"/>
      <c r="P793" s="55" t="s">
        <v>91</v>
      </c>
      <c r="Q793" s="58" t="s">
        <v>16</v>
      </c>
      <c r="R793" s="55"/>
      <c r="S793" s="55"/>
      <c r="T793" s="82"/>
      <c r="U793" s="82"/>
      <c r="V793" s="57"/>
      <c r="W793" s="57"/>
      <c r="X793" s="57" t="str">
        <f t="shared" si="499"/>
        <v>--786-10-05</v>
      </c>
      <c r="Y793" s="58" t="str">
        <f t="shared" ref="Y793:AC793" si="745">TRIM(SUBSTITUTE(SUBSTITUTE(OFFSET(#REF!,0,COLUMN()-COLUMN($AL$1)),CHAR(160)," "),_xludf.UNICHAR(8239)," "))</f>
        <v>#REF!</v>
      </c>
      <c r="Z793" s="58" t="str">
        <f t="shared" si="745"/>
        <v>#REF!</v>
      </c>
      <c r="AA793" s="58" t="str">
        <f t="shared" si="745"/>
        <v>#REF!</v>
      </c>
      <c r="AB793" s="58" t="str">
        <f t="shared" si="745"/>
        <v>#REF!</v>
      </c>
      <c r="AC793" s="58" t="str">
        <f t="shared" si="745"/>
        <v>#REF!</v>
      </c>
      <c r="AD793" s="57">
        <f t="shared" si="582"/>
        <v>1</v>
      </c>
      <c r="AE793" s="57" t="str">
        <f t="shared" si="583"/>
        <v>2026-05</v>
      </c>
      <c r="AF793" s="57">
        <f t="shared" si="584"/>
        <v>1</v>
      </c>
      <c r="AG793" s="59">
        <f t="shared" si="585"/>
        <v>1</v>
      </c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</row>
    <row r="794" ht="24.0" customHeight="1">
      <c r="A794" s="45">
        <v>64.0</v>
      </c>
      <c r="B794" s="74" t="s">
        <v>2316</v>
      </c>
      <c r="C794" s="55" t="s">
        <v>2266</v>
      </c>
      <c r="D794" s="75"/>
      <c r="E794" s="57">
        <v>9.05200101E8</v>
      </c>
      <c r="F794" s="76">
        <v>29605.0</v>
      </c>
      <c r="G794" s="77">
        <v>45.0</v>
      </c>
      <c r="H794" s="78" t="str">
        <f t="shared" si="699"/>
        <v>19-60</v>
      </c>
      <c r="I794" s="79" t="s">
        <v>86</v>
      </c>
      <c r="J794" s="80" t="str">
        <f t="shared" si="580"/>
        <v>female</v>
      </c>
      <c r="K794" s="58">
        <v>5.95255779E8</v>
      </c>
      <c r="L794" s="55" t="s">
        <v>34</v>
      </c>
      <c r="M794" s="57" t="s">
        <v>89</v>
      </c>
      <c r="N794" s="55" t="s">
        <v>90</v>
      </c>
      <c r="O794" s="55"/>
      <c r="P794" s="55" t="s">
        <v>91</v>
      </c>
      <c r="Q794" s="58" t="s">
        <v>16</v>
      </c>
      <c r="R794" s="55"/>
      <c r="S794" s="55"/>
      <c r="T794" s="82"/>
      <c r="U794" s="82"/>
      <c r="V794" s="57"/>
      <c r="W794" s="57"/>
      <c r="X794" s="57" t="str">
        <f t="shared" si="499"/>
        <v>--787-10-05</v>
      </c>
      <c r="Y794" s="58" t="str">
        <f t="shared" ref="Y794:AC794" si="746">TRIM(SUBSTITUTE(SUBSTITUTE(OFFSET(#REF!,0,COLUMN()-COLUMN($AL$1)),CHAR(160)," "),_xludf.UNICHAR(8239)," "))</f>
        <v>#REF!</v>
      </c>
      <c r="Z794" s="58" t="str">
        <f t="shared" si="746"/>
        <v>#REF!</v>
      </c>
      <c r="AA794" s="58" t="str">
        <f t="shared" si="746"/>
        <v>#REF!</v>
      </c>
      <c r="AB794" s="58" t="str">
        <f t="shared" si="746"/>
        <v>#REF!</v>
      </c>
      <c r="AC794" s="58" t="str">
        <f t="shared" si="746"/>
        <v>#REF!</v>
      </c>
      <c r="AD794" s="57">
        <f t="shared" si="582"/>
        <v>1</v>
      </c>
      <c r="AE794" s="57" t="str">
        <f t="shared" si="583"/>
        <v>2026-05</v>
      </c>
      <c r="AF794" s="57">
        <f t="shared" si="584"/>
        <v>1</v>
      </c>
      <c r="AG794" s="59">
        <f t="shared" si="585"/>
        <v>1</v>
      </c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</row>
    <row r="795" ht="24.0" customHeight="1">
      <c r="A795" s="45">
        <v>65.0</v>
      </c>
      <c r="B795" s="74" t="s">
        <v>2317</v>
      </c>
      <c r="C795" s="55" t="s">
        <v>2266</v>
      </c>
      <c r="D795" s="75"/>
      <c r="E795" s="57">
        <v>4.04636506E8</v>
      </c>
      <c r="F795" s="76">
        <v>36704.0</v>
      </c>
      <c r="G795" s="77">
        <v>26.0</v>
      </c>
      <c r="H795" s="78" t="str">
        <f t="shared" si="699"/>
        <v>19-60</v>
      </c>
      <c r="I795" s="79" t="s">
        <v>86</v>
      </c>
      <c r="J795" s="80" t="str">
        <f t="shared" si="580"/>
        <v>female</v>
      </c>
      <c r="K795" s="58">
        <v>5.99811023E8</v>
      </c>
      <c r="L795" s="55" t="s">
        <v>34</v>
      </c>
      <c r="M795" s="57" t="s">
        <v>89</v>
      </c>
      <c r="N795" s="55" t="s">
        <v>90</v>
      </c>
      <c r="O795" s="55"/>
      <c r="P795" s="55" t="s">
        <v>91</v>
      </c>
      <c r="Q795" s="55"/>
      <c r="R795" s="58" t="s">
        <v>5</v>
      </c>
      <c r="S795" s="55"/>
      <c r="T795" s="82"/>
      <c r="U795" s="82" t="s">
        <v>7</v>
      </c>
      <c r="V795" s="57"/>
      <c r="W795" s="57"/>
      <c r="X795" s="57" t="str">
        <f t="shared" si="499"/>
        <v>--788-10-05</v>
      </c>
      <c r="Y795" s="58" t="str">
        <f t="shared" ref="Y795:AC795" si="747">TRIM(SUBSTITUTE(SUBSTITUTE(OFFSET(#REF!,0,COLUMN()-COLUMN($AL$1)),CHAR(160)," "),_xludf.UNICHAR(8239)," "))</f>
        <v>#REF!</v>
      </c>
      <c r="Z795" s="58" t="str">
        <f t="shared" si="747"/>
        <v>#REF!</v>
      </c>
      <c r="AA795" s="58" t="str">
        <f t="shared" si="747"/>
        <v>#REF!</v>
      </c>
      <c r="AB795" s="58" t="str">
        <f t="shared" si="747"/>
        <v>#REF!</v>
      </c>
      <c r="AC795" s="58" t="str">
        <f t="shared" si="747"/>
        <v>#REF!</v>
      </c>
      <c r="AD795" s="57">
        <f t="shared" si="582"/>
        <v>1</v>
      </c>
      <c r="AE795" s="57" t="str">
        <f t="shared" si="583"/>
        <v>2026-05</v>
      </c>
      <c r="AF795" s="57">
        <f t="shared" si="584"/>
        <v>1</v>
      </c>
      <c r="AG795" s="59">
        <f t="shared" si="585"/>
        <v>1</v>
      </c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</row>
    <row r="796" ht="24.0" customHeight="1">
      <c r="A796" s="45">
        <v>66.0</v>
      </c>
      <c r="B796" s="74" t="s">
        <v>2318</v>
      </c>
      <c r="C796" s="55" t="s">
        <v>2266</v>
      </c>
      <c r="D796" s="75"/>
      <c r="E796" s="57">
        <v>8.04409217E8</v>
      </c>
      <c r="F796" s="76">
        <v>35138.0</v>
      </c>
      <c r="G796" s="77">
        <v>30.0</v>
      </c>
      <c r="H796" s="78" t="str">
        <f t="shared" si="699"/>
        <v>19-60</v>
      </c>
      <c r="I796" s="79" t="s">
        <v>86</v>
      </c>
      <c r="J796" s="80" t="str">
        <f t="shared" si="580"/>
        <v>female</v>
      </c>
      <c r="K796" s="58">
        <v>5.94075231E8</v>
      </c>
      <c r="L796" s="55" t="s">
        <v>34</v>
      </c>
      <c r="M796" s="57" t="s">
        <v>89</v>
      </c>
      <c r="N796" s="55" t="s">
        <v>90</v>
      </c>
      <c r="O796" s="55"/>
      <c r="P796" s="55" t="s">
        <v>91</v>
      </c>
      <c r="Q796" s="58" t="s">
        <v>16</v>
      </c>
      <c r="R796" s="55"/>
      <c r="S796" s="55"/>
      <c r="T796" s="82"/>
      <c r="U796" s="82"/>
      <c r="V796" s="57"/>
      <c r="W796" s="57"/>
      <c r="X796" s="57" t="str">
        <f t="shared" si="499"/>
        <v>--789-10-05</v>
      </c>
      <c r="Y796" s="58" t="str">
        <f t="shared" ref="Y796:AC796" si="748">TRIM(SUBSTITUTE(SUBSTITUTE(OFFSET(#REF!,0,COLUMN()-COLUMN($AL$1)),CHAR(160)," "),_xludf.UNICHAR(8239)," "))</f>
        <v>#REF!</v>
      </c>
      <c r="Z796" s="58" t="str">
        <f t="shared" si="748"/>
        <v>#REF!</v>
      </c>
      <c r="AA796" s="58" t="str">
        <f t="shared" si="748"/>
        <v>#REF!</v>
      </c>
      <c r="AB796" s="58" t="str">
        <f t="shared" si="748"/>
        <v>#REF!</v>
      </c>
      <c r="AC796" s="58" t="str">
        <f t="shared" si="748"/>
        <v>#REF!</v>
      </c>
      <c r="AD796" s="57">
        <f t="shared" si="582"/>
        <v>1</v>
      </c>
      <c r="AE796" s="57" t="str">
        <f t="shared" si="583"/>
        <v>2026-05</v>
      </c>
      <c r="AF796" s="57">
        <f t="shared" si="584"/>
        <v>1</v>
      </c>
      <c r="AG796" s="59">
        <f t="shared" si="585"/>
        <v>1</v>
      </c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</row>
    <row r="797" ht="24.0" customHeight="1">
      <c r="A797" s="45">
        <v>67.0</v>
      </c>
      <c r="B797" s="74" t="s">
        <v>2319</v>
      </c>
      <c r="C797" s="55" t="s">
        <v>2266</v>
      </c>
      <c r="D797" s="75"/>
      <c r="E797" s="57">
        <v>4.09473329E8</v>
      </c>
      <c r="F797" s="76">
        <v>36760.0</v>
      </c>
      <c r="G797" s="77">
        <v>26.0</v>
      </c>
      <c r="H797" s="78" t="str">
        <f t="shared" si="699"/>
        <v>19-60</v>
      </c>
      <c r="I797" s="79" t="s">
        <v>86</v>
      </c>
      <c r="J797" s="80" t="str">
        <f t="shared" si="580"/>
        <v>female</v>
      </c>
      <c r="K797" s="58">
        <v>5.99010718E8</v>
      </c>
      <c r="L797" s="55" t="s">
        <v>34</v>
      </c>
      <c r="M797" s="57" t="s">
        <v>89</v>
      </c>
      <c r="N797" s="55" t="s">
        <v>90</v>
      </c>
      <c r="O797" s="55"/>
      <c r="P797" s="55" t="s">
        <v>91</v>
      </c>
      <c r="Q797" s="58" t="s">
        <v>16</v>
      </c>
      <c r="R797" s="55"/>
      <c r="S797" s="55"/>
      <c r="T797" s="82"/>
      <c r="U797" s="82"/>
      <c r="V797" s="57"/>
      <c r="W797" s="57"/>
      <c r="X797" s="57" t="str">
        <f t="shared" si="499"/>
        <v>--790-10-05</v>
      </c>
      <c r="Y797" s="58" t="str">
        <f t="shared" ref="Y797:AC797" si="749">TRIM(SUBSTITUTE(SUBSTITUTE(OFFSET(#REF!,0,COLUMN()-COLUMN($AL$1)),CHAR(160)," "),_xludf.UNICHAR(8239)," "))</f>
        <v>#REF!</v>
      </c>
      <c r="Z797" s="58" t="str">
        <f t="shared" si="749"/>
        <v>#REF!</v>
      </c>
      <c r="AA797" s="58" t="str">
        <f t="shared" si="749"/>
        <v>#REF!</v>
      </c>
      <c r="AB797" s="58" t="str">
        <f t="shared" si="749"/>
        <v>#REF!</v>
      </c>
      <c r="AC797" s="58" t="str">
        <f t="shared" si="749"/>
        <v>#REF!</v>
      </c>
      <c r="AD797" s="57">
        <f t="shared" si="582"/>
        <v>1</v>
      </c>
      <c r="AE797" s="57" t="str">
        <f t="shared" si="583"/>
        <v>2026-05</v>
      </c>
      <c r="AF797" s="57">
        <f t="shared" si="584"/>
        <v>1</v>
      </c>
      <c r="AG797" s="59">
        <f t="shared" si="585"/>
        <v>1</v>
      </c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</row>
    <row r="798" ht="24.0" customHeight="1">
      <c r="A798" s="45">
        <v>68.0</v>
      </c>
      <c r="B798" s="74" t="s">
        <v>2320</v>
      </c>
      <c r="C798" s="55" t="s">
        <v>2266</v>
      </c>
      <c r="D798" s="75"/>
      <c r="E798" s="57">
        <v>4.30250134E8</v>
      </c>
      <c r="F798" s="76">
        <v>40183.0</v>
      </c>
      <c r="G798" s="77">
        <v>16.0</v>
      </c>
      <c r="H798" s="78" t="str">
        <f t="shared" si="699"/>
        <v>6-18</v>
      </c>
      <c r="I798" s="79" t="s">
        <v>86</v>
      </c>
      <c r="J798" s="80" t="str">
        <f t="shared" si="580"/>
        <v>female</v>
      </c>
      <c r="K798" s="58">
        <v>5.97162137E8</v>
      </c>
      <c r="L798" s="55" t="s">
        <v>34</v>
      </c>
      <c r="M798" s="57" t="s">
        <v>133</v>
      </c>
      <c r="N798" s="55" t="s">
        <v>90</v>
      </c>
      <c r="O798" s="55"/>
      <c r="P798" s="55" t="s">
        <v>91</v>
      </c>
      <c r="Q798" s="58" t="s">
        <v>16</v>
      </c>
      <c r="R798" s="55"/>
      <c r="S798" s="55"/>
      <c r="T798" s="82"/>
      <c r="U798" s="82"/>
      <c r="V798" s="57"/>
      <c r="W798" s="57"/>
      <c r="X798" s="57" t="str">
        <f t="shared" si="499"/>
        <v>--791-10-05</v>
      </c>
      <c r="Y798" s="58" t="str">
        <f t="shared" ref="Y798:AC798" si="750">TRIM(SUBSTITUTE(SUBSTITUTE(OFFSET(#REF!,0,COLUMN()-COLUMN($AL$1)),CHAR(160)," "),_xludf.UNICHAR(8239)," "))</f>
        <v>#REF!</v>
      </c>
      <c r="Z798" s="58" t="str">
        <f t="shared" si="750"/>
        <v>#REF!</v>
      </c>
      <c r="AA798" s="58" t="str">
        <f t="shared" si="750"/>
        <v>#REF!</v>
      </c>
      <c r="AB798" s="58" t="str">
        <f t="shared" si="750"/>
        <v>#REF!</v>
      </c>
      <c r="AC798" s="58" t="str">
        <f t="shared" si="750"/>
        <v>#REF!</v>
      </c>
      <c r="AD798" s="57">
        <f t="shared" si="582"/>
        <v>1</v>
      </c>
      <c r="AE798" s="57" t="str">
        <f t="shared" si="583"/>
        <v>2026-05</v>
      </c>
      <c r="AF798" s="57">
        <f t="shared" si="584"/>
        <v>1</v>
      </c>
      <c r="AG798" s="59">
        <f t="shared" si="585"/>
        <v>1</v>
      </c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</row>
    <row r="799" ht="24.0" customHeight="1">
      <c r="A799" s="45">
        <v>69.0</v>
      </c>
      <c r="B799" s="74" t="s">
        <v>2321</v>
      </c>
      <c r="C799" s="55" t="s">
        <v>2266</v>
      </c>
      <c r="D799" s="75"/>
      <c r="E799" s="57">
        <v>4.34649562E8</v>
      </c>
      <c r="F799" s="76">
        <v>42173.0</v>
      </c>
      <c r="G799" s="77">
        <v>11.0</v>
      </c>
      <c r="H799" s="78" t="str">
        <f t="shared" si="699"/>
        <v>6-18</v>
      </c>
      <c r="I799" s="79" t="s">
        <v>112</v>
      </c>
      <c r="J799" s="80" t="str">
        <f t="shared" si="580"/>
        <v>male</v>
      </c>
      <c r="K799" s="58">
        <v>5.97162137E8</v>
      </c>
      <c r="L799" s="55" t="s">
        <v>34</v>
      </c>
      <c r="M799" s="57" t="s">
        <v>133</v>
      </c>
      <c r="N799" s="55" t="s">
        <v>90</v>
      </c>
      <c r="O799" s="55"/>
      <c r="P799" s="55" t="s">
        <v>91</v>
      </c>
      <c r="Q799" s="58" t="s">
        <v>16</v>
      </c>
      <c r="R799" s="55"/>
      <c r="S799" s="55"/>
      <c r="T799" s="82"/>
      <c r="U799" s="82"/>
      <c r="V799" s="57"/>
      <c r="W799" s="57"/>
      <c r="X799" s="57" t="str">
        <f t="shared" si="499"/>
        <v>--792-10-05</v>
      </c>
      <c r="Y799" s="58" t="str">
        <f t="shared" ref="Y799:AC799" si="751">TRIM(SUBSTITUTE(SUBSTITUTE(OFFSET(#REF!,0,COLUMN()-COLUMN($AL$1)),CHAR(160)," "),_xludf.UNICHAR(8239)," "))</f>
        <v>#REF!</v>
      </c>
      <c r="Z799" s="58" t="str">
        <f t="shared" si="751"/>
        <v>#REF!</v>
      </c>
      <c r="AA799" s="58" t="str">
        <f t="shared" si="751"/>
        <v>#REF!</v>
      </c>
      <c r="AB799" s="58" t="str">
        <f t="shared" si="751"/>
        <v>#REF!</v>
      </c>
      <c r="AC799" s="58" t="str">
        <f t="shared" si="751"/>
        <v>#REF!</v>
      </c>
      <c r="AD799" s="57">
        <f t="shared" si="582"/>
        <v>1</v>
      </c>
      <c r="AE799" s="57" t="str">
        <f t="shared" si="583"/>
        <v>2026-05</v>
      </c>
      <c r="AF799" s="57">
        <f t="shared" si="584"/>
        <v>1</v>
      </c>
      <c r="AG799" s="59">
        <f t="shared" si="585"/>
        <v>1</v>
      </c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</row>
    <row r="800" ht="24.0" customHeight="1">
      <c r="A800" s="45">
        <v>70.0</v>
      </c>
      <c r="B800" s="74" t="s">
        <v>2322</v>
      </c>
      <c r="C800" s="55" t="s">
        <v>2266</v>
      </c>
      <c r="D800" s="75"/>
      <c r="E800" s="57">
        <v>4.24456405E8</v>
      </c>
      <c r="F800" s="76">
        <v>40144.0</v>
      </c>
      <c r="G800" s="77">
        <v>17.0</v>
      </c>
      <c r="H800" s="78" t="str">
        <f t="shared" si="699"/>
        <v>6-18</v>
      </c>
      <c r="I800" s="79" t="s">
        <v>86</v>
      </c>
      <c r="J800" s="80" t="str">
        <f t="shared" si="580"/>
        <v>female</v>
      </c>
      <c r="K800" s="58">
        <v>5.97162137E8</v>
      </c>
      <c r="L800" s="55" t="s">
        <v>34</v>
      </c>
      <c r="M800" s="57" t="s">
        <v>89</v>
      </c>
      <c r="N800" s="55" t="s">
        <v>90</v>
      </c>
      <c r="O800" s="55"/>
      <c r="P800" s="55" t="s">
        <v>91</v>
      </c>
      <c r="Q800" s="58" t="s">
        <v>4</v>
      </c>
      <c r="R800" s="55"/>
      <c r="S800" s="55"/>
      <c r="T800" s="82"/>
      <c r="U800" s="82"/>
      <c r="V800" s="57"/>
      <c r="W800" s="57"/>
      <c r="X800" s="57" t="str">
        <f t="shared" si="499"/>
        <v>--793-10-05</v>
      </c>
      <c r="Y800" s="58" t="str">
        <f t="shared" ref="Y800:AC800" si="752">TRIM(SUBSTITUTE(SUBSTITUTE(OFFSET(#REF!,0,COLUMN()-COLUMN($AL$1)),CHAR(160)," "),_xludf.UNICHAR(8239)," "))</f>
        <v>#REF!</v>
      </c>
      <c r="Z800" s="58" t="str">
        <f t="shared" si="752"/>
        <v>#REF!</v>
      </c>
      <c r="AA800" s="58" t="str">
        <f t="shared" si="752"/>
        <v>#REF!</v>
      </c>
      <c r="AB800" s="58" t="str">
        <f t="shared" si="752"/>
        <v>#REF!</v>
      </c>
      <c r="AC800" s="58" t="str">
        <f t="shared" si="752"/>
        <v>#REF!</v>
      </c>
      <c r="AD800" s="57">
        <f t="shared" si="582"/>
        <v>1</v>
      </c>
      <c r="AE800" s="57" t="str">
        <f t="shared" si="583"/>
        <v>2026-05</v>
      </c>
      <c r="AF800" s="57">
        <f t="shared" si="584"/>
        <v>1</v>
      </c>
      <c r="AG800" s="59">
        <f t="shared" si="585"/>
        <v>1</v>
      </c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</row>
    <row r="801" ht="24.0" customHeight="1">
      <c r="A801" s="45">
        <v>71.0</v>
      </c>
      <c r="B801" s="74" t="s">
        <v>2323</v>
      </c>
      <c r="C801" s="55" t="s">
        <v>2266</v>
      </c>
      <c r="D801" s="75"/>
      <c r="E801" s="57">
        <v>4.09504651E8</v>
      </c>
      <c r="F801" s="76">
        <v>38086.0</v>
      </c>
      <c r="G801" s="77">
        <v>22.0</v>
      </c>
      <c r="H801" s="78" t="str">
        <f t="shared" si="699"/>
        <v>19-60</v>
      </c>
      <c r="I801" s="79" t="s">
        <v>86</v>
      </c>
      <c r="J801" s="80" t="str">
        <f t="shared" si="580"/>
        <v>female</v>
      </c>
      <c r="K801" s="58">
        <v>5.94102319E8</v>
      </c>
      <c r="L801" s="55" t="s">
        <v>34</v>
      </c>
      <c r="M801" s="57" t="s">
        <v>89</v>
      </c>
      <c r="N801" s="55" t="s">
        <v>90</v>
      </c>
      <c r="O801" s="55"/>
      <c r="P801" s="55" t="s">
        <v>91</v>
      </c>
      <c r="Q801" s="58"/>
      <c r="R801" s="58" t="s">
        <v>5</v>
      </c>
      <c r="S801" s="55"/>
      <c r="T801" s="82"/>
      <c r="U801" s="82" t="s">
        <v>7</v>
      </c>
      <c r="V801" s="57"/>
      <c r="W801" s="57"/>
      <c r="X801" s="57" t="str">
        <f t="shared" si="499"/>
        <v>--794-10-05</v>
      </c>
      <c r="Y801" s="58" t="str">
        <f t="shared" ref="Y801:AC801" si="753">TRIM(SUBSTITUTE(SUBSTITUTE(OFFSET(#REF!,0,COLUMN()-COLUMN($AL$1)),CHAR(160)," "),_xludf.UNICHAR(8239)," "))</f>
        <v>#REF!</v>
      </c>
      <c r="Z801" s="58" t="str">
        <f t="shared" si="753"/>
        <v>#REF!</v>
      </c>
      <c r="AA801" s="58" t="str">
        <f t="shared" si="753"/>
        <v>#REF!</v>
      </c>
      <c r="AB801" s="58" t="str">
        <f t="shared" si="753"/>
        <v>#REF!</v>
      </c>
      <c r="AC801" s="58" t="str">
        <f t="shared" si="753"/>
        <v>#REF!</v>
      </c>
      <c r="AD801" s="57">
        <f t="shared" si="582"/>
        <v>1</v>
      </c>
      <c r="AE801" s="57" t="str">
        <f t="shared" si="583"/>
        <v>2026-05</v>
      </c>
      <c r="AF801" s="57">
        <f t="shared" si="584"/>
        <v>1</v>
      </c>
      <c r="AG801" s="59">
        <f t="shared" si="585"/>
        <v>1</v>
      </c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</row>
    <row r="802" ht="24.0" customHeight="1">
      <c r="A802" s="45">
        <v>72.0</v>
      </c>
      <c r="B802" s="74" t="s">
        <v>2324</v>
      </c>
      <c r="C802" s="55" t="s">
        <v>2266</v>
      </c>
      <c r="D802" s="75"/>
      <c r="E802" s="57">
        <v>8.00137582E8</v>
      </c>
      <c r="F802" s="76">
        <v>32416.0</v>
      </c>
      <c r="G802" s="77">
        <v>38.0</v>
      </c>
      <c r="H802" s="78" t="str">
        <f t="shared" si="699"/>
        <v>19-60</v>
      </c>
      <c r="I802" s="79" t="s">
        <v>86</v>
      </c>
      <c r="J802" s="80" t="str">
        <f t="shared" si="580"/>
        <v>female</v>
      </c>
      <c r="K802" s="58">
        <v>5.92226305E8</v>
      </c>
      <c r="L802" s="55" t="s">
        <v>34</v>
      </c>
      <c r="M802" s="57" t="s">
        <v>89</v>
      </c>
      <c r="N802" s="55" t="s">
        <v>90</v>
      </c>
      <c r="O802" s="55"/>
      <c r="P802" s="55" t="s">
        <v>91</v>
      </c>
      <c r="Q802" s="58"/>
      <c r="R802" s="58" t="s">
        <v>5</v>
      </c>
      <c r="S802" s="55"/>
      <c r="T802" s="82"/>
      <c r="U802" s="82" t="s">
        <v>7</v>
      </c>
      <c r="V802" s="57"/>
      <c r="W802" s="57"/>
      <c r="X802" s="57" t="str">
        <f t="shared" si="499"/>
        <v>--795-10-05</v>
      </c>
      <c r="Y802" s="58" t="str">
        <f t="shared" ref="Y802:AC802" si="754">TRIM(SUBSTITUTE(SUBSTITUTE(OFFSET(#REF!,0,COLUMN()-COLUMN($AL$1)),CHAR(160)," "),_xludf.UNICHAR(8239)," "))</f>
        <v>#REF!</v>
      </c>
      <c r="Z802" s="58" t="str">
        <f t="shared" si="754"/>
        <v>#REF!</v>
      </c>
      <c r="AA802" s="58" t="str">
        <f t="shared" si="754"/>
        <v>#REF!</v>
      </c>
      <c r="AB802" s="58" t="str">
        <f t="shared" si="754"/>
        <v>#REF!</v>
      </c>
      <c r="AC802" s="58" t="str">
        <f t="shared" si="754"/>
        <v>#REF!</v>
      </c>
      <c r="AD802" s="57">
        <f t="shared" si="582"/>
        <v>1</v>
      </c>
      <c r="AE802" s="57" t="str">
        <f t="shared" si="583"/>
        <v>2026-05</v>
      </c>
      <c r="AF802" s="57">
        <f t="shared" si="584"/>
        <v>1</v>
      </c>
      <c r="AG802" s="59">
        <f t="shared" si="585"/>
        <v>1</v>
      </c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</row>
    <row r="803" ht="24.0" customHeight="1">
      <c r="A803" s="45">
        <v>73.0</v>
      </c>
      <c r="B803" s="74" t="s">
        <v>2325</v>
      </c>
      <c r="C803" s="55" t="s">
        <v>2266</v>
      </c>
      <c r="D803" s="75"/>
      <c r="E803" s="57">
        <v>4.45158963E8</v>
      </c>
      <c r="F803" s="76">
        <v>44969.0</v>
      </c>
      <c r="G803" s="77">
        <v>3.0</v>
      </c>
      <c r="H803" s="78" t="str">
        <f t="shared" si="699"/>
        <v>0-5</v>
      </c>
      <c r="I803" s="79" t="s">
        <v>86</v>
      </c>
      <c r="J803" s="80" t="str">
        <f t="shared" si="580"/>
        <v>female</v>
      </c>
      <c r="K803" s="58">
        <v>5.98814773E8</v>
      </c>
      <c r="L803" s="55" t="s">
        <v>34</v>
      </c>
      <c r="M803" s="57" t="s">
        <v>133</v>
      </c>
      <c r="N803" s="55" t="s">
        <v>90</v>
      </c>
      <c r="O803" s="55"/>
      <c r="P803" s="55" t="s">
        <v>91</v>
      </c>
      <c r="Q803" s="58" t="s">
        <v>16</v>
      </c>
      <c r="R803" s="55"/>
      <c r="S803" s="55"/>
      <c r="T803" s="82"/>
      <c r="U803" s="82"/>
      <c r="V803" s="57"/>
      <c r="W803" s="57"/>
      <c r="X803" s="57" t="str">
        <f t="shared" si="499"/>
        <v>--796-10-05</v>
      </c>
      <c r="Y803" s="58" t="str">
        <f t="shared" ref="Y803:AC803" si="755">TRIM(SUBSTITUTE(SUBSTITUTE(OFFSET(#REF!,0,COLUMN()-COLUMN($AL$1)),CHAR(160)," "),_xludf.UNICHAR(8239)," "))</f>
        <v>#REF!</v>
      </c>
      <c r="Z803" s="58" t="str">
        <f t="shared" si="755"/>
        <v>#REF!</v>
      </c>
      <c r="AA803" s="58" t="str">
        <f t="shared" si="755"/>
        <v>#REF!</v>
      </c>
      <c r="AB803" s="58" t="str">
        <f t="shared" si="755"/>
        <v>#REF!</v>
      </c>
      <c r="AC803" s="58" t="str">
        <f t="shared" si="755"/>
        <v>#REF!</v>
      </c>
      <c r="AD803" s="57">
        <f t="shared" si="582"/>
        <v>1</v>
      </c>
      <c r="AE803" s="57" t="str">
        <f t="shared" si="583"/>
        <v>2026-05</v>
      </c>
      <c r="AF803" s="57">
        <f t="shared" si="584"/>
        <v>1</v>
      </c>
      <c r="AG803" s="59">
        <f t="shared" si="585"/>
        <v>1</v>
      </c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</row>
    <row r="804" ht="24.0" customHeight="1">
      <c r="A804" s="45">
        <v>74.0</v>
      </c>
      <c r="B804" s="74" t="s">
        <v>2326</v>
      </c>
      <c r="C804" s="55" t="s">
        <v>2266</v>
      </c>
      <c r="D804" s="75"/>
      <c r="E804" s="57">
        <v>9.31544043E8</v>
      </c>
      <c r="F804" s="76">
        <v>30888.0</v>
      </c>
      <c r="G804" s="77">
        <v>42.0</v>
      </c>
      <c r="H804" s="78" t="str">
        <f t="shared" si="699"/>
        <v>19-60</v>
      </c>
      <c r="I804" s="79" t="s">
        <v>86</v>
      </c>
      <c r="J804" s="80" t="str">
        <f t="shared" si="580"/>
        <v>female</v>
      </c>
      <c r="K804" s="58">
        <v>5.9962942E8</v>
      </c>
      <c r="L804" s="55" t="s">
        <v>34</v>
      </c>
      <c r="M804" s="57" t="s">
        <v>89</v>
      </c>
      <c r="N804" s="55" t="s">
        <v>90</v>
      </c>
      <c r="O804" s="55"/>
      <c r="P804" s="55" t="s">
        <v>91</v>
      </c>
      <c r="Q804" s="58" t="s">
        <v>16</v>
      </c>
      <c r="R804" s="55"/>
      <c r="S804" s="55"/>
      <c r="T804" s="82"/>
      <c r="U804" s="82"/>
      <c r="V804" s="57"/>
      <c r="W804" s="57"/>
      <c r="X804" s="57" t="str">
        <f t="shared" si="499"/>
        <v>--797-10-05</v>
      </c>
      <c r="Y804" s="58" t="str">
        <f t="shared" ref="Y804:AC804" si="756">TRIM(SUBSTITUTE(SUBSTITUTE(OFFSET(#REF!,0,COLUMN()-COLUMN($AL$1)),CHAR(160)," "),_xludf.UNICHAR(8239)," "))</f>
        <v>#REF!</v>
      </c>
      <c r="Z804" s="58" t="str">
        <f t="shared" si="756"/>
        <v>#REF!</v>
      </c>
      <c r="AA804" s="58" t="str">
        <f t="shared" si="756"/>
        <v>#REF!</v>
      </c>
      <c r="AB804" s="58" t="str">
        <f t="shared" si="756"/>
        <v>#REF!</v>
      </c>
      <c r="AC804" s="58" t="str">
        <f t="shared" si="756"/>
        <v>#REF!</v>
      </c>
      <c r="AD804" s="57">
        <f t="shared" si="582"/>
        <v>1</v>
      </c>
      <c r="AE804" s="57" t="str">
        <f t="shared" si="583"/>
        <v>2026-05</v>
      </c>
      <c r="AF804" s="57">
        <f t="shared" si="584"/>
        <v>1</v>
      </c>
      <c r="AG804" s="59">
        <f t="shared" si="585"/>
        <v>1</v>
      </c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</row>
    <row r="805" ht="24.0" customHeight="1">
      <c r="A805" s="45">
        <v>75.0</v>
      </c>
      <c r="B805" s="74" t="s">
        <v>2327</v>
      </c>
      <c r="C805" s="55" t="s">
        <v>2266</v>
      </c>
      <c r="D805" s="75"/>
      <c r="E805" s="57">
        <v>4.65224197E8</v>
      </c>
      <c r="F805" s="76">
        <v>36222.0</v>
      </c>
      <c r="G805" s="77">
        <v>27.0</v>
      </c>
      <c r="H805" s="78" t="str">
        <f t="shared" si="699"/>
        <v>19-60</v>
      </c>
      <c r="I805" s="79" t="s">
        <v>86</v>
      </c>
      <c r="J805" s="80" t="str">
        <f t="shared" si="580"/>
        <v>female</v>
      </c>
      <c r="K805" s="58">
        <v>5.94394648E8</v>
      </c>
      <c r="L805" s="55" t="s">
        <v>34</v>
      </c>
      <c r="M805" s="57" t="s">
        <v>89</v>
      </c>
      <c r="N805" s="55" t="s">
        <v>90</v>
      </c>
      <c r="O805" s="55"/>
      <c r="P805" s="55" t="s">
        <v>91</v>
      </c>
      <c r="Q805" s="55"/>
      <c r="R805" s="58" t="s">
        <v>5</v>
      </c>
      <c r="S805" s="55"/>
      <c r="T805" s="82"/>
      <c r="U805" s="82" t="s">
        <v>7</v>
      </c>
      <c r="V805" s="57"/>
      <c r="W805" s="57"/>
      <c r="X805" s="57" t="str">
        <f t="shared" si="499"/>
        <v>--798-10-05</v>
      </c>
      <c r="Y805" s="58" t="str">
        <f t="shared" ref="Y805:AC805" si="757">TRIM(SUBSTITUTE(SUBSTITUTE(OFFSET(#REF!,0,COLUMN()-COLUMN($AL$1)),CHAR(160)," "),_xludf.UNICHAR(8239)," "))</f>
        <v>#REF!</v>
      </c>
      <c r="Z805" s="58" t="str">
        <f t="shared" si="757"/>
        <v>#REF!</v>
      </c>
      <c r="AA805" s="58" t="str">
        <f t="shared" si="757"/>
        <v>#REF!</v>
      </c>
      <c r="AB805" s="58" t="str">
        <f t="shared" si="757"/>
        <v>#REF!</v>
      </c>
      <c r="AC805" s="58" t="str">
        <f t="shared" si="757"/>
        <v>#REF!</v>
      </c>
      <c r="AD805" s="57">
        <f t="shared" si="582"/>
        <v>1</v>
      </c>
      <c r="AE805" s="57" t="str">
        <f t="shared" si="583"/>
        <v>2026-05</v>
      </c>
      <c r="AF805" s="57">
        <f t="shared" si="584"/>
        <v>1</v>
      </c>
      <c r="AG805" s="59">
        <f t="shared" si="585"/>
        <v>1</v>
      </c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</row>
    <row r="806" ht="24.0" customHeight="1">
      <c r="A806" s="45">
        <v>76.0</v>
      </c>
      <c r="B806" s="74" t="s">
        <v>913</v>
      </c>
      <c r="C806" s="55" t="s">
        <v>2266</v>
      </c>
      <c r="D806" s="75">
        <v>46140.0</v>
      </c>
      <c r="E806" s="57">
        <v>4.24706364E8</v>
      </c>
      <c r="F806" s="76">
        <v>39372.0</v>
      </c>
      <c r="G806" s="77">
        <v>19.0</v>
      </c>
      <c r="H806" s="78" t="str">
        <f t="shared" si="699"/>
        <v>19-60</v>
      </c>
      <c r="I806" s="79" t="s">
        <v>86</v>
      </c>
      <c r="J806" s="80" t="str">
        <f t="shared" si="580"/>
        <v>female</v>
      </c>
      <c r="K806" s="58">
        <v>5.983348E8</v>
      </c>
      <c r="L806" s="55" t="s">
        <v>34</v>
      </c>
      <c r="M806" s="57" t="s">
        <v>89</v>
      </c>
      <c r="N806" s="55" t="s">
        <v>90</v>
      </c>
      <c r="O806" s="55"/>
      <c r="P806" s="55" t="s">
        <v>91</v>
      </c>
      <c r="Q806" s="58" t="s">
        <v>4</v>
      </c>
      <c r="R806" s="55"/>
      <c r="S806" s="55"/>
      <c r="T806" s="82"/>
      <c r="U806" s="82"/>
      <c r="V806" s="57"/>
      <c r="W806" s="57"/>
      <c r="X806" s="57" t="str">
        <f t="shared" si="499"/>
        <v>--799-10-05</v>
      </c>
      <c r="Y806" s="58" t="str">
        <f t="shared" ref="Y806:AC806" si="758">TRIM(SUBSTITUTE(SUBSTITUTE(OFFSET(#REF!,0,COLUMN()-COLUMN($AL$1)),CHAR(160)," "),_xludf.UNICHAR(8239)," "))</f>
        <v>#REF!</v>
      </c>
      <c r="Z806" s="58" t="str">
        <f t="shared" si="758"/>
        <v>#REF!</v>
      </c>
      <c r="AA806" s="58" t="str">
        <f t="shared" si="758"/>
        <v>#REF!</v>
      </c>
      <c r="AB806" s="58" t="str">
        <f t="shared" si="758"/>
        <v>#REF!</v>
      </c>
      <c r="AC806" s="58" t="str">
        <f t="shared" si="758"/>
        <v>#REF!</v>
      </c>
      <c r="AD806" s="57">
        <f t="shared" si="582"/>
        <v>1</v>
      </c>
      <c r="AE806" s="57" t="str">
        <f t="shared" si="583"/>
        <v>2026-05</v>
      </c>
      <c r="AF806" s="57">
        <f t="shared" si="584"/>
        <v>1</v>
      </c>
      <c r="AG806" s="59">
        <f t="shared" si="585"/>
        <v>0</v>
      </c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</row>
    <row r="807" ht="24.0" customHeight="1">
      <c r="A807" s="45">
        <v>77.0</v>
      </c>
      <c r="B807" s="74" t="s">
        <v>2328</v>
      </c>
      <c r="C807" s="55" t="s">
        <v>2266</v>
      </c>
      <c r="D807" s="75"/>
      <c r="E807" s="57">
        <v>8.00134157E8</v>
      </c>
      <c r="F807" s="76">
        <v>31024.0</v>
      </c>
      <c r="G807" s="77">
        <v>42.0</v>
      </c>
      <c r="H807" s="78" t="str">
        <f t="shared" si="699"/>
        <v>19-60</v>
      </c>
      <c r="I807" s="79" t="s">
        <v>86</v>
      </c>
      <c r="J807" s="80" t="str">
        <f t="shared" si="580"/>
        <v>female</v>
      </c>
      <c r="K807" s="58">
        <v>5.99682503E8</v>
      </c>
      <c r="L807" s="55" t="s">
        <v>34</v>
      </c>
      <c r="M807" s="57" t="s">
        <v>89</v>
      </c>
      <c r="N807" s="55" t="s">
        <v>90</v>
      </c>
      <c r="O807" s="55"/>
      <c r="P807" s="55" t="s">
        <v>91</v>
      </c>
      <c r="Q807" s="58" t="s">
        <v>4</v>
      </c>
      <c r="R807" s="55"/>
      <c r="S807" s="55"/>
      <c r="T807" s="82"/>
      <c r="U807" s="82"/>
      <c r="V807" s="57"/>
      <c r="W807" s="57"/>
      <c r="X807" s="57" t="str">
        <f t="shared" si="499"/>
        <v>--800-10-05</v>
      </c>
      <c r="Y807" s="58" t="str">
        <f t="shared" ref="Y807:AC807" si="759">TRIM(SUBSTITUTE(SUBSTITUTE(OFFSET(#REF!,0,COLUMN()-COLUMN($AL$1)),CHAR(160)," "),_xludf.UNICHAR(8239)," "))</f>
        <v>#REF!</v>
      </c>
      <c r="Z807" s="58" t="str">
        <f t="shared" si="759"/>
        <v>#REF!</v>
      </c>
      <c r="AA807" s="58" t="str">
        <f t="shared" si="759"/>
        <v>#REF!</v>
      </c>
      <c r="AB807" s="58" t="str">
        <f t="shared" si="759"/>
        <v>#REF!</v>
      </c>
      <c r="AC807" s="58" t="str">
        <f t="shared" si="759"/>
        <v>#REF!</v>
      </c>
      <c r="AD807" s="57">
        <f t="shared" si="582"/>
        <v>1</v>
      </c>
      <c r="AE807" s="57" t="str">
        <f t="shared" si="583"/>
        <v>2026-05</v>
      </c>
      <c r="AF807" s="57">
        <f t="shared" si="584"/>
        <v>1</v>
      </c>
      <c r="AG807" s="59">
        <f t="shared" si="585"/>
        <v>1</v>
      </c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</row>
    <row r="808" ht="24.0" customHeight="1">
      <c r="A808" s="45">
        <v>78.0</v>
      </c>
      <c r="B808" s="74" t="s">
        <v>2329</v>
      </c>
      <c r="C808" s="55" t="s">
        <v>2266</v>
      </c>
      <c r="D808" s="75"/>
      <c r="E808" s="57">
        <v>4.03272927E8</v>
      </c>
      <c r="F808" s="76">
        <v>35571.0</v>
      </c>
      <c r="G808" s="77">
        <v>29.0</v>
      </c>
      <c r="H808" s="78" t="str">
        <f t="shared" si="699"/>
        <v>19-60</v>
      </c>
      <c r="I808" s="79" t="s">
        <v>86</v>
      </c>
      <c r="J808" s="80" t="str">
        <f t="shared" si="580"/>
        <v>female</v>
      </c>
      <c r="K808" s="58">
        <v>5.92252242E8</v>
      </c>
      <c r="L808" s="55" t="s">
        <v>34</v>
      </c>
      <c r="M808" s="57" t="s">
        <v>89</v>
      </c>
      <c r="N808" s="55" t="s">
        <v>90</v>
      </c>
      <c r="O808" s="55"/>
      <c r="P808" s="55" t="s">
        <v>91</v>
      </c>
      <c r="Q808" s="58" t="s">
        <v>16</v>
      </c>
      <c r="R808" s="55"/>
      <c r="S808" s="55"/>
      <c r="T808" s="82"/>
      <c r="U808" s="82"/>
      <c r="V808" s="57"/>
      <c r="W808" s="57"/>
      <c r="X808" s="57" t="str">
        <f t="shared" si="499"/>
        <v>--801-10-05</v>
      </c>
      <c r="Y808" s="58" t="str">
        <f t="shared" ref="Y808:AC808" si="760">TRIM(SUBSTITUTE(SUBSTITUTE(OFFSET(#REF!,0,COLUMN()-COLUMN($AL$1)),CHAR(160)," "),_xludf.UNICHAR(8239)," "))</f>
        <v>#REF!</v>
      </c>
      <c r="Z808" s="58" t="str">
        <f t="shared" si="760"/>
        <v>#REF!</v>
      </c>
      <c r="AA808" s="58" t="str">
        <f t="shared" si="760"/>
        <v>#REF!</v>
      </c>
      <c r="AB808" s="58" t="str">
        <f t="shared" si="760"/>
        <v>#REF!</v>
      </c>
      <c r="AC808" s="58" t="str">
        <f t="shared" si="760"/>
        <v>#REF!</v>
      </c>
      <c r="AD808" s="57">
        <f t="shared" si="582"/>
        <v>1</v>
      </c>
      <c r="AE808" s="57" t="str">
        <f t="shared" si="583"/>
        <v>2026-05</v>
      </c>
      <c r="AF808" s="57">
        <f t="shared" si="584"/>
        <v>1</v>
      </c>
      <c r="AG808" s="59">
        <f t="shared" si="585"/>
        <v>1</v>
      </c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</row>
    <row r="809" ht="24.0" customHeight="1">
      <c r="A809" s="45">
        <v>79.0</v>
      </c>
      <c r="B809" s="74" t="s">
        <v>2330</v>
      </c>
      <c r="C809" s="55" t="s">
        <v>2266</v>
      </c>
      <c r="D809" s="75"/>
      <c r="E809" s="57">
        <v>4.70305855E8</v>
      </c>
      <c r="F809" s="76">
        <v>45607.0</v>
      </c>
      <c r="G809" s="77">
        <v>2.0</v>
      </c>
      <c r="H809" s="78" t="str">
        <f t="shared" si="699"/>
        <v>0-5</v>
      </c>
      <c r="I809" s="79" t="s">
        <v>86</v>
      </c>
      <c r="J809" s="80" t="str">
        <f t="shared" si="580"/>
        <v>female</v>
      </c>
      <c r="K809" s="58">
        <v>5.92252242E8</v>
      </c>
      <c r="L809" s="55" t="s">
        <v>34</v>
      </c>
      <c r="M809" s="57" t="s">
        <v>133</v>
      </c>
      <c r="N809" s="55" t="s">
        <v>90</v>
      </c>
      <c r="O809" s="55"/>
      <c r="P809" s="55" t="s">
        <v>91</v>
      </c>
      <c r="Q809" s="58" t="s">
        <v>16</v>
      </c>
      <c r="R809" s="55"/>
      <c r="S809" s="55"/>
      <c r="T809" s="82"/>
      <c r="U809" s="82"/>
      <c r="V809" s="57"/>
      <c r="W809" s="57"/>
      <c r="X809" s="57" t="str">
        <f t="shared" si="499"/>
        <v>--802-10-05</v>
      </c>
      <c r="Y809" s="58" t="str">
        <f t="shared" ref="Y809:AC809" si="761">TRIM(SUBSTITUTE(SUBSTITUTE(OFFSET(#REF!,0,COLUMN()-COLUMN($AL$1)),CHAR(160)," "),_xludf.UNICHAR(8239)," "))</f>
        <v>#REF!</v>
      </c>
      <c r="Z809" s="58" t="str">
        <f t="shared" si="761"/>
        <v>#REF!</v>
      </c>
      <c r="AA809" s="58" t="str">
        <f t="shared" si="761"/>
        <v>#REF!</v>
      </c>
      <c r="AB809" s="58" t="str">
        <f t="shared" si="761"/>
        <v>#REF!</v>
      </c>
      <c r="AC809" s="58" t="str">
        <f t="shared" si="761"/>
        <v>#REF!</v>
      </c>
      <c r="AD809" s="57">
        <f t="shared" si="582"/>
        <v>1</v>
      </c>
      <c r="AE809" s="57" t="str">
        <f t="shared" si="583"/>
        <v>2026-05</v>
      </c>
      <c r="AF809" s="57">
        <f t="shared" si="584"/>
        <v>1</v>
      </c>
      <c r="AG809" s="59">
        <f t="shared" si="585"/>
        <v>1</v>
      </c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</row>
    <row r="810" ht="24.0" customHeight="1">
      <c r="A810" s="45">
        <v>80.0</v>
      </c>
      <c r="B810" s="74" t="s">
        <v>2331</v>
      </c>
      <c r="C810" s="55" t="s">
        <v>2266</v>
      </c>
      <c r="D810" s="75"/>
      <c r="E810" s="57">
        <v>9.34863358E8</v>
      </c>
      <c r="F810" s="76">
        <v>24136.0</v>
      </c>
      <c r="G810" s="77">
        <v>60.0</v>
      </c>
      <c r="H810" s="78" t="str">
        <f t="shared" si="699"/>
        <v>19-60</v>
      </c>
      <c r="I810" s="79" t="s">
        <v>86</v>
      </c>
      <c r="J810" s="80" t="str">
        <f t="shared" si="580"/>
        <v>female</v>
      </c>
      <c r="K810" s="58">
        <v>5.9211644E8</v>
      </c>
      <c r="L810" s="55" t="s">
        <v>34</v>
      </c>
      <c r="M810" s="57" t="s">
        <v>89</v>
      </c>
      <c r="N810" s="55" t="s">
        <v>90</v>
      </c>
      <c r="O810" s="55"/>
      <c r="P810" s="55" t="s">
        <v>91</v>
      </c>
      <c r="Q810" s="55"/>
      <c r="R810" s="55"/>
      <c r="S810" s="58" t="s">
        <v>6</v>
      </c>
      <c r="T810" s="82"/>
      <c r="U810" s="82"/>
      <c r="V810" s="57"/>
      <c r="W810" s="57"/>
      <c r="X810" s="57" t="str">
        <f t="shared" si="499"/>
        <v>--803-10-05</v>
      </c>
      <c r="Y810" s="58" t="str">
        <f t="shared" ref="Y810:AC810" si="762">TRIM(SUBSTITUTE(SUBSTITUTE(OFFSET(#REF!,0,COLUMN()-COLUMN($AL$1)),CHAR(160)," "),_xludf.UNICHAR(8239)," "))</f>
        <v>#REF!</v>
      </c>
      <c r="Z810" s="58" t="str">
        <f t="shared" si="762"/>
        <v>#REF!</v>
      </c>
      <c r="AA810" s="58" t="str">
        <f t="shared" si="762"/>
        <v>#REF!</v>
      </c>
      <c r="AB810" s="58" t="str">
        <f t="shared" si="762"/>
        <v>#REF!</v>
      </c>
      <c r="AC810" s="58" t="str">
        <f t="shared" si="762"/>
        <v>#REF!</v>
      </c>
      <c r="AD810" s="57">
        <f t="shared" si="582"/>
        <v>1</v>
      </c>
      <c r="AE810" s="57" t="str">
        <f t="shared" si="583"/>
        <v>2026-05</v>
      </c>
      <c r="AF810" s="57">
        <f t="shared" si="584"/>
        <v>1</v>
      </c>
      <c r="AG810" s="59">
        <f t="shared" si="585"/>
        <v>1</v>
      </c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</row>
    <row r="811" ht="24.0" customHeight="1">
      <c r="A811" s="45">
        <v>81.0</v>
      </c>
      <c r="B811" s="74" t="s">
        <v>2332</v>
      </c>
      <c r="C811" s="55" t="s">
        <v>2266</v>
      </c>
      <c r="D811" s="75"/>
      <c r="E811" s="57">
        <v>9.00298746E8</v>
      </c>
      <c r="F811" s="76">
        <v>27551.0</v>
      </c>
      <c r="G811" s="77">
        <v>51.0</v>
      </c>
      <c r="H811" s="78" t="str">
        <f t="shared" si="699"/>
        <v>19-60</v>
      </c>
      <c r="I811" s="79" t="s">
        <v>86</v>
      </c>
      <c r="J811" s="80" t="str">
        <f t="shared" si="580"/>
        <v>female</v>
      </c>
      <c r="K811" s="58">
        <v>5.99619798E8</v>
      </c>
      <c r="L811" s="55" t="s">
        <v>34</v>
      </c>
      <c r="M811" s="57" t="s">
        <v>89</v>
      </c>
      <c r="N811" s="55" t="s">
        <v>90</v>
      </c>
      <c r="O811" s="55"/>
      <c r="P811" s="55" t="s">
        <v>91</v>
      </c>
      <c r="Q811" s="58" t="s">
        <v>16</v>
      </c>
      <c r="R811" s="81"/>
      <c r="S811" s="57"/>
      <c r="T811" s="82"/>
      <c r="U811" s="82"/>
      <c r="V811" s="57"/>
      <c r="W811" s="57"/>
      <c r="X811" s="57" t="str">
        <f t="shared" si="499"/>
        <v>--804-10-05</v>
      </c>
      <c r="Y811" s="58" t="str">
        <f t="shared" ref="Y811:AC811" si="763">TRIM(SUBSTITUTE(SUBSTITUTE(OFFSET(#REF!,0,COLUMN()-COLUMN($AL$1)),CHAR(160)," "),_xludf.UNICHAR(8239)," "))</f>
        <v>#REF!</v>
      </c>
      <c r="Z811" s="58" t="str">
        <f t="shared" si="763"/>
        <v>#REF!</v>
      </c>
      <c r="AA811" s="58" t="str">
        <f t="shared" si="763"/>
        <v>#REF!</v>
      </c>
      <c r="AB811" s="58" t="str">
        <f t="shared" si="763"/>
        <v>#REF!</v>
      </c>
      <c r="AC811" s="58" t="str">
        <f t="shared" si="763"/>
        <v>#REF!</v>
      </c>
      <c r="AD811" s="57">
        <f t="shared" si="582"/>
        <v>1</v>
      </c>
      <c r="AE811" s="57" t="str">
        <f t="shared" si="583"/>
        <v>2026-05</v>
      </c>
      <c r="AF811" s="57">
        <f t="shared" si="584"/>
        <v>1</v>
      </c>
      <c r="AG811" s="59">
        <f t="shared" si="585"/>
        <v>1</v>
      </c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</row>
    <row r="812" ht="24.0" customHeight="1">
      <c r="A812" s="45">
        <v>82.0</v>
      </c>
      <c r="B812" s="74" t="s">
        <v>1095</v>
      </c>
      <c r="C812" s="55" t="s">
        <v>2266</v>
      </c>
      <c r="D812" s="75">
        <v>46141.0</v>
      </c>
      <c r="E812" s="57">
        <v>4.01216411E8</v>
      </c>
      <c r="F812" s="76">
        <v>35475.0</v>
      </c>
      <c r="G812" s="77">
        <v>29.0</v>
      </c>
      <c r="H812" s="78" t="str">
        <f t="shared" si="699"/>
        <v>19-60</v>
      </c>
      <c r="I812" s="79" t="s">
        <v>112</v>
      </c>
      <c r="J812" s="80" t="str">
        <f t="shared" si="580"/>
        <v>male</v>
      </c>
      <c r="K812" s="58">
        <v>5.95177694E8</v>
      </c>
      <c r="L812" s="55" t="s">
        <v>34</v>
      </c>
      <c r="M812" s="57" t="s">
        <v>89</v>
      </c>
      <c r="N812" s="55" t="s">
        <v>90</v>
      </c>
      <c r="O812" s="55"/>
      <c r="P812" s="55" t="s">
        <v>91</v>
      </c>
      <c r="Q812" s="58" t="s">
        <v>16</v>
      </c>
      <c r="R812" s="81"/>
      <c r="S812" s="57"/>
      <c r="T812" s="82"/>
      <c r="U812" s="82"/>
      <c r="V812" s="57"/>
      <c r="W812" s="57"/>
      <c r="X812" s="57" t="str">
        <f t="shared" si="499"/>
        <v>--805-10-05</v>
      </c>
      <c r="Y812" s="58" t="str">
        <f t="shared" ref="Y812:AC812" si="764">TRIM(SUBSTITUTE(SUBSTITUTE(OFFSET(#REF!,0,COLUMN()-COLUMN($AL$1)),CHAR(160)," "),_xludf.UNICHAR(8239)," "))</f>
        <v>#REF!</v>
      </c>
      <c r="Z812" s="58" t="str">
        <f t="shared" si="764"/>
        <v>#REF!</v>
      </c>
      <c r="AA812" s="58" t="str">
        <f t="shared" si="764"/>
        <v>#REF!</v>
      </c>
      <c r="AB812" s="58" t="str">
        <f t="shared" si="764"/>
        <v>#REF!</v>
      </c>
      <c r="AC812" s="58" t="str">
        <f t="shared" si="764"/>
        <v>#REF!</v>
      </c>
      <c r="AD812" s="57">
        <f t="shared" si="582"/>
        <v>1</v>
      </c>
      <c r="AE812" s="57" t="str">
        <f t="shared" si="583"/>
        <v>2026-05</v>
      </c>
      <c r="AF812" s="57">
        <f t="shared" si="584"/>
        <v>1</v>
      </c>
      <c r="AG812" s="59">
        <f t="shared" si="585"/>
        <v>0</v>
      </c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</row>
    <row r="813" ht="24.0" customHeight="1">
      <c r="A813" s="45">
        <v>83.0</v>
      </c>
      <c r="B813" s="74" t="s">
        <v>2333</v>
      </c>
      <c r="C813" s="55" t="s">
        <v>2266</v>
      </c>
      <c r="D813" s="75">
        <v>46139.0</v>
      </c>
      <c r="E813" s="57">
        <v>4.22333096E8</v>
      </c>
      <c r="F813" s="76">
        <v>39317.0</v>
      </c>
      <c r="G813" s="77">
        <v>19.0</v>
      </c>
      <c r="H813" s="78" t="str">
        <f t="shared" si="699"/>
        <v>19-60</v>
      </c>
      <c r="I813" s="79" t="s">
        <v>112</v>
      </c>
      <c r="J813" s="80" t="str">
        <f t="shared" si="580"/>
        <v>male</v>
      </c>
      <c r="K813" s="58">
        <v>5.92040383E8</v>
      </c>
      <c r="L813" s="55" t="s">
        <v>34</v>
      </c>
      <c r="M813" s="57" t="s">
        <v>89</v>
      </c>
      <c r="N813" s="55" t="s">
        <v>90</v>
      </c>
      <c r="O813" s="55"/>
      <c r="P813" s="55" t="s">
        <v>91</v>
      </c>
      <c r="Q813" s="58" t="s">
        <v>16</v>
      </c>
      <c r="R813" s="81"/>
      <c r="S813" s="57"/>
      <c r="T813" s="82"/>
      <c r="U813" s="82"/>
      <c r="V813" s="57"/>
      <c r="W813" s="57"/>
      <c r="X813" s="57" t="str">
        <f t="shared" si="499"/>
        <v>--806-10-05</v>
      </c>
      <c r="Y813" s="58" t="str">
        <f t="shared" ref="Y813:AC813" si="765">TRIM(SUBSTITUTE(SUBSTITUTE(OFFSET(#REF!,0,COLUMN()-COLUMN($AL$1)),CHAR(160)," "),_xludf.UNICHAR(8239)," "))</f>
        <v>#REF!</v>
      </c>
      <c r="Z813" s="58" t="str">
        <f t="shared" si="765"/>
        <v>#REF!</v>
      </c>
      <c r="AA813" s="58" t="str">
        <f t="shared" si="765"/>
        <v>#REF!</v>
      </c>
      <c r="AB813" s="58" t="str">
        <f t="shared" si="765"/>
        <v>#REF!</v>
      </c>
      <c r="AC813" s="58" t="str">
        <f t="shared" si="765"/>
        <v>#REF!</v>
      </c>
      <c r="AD813" s="57">
        <f t="shared" si="582"/>
        <v>1</v>
      </c>
      <c r="AE813" s="57" t="str">
        <f t="shared" si="583"/>
        <v>2026-05</v>
      </c>
      <c r="AF813" s="57">
        <f t="shared" si="584"/>
        <v>1</v>
      </c>
      <c r="AG813" s="59">
        <f t="shared" si="585"/>
        <v>0</v>
      </c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</row>
    <row r="814" ht="24.0" customHeight="1">
      <c r="A814" s="45">
        <v>84.0</v>
      </c>
      <c r="B814" s="74" t="s">
        <v>2334</v>
      </c>
      <c r="C814" s="55" t="s">
        <v>2266</v>
      </c>
      <c r="D814" s="75"/>
      <c r="E814" s="57">
        <v>9.01884981E8</v>
      </c>
      <c r="F814" s="76">
        <v>29043.0</v>
      </c>
      <c r="G814" s="77">
        <v>47.0</v>
      </c>
      <c r="H814" s="78" t="str">
        <f t="shared" si="699"/>
        <v>19-60</v>
      </c>
      <c r="I814" s="79" t="s">
        <v>112</v>
      </c>
      <c r="J814" s="80" t="str">
        <f t="shared" si="580"/>
        <v>male</v>
      </c>
      <c r="K814" s="58">
        <v>5.99858512E8</v>
      </c>
      <c r="L814" s="55" t="s">
        <v>34</v>
      </c>
      <c r="M814" s="57" t="s">
        <v>89</v>
      </c>
      <c r="N814" s="55" t="s">
        <v>90</v>
      </c>
      <c r="O814" s="55"/>
      <c r="P814" s="55" t="s">
        <v>91</v>
      </c>
      <c r="Q814" s="58" t="s">
        <v>16</v>
      </c>
      <c r="R814" s="81"/>
      <c r="S814" s="57"/>
      <c r="T814" s="82"/>
      <c r="U814" s="82"/>
      <c r="V814" s="57"/>
      <c r="W814" s="57"/>
      <c r="X814" s="57" t="str">
        <f t="shared" si="499"/>
        <v>--807-10-05</v>
      </c>
      <c r="Y814" s="58" t="str">
        <f t="shared" ref="Y814:AC814" si="766">TRIM(SUBSTITUTE(SUBSTITUTE(OFFSET(#REF!,0,COLUMN()-COLUMN($AL$1)),CHAR(160)," "),_xludf.UNICHAR(8239)," "))</f>
        <v>#REF!</v>
      </c>
      <c r="Z814" s="58" t="str">
        <f t="shared" si="766"/>
        <v>#REF!</v>
      </c>
      <c r="AA814" s="58" t="str">
        <f t="shared" si="766"/>
        <v>#REF!</v>
      </c>
      <c r="AB814" s="58" t="str">
        <f t="shared" si="766"/>
        <v>#REF!</v>
      </c>
      <c r="AC814" s="58" t="str">
        <f t="shared" si="766"/>
        <v>#REF!</v>
      </c>
      <c r="AD814" s="57">
        <f t="shared" si="582"/>
        <v>1</v>
      </c>
      <c r="AE814" s="57" t="str">
        <f t="shared" si="583"/>
        <v>2026-05</v>
      </c>
      <c r="AF814" s="57">
        <f t="shared" si="584"/>
        <v>1</v>
      </c>
      <c r="AG814" s="59">
        <f t="shared" si="585"/>
        <v>1</v>
      </c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</row>
    <row r="815">
      <c r="A815" s="53">
        <v>1.0</v>
      </c>
      <c r="B815" s="54" t="s">
        <v>402</v>
      </c>
      <c r="C815" s="55" t="s">
        <v>2335</v>
      </c>
      <c r="D815" s="60">
        <v>46152.0</v>
      </c>
      <c r="E815" s="55" t="s">
        <v>403</v>
      </c>
      <c r="F815" s="55" t="s">
        <v>2336</v>
      </c>
      <c r="G815" s="55">
        <v>56.0</v>
      </c>
      <c r="H815" s="55" t="s">
        <v>85</v>
      </c>
      <c r="I815" s="55" t="s">
        <v>112</v>
      </c>
      <c r="J815" s="56" t="s">
        <v>113</v>
      </c>
      <c r="K815" s="55" t="s">
        <v>405</v>
      </c>
      <c r="L815" s="55" t="s">
        <v>34</v>
      </c>
      <c r="M815" s="55" t="s">
        <v>89</v>
      </c>
      <c r="N815" s="55" t="s">
        <v>90</v>
      </c>
      <c r="O815" s="55"/>
      <c r="P815" s="55" t="s">
        <v>91</v>
      </c>
      <c r="Q815" s="55"/>
      <c r="R815" s="55"/>
      <c r="S815" s="55" t="s">
        <v>18</v>
      </c>
      <c r="T815" s="55"/>
      <c r="U815" s="55"/>
      <c r="V815" s="55"/>
      <c r="W815" s="55"/>
      <c r="X815" s="57" t="str">
        <f t="shared" si="499"/>
        <v>--808-11-05</v>
      </c>
      <c r="Y815" s="55"/>
      <c r="Z815" s="55"/>
      <c r="AA815" s="55"/>
      <c r="AB815" s="55"/>
      <c r="AC815" s="55"/>
      <c r="AD815" s="55"/>
      <c r="AE815" s="55"/>
      <c r="AF815" s="55"/>
      <c r="AG815" s="84"/>
    </row>
    <row r="816">
      <c r="A816" s="53">
        <v>2.0</v>
      </c>
      <c r="B816" s="54" t="s">
        <v>2337</v>
      </c>
      <c r="C816" s="55" t="s">
        <v>2335</v>
      </c>
      <c r="D816" s="55"/>
      <c r="E816" s="55" t="s">
        <v>2338</v>
      </c>
      <c r="F816" s="55" t="s">
        <v>2339</v>
      </c>
      <c r="G816" s="55">
        <v>32.0</v>
      </c>
      <c r="H816" s="55" t="s">
        <v>85</v>
      </c>
      <c r="I816" s="55" t="s">
        <v>86</v>
      </c>
      <c r="J816" s="56" t="s">
        <v>87</v>
      </c>
      <c r="K816" s="55" t="s">
        <v>2340</v>
      </c>
      <c r="L816" s="55" t="s">
        <v>12</v>
      </c>
      <c r="M816" s="55" t="s">
        <v>89</v>
      </c>
      <c r="N816" s="55" t="s">
        <v>90</v>
      </c>
      <c r="O816" s="55"/>
      <c r="P816" s="55" t="s">
        <v>91</v>
      </c>
      <c r="Q816" s="55"/>
      <c r="R816" s="55" t="s">
        <v>36</v>
      </c>
      <c r="S816" s="55"/>
      <c r="T816" s="55"/>
      <c r="U816" s="55"/>
      <c r="V816" s="55"/>
      <c r="W816" s="55"/>
      <c r="X816" s="57" t="str">
        <f t="shared" si="499"/>
        <v>--809-11-05</v>
      </c>
      <c r="Y816" s="55"/>
      <c r="Z816" s="55"/>
      <c r="AA816" s="55"/>
      <c r="AB816" s="55"/>
      <c r="AC816" s="55"/>
      <c r="AD816" s="55"/>
      <c r="AE816" s="55"/>
      <c r="AF816" s="55"/>
      <c r="AG816" s="84"/>
    </row>
    <row r="817">
      <c r="A817" s="53">
        <v>3.0</v>
      </c>
      <c r="B817" s="54" t="s">
        <v>2341</v>
      </c>
      <c r="C817" s="55" t="s">
        <v>2335</v>
      </c>
      <c r="D817" s="55"/>
      <c r="E817" s="55" t="s">
        <v>2342</v>
      </c>
      <c r="F817" s="55" t="s">
        <v>2343</v>
      </c>
      <c r="G817" s="55">
        <v>2.0</v>
      </c>
      <c r="H817" s="55" t="s">
        <v>119</v>
      </c>
      <c r="I817" s="55" t="s">
        <v>86</v>
      </c>
      <c r="J817" s="56" t="s">
        <v>87</v>
      </c>
      <c r="K817" s="55" t="s">
        <v>2344</v>
      </c>
      <c r="L817" s="55" t="s">
        <v>34</v>
      </c>
      <c r="M817" s="55" t="s">
        <v>133</v>
      </c>
      <c r="N817" s="55" t="s">
        <v>90</v>
      </c>
      <c r="O817" s="55"/>
      <c r="P817" s="55" t="s">
        <v>91</v>
      </c>
      <c r="Q817" s="55" t="s">
        <v>16</v>
      </c>
      <c r="R817" s="55"/>
      <c r="S817" s="55"/>
      <c r="T817" s="55"/>
      <c r="U817" s="55"/>
      <c r="V817" s="55"/>
      <c r="W817" s="55"/>
      <c r="X817" s="57" t="str">
        <f t="shared" si="499"/>
        <v>--810-11-05</v>
      </c>
      <c r="Y817" s="55"/>
      <c r="Z817" s="55"/>
      <c r="AA817" s="55"/>
      <c r="AB817" s="55"/>
      <c r="AC817" s="55"/>
      <c r="AD817" s="55"/>
      <c r="AE817" s="55"/>
      <c r="AF817" s="55"/>
      <c r="AG817" s="84"/>
    </row>
    <row r="818">
      <c r="A818" s="53">
        <v>4.0</v>
      </c>
      <c r="B818" s="54" t="s">
        <v>2345</v>
      </c>
      <c r="C818" s="55" t="s">
        <v>2335</v>
      </c>
      <c r="D818" s="55"/>
      <c r="E818" s="55" t="s">
        <v>2346</v>
      </c>
      <c r="F818" s="55" t="s">
        <v>2347</v>
      </c>
      <c r="G818" s="55">
        <v>15.0</v>
      </c>
      <c r="H818" s="55" t="s">
        <v>111</v>
      </c>
      <c r="I818" s="55" t="s">
        <v>112</v>
      </c>
      <c r="J818" s="56" t="s">
        <v>113</v>
      </c>
      <c r="K818" s="55" t="s">
        <v>1001</v>
      </c>
      <c r="L818" s="55" t="s">
        <v>13</v>
      </c>
      <c r="M818" s="55" t="s">
        <v>133</v>
      </c>
      <c r="N818" s="55" t="s">
        <v>90</v>
      </c>
      <c r="O818" s="55"/>
      <c r="P818" s="55" t="s">
        <v>91</v>
      </c>
      <c r="Q818" s="55" t="s">
        <v>16</v>
      </c>
      <c r="R818" s="55"/>
      <c r="S818" s="55"/>
      <c r="T818" s="55"/>
      <c r="U818" s="55"/>
      <c r="V818" s="55"/>
      <c r="W818" s="55"/>
      <c r="X818" s="57" t="str">
        <f t="shared" si="499"/>
        <v>--811-11-05</v>
      </c>
      <c r="Y818" s="55"/>
      <c r="Z818" s="55"/>
      <c r="AA818" s="55"/>
      <c r="AB818" s="55"/>
      <c r="AC818" s="55"/>
      <c r="AD818" s="55"/>
      <c r="AE818" s="55"/>
      <c r="AF818" s="55"/>
      <c r="AG818" s="84"/>
    </row>
    <row r="819">
      <c r="A819" s="53">
        <v>5.0</v>
      </c>
      <c r="B819" s="54" t="s">
        <v>998</v>
      </c>
      <c r="C819" s="55" t="s">
        <v>2335</v>
      </c>
      <c r="D819" s="60">
        <v>46141.0</v>
      </c>
      <c r="E819" s="55" t="s">
        <v>999</v>
      </c>
      <c r="F819" s="55" t="s">
        <v>2348</v>
      </c>
      <c r="G819" s="55">
        <v>44.0</v>
      </c>
      <c r="H819" s="55" t="s">
        <v>85</v>
      </c>
      <c r="I819" s="55" t="s">
        <v>86</v>
      </c>
      <c r="J819" s="56" t="s">
        <v>87</v>
      </c>
      <c r="K819" s="55" t="s">
        <v>1001</v>
      </c>
      <c r="L819" s="55" t="s">
        <v>34</v>
      </c>
      <c r="M819" s="55" t="s">
        <v>89</v>
      </c>
      <c r="N819" s="55" t="s">
        <v>90</v>
      </c>
      <c r="O819" s="55"/>
      <c r="P819" s="55" t="s">
        <v>91</v>
      </c>
      <c r="Q819" s="55"/>
      <c r="R819" s="55" t="s">
        <v>27</v>
      </c>
      <c r="S819" s="55"/>
      <c r="T819" s="55"/>
      <c r="U819" s="55"/>
      <c r="V819" s="55"/>
      <c r="W819" s="55"/>
      <c r="X819" s="57" t="str">
        <f t="shared" si="499"/>
        <v>--812-11-05</v>
      </c>
      <c r="Y819" s="55"/>
      <c r="Z819" s="55"/>
      <c r="AA819" s="55"/>
      <c r="AB819" s="55"/>
      <c r="AC819" s="55"/>
      <c r="AD819" s="55"/>
      <c r="AE819" s="55"/>
      <c r="AF819" s="55"/>
      <c r="AG819" s="84"/>
    </row>
    <row r="820">
      <c r="A820" s="53">
        <v>6.0</v>
      </c>
      <c r="B820" s="54" t="s">
        <v>2349</v>
      </c>
      <c r="C820" s="55" t="s">
        <v>2335</v>
      </c>
      <c r="D820" s="55"/>
      <c r="E820" s="55" t="s">
        <v>2350</v>
      </c>
      <c r="F820" s="55" t="s">
        <v>2351</v>
      </c>
      <c r="G820" s="55">
        <v>33.0</v>
      </c>
      <c r="H820" s="55" t="s">
        <v>85</v>
      </c>
      <c r="I820" s="55" t="s">
        <v>86</v>
      </c>
      <c r="J820" s="56" t="s">
        <v>87</v>
      </c>
      <c r="K820" s="55" t="s">
        <v>2352</v>
      </c>
      <c r="L820" s="55" t="s">
        <v>34</v>
      </c>
      <c r="M820" s="55" t="s">
        <v>89</v>
      </c>
      <c r="N820" s="55" t="s">
        <v>90</v>
      </c>
      <c r="O820" s="55"/>
      <c r="P820" s="55" t="s">
        <v>91</v>
      </c>
      <c r="Q820" s="55"/>
      <c r="R820" s="55" t="s">
        <v>27</v>
      </c>
      <c r="S820" s="55"/>
      <c r="T820" s="55"/>
      <c r="U820" s="55"/>
      <c r="V820" s="55"/>
      <c r="W820" s="55"/>
      <c r="X820" s="57" t="str">
        <f t="shared" si="499"/>
        <v>--813-11-05</v>
      </c>
      <c r="Y820" s="55"/>
      <c r="Z820" s="55"/>
      <c r="AA820" s="55"/>
      <c r="AB820" s="55"/>
      <c r="AC820" s="55"/>
      <c r="AD820" s="55"/>
      <c r="AE820" s="55"/>
      <c r="AF820" s="55"/>
      <c r="AG820" s="84"/>
    </row>
    <row r="821">
      <c r="A821" s="53">
        <v>7.0</v>
      </c>
      <c r="B821" s="54" t="s">
        <v>944</v>
      </c>
      <c r="C821" s="55" t="s">
        <v>2335</v>
      </c>
      <c r="D821" s="60">
        <v>46145.0</v>
      </c>
      <c r="E821" s="55" t="s">
        <v>946</v>
      </c>
      <c r="F821" s="55" t="s">
        <v>2353</v>
      </c>
      <c r="G821" s="55">
        <v>49.0</v>
      </c>
      <c r="H821" s="55" t="s">
        <v>85</v>
      </c>
      <c r="I821" s="55" t="s">
        <v>86</v>
      </c>
      <c r="J821" s="56" t="s">
        <v>87</v>
      </c>
      <c r="K821" s="55" t="s">
        <v>2354</v>
      </c>
      <c r="L821" s="55" t="s">
        <v>13</v>
      </c>
      <c r="M821" s="55" t="s">
        <v>89</v>
      </c>
      <c r="N821" s="55" t="s">
        <v>90</v>
      </c>
      <c r="O821" s="55"/>
      <c r="P821" s="55" t="s">
        <v>91</v>
      </c>
      <c r="Q821" s="55"/>
      <c r="R821" s="55" t="s">
        <v>36</v>
      </c>
      <c r="S821" s="55"/>
      <c r="T821" s="55"/>
      <c r="U821" s="55"/>
      <c r="V821" s="55"/>
      <c r="W821" s="55"/>
      <c r="X821" s="57" t="str">
        <f t="shared" si="499"/>
        <v>--814-11-05</v>
      </c>
      <c r="Y821" s="55"/>
      <c r="Z821" s="55"/>
      <c r="AA821" s="55"/>
      <c r="AB821" s="55"/>
      <c r="AC821" s="55"/>
      <c r="AD821" s="55"/>
      <c r="AE821" s="55"/>
      <c r="AF821" s="55"/>
      <c r="AG821" s="84"/>
    </row>
    <row r="822">
      <c r="A822" s="53">
        <v>8.0</v>
      </c>
      <c r="B822" s="54" t="s">
        <v>2355</v>
      </c>
      <c r="C822" s="55" t="s">
        <v>2335</v>
      </c>
      <c r="D822" s="55"/>
      <c r="E822" s="55" t="s">
        <v>2356</v>
      </c>
      <c r="F822" s="55" t="s">
        <v>2357</v>
      </c>
      <c r="G822" s="55">
        <v>37.0</v>
      </c>
      <c r="H822" s="55" t="s">
        <v>85</v>
      </c>
      <c r="I822" s="55" t="s">
        <v>86</v>
      </c>
      <c r="J822" s="56" t="s">
        <v>87</v>
      </c>
      <c r="K822" s="55" t="s">
        <v>2358</v>
      </c>
      <c r="L822" s="55" t="s">
        <v>34</v>
      </c>
      <c r="M822" s="55" t="s">
        <v>89</v>
      </c>
      <c r="N822" s="55" t="s">
        <v>90</v>
      </c>
      <c r="O822" s="55"/>
      <c r="P822" s="55" t="s">
        <v>91</v>
      </c>
      <c r="Q822" s="55"/>
      <c r="R822" s="55" t="s">
        <v>5</v>
      </c>
      <c r="S822" s="55"/>
      <c r="T822" s="55"/>
      <c r="U822" s="55" t="s">
        <v>7</v>
      </c>
      <c r="V822" s="55"/>
      <c r="W822" s="55"/>
      <c r="X822" s="57" t="str">
        <f t="shared" si="499"/>
        <v>--815-11-05</v>
      </c>
      <c r="Y822" s="55"/>
      <c r="Z822" s="55"/>
      <c r="AA822" s="55"/>
      <c r="AB822" s="55"/>
      <c r="AC822" s="55"/>
      <c r="AD822" s="55"/>
      <c r="AE822" s="55"/>
      <c r="AF822" s="55"/>
      <c r="AG822" s="84"/>
    </row>
    <row r="823">
      <c r="A823" s="53">
        <v>9.0</v>
      </c>
      <c r="B823" s="54" t="s">
        <v>2359</v>
      </c>
      <c r="C823" s="55" t="s">
        <v>2335</v>
      </c>
      <c r="D823" s="55"/>
      <c r="E823" s="55" t="s">
        <v>2360</v>
      </c>
      <c r="F823" s="55" t="s">
        <v>2361</v>
      </c>
      <c r="G823" s="55">
        <v>1.0</v>
      </c>
      <c r="H823" s="55" t="s">
        <v>119</v>
      </c>
      <c r="I823" s="55" t="s">
        <v>112</v>
      </c>
      <c r="J823" s="56" t="s">
        <v>113</v>
      </c>
      <c r="K823" s="55" t="s">
        <v>2362</v>
      </c>
      <c r="L823" s="55" t="s">
        <v>34</v>
      </c>
      <c r="M823" s="55" t="s">
        <v>133</v>
      </c>
      <c r="N823" s="55" t="s">
        <v>90</v>
      </c>
      <c r="O823" s="55"/>
      <c r="P823" s="55" t="s">
        <v>91</v>
      </c>
      <c r="Q823" s="55" t="s">
        <v>16</v>
      </c>
      <c r="R823" s="55"/>
      <c r="S823" s="55"/>
      <c r="T823" s="55"/>
      <c r="U823" s="55"/>
      <c r="V823" s="55"/>
      <c r="W823" s="55"/>
      <c r="X823" s="57" t="str">
        <f t="shared" si="499"/>
        <v>--816-11-05</v>
      </c>
      <c r="Y823" s="55"/>
      <c r="Z823" s="55"/>
      <c r="AA823" s="55"/>
      <c r="AB823" s="55"/>
      <c r="AC823" s="55"/>
      <c r="AD823" s="55"/>
      <c r="AE823" s="55"/>
      <c r="AF823" s="55"/>
      <c r="AG823" s="84"/>
    </row>
    <row r="824">
      <c r="A824" s="53">
        <v>10.0</v>
      </c>
      <c r="B824" s="54" t="s">
        <v>2363</v>
      </c>
      <c r="C824" s="55" t="s">
        <v>2335</v>
      </c>
      <c r="D824" s="55"/>
      <c r="E824" s="55" t="s">
        <v>2364</v>
      </c>
      <c r="F824" s="55" t="s">
        <v>2365</v>
      </c>
      <c r="G824" s="55">
        <v>34.0</v>
      </c>
      <c r="H824" s="55" t="s">
        <v>85</v>
      </c>
      <c r="I824" s="55" t="s">
        <v>86</v>
      </c>
      <c r="J824" s="56" t="s">
        <v>87</v>
      </c>
      <c r="K824" s="55" t="s">
        <v>2362</v>
      </c>
      <c r="L824" s="55"/>
      <c r="M824" s="55" t="s">
        <v>89</v>
      </c>
      <c r="N824" s="55" t="s">
        <v>90</v>
      </c>
      <c r="O824" s="55"/>
      <c r="P824" s="55" t="s">
        <v>91</v>
      </c>
      <c r="Q824" s="55"/>
      <c r="R824" s="55" t="s">
        <v>5</v>
      </c>
      <c r="S824" s="55"/>
      <c r="T824" s="55"/>
      <c r="U824" s="55" t="s">
        <v>7</v>
      </c>
      <c r="V824" s="55"/>
      <c r="W824" s="55"/>
      <c r="X824" s="57" t="str">
        <f t="shared" si="499"/>
        <v>--817-11-05</v>
      </c>
      <c r="Y824" s="55"/>
      <c r="Z824" s="55"/>
      <c r="AA824" s="55"/>
      <c r="AB824" s="55"/>
      <c r="AC824" s="55"/>
      <c r="AD824" s="55"/>
      <c r="AE824" s="55"/>
      <c r="AF824" s="55"/>
      <c r="AG824" s="84"/>
    </row>
    <row r="825">
      <c r="A825" s="53">
        <v>11.0</v>
      </c>
      <c r="B825" s="54" t="s">
        <v>2366</v>
      </c>
      <c r="C825" s="55" t="s">
        <v>2335</v>
      </c>
      <c r="D825" s="55"/>
      <c r="E825" s="55" t="s">
        <v>2367</v>
      </c>
      <c r="F825" s="55" t="s">
        <v>2368</v>
      </c>
      <c r="G825" s="55">
        <v>26.0</v>
      </c>
      <c r="H825" s="55" t="s">
        <v>85</v>
      </c>
      <c r="I825" s="55" t="s">
        <v>86</v>
      </c>
      <c r="J825" s="56" t="s">
        <v>87</v>
      </c>
      <c r="K825" s="55" t="s">
        <v>2369</v>
      </c>
      <c r="L825" s="55" t="s">
        <v>12</v>
      </c>
      <c r="M825" s="55" t="s">
        <v>89</v>
      </c>
      <c r="N825" s="55" t="s">
        <v>90</v>
      </c>
      <c r="O825" s="55"/>
      <c r="P825" s="55" t="s">
        <v>91</v>
      </c>
      <c r="Q825" s="55"/>
      <c r="R825" s="55" t="s">
        <v>5</v>
      </c>
      <c r="S825" s="55"/>
      <c r="T825" s="55"/>
      <c r="U825" s="55" t="s">
        <v>7</v>
      </c>
      <c r="V825" s="55"/>
      <c r="W825" s="55"/>
      <c r="X825" s="57" t="str">
        <f t="shared" si="499"/>
        <v>--818-11-05</v>
      </c>
      <c r="Y825" s="55"/>
      <c r="Z825" s="55"/>
      <c r="AA825" s="55"/>
      <c r="AB825" s="55"/>
      <c r="AC825" s="55"/>
      <c r="AD825" s="55"/>
      <c r="AE825" s="55"/>
      <c r="AF825" s="55"/>
      <c r="AG825" s="84"/>
    </row>
    <row r="826">
      <c r="A826" s="53">
        <v>12.0</v>
      </c>
      <c r="B826" s="54" t="s">
        <v>2370</v>
      </c>
      <c r="C826" s="55" t="s">
        <v>2335</v>
      </c>
      <c r="D826" s="55"/>
      <c r="E826" s="55" t="s">
        <v>2371</v>
      </c>
      <c r="F826" s="55" t="s">
        <v>2372</v>
      </c>
      <c r="G826" s="55">
        <v>36.0</v>
      </c>
      <c r="H826" s="55" t="s">
        <v>85</v>
      </c>
      <c r="I826" s="55" t="s">
        <v>86</v>
      </c>
      <c r="J826" s="56" t="s">
        <v>87</v>
      </c>
      <c r="K826" s="55" t="s">
        <v>2373</v>
      </c>
      <c r="L826" s="55" t="s">
        <v>13</v>
      </c>
      <c r="M826" s="55" t="s">
        <v>874</v>
      </c>
      <c r="N826" s="55" t="s">
        <v>90</v>
      </c>
      <c r="O826" s="55"/>
      <c r="P826" s="55" t="s">
        <v>91</v>
      </c>
      <c r="Q826" s="55" t="s">
        <v>16</v>
      </c>
      <c r="R826" s="55"/>
      <c r="S826" s="55"/>
      <c r="T826" s="55"/>
      <c r="U826" s="55"/>
      <c r="V826" s="55"/>
      <c r="W826" s="55"/>
      <c r="X826" s="57" t="str">
        <f t="shared" si="499"/>
        <v>--819-11-05</v>
      </c>
      <c r="Y826" s="55"/>
      <c r="Z826" s="55"/>
      <c r="AA826" s="55"/>
      <c r="AB826" s="55"/>
      <c r="AC826" s="55"/>
      <c r="AD826" s="55"/>
      <c r="AE826" s="55"/>
      <c r="AF826" s="55"/>
      <c r="AG826" s="84"/>
    </row>
    <row r="827">
      <c r="A827" s="53">
        <v>13.0</v>
      </c>
      <c r="B827" s="54" t="s">
        <v>2374</v>
      </c>
      <c r="C827" s="55" t="s">
        <v>2335</v>
      </c>
      <c r="D827" s="55"/>
      <c r="E827" s="55" t="s">
        <v>2375</v>
      </c>
      <c r="F827" s="55" t="s">
        <v>2376</v>
      </c>
      <c r="G827" s="55">
        <v>75.0</v>
      </c>
      <c r="H827" s="55" t="s">
        <v>260</v>
      </c>
      <c r="I827" s="55" t="s">
        <v>86</v>
      </c>
      <c r="J827" s="56" t="s">
        <v>87</v>
      </c>
      <c r="K827" s="55" t="s">
        <v>2377</v>
      </c>
      <c r="L827" s="55" t="s">
        <v>34</v>
      </c>
      <c r="M827" s="55" t="s">
        <v>398</v>
      </c>
      <c r="N827" s="55" t="s">
        <v>90</v>
      </c>
      <c r="O827" s="55"/>
      <c r="P827" s="55" t="s">
        <v>91</v>
      </c>
      <c r="Q827" s="55" t="s">
        <v>4</v>
      </c>
      <c r="R827" s="55"/>
      <c r="S827" s="55"/>
      <c r="T827" s="55"/>
      <c r="U827" s="55"/>
      <c r="V827" s="55"/>
      <c r="W827" s="55"/>
      <c r="X827" s="57" t="str">
        <f t="shared" si="499"/>
        <v>--820-11-05</v>
      </c>
      <c r="Y827" s="55"/>
      <c r="Z827" s="55"/>
      <c r="AA827" s="55"/>
      <c r="AB827" s="55"/>
      <c r="AC827" s="55"/>
      <c r="AD827" s="55"/>
      <c r="AE827" s="55"/>
      <c r="AF827" s="55"/>
      <c r="AG827" s="84"/>
    </row>
    <row r="828">
      <c r="A828" s="53">
        <v>14.0</v>
      </c>
      <c r="B828" s="54" t="s">
        <v>2378</v>
      </c>
      <c r="C828" s="55" t="s">
        <v>2335</v>
      </c>
      <c r="D828" s="55"/>
      <c r="E828" s="55" t="s">
        <v>2379</v>
      </c>
      <c r="F828" s="55" t="s">
        <v>2380</v>
      </c>
      <c r="G828" s="55">
        <v>35.0</v>
      </c>
      <c r="H828" s="55" t="s">
        <v>85</v>
      </c>
      <c r="I828" s="55" t="s">
        <v>86</v>
      </c>
      <c r="J828" s="56" t="s">
        <v>87</v>
      </c>
      <c r="K828" s="55" t="s">
        <v>2381</v>
      </c>
      <c r="L828" s="55" t="s">
        <v>34</v>
      </c>
      <c r="M828" s="55" t="s">
        <v>89</v>
      </c>
      <c r="N828" s="55" t="s">
        <v>90</v>
      </c>
      <c r="O828" s="55"/>
      <c r="P828" s="55" t="s">
        <v>91</v>
      </c>
      <c r="Q828" s="55"/>
      <c r="R828" s="55" t="s">
        <v>36</v>
      </c>
      <c r="S828" s="55"/>
      <c r="T828" s="55"/>
      <c r="U828" s="55"/>
      <c r="V828" s="55"/>
      <c r="W828" s="55"/>
      <c r="X828" s="57" t="str">
        <f t="shared" si="499"/>
        <v>--821-11-05</v>
      </c>
      <c r="Y828" s="55"/>
      <c r="Z828" s="55"/>
      <c r="AA828" s="55"/>
      <c r="AB828" s="55"/>
      <c r="AC828" s="55"/>
      <c r="AD828" s="55"/>
      <c r="AE828" s="55"/>
      <c r="AF828" s="55"/>
      <c r="AG828" s="84"/>
    </row>
    <row r="829">
      <c r="A829" s="53">
        <v>15.0</v>
      </c>
      <c r="B829" s="54" t="s">
        <v>2382</v>
      </c>
      <c r="C829" s="55" t="s">
        <v>2335</v>
      </c>
      <c r="D829" s="55"/>
      <c r="E829" s="55" t="s">
        <v>2383</v>
      </c>
      <c r="F829" s="55" t="s">
        <v>2384</v>
      </c>
      <c r="G829" s="55">
        <v>6.0</v>
      </c>
      <c r="H829" s="55" t="s">
        <v>111</v>
      </c>
      <c r="I829" s="55" t="s">
        <v>86</v>
      </c>
      <c r="J829" s="56" t="s">
        <v>87</v>
      </c>
      <c r="K829" s="55" t="s">
        <v>2385</v>
      </c>
      <c r="L829" s="55" t="s">
        <v>34</v>
      </c>
      <c r="M829" s="55" t="s">
        <v>133</v>
      </c>
      <c r="N829" s="55" t="s">
        <v>90</v>
      </c>
      <c r="O829" s="55"/>
      <c r="P829" s="55" t="s">
        <v>91</v>
      </c>
      <c r="Q829" s="55" t="s">
        <v>16</v>
      </c>
      <c r="R829" s="55"/>
      <c r="S829" s="55"/>
      <c r="T829" s="55"/>
      <c r="U829" s="55"/>
      <c r="V829" s="55"/>
      <c r="W829" s="55"/>
      <c r="X829" s="57" t="str">
        <f t="shared" si="499"/>
        <v>--822-11-05</v>
      </c>
      <c r="Y829" s="55"/>
      <c r="Z829" s="55"/>
      <c r="AA829" s="55"/>
      <c r="AB829" s="55"/>
      <c r="AC829" s="55"/>
      <c r="AD829" s="55"/>
      <c r="AE829" s="55"/>
      <c r="AF829" s="55"/>
      <c r="AG829" s="84"/>
    </row>
    <row r="830">
      <c r="A830" s="53">
        <v>16.0</v>
      </c>
      <c r="B830" s="54" t="s">
        <v>2386</v>
      </c>
      <c r="C830" s="55" t="s">
        <v>2335</v>
      </c>
      <c r="D830" s="55"/>
      <c r="E830" s="55" t="s">
        <v>2387</v>
      </c>
      <c r="F830" s="55" t="s">
        <v>2388</v>
      </c>
      <c r="G830" s="55">
        <v>44.0</v>
      </c>
      <c r="H830" s="55" t="s">
        <v>85</v>
      </c>
      <c r="I830" s="55" t="s">
        <v>112</v>
      </c>
      <c r="J830" s="56" t="s">
        <v>113</v>
      </c>
      <c r="K830" s="55" t="s">
        <v>2385</v>
      </c>
      <c r="L830" s="55" t="s">
        <v>24</v>
      </c>
      <c r="M830" s="55" t="s">
        <v>89</v>
      </c>
      <c r="N830" s="55" t="s">
        <v>90</v>
      </c>
      <c r="O830" s="55"/>
      <c r="P830" s="55" t="s">
        <v>91</v>
      </c>
      <c r="Q830" s="55" t="s">
        <v>4</v>
      </c>
      <c r="R830" s="55"/>
      <c r="S830" s="55"/>
      <c r="T830" s="55"/>
      <c r="U830" s="55"/>
      <c r="V830" s="55"/>
      <c r="W830" s="55"/>
      <c r="X830" s="57" t="str">
        <f t="shared" si="499"/>
        <v>--823-11-05</v>
      </c>
      <c r="Y830" s="55"/>
      <c r="Z830" s="55"/>
      <c r="AA830" s="55"/>
      <c r="AB830" s="55"/>
      <c r="AC830" s="55"/>
      <c r="AD830" s="55"/>
      <c r="AE830" s="55"/>
      <c r="AF830" s="55"/>
      <c r="AG830" s="84"/>
    </row>
    <row r="831">
      <c r="A831" s="53">
        <v>17.0</v>
      </c>
      <c r="B831" s="54" t="s">
        <v>2389</v>
      </c>
      <c r="C831" s="55" t="s">
        <v>2335</v>
      </c>
      <c r="D831" s="60">
        <v>46147.0</v>
      </c>
      <c r="E831" s="55" t="s">
        <v>2390</v>
      </c>
      <c r="F831" s="55" t="s">
        <v>2391</v>
      </c>
      <c r="G831" s="55">
        <v>41.0</v>
      </c>
      <c r="H831" s="55" t="s">
        <v>85</v>
      </c>
      <c r="I831" s="55" t="s">
        <v>86</v>
      </c>
      <c r="J831" s="56" t="s">
        <v>87</v>
      </c>
      <c r="K831" s="55" t="s">
        <v>2392</v>
      </c>
      <c r="L831" s="55" t="s">
        <v>41</v>
      </c>
      <c r="M831" s="55" t="s">
        <v>89</v>
      </c>
      <c r="N831" s="55" t="s">
        <v>90</v>
      </c>
      <c r="O831" s="55"/>
      <c r="P831" s="55" t="s">
        <v>91</v>
      </c>
      <c r="Q831" s="55" t="s">
        <v>16</v>
      </c>
      <c r="R831" s="55"/>
      <c r="S831" s="55"/>
      <c r="T831" s="55"/>
      <c r="U831" s="55"/>
      <c r="V831" s="55"/>
      <c r="W831" s="55"/>
      <c r="X831" s="57" t="str">
        <f t="shared" si="499"/>
        <v>--824-11-05</v>
      </c>
      <c r="Y831" s="55"/>
      <c r="Z831" s="55"/>
      <c r="AA831" s="55"/>
      <c r="AB831" s="55"/>
      <c r="AC831" s="55"/>
      <c r="AD831" s="55"/>
      <c r="AE831" s="55"/>
      <c r="AF831" s="55"/>
      <c r="AG831" s="84"/>
    </row>
    <row r="832">
      <c r="A832" s="53">
        <v>18.0</v>
      </c>
      <c r="B832" s="54" t="s">
        <v>2393</v>
      </c>
      <c r="C832" s="55" t="s">
        <v>2335</v>
      </c>
      <c r="D832" s="55"/>
      <c r="E832" s="55" t="s">
        <v>2394</v>
      </c>
      <c r="F832" s="55" t="s">
        <v>2395</v>
      </c>
      <c r="G832" s="55">
        <v>21.0</v>
      </c>
      <c r="H832" s="55" t="s">
        <v>85</v>
      </c>
      <c r="I832" s="55" t="s">
        <v>112</v>
      </c>
      <c r="J832" s="56" t="s">
        <v>113</v>
      </c>
      <c r="K832" s="55" t="s">
        <v>2396</v>
      </c>
      <c r="L832" s="55" t="s">
        <v>13</v>
      </c>
      <c r="M832" s="55" t="s">
        <v>133</v>
      </c>
      <c r="N832" s="55" t="s">
        <v>90</v>
      </c>
      <c r="O832" s="55"/>
      <c r="P832" s="55" t="s">
        <v>91</v>
      </c>
      <c r="Q832" s="55" t="s">
        <v>4</v>
      </c>
      <c r="R832" s="55"/>
      <c r="S832" s="55"/>
      <c r="T832" s="55"/>
      <c r="U832" s="55"/>
      <c r="V832" s="55"/>
      <c r="W832" s="55"/>
      <c r="X832" s="57" t="str">
        <f t="shared" si="499"/>
        <v>--825-11-05</v>
      </c>
      <c r="Y832" s="55"/>
      <c r="Z832" s="55"/>
      <c r="AA832" s="55"/>
      <c r="AB832" s="55"/>
      <c r="AC832" s="55"/>
      <c r="AD832" s="55"/>
      <c r="AE832" s="55"/>
      <c r="AF832" s="55"/>
      <c r="AG832" s="84"/>
    </row>
    <row r="833">
      <c r="A833" s="53">
        <v>19.0</v>
      </c>
      <c r="B833" s="54" t="s">
        <v>2397</v>
      </c>
      <c r="C833" s="55" t="s">
        <v>2335</v>
      </c>
      <c r="D833" s="55"/>
      <c r="E833" s="55" t="s">
        <v>2398</v>
      </c>
      <c r="F833" s="55" t="s">
        <v>2399</v>
      </c>
      <c r="G833" s="55">
        <v>33.0</v>
      </c>
      <c r="H833" s="55" t="s">
        <v>85</v>
      </c>
      <c r="I833" s="55" t="s">
        <v>86</v>
      </c>
      <c r="J833" s="56" t="s">
        <v>87</v>
      </c>
      <c r="K833" s="55" t="s">
        <v>2400</v>
      </c>
      <c r="L833" s="55" t="s">
        <v>34</v>
      </c>
      <c r="M833" s="55" t="s">
        <v>874</v>
      </c>
      <c r="N833" s="55" t="s">
        <v>90</v>
      </c>
      <c r="O833" s="55"/>
      <c r="P833" s="55" t="s">
        <v>91</v>
      </c>
      <c r="Q833" s="55" t="s">
        <v>4</v>
      </c>
      <c r="R833" s="55"/>
      <c r="S833" s="55"/>
      <c r="T833" s="55"/>
      <c r="U833" s="55"/>
      <c r="V833" s="55"/>
      <c r="W833" s="55"/>
      <c r="X833" s="57" t="str">
        <f t="shared" si="499"/>
        <v>--826-11-05</v>
      </c>
      <c r="Y833" s="55"/>
      <c r="Z833" s="55"/>
      <c r="AA833" s="55"/>
      <c r="AB833" s="55"/>
      <c r="AC833" s="55"/>
      <c r="AD833" s="55"/>
      <c r="AE833" s="55"/>
      <c r="AF833" s="55"/>
      <c r="AG833" s="84"/>
    </row>
    <row r="834">
      <c r="A834" s="53">
        <v>20.0</v>
      </c>
      <c r="B834" s="54" t="s">
        <v>2401</v>
      </c>
      <c r="C834" s="55" t="s">
        <v>2335</v>
      </c>
      <c r="D834" s="60">
        <v>46139.0</v>
      </c>
      <c r="E834" s="55" t="s">
        <v>737</v>
      </c>
      <c r="F834" s="55" t="s">
        <v>2402</v>
      </c>
      <c r="G834" s="55">
        <v>66.0</v>
      </c>
      <c r="H834" s="55" t="s">
        <v>260</v>
      </c>
      <c r="I834" s="55" t="s">
        <v>86</v>
      </c>
      <c r="J834" s="56" t="s">
        <v>87</v>
      </c>
      <c r="K834" s="55" t="s">
        <v>739</v>
      </c>
      <c r="L834" s="55" t="s">
        <v>24</v>
      </c>
      <c r="M834" s="55" t="s">
        <v>89</v>
      </c>
      <c r="N834" s="55" t="s">
        <v>90</v>
      </c>
      <c r="O834" s="55"/>
      <c r="P834" s="55" t="s">
        <v>91</v>
      </c>
      <c r="Q834" s="55" t="s">
        <v>4</v>
      </c>
      <c r="R834" s="55"/>
      <c r="S834" s="55"/>
      <c r="T834" s="55"/>
      <c r="U834" s="55"/>
      <c r="V834" s="55"/>
      <c r="W834" s="55"/>
      <c r="X834" s="57" t="str">
        <f t="shared" si="499"/>
        <v>--827-11-05</v>
      </c>
      <c r="Y834" s="55"/>
      <c r="Z834" s="55"/>
      <c r="AA834" s="55"/>
      <c r="AB834" s="55"/>
      <c r="AC834" s="55"/>
      <c r="AD834" s="55"/>
      <c r="AE834" s="55"/>
      <c r="AF834" s="55"/>
      <c r="AG834" s="84"/>
    </row>
    <row r="835">
      <c r="A835" s="53">
        <v>21.0</v>
      </c>
      <c r="B835" s="54" t="s">
        <v>2403</v>
      </c>
      <c r="C835" s="55" t="s">
        <v>2335</v>
      </c>
      <c r="D835" s="55"/>
      <c r="E835" s="55" t="s">
        <v>2404</v>
      </c>
      <c r="F835" s="55" t="s">
        <v>2405</v>
      </c>
      <c r="G835" s="55">
        <v>27.0</v>
      </c>
      <c r="H835" s="55" t="s">
        <v>85</v>
      </c>
      <c r="I835" s="55" t="s">
        <v>86</v>
      </c>
      <c r="J835" s="56" t="s">
        <v>87</v>
      </c>
      <c r="K835" s="55" t="s">
        <v>2406</v>
      </c>
      <c r="L835" s="55" t="s">
        <v>13</v>
      </c>
      <c r="M835" s="55" t="s">
        <v>89</v>
      </c>
      <c r="N835" s="55" t="s">
        <v>90</v>
      </c>
      <c r="O835" s="55"/>
      <c r="P835" s="55" t="s">
        <v>91</v>
      </c>
      <c r="Q835" s="55" t="s">
        <v>16</v>
      </c>
      <c r="R835" s="55"/>
      <c r="S835" s="55"/>
      <c r="T835" s="55"/>
      <c r="U835" s="55"/>
      <c r="V835" s="55"/>
      <c r="W835" s="55"/>
      <c r="X835" s="57" t="str">
        <f t="shared" si="499"/>
        <v>--828-11-05</v>
      </c>
      <c r="Y835" s="55"/>
      <c r="Z835" s="55"/>
      <c r="AA835" s="55"/>
      <c r="AB835" s="55"/>
      <c r="AC835" s="55"/>
      <c r="AD835" s="55"/>
      <c r="AE835" s="55"/>
      <c r="AF835" s="55"/>
      <c r="AG835" s="84"/>
    </row>
    <row r="836">
      <c r="A836" s="53">
        <v>22.0</v>
      </c>
      <c r="B836" s="54" t="s">
        <v>2407</v>
      </c>
      <c r="C836" s="55" t="s">
        <v>2335</v>
      </c>
      <c r="D836" s="55"/>
      <c r="E836" s="55" t="s">
        <v>2408</v>
      </c>
      <c r="F836" s="55" t="s">
        <v>2409</v>
      </c>
      <c r="G836" s="55">
        <v>59.0</v>
      </c>
      <c r="H836" s="55" t="s">
        <v>85</v>
      </c>
      <c r="I836" s="55" t="s">
        <v>86</v>
      </c>
      <c r="J836" s="56" t="s">
        <v>87</v>
      </c>
      <c r="K836" s="55" t="s">
        <v>2410</v>
      </c>
      <c r="L836" s="55" t="s">
        <v>13</v>
      </c>
      <c r="M836" s="55" t="s">
        <v>89</v>
      </c>
      <c r="N836" s="55" t="s">
        <v>90</v>
      </c>
      <c r="O836" s="55"/>
      <c r="P836" s="55" t="s">
        <v>91</v>
      </c>
      <c r="Q836" s="55" t="s">
        <v>4</v>
      </c>
      <c r="R836" s="55"/>
      <c r="S836" s="55"/>
      <c r="T836" s="55"/>
      <c r="U836" s="55"/>
      <c r="V836" s="55"/>
      <c r="W836" s="55"/>
      <c r="X836" s="57" t="str">
        <f t="shared" si="499"/>
        <v>--829-11-05</v>
      </c>
      <c r="Y836" s="55"/>
      <c r="Z836" s="55"/>
      <c r="AA836" s="55"/>
      <c r="AB836" s="55"/>
      <c r="AC836" s="55"/>
      <c r="AD836" s="55"/>
      <c r="AE836" s="55"/>
      <c r="AF836" s="55"/>
      <c r="AG836" s="84"/>
    </row>
    <row r="837">
      <c r="A837" s="53">
        <v>23.0</v>
      </c>
      <c r="B837" s="54" t="s">
        <v>2411</v>
      </c>
      <c r="C837" s="55" t="s">
        <v>2335</v>
      </c>
      <c r="D837" s="55"/>
      <c r="E837" s="55" t="s">
        <v>2412</v>
      </c>
      <c r="F837" s="55" t="s">
        <v>2343</v>
      </c>
      <c r="G837" s="55">
        <v>2.0</v>
      </c>
      <c r="H837" s="55" t="s">
        <v>119</v>
      </c>
      <c r="I837" s="55" t="s">
        <v>112</v>
      </c>
      <c r="J837" s="56" t="s">
        <v>113</v>
      </c>
      <c r="K837" s="55" t="s">
        <v>2413</v>
      </c>
      <c r="L837" s="55" t="s">
        <v>41</v>
      </c>
      <c r="M837" s="55" t="s">
        <v>89</v>
      </c>
      <c r="N837" s="55" t="s">
        <v>90</v>
      </c>
      <c r="O837" s="55"/>
      <c r="P837" s="55" t="s">
        <v>91</v>
      </c>
      <c r="Q837" s="55" t="s">
        <v>4</v>
      </c>
      <c r="R837" s="55"/>
      <c r="S837" s="55"/>
      <c r="T837" s="55"/>
      <c r="U837" s="55"/>
      <c r="V837" s="55"/>
      <c r="W837" s="55"/>
      <c r="X837" s="57" t="str">
        <f t="shared" si="499"/>
        <v>--830-11-05</v>
      </c>
      <c r="Y837" s="55"/>
      <c r="Z837" s="55"/>
      <c r="AA837" s="55"/>
      <c r="AB837" s="55"/>
      <c r="AC837" s="55"/>
      <c r="AD837" s="55"/>
      <c r="AE837" s="55"/>
      <c r="AF837" s="55"/>
      <c r="AG837" s="84"/>
    </row>
    <row r="838">
      <c r="A838" s="53">
        <v>24.0</v>
      </c>
      <c r="B838" s="54" t="s">
        <v>1201</v>
      </c>
      <c r="C838" s="55" t="s">
        <v>2335</v>
      </c>
      <c r="D838" s="60">
        <v>46142.0</v>
      </c>
      <c r="E838" s="55" t="s">
        <v>1202</v>
      </c>
      <c r="F838" s="55" t="s">
        <v>2414</v>
      </c>
      <c r="G838" s="55">
        <v>46.0</v>
      </c>
      <c r="H838" s="55" t="s">
        <v>85</v>
      </c>
      <c r="I838" s="55" t="s">
        <v>112</v>
      </c>
      <c r="J838" s="56" t="s">
        <v>113</v>
      </c>
      <c r="K838" s="55" t="s">
        <v>1204</v>
      </c>
      <c r="L838" s="55" t="s">
        <v>24</v>
      </c>
      <c r="M838" s="55" t="s">
        <v>89</v>
      </c>
      <c r="N838" s="55" t="s">
        <v>90</v>
      </c>
      <c r="O838" s="55"/>
      <c r="P838" s="55" t="s">
        <v>91</v>
      </c>
      <c r="Q838" s="55" t="s">
        <v>4</v>
      </c>
      <c r="R838" s="55"/>
      <c r="S838" s="55"/>
      <c r="T838" s="55"/>
      <c r="U838" s="55"/>
      <c r="V838" s="55"/>
      <c r="W838" s="55"/>
      <c r="X838" s="57" t="str">
        <f t="shared" si="499"/>
        <v>--831-11-05</v>
      </c>
      <c r="Y838" s="55"/>
      <c r="Z838" s="55"/>
      <c r="AA838" s="55"/>
      <c r="AB838" s="55"/>
      <c r="AC838" s="55"/>
      <c r="AD838" s="55"/>
      <c r="AE838" s="55"/>
      <c r="AF838" s="55"/>
      <c r="AG838" s="84"/>
    </row>
    <row r="839">
      <c r="A839" s="53">
        <v>25.0</v>
      </c>
      <c r="B839" s="54" t="s">
        <v>2415</v>
      </c>
      <c r="C839" s="55" t="s">
        <v>2335</v>
      </c>
      <c r="D839" s="55"/>
      <c r="E839" s="55" t="s">
        <v>2416</v>
      </c>
      <c r="F839" s="55" t="s">
        <v>2417</v>
      </c>
      <c r="G839" s="55">
        <v>60.0</v>
      </c>
      <c r="H839" s="55" t="s">
        <v>85</v>
      </c>
      <c r="I839" s="55" t="s">
        <v>86</v>
      </c>
      <c r="J839" s="56" t="s">
        <v>87</v>
      </c>
      <c r="K839" s="55" t="s">
        <v>2418</v>
      </c>
      <c r="L839" s="55" t="s">
        <v>24</v>
      </c>
      <c r="M839" s="55" t="s">
        <v>89</v>
      </c>
      <c r="N839" s="55" t="s">
        <v>90</v>
      </c>
      <c r="O839" s="55"/>
      <c r="P839" s="55" t="s">
        <v>91</v>
      </c>
      <c r="Q839" s="55"/>
      <c r="R839" s="55" t="s">
        <v>36</v>
      </c>
      <c r="S839" s="55"/>
      <c r="T839" s="55"/>
      <c r="U839" s="55"/>
      <c r="V839" s="55"/>
      <c r="W839" s="55"/>
      <c r="X839" s="57" t="str">
        <f t="shared" si="499"/>
        <v>--832-11-05</v>
      </c>
      <c r="Y839" s="55"/>
      <c r="Z839" s="55"/>
      <c r="AA839" s="55"/>
      <c r="AB839" s="55"/>
      <c r="AC839" s="55"/>
      <c r="AD839" s="55"/>
      <c r="AE839" s="55"/>
      <c r="AF839" s="55"/>
      <c r="AG839" s="84"/>
    </row>
    <row r="840">
      <c r="A840" s="53">
        <v>26.0</v>
      </c>
      <c r="B840" s="54" t="s">
        <v>2023</v>
      </c>
      <c r="C840" s="55" t="s">
        <v>2335</v>
      </c>
      <c r="D840" s="60">
        <v>46148.0</v>
      </c>
      <c r="E840" s="55" t="s">
        <v>2024</v>
      </c>
      <c r="F840" s="55" t="s">
        <v>2419</v>
      </c>
      <c r="G840" s="55">
        <v>36.0</v>
      </c>
      <c r="H840" s="55" t="s">
        <v>85</v>
      </c>
      <c r="I840" s="55" t="s">
        <v>86</v>
      </c>
      <c r="J840" s="56" t="s">
        <v>87</v>
      </c>
      <c r="K840" s="55" t="s">
        <v>2026</v>
      </c>
      <c r="L840" s="55" t="s">
        <v>34</v>
      </c>
      <c r="M840" s="55" t="s">
        <v>89</v>
      </c>
      <c r="N840" s="55" t="s">
        <v>90</v>
      </c>
      <c r="O840" s="55"/>
      <c r="P840" s="55" t="s">
        <v>91</v>
      </c>
      <c r="Q840" s="55"/>
      <c r="R840" s="55"/>
      <c r="S840" s="55"/>
      <c r="T840" s="55"/>
      <c r="U840" s="55"/>
      <c r="V840" s="55"/>
      <c r="W840" s="55"/>
      <c r="X840" s="57" t="str">
        <f t="shared" si="499"/>
        <v>--833-11-05</v>
      </c>
      <c r="Y840" s="55"/>
      <c r="Z840" s="55"/>
      <c r="AA840" s="55"/>
      <c r="AB840" s="55"/>
      <c r="AC840" s="55"/>
      <c r="AD840" s="55"/>
      <c r="AE840" s="55"/>
      <c r="AF840" s="55"/>
      <c r="AG840" s="84"/>
    </row>
    <row r="841">
      <c r="A841" s="53">
        <v>27.0</v>
      </c>
      <c r="B841" s="54" t="s">
        <v>2420</v>
      </c>
      <c r="C841" s="55" t="s">
        <v>2335</v>
      </c>
      <c r="D841" s="55"/>
      <c r="E841" s="55" t="s">
        <v>2421</v>
      </c>
      <c r="F841" s="55" t="s">
        <v>2422</v>
      </c>
      <c r="G841" s="55">
        <v>57.0</v>
      </c>
      <c r="H841" s="55" t="s">
        <v>85</v>
      </c>
      <c r="I841" s="55" t="s">
        <v>86</v>
      </c>
      <c r="J841" s="56" t="s">
        <v>87</v>
      </c>
      <c r="K841" s="55" t="s">
        <v>2423</v>
      </c>
      <c r="L841" s="55" t="s">
        <v>24</v>
      </c>
      <c r="M841" s="55" t="s">
        <v>89</v>
      </c>
      <c r="N841" s="55" t="s">
        <v>90</v>
      </c>
      <c r="O841" s="55"/>
      <c r="P841" s="55" t="s">
        <v>91</v>
      </c>
      <c r="Q841" s="55"/>
      <c r="R841" s="55" t="s">
        <v>36</v>
      </c>
      <c r="S841" s="55"/>
      <c r="T841" s="55" t="s">
        <v>19</v>
      </c>
      <c r="U841" s="55"/>
      <c r="V841" s="55"/>
      <c r="W841" s="55"/>
      <c r="X841" s="57" t="str">
        <f t="shared" si="499"/>
        <v>--834-11-05</v>
      </c>
      <c r="Y841" s="55"/>
      <c r="Z841" s="55"/>
      <c r="AA841" s="55"/>
      <c r="AB841" s="55"/>
      <c r="AC841" s="55"/>
      <c r="AD841" s="55"/>
      <c r="AE841" s="55"/>
      <c r="AF841" s="55"/>
      <c r="AG841" s="84"/>
    </row>
    <row r="842">
      <c r="A842" s="53">
        <v>28.0</v>
      </c>
      <c r="B842" s="54" t="s">
        <v>2424</v>
      </c>
      <c r="C842" s="55" t="s">
        <v>2335</v>
      </c>
      <c r="D842" s="55"/>
      <c r="E842" s="55" t="s">
        <v>2425</v>
      </c>
      <c r="F842" s="55" t="s">
        <v>2426</v>
      </c>
      <c r="G842" s="55">
        <v>48.0</v>
      </c>
      <c r="H842" s="55" t="s">
        <v>85</v>
      </c>
      <c r="I842" s="55" t="s">
        <v>86</v>
      </c>
      <c r="J842" s="56" t="s">
        <v>87</v>
      </c>
      <c r="K842" s="55" t="s">
        <v>2427</v>
      </c>
      <c r="L842" s="55" t="s">
        <v>34</v>
      </c>
      <c r="M842" s="55" t="s">
        <v>398</v>
      </c>
      <c r="N842" s="55" t="s">
        <v>90</v>
      </c>
      <c r="O842" s="55"/>
      <c r="P842" s="55" t="s">
        <v>2007</v>
      </c>
      <c r="Q842" s="55" t="s">
        <v>16</v>
      </c>
      <c r="R842" s="55"/>
      <c r="S842" s="55"/>
      <c r="T842" s="55"/>
      <c r="U842" s="55"/>
      <c r="V842" s="55"/>
      <c r="W842" s="55"/>
      <c r="X842" s="57" t="str">
        <f t="shared" si="499"/>
        <v>--835-11-05</v>
      </c>
      <c r="Y842" s="55"/>
      <c r="Z842" s="55"/>
      <c r="AA842" s="55"/>
      <c r="AB842" s="55"/>
      <c r="AC842" s="55"/>
      <c r="AD842" s="55"/>
      <c r="AE842" s="55"/>
      <c r="AF842" s="55"/>
      <c r="AG842" s="84"/>
    </row>
    <row r="843">
      <c r="A843" s="53">
        <v>29.0</v>
      </c>
      <c r="B843" s="54" t="s">
        <v>2428</v>
      </c>
      <c r="C843" s="55" t="s">
        <v>2335</v>
      </c>
      <c r="D843" s="55"/>
      <c r="E843" s="55" t="s">
        <v>2429</v>
      </c>
      <c r="F843" s="55" t="s">
        <v>2430</v>
      </c>
      <c r="G843" s="55">
        <v>2.0</v>
      </c>
      <c r="H843" s="55" t="s">
        <v>119</v>
      </c>
      <c r="I843" s="55" t="s">
        <v>112</v>
      </c>
      <c r="J843" s="56" t="s">
        <v>113</v>
      </c>
      <c r="K843" s="55" t="s">
        <v>2431</v>
      </c>
      <c r="L843" s="55" t="s">
        <v>34</v>
      </c>
      <c r="M843" s="55" t="s">
        <v>133</v>
      </c>
      <c r="N843" s="55" t="s">
        <v>90</v>
      </c>
      <c r="O843" s="55"/>
      <c r="P843" s="55" t="s">
        <v>91</v>
      </c>
      <c r="Q843" s="55" t="s">
        <v>16</v>
      </c>
      <c r="R843" s="55"/>
      <c r="S843" s="55"/>
      <c r="T843" s="55"/>
      <c r="U843" s="55"/>
      <c r="V843" s="55"/>
      <c r="W843" s="55"/>
      <c r="X843" s="57" t="str">
        <f t="shared" si="499"/>
        <v>--836-11-05</v>
      </c>
      <c r="Y843" s="55"/>
      <c r="Z843" s="55"/>
      <c r="AA843" s="55"/>
      <c r="AB843" s="55"/>
      <c r="AC843" s="55"/>
      <c r="AD843" s="55"/>
      <c r="AE843" s="55"/>
      <c r="AF843" s="55"/>
      <c r="AG843" s="84"/>
    </row>
    <row r="844">
      <c r="A844" s="53">
        <v>30.0</v>
      </c>
      <c r="B844" s="54" t="s">
        <v>2432</v>
      </c>
      <c r="C844" s="55" t="s">
        <v>2335</v>
      </c>
      <c r="D844" s="55"/>
      <c r="E844" s="55" t="s">
        <v>2433</v>
      </c>
      <c r="F844" s="55" t="s">
        <v>2434</v>
      </c>
      <c r="G844" s="55">
        <v>18.0</v>
      </c>
      <c r="H844" s="55" t="s">
        <v>111</v>
      </c>
      <c r="I844" s="55" t="s">
        <v>86</v>
      </c>
      <c r="J844" s="56" t="s">
        <v>87</v>
      </c>
      <c r="K844" s="55" t="s">
        <v>2435</v>
      </c>
      <c r="L844" s="55" t="s">
        <v>13</v>
      </c>
      <c r="M844" s="55" t="s">
        <v>133</v>
      </c>
      <c r="N844" s="55" t="s">
        <v>90</v>
      </c>
      <c r="O844" s="55"/>
      <c r="P844" s="55" t="s">
        <v>91</v>
      </c>
      <c r="Q844" s="55" t="s">
        <v>16</v>
      </c>
      <c r="R844" s="55"/>
      <c r="S844" s="55"/>
      <c r="T844" s="55"/>
      <c r="U844" s="55"/>
      <c r="V844" s="55"/>
      <c r="W844" s="55"/>
      <c r="X844" s="57" t="str">
        <f t="shared" si="499"/>
        <v>--837-11-05</v>
      </c>
      <c r="Y844" s="55"/>
      <c r="Z844" s="55"/>
      <c r="AA844" s="55"/>
      <c r="AB844" s="55"/>
      <c r="AC844" s="55"/>
      <c r="AD844" s="55"/>
      <c r="AE844" s="55"/>
      <c r="AF844" s="55"/>
      <c r="AG844" s="84"/>
    </row>
    <row r="845">
      <c r="A845" s="53">
        <v>31.0</v>
      </c>
      <c r="B845" s="54" t="s">
        <v>1091</v>
      </c>
      <c r="C845" s="55" t="s">
        <v>2335</v>
      </c>
      <c r="D845" s="60">
        <v>46141.0</v>
      </c>
      <c r="E845" s="55" t="s">
        <v>1092</v>
      </c>
      <c r="F845" s="55" t="s">
        <v>2436</v>
      </c>
      <c r="G845" s="55">
        <v>41.0</v>
      </c>
      <c r="H845" s="55" t="s">
        <v>85</v>
      </c>
      <c r="I845" s="55" t="s">
        <v>86</v>
      </c>
      <c r="J845" s="56" t="s">
        <v>87</v>
      </c>
      <c r="K845" s="55" t="s">
        <v>1094</v>
      </c>
      <c r="L845" s="55" t="s">
        <v>34</v>
      </c>
      <c r="M845" s="55" t="s">
        <v>89</v>
      </c>
      <c r="N845" s="55" t="s">
        <v>90</v>
      </c>
      <c r="O845" s="55"/>
      <c r="P845" s="55" t="s">
        <v>91</v>
      </c>
      <c r="Q845" s="55" t="s">
        <v>4</v>
      </c>
      <c r="R845" s="55"/>
      <c r="S845" s="55"/>
      <c r="T845" s="55"/>
      <c r="U845" s="55"/>
      <c r="V845" s="55"/>
      <c r="W845" s="55"/>
      <c r="X845" s="57" t="str">
        <f t="shared" si="499"/>
        <v>--838-11-05</v>
      </c>
      <c r="Y845" s="55"/>
      <c r="Z845" s="55"/>
      <c r="AA845" s="55"/>
      <c r="AB845" s="55"/>
      <c r="AC845" s="55"/>
      <c r="AD845" s="55"/>
      <c r="AE845" s="55"/>
      <c r="AF845" s="55"/>
      <c r="AG845" s="84"/>
    </row>
    <row r="846">
      <c r="A846" s="53">
        <v>32.0</v>
      </c>
      <c r="B846" s="54" t="s">
        <v>2437</v>
      </c>
      <c r="C846" s="55" t="s">
        <v>2335</v>
      </c>
      <c r="D846" s="55"/>
      <c r="E846" s="55" t="s">
        <v>2438</v>
      </c>
      <c r="F846" s="55" t="s">
        <v>2439</v>
      </c>
      <c r="G846" s="55">
        <v>34.0</v>
      </c>
      <c r="H846" s="55" t="s">
        <v>85</v>
      </c>
      <c r="I846" s="55" t="s">
        <v>86</v>
      </c>
      <c r="J846" s="56" t="s">
        <v>87</v>
      </c>
      <c r="K846" s="55" t="s">
        <v>2440</v>
      </c>
      <c r="L846" s="55" t="s">
        <v>24</v>
      </c>
      <c r="M846" s="55" t="s">
        <v>89</v>
      </c>
      <c r="N846" s="55" t="s">
        <v>90</v>
      </c>
      <c r="O846" s="55"/>
      <c r="P846" s="55" t="s">
        <v>91</v>
      </c>
      <c r="Q846" s="55"/>
      <c r="R846" s="55" t="s">
        <v>36</v>
      </c>
      <c r="S846" s="55"/>
      <c r="T846" s="55"/>
      <c r="U846" s="55"/>
      <c r="V846" s="55"/>
      <c r="W846" s="55"/>
      <c r="X846" s="57" t="str">
        <f t="shared" si="499"/>
        <v>--839-11-05</v>
      </c>
      <c r="Y846" s="55"/>
      <c r="Z846" s="55"/>
      <c r="AA846" s="55"/>
      <c r="AB846" s="55"/>
      <c r="AC846" s="55"/>
      <c r="AD846" s="55"/>
      <c r="AE846" s="55"/>
      <c r="AF846" s="55"/>
      <c r="AG846" s="84"/>
    </row>
    <row r="847">
      <c r="A847" s="53">
        <v>33.0</v>
      </c>
      <c r="B847" s="54" t="s">
        <v>2441</v>
      </c>
      <c r="C847" s="55" t="s">
        <v>2335</v>
      </c>
      <c r="D847" s="55"/>
      <c r="E847" s="55" t="s">
        <v>2442</v>
      </c>
      <c r="F847" s="55" t="s">
        <v>2443</v>
      </c>
      <c r="G847" s="55">
        <v>40.0</v>
      </c>
      <c r="H847" s="55" t="s">
        <v>85</v>
      </c>
      <c r="I847" s="55" t="s">
        <v>86</v>
      </c>
      <c r="J847" s="56" t="s">
        <v>87</v>
      </c>
      <c r="K847" s="55" t="s">
        <v>2444</v>
      </c>
      <c r="L847" s="55" t="s">
        <v>24</v>
      </c>
      <c r="M847" s="55" t="s">
        <v>89</v>
      </c>
      <c r="N847" s="55" t="s">
        <v>90</v>
      </c>
      <c r="O847" s="55"/>
      <c r="P847" s="55" t="s">
        <v>91</v>
      </c>
      <c r="Q847" s="55" t="s">
        <v>4</v>
      </c>
      <c r="R847" s="55"/>
      <c r="S847" s="55"/>
      <c r="T847" s="55"/>
      <c r="U847" s="55"/>
      <c r="V847" s="55"/>
      <c r="W847" s="55"/>
      <c r="X847" s="57" t="str">
        <f t="shared" si="499"/>
        <v>--840-11-05</v>
      </c>
      <c r="Y847" s="55"/>
      <c r="Z847" s="55"/>
      <c r="AA847" s="55"/>
      <c r="AB847" s="55"/>
      <c r="AC847" s="55"/>
      <c r="AD847" s="55"/>
      <c r="AE847" s="55"/>
      <c r="AF847" s="55"/>
      <c r="AG847" s="84"/>
    </row>
    <row r="848">
      <c r="A848" s="53">
        <v>34.0</v>
      </c>
      <c r="B848" s="54" t="s">
        <v>2445</v>
      </c>
      <c r="C848" s="55" t="s">
        <v>2335</v>
      </c>
      <c r="D848" s="55"/>
      <c r="E848" s="55" t="s">
        <v>2446</v>
      </c>
      <c r="F848" s="55" t="s">
        <v>2447</v>
      </c>
      <c r="G848" s="55">
        <v>65.0</v>
      </c>
      <c r="H848" s="55" t="s">
        <v>260</v>
      </c>
      <c r="I848" s="55" t="s">
        <v>112</v>
      </c>
      <c r="J848" s="56" t="s">
        <v>113</v>
      </c>
      <c r="K848" s="55" t="s">
        <v>2448</v>
      </c>
      <c r="L848" s="55" t="s">
        <v>13</v>
      </c>
      <c r="M848" s="55" t="s">
        <v>89</v>
      </c>
      <c r="N848" s="55" t="s">
        <v>90</v>
      </c>
      <c r="O848" s="55"/>
      <c r="P848" s="55" t="s">
        <v>91</v>
      </c>
      <c r="Q848" s="55" t="s">
        <v>4</v>
      </c>
      <c r="R848" s="55"/>
      <c r="S848" s="55"/>
      <c r="T848" s="55"/>
      <c r="U848" s="55"/>
      <c r="V848" s="55"/>
      <c r="W848" s="55"/>
      <c r="X848" s="57" t="str">
        <f t="shared" si="499"/>
        <v>--841-11-05</v>
      </c>
      <c r="Y848" s="55"/>
      <c r="Z848" s="55"/>
      <c r="AA848" s="55"/>
      <c r="AB848" s="55"/>
      <c r="AC848" s="55"/>
      <c r="AD848" s="55"/>
      <c r="AE848" s="55"/>
      <c r="AF848" s="55"/>
      <c r="AG848" s="84"/>
    </row>
    <row r="849">
      <c r="A849" s="53">
        <v>35.0</v>
      </c>
      <c r="B849" s="54" t="s">
        <v>2449</v>
      </c>
      <c r="C849" s="55" t="s">
        <v>2335</v>
      </c>
      <c r="D849" s="55"/>
      <c r="E849" s="55" t="s">
        <v>2450</v>
      </c>
      <c r="F849" s="55" t="s">
        <v>2451</v>
      </c>
      <c r="G849" s="55">
        <v>64.0</v>
      </c>
      <c r="H849" s="55" t="s">
        <v>260</v>
      </c>
      <c r="I849" s="55" t="s">
        <v>86</v>
      </c>
      <c r="J849" s="56" t="s">
        <v>87</v>
      </c>
      <c r="K849" s="55" t="s">
        <v>2452</v>
      </c>
      <c r="L849" s="55" t="s">
        <v>34</v>
      </c>
      <c r="M849" s="55" t="s">
        <v>874</v>
      </c>
      <c r="N849" s="55" t="s">
        <v>90</v>
      </c>
      <c r="O849" s="55"/>
      <c r="P849" s="55" t="s">
        <v>91</v>
      </c>
      <c r="Q849" s="55" t="s">
        <v>16</v>
      </c>
      <c r="R849" s="55"/>
      <c r="S849" s="55"/>
      <c r="T849" s="55"/>
      <c r="U849" s="55"/>
      <c r="V849" s="55"/>
      <c r="W849" s="55"/>
      <c r="X849" s="57" t="str">
        <f t="shared" si="499"/>
        <v>--842-11-05</v>
      </c>
      <c r="Y849" s="55"/>
      <c r="Z849" s="55"/>
      <c r="AA849" s="55"/>
      <c r="AB849" s="55"/>
      <c r="AC849" s="55"/>
      <c r="AD849" s="55"/>
      <c r="AE849" s="55"/>
      <c r="AF849" s="55"/>
      <c r="AG849" s="84"/>
    </row>
    <row r="850">
      <c r="A850" s="53">
        <v>36.0</v>
      </c>
      <c r="B850" s="54" t="s">
        <v>2453</v>
      </c>
      <c r="C850" s="55" t="s">
        <v>2335</v>
      </c>
      <c r="D850" s="55"/>
      <c r="E850" s="55" t="s">
        <v>2454</v>
      </c>
      <c r="F850" s="55" t="s">
        <v>2455</v>
      </c>
      <c r="G850" s="55">
        <v>25.0</v>
      </c>
      <c r="H850" s="55" t="s">
        <v>85</v>
      </c>
      <c r="I850" s="55" t="s">
        <v>86</v>
      </c>
      <c r="J850" s="56" t="s">
        <v>87</v>
      </c>
      <c r="K850" s="55" t="s">
        <v>2456</v>
      </c>
      <c r="L850" s="55" t="s">
        <v>24</v>
      </c>
      <c r="M850" s="55" t="s">
        <v>133</v>
      </c>
      <c r="N850" s="55" t="s">
        <v>90</v>
      </c>
      <c r="O850" s="55"/>
      <c r="P850" s="55" t="s">
        <v>91</v>
      </c>
      <c r="Q850" s="55"/>
      <c r="R850" s="55" t="s">
        <v>36</v>
      </c>
      <c r="S850" s="55"/>
      <c r="T850" s="55"/>
      <c r="U850" s="55"/>
      <c r="V850" s="55"/>
      <c r="W850" s="55"/>
      <c r="X850" s="57" t="str">
        <f t="shared" si="499"/>
        <v>--843-11-05</v>
      </c>
      <c r="Y850" s="55"/>
      <c r="Z850" s="55"/>
      <c r="AA850" s="55"/>
      <c r="AB850" s="55"/>
      <c r="AC850" s="55"/>
      <c r="AD850" s="55"/>
      <c r="AE850" s="55"/>
      <c r="AF850" s="55"/>
      <c r="AG850" s="84"/>
    </row>
    <row r="851">
      <c r="A851" s="53">
        <v>37.0</v>
      </c>
      <c r="B851" s="54" t="s">
        <v>500</v>
      </c>
      <c r="C851" s="55" t="s">
        <v>2335</v>
      </c>
      <c r="D851" s="60">
        <v>46139.0</v>
      </c>
      <c r="E851" s="55" t="s">
        <v>501</v>
      </c>
      <c r="F851" s="55" t="s">
        <v>2457</v>
      </c>
      <c r="G851" s="55">
        <v>38.0</v>
      </c>
      <c r="H851" s="55" t="s">
        <v>85</v>
      </c>
      <c r="I851" s="55" t="s">
        <v>86</v>
      </c>
      <c r="J851" s="56" t="s">
        <v>87</v>
      </c>
      <c r="K851" s="55" t="s">
        <v>503</v>
      </c>
      <c r="L851" s="55" t="s">
        <v>24</v>
      </c>
      <c r="M851" s="55" t="s">
        <v>89</v>
      </c>
      <c r="N851" s="55" t="s">
        <v>90</v>
      </c>
      <c r="O851" s="55"/>
      <c r="P851" s="55" t="s">
        <v>91</v>
      </c>
      <c r="Q851" s="55"/>
      <c r="R851" s="55" t="s">
        <v>5</v>
      </c>
      <c r="S851" s="55"/>
      <c r="T851" s="55"/>
      <c r="U851" s="55" t="s">
        <v>7</v>
      </c>
      <c r="V851" s="55"/>
      <c r="W851" s="55"/>
      <c r="X851" s="57" t="str">
        <f t="shared" si="499"/>
        <v>--844-11-05</v>
      </c>
      <c r="Y851" s="55"/>
      <c r="Z851" s="55"/>
      <c r="AA851" s="55"/>
      <c r="AB851" s="55"/>
      <c r="AC851" s="55"/>
      <c r="AD851" s="55"/>
      <c r="AE851" s="55"/>
      <c r="AF851" s="55"/>
      <c r="AG851" s="84"/>
    </row>
    <row r="852">
      <c r="A852" s="53">
        <v>38.0</v>
      </c>
      <c r="B852" s="54" t="s">
        <v>2458</v>
      </c>
      <c r="C852" s="55" t="s">
        <v>2335</v>
      </c>
      <c r="D852" s="55"/>
      <c r="E852" s="55" t="s">
        <v>2459</v>
      </c>
      <c r="F852" s="55" t="s">
        <v>2460</v>
      </c>
      <c r="G852" s="55">
        <v>41.0</v>
      </c>
      <c r="H852" s="55" t="s">
        <v>85</v>
      </c>
      <c r="I852" s="55" t="s">
        <v>112</v>
      </c>
      <c r="J852" s="56" t="s">
        <v>113</v>
      </c>
      <c r="K852" s="55" t="s">
        <v>2461</v>
      </c>
      <c r="L852" s="55" t="s">
        <v>41</v>
      </c>
      <c r="M852" s="55" t="s">
        <v>89</v>
      </c>
      <c r="N852" s="55" t="s">
        <v>90</v>
      </c>
      <c r="O852" s="55"/>
      <c r="P852" s="55" t="s">
        <v>91</v>
      </c>
      <c r="Q852" s="55" t="s">
        <v>4</v>
      </c>
      <c r="R852" s="55"/>
      <c r="S852" s="55"/>
      <c r="T852" s="55"/>
      <c r="U852" s="55"/>
      <c r="V852" s="55"/>
      <c r="W852" s="55"/>
      <c r="X852" s="57" t="str">
        <f t="shared" si="499"/>
        <v>--845-11-05</v>
      </c>
      <c r="Y852" s="55"/>
      <c r="Z852" s="55"/>
      <c r="AA852" s="55"/>
      <c r="AB852" s="55"/>
      <c r="AC852" s="55"/>
      <c r="AD852" s="55"/>
      <c r="AE852" s="55"/>
      <c r="AF852" s="55"/>
      <c r="AG852" s="84"/>
    </row>
    <row r="853">
      <c r="A853" s="53">
        <v>39.0</v>
      </c>
      <c r="B853" s="54" t="s">
        <v>2462</v>
      </c>
      <c r="C853" s="55" t="s">
        <v>2335</v>
      </c>
      <c r="D853" s="60">
        <v>46149.0</v>
      </c>
      <c r="E853" s="55" t="s">
        <v>2463</v>
      </c>
      <c r="F853" s="55" t="s">
        <v>2464</v>
      </c>
      <c r="G853" s="55">
        <v>30.0</v>
      </c>
      <c r="H853" s="55" t="s">
        <v>85</v>
      </c>
      <c r="I853" s="55" t="s">
        <v>86</v>
      </c>
      <c r="J853" s="56" t="s">
        <v>87</v>
      </c>
      <c r="K853" s="55" t="s">
        <v>2465</v>
      </c>
      <c r="L853" s="55" t="s">
        <v>34</v>
      </c>
      <c r="M853" s="55" t="s">
        <v>89</v>
      </c>
      <c r="N853" s="55"/>
      <c r="O853" s="55"/>
      <c r="P853" s="55" t="s">
        <v>91</v>
      </c>
      <c r="Q853" s="55" t="s">
        <v>4</v>
      </c>
      <c r="R853" s="55"/>
      <c r="S853" s="55"/>
      <c r="T853" s="55"/>
      <c r="U853" s="55"/>
      <c r="V853" s="55"/>
      <c r="W853" s="55"/>
      <c r="X853" s="57" t="str">
        <f t="shared" si="499"/>
        <v>--846-11-05</v>
      </c>
      <c r="Y853" s="55"/>
      <c r="Z853" s="55"/>
      <c r="AA853" s="55"/>
      <c r="AB853" s="55"/>
      <c r="AC853" s="55"/>
      <c r="AD853" s="55"/>
      <c r="AE853" s="55"/>
      <c r="AF853" s="55"/>
      <c r="AG853" s="84"/>
    </row>
    <row r="854">
      <c r="A854" s="53">
        <v>40.0</v>
      </c>
      <c r="B854" s="54" t="s">
        <v>2466</v>
      </c>
      <c r="C854" s="55" t="s">
        <v>2335</v>
      </c>
      <c r="D854" s="55"/>
      <c r="E854" s="55" t="s">
        <v>2467</v>
      </c>
      <c r="F854" s="55" t="s">
        <v>2468</v>
      </c>
      <c r="G854" s="55">
        <v>35.0</v>
      </c>
      <c r="H854" s="55" t="s">
        <v>85</v>
      </c>
      <c r="I854" s="55" t="s">
        <v>86</v>
      </c>
      <c r="J854" s="56" t="s">
        <v>87</v>
      </c>
      <c r="K854" s="55" t="s">
        <v>2469</v>
      </c>
      <c r="L854" s="55" t="s">
        <v>34</v>
      </c>
      <c r="M854" s="55" t="s">
        <v>89</v>
      </c>
      <c r="N854" s="55" t="s">
        <v>90</v>
      </c>
      <c r="O854" s="55"/>
      <c r="P854" s="55" t="s">
        <v>91</v>
      </c>
      <c r="Q854" s="55" t="s">
        <v>16</v>
      </c>
      <c r="R854" s="55" t="s">
        <v>27</v>
      </c>
      <c r="S854" s="55"/>
      <c r="T854" s="55"/>
      <c r="U854" s="55"/>
      <c r="V854" s="55"/>
      <c r="W854" s="55"/>
      <c r="X854" s="57" t="str">
        <f t="shared" si="499"/>
        <v>--847-11-05</v>
      </c>
      <c r="Y854" s="55"/>
      <c r="Z854" s="55"/>
      <c r="AA854" s="55"/>
      <c r="AB854" s="55"/>
      <c r="AC854" s="55"/>
      <c r="AD854" s="55"/>
      <c r="AE854" s="55"/>
      <c r="AF854" s="55"/>
      <c r="AG854" s="84"/>
    </row>
    <row r="855">
      <c r="A855" s="53">
        <v>41.0</v>
      </c>
      <c r="B855" s="54" t="s">
        <v>2470</v>
      </c>
      <c r="C855" s="55" t="s">
        <v>2335</v>
      </c>
      <c r="D855" s="55"/>
      <c r="E855" s="55" t="s">
        <v>2471</v>
      </c>
      <c r="F855" s="55" t="s">
        <v>2472</v>
      </c>
      <c r="G855" s="55">
        <v>51.0</v>
      </c>
      <c r="H855" s="55" t="s">
        <v>85</v>
      </c>
      <c r="I855" s="55" t="s">
        <v>86</v>
      </c>
      <c r="J855" s="56" t="s">
        <v>87</v>
      </c>
      <c r="K855" s="55" t="s">
        <v>2473</v>
      </c>
      <c r="L855" s="55" t="s">
        <v>34</v>
      </c>
      <c r="M855" s="55" t="s">
        <v>89</v>
      </c>
      <c r="N855" s="55" t="s">
        <v>90</v>
      </c>
      <c r="O855" s="55"/>
      <c r="P855" s="55" t="s">
        <v>91</v>
      </c>
      <c r="Q855" s="55" t="s">
        <v>4</v>
      </c>
      <c r="R855" s="55"/>
      <c r="S855" s="55"/>
      <c r="T855" s="55"/>
      <c r="U855" s="55"/>
      <c r="V855" s="55"/>
      <c r="W855" s="55"/>
      <c r="X855" s="57" t="str">
        <f t="shared" si="499"/>
        <v>--848-11-05</v>
      </c>
      <c r="Y855" s="55"/>
      <c r="Z855" s="55"/>
      <c r="AA855" s="55"/>
      <c r="AB855" s="55"/>
      <c r="AC855" s="55"/>
      <c r="AD855" s="55"/>
      <c r="AE855" s="55"/>
      <c r="AF855" s="55"/>
      <c r="AG855" s="84"/>
    </row>
    <row r="856">
      <c r="A856" s="53">
        <v>42.0</v>
      </c>
      <c r="B856" s="54" t="s">
        <v>2474</v>
      </c>
      <c r="C856" s="55" t="s">
        <v>2335</v>
      </c>
      <c r="D856" s="55"/>
      <c r="E856" s="55" t="s">
        <v>2475</v>
      </c>
      <c r="F856" s="55" t="s">
        <v>2476</v>
      </c>
      <c r="G856" s="55">
        <v>30.0</v>
      </c>
      <c r="H856" s="55" t="s">
        <v>85</v>
      </c>
      <c r="I856" s="55" t="s">
        <v>86</v>
      </c>
      <c r="J856" s="56" t="s">
        <v>87</v>
      </c>
      <c r="K856" s="55" t="s">
        <v>2477</v>
      </c>
      <c r="L856" s="55" t="s">
        <v>34</v>
      </c>
      <c r="M856" s="55" t="s">
        <v>89</v>
      </c>
      <c r="N856" s="55" t="s">
        <v>90</v>
      </c>
      <c r="O856" s="55"/>
      <c r="P856" s="55" t="s">
        <v>91</v>
      </c>
      <c r="Q856" s="55"/>
      <c r="R856" s="55" t="s">
        <v>5</v>
      </c>
      <c r="S856" s="55"/>
      <c r="T856" s="55"/>
      <c r="U856" s="55" t="s">
        <v>7</v>
      </c>
      <c r="V856" s="55"/>
      <c r="W856" s="55"/>
      <c r="X856" s="57" t="str">
        <f t="shared" si="499"/>
        <v>--849-11-05</v>
      </c>
      <c r="Y856" s="55"/>
      <c r="Z856" s="55"/>
      <c r="AA856" s="55"/>
      <c r="AB856" s="55"/>
      <c r="AC856" s="55"/>
      <c r="AD856" s="55"/>
      <c r="AE856" s="55"/>
      <c r="AF856" s="55"/>
      <c r="AG856" s="84"/>
    </row>
    <row r="857">
      <c r="A857" s="53">
        <v>43.0</v>
      </c>
      <c r="B857" s="54" t="s">
        <v>2478</v>
      </c>
      <c r="C857" s="55" t="s">
        <v>2335</v>
      </c>
      <c r="D857" s="55"/>
      <c r="E857" s="55" t="s">
        <v>2479</v>
      </c>
      <c r="F857" s="55" t="s">
        <v>2480</v>
      </c>
      <c r="G857" s="55">
        <v>14.0</v>
      </c>
      <c r="H857" s="55" t="s">
        <v>111</v>
      </c>
      <c r="I857" s="55" t="s">
        <v>112</v>
      </c>
      <c r="J857" s="56" t="s">
        <v>113</v>
      </c>
      <c r="K857" s="55" t="s">
        <v>2481</v>
      </c>
      <c r="L857" s="55" t="s">
        <v>34</v>
      </c>
      <c r="M857" s="55" t="s">
        <v>133</v>
      </c>
      <c r="N857" s="55" t="s">
        <v>90</v>
      </c>
      <c r="O857" s="55"/>
      <c r="P857" s="55" t="s">
        <v>91</v>
      </c>
      <c r="Q857" s="55" t="s">
        <v>16</v>
      </c>
      <c r="R857" s="55"/>
      <c r="S857" s="55"/>
      <c r="T857" s="55"/>
      <c r="U857" s="55"/>
      <c r="V857" s="55"/>
      <c r="W857" s="55"/>
      <c r="X857" s="57" t="str">
        <f t="shared" si="499"/>
        <v>--850-11-05</v>
      </c>
      <c r="Y857" s="55"/>
      <c r="Z857" s="55"/>
      <c r="AA857" s="55"/>
      <c r="AB857" s="55"/>
      <c r="AC857" s="55"/>
      <c r="AD857" s="55"/>
      <c r="AE857" s="55"/>
      <c r="AF857" s="55"/>
      <c r="AG857" s="84"/>
    </row>
    <row r="858">
      <c r="A858" s="53">
        <v>44.0</v>
      </c>
      <c r="B858" s="54" t="s">
        <v>2482</v>
      </c>
      <c r="C858" s="55" t="s">
        <v>2335</v>
      </c>
      <c r="D858" s="55"/>
      <c r="E858" s="55" t="s">
        <v>2483</v>
      </c>
      <c r="F858" s="55" t="s">
        <v>2484</v>
      </c>
      <c r="G858" s="55">
        <v>31.0</v>
      </c>
      <c r="H858" s="55" t="s">
        <v>85</v>
      </c>
      <c r="I858" s="55" t="s">
        <v>86</v>
      </c>
      <c r="J858" s="56" t="s">
        <v>87</v>
      </c>
      <c r="K858" s="55" t="s">
        <v>2485</v>
      </c>
      <c r="L858" s="55" t="s">
        <v>24</v>
      </c>
      <c r="M858" s="55" t="s">
        <v>89</v>
      </c>
      <c r="N858" s="55" t="s">
        <v>90</v>
      </c>
      <c r="O858" s="55"/>
      <c r="P858" s="55" t="s">
        <v>91</v>
      </c>
      <c r="Q858" s="55"/>
      <c r="R858" s="55" t="s">
        <v>5</v>
      </c>
      <c r="S858" s="55"/>
      <c r="T858" s="55"/>
      <c r="U858" s="55" t="s">
        <v>7</v>
      </c>
      <c r="V858" s="55"/>
      <c r="W858" s="55"/>
      <c r="X858" s="57" t="str">
        <f t="shared" si="499"/>
        <v>--851-11-05</v>
      </c>
      <c r="Y858" s="55"/>
      <c r="Z858" s="55"/>
      <c r="AA858" s="55"/>
      <c r="AB858" s="55"/>
      <c r="AC858" s="55"/>
      <c r="AD858" s="55"/>
      <c r="AE858" s="55"/>
      <c r="AF858" s="55"/>
      <c r="AG858" s="84"/>
    </row>
    <row r="859">
      <c r="A859" s="53">
        <v>45.0</v>
      </c>
      <c r="B859" s="54" t="s">
        <v>1439</v>
      </c>
      <c r="C859" s="55" t="s">
        <v>2335</v>
      </c>
      <c r="D859" s="60">
        <v>46142.0</v>
      </c>
      <c r="E859" s="55" t="s">
        <v>1440</v>
      </c>
      <c r="F859" s="55" t="s">
        <v>2486</v>
      </c>
      <c r="G859" s="55">
        <v>34.0</v>
      </c>
      <c r="H859" s="55" t="s">
        <v>85</v>
      </c>
      <c r="I859" s="55" t="s">
        <v>112</v>
      </c>
      <c r="J859" s="56" t="s">
        <v>113</v>
      </c>
      <c r="K859" s="55" t="s">
        <v>1442</v>
      </c>
      <c r="L859" s="55" t="s">
        <v>34</v>
      </c>
      <c r="M859" s="55" t="s">
        <v>133</v>
      </c>
      <c r="N859" s="55" t="s">
        <v>90</v>
      </c>
      <c r="O859" s="55"/>
      <c r="P859" s="55" t="s">
        <v>91</v>
      </c>
      <c r="Q859" s="55" t="s">
        <v>4</v>
      </c>
      <c r="R859" s="55"/>
      <c r="S859" s="55"/>
      <c r="T859" s="55"/>
      <c r="U859" s="55"/>
      <c r="V859" s="55"/>
      <c r="W859" s="55"/>
      <c r="X859" s="57" t="str">
        <f t="shared" si="499"/>
        <v>--852-11-05</v>
      </c>
      <c r="Y859" s="55"/>
      <c r="Z859" s="55"/>
      <c r="AA859" s="55"/>
      <c r="AB859" s="55"/>
      <c r="AC859" s="55"/>
      <c r="AD859" s="55"/>
      <c r="AE859" s="55"/>
      <c r="AF859" s="55"/>
      <c r="AG859" s="84"/>
    </row>
    <row r="860">
      <c r="A860" s="53">
        <v>46.0</v>
      </c>
      <c r="B860" s="54" t="s">
        <v>2487</v>
      </c>
      <c r="C860" s="55" t="s">
        <v>2335</v>
      </c>
      <c r="D860" s="55"/>
      <c r="E860" s="55" t="s">
        <v>2488</v>
      </c>
      <c r="F860" s="55" t="s">
        <v>2489</v>
      </c>
      <c r="G860" s="55">
        <v>39.0</v>
      </c>
      <c r="H860" s="55" t="s">
        <v>85</v>
      </c>
      <c r="I860" s="55" t="s">
        <v>86</v>
      </c>
      <c r="J860" s="56" t="s">
        <v>87</v>
      </c>
      <c r="K860" s="55" t="s">
        <v>2490</v>
      </c>
      <c r="L860" s="55" t="s">
        <v>13</v>
      </c>
      <c r="M860" s="55" t="s">
        <v>89</v>
      </c>
      <c r="N860" s="55" t="s">
        <v>90</v>
      </c>
      <c r="O860" s="55"/>
      <c r="P860" s="55" t="s">
        <v>91</v>
      </c>
      <c r="Q860" s="55" t="s">
        <v>4</v>
      </c>
      <c r="R860" s="55"/>
      <c r="S860" s="55"/>
      <c r="T860" s="55"/>
      <c r="U860" s="55"/>
      <c r="V860" s="55"/>
      <c r="W860" s="55"/>
      <c r="X860" s="57" t="str">
        <f t="shared" si="499"/>
        <v>--853-11-05</v>
      </c>
      <c r="Y860" s="55"/>
      <c r="Z860" s="55"/>
      <c r="AA860" s="55"/>
      <c r="AB860" s="55"/>
      <c r="AC860" s="55"/>
      <c r="AD860" s="55"/>
      <c r="AE860" s="55"/>
      <c r="AF860" s="55"/>
      <c r="AG860" s="84"/>
    </row>
    <row r="861">
      <c r="A861" s="53">
        <v>47.0</v>
      </c>
      <c r="B861" s="54" t="s">
        <v>2491</v>
      </c>
      <c r="C861" s="55" t="s">
        <v>2335</v>
      </c>
      <c r="D861" s="55"/>
      <c r="E861" s="55" t="s">
        <v>2492</v>
      </c>
      <c r="F861" s="55" t="s">
        <v>2493</v>
      </c>
      <c r="G861" s="55">
        <v>5.0</v>
      </c>
      <c r="H861" s="55" t="s">
        <v>119</v>
      </c>
      <c r="I861" s="55" t="s">
        <v>112</v>
      </c>
      <c r="J861" s="56" t="s">
        <v>113</v>
      </c>
      <c r="K861" s="55" t="s">
        <v>2490</v>
      </c>
      <c r="L861" s="55" t="s">
        <v>34</v>
      </c>
      <c r="M861" s="55" t="s">
        <v>133</v>
      </c>
      <c r="N861" s="55" t="s">
        <v>90</v>
      </c>
      <c r="O861" s="55"/>
      <c r="P861" s="55" t="s">
        <v>91</v>
      </c>
      <c r="Q861" s="55" t="s">
        <v>16</v>
      </c>
      <c r="R861" s="55"/>
      <c r="S861" s="55"/>
      <c r="T861" s="55"/>
      <c r="U861" s="55"/>
      <c r="V861" s="55"/>
      <c r="W861" s="55"/>
      <c r="X861" s="57" t="str">
        <f t="shared" si="499"/>
        <v>--854-11-05</v>
      </c>
      <c r="Y861" s="55"/>
      <c r="Z861" s="55"/>
      <c r="AA861" s="55"/>
      <c r="AB861" s="55"/>
      <c r="AC861" s="55"/>
      <c r="AD861" s="55"/>
      <c r="AE861" s="55"/>
      <c r="AF861" s="55"/>
      <c r="AG861" s="84"/>
    </row>
    <row r="862">
      <c r="A862" s="53">
        <v>48.0</v>
      </c>
      <c r="B862" s="54" t="s">
        <v>2494</v>
      </c>
      <c r="C862" s="55" t="s">
        <v>2335</v>
      </c>
      <c r="D862" s="55"/>
      <c r="E862" s="55" t="s">
        <v>2495</v>
      </c>
      <c r="F862" s="55" t="s">
        <v>2496</v>
      </c>
      <c r="G862" s="55">
        <v>70.0</v>
      </c>
      <c r="H862" s="55" t="s">
        <v>260</v>
      </c>
      <c r="I862" s="55" t="s">
        <v>86</v>
      </c>
      <c r="J862" s="56" t="s">
        <v>87</v>
      </c>
      <c r="K862" s="55" t="s">
        <v>2490</v>
      </c>
      <c r="L862" s="55" t="s">
        <v>13</v>
      </c>
      <c r="M862" s="55" t="s">
        <v>89</v>
      </c>
      <c r="N862" s="55" t="s">
        <v>90</v>
      </c>
      <c r="O862" s="55"/>
      <c r="P862" s="55" t="s">
        <v>91</v>
      </c>
      <c r="Q862" s="55" t="s">
        <v>4</v>
      </c>
      <c r="R862" s="55"/>
      <c r="S862" s="55"/>
      <c r="T862" s="55"/>
      <c r="U862" s="55"/>
      <c r="V862" s="55"/>
      <c r="W862" s="55"/>
      <c r="X862" s="57" t="str">
        <f t="shared" si="499"/>
        <v>--855-11-05</v>
      </c>
      <c r="Y862" s="55"/>
      <c r="Z862" s="55"/>
      <c r="AA862" s="55"/>
      <c r="AB862" s="55"/>
      <c r="AC862" s="55"/>
      <c r="AD862" s="55"/>
      <c r="AE862" s="55"/>
      <c r="AF862" s="55"/>
      <c r="AG862" s="84"/>
    </row>
    <row r="863">
      <c r="A863" s="53">
        <v>49.0</v>
      </c>
      <c r="B863" s="54" t="s">
        <v>2497</v>
      </c>
      <c r="C863" s="55" t="s">
        <v>2335</v>
      </c>
      <c r="D863" s="55"/>
      <c r="E863" s="55" t="s">
        <v>2498</v>
      </c>
      <c r="F863" s="55" t="s">
        <v>2499</v>
      </c>
      <c r="G863" s="55">
        <v>11.0</v>
      </c>
      <c r="H863" s="55" t="s">
        <v>111</v>
      </c>
      <c r="I863" s="55" t="s">
        <v>112</v>
      </c>
      <c r="J863" s="56" t="s">
        <v>113</v>
      </c>
      <c r="K863" s="55" t="s">
        <v>2500</v>
      </c>
      <c r="L863" s="55" t="s">
        <v>34</v>
      </c>
      <c r="M863" s="55" t="s">
        <v>133</v>
      </c>
      <c r="N863" s="55" t="s">
        <v>90</v>
      </c>
      <c r="O863" s="55"/>
      <c r="P863" s="55" t="s">
        <v>91</v>
      </c>
      <c r="Q863" s="55" t="s">
        <v>16</v>
      </c>
      <c r="R863" s="55"/>
      <c r="S863" s="55"/>
      <c r="T863" s="55"/>
      <c r="U863" s="55"/>
      <c r="V863" s="55"/>
      <c r="W863" s="55"/>
      <c r="X863" s="57" t="str">
        <f t="shared" si="499"/>
        <v>--856-11-05</v>
      </c>
      <c r="Y863" s="55"/>
      <c r="Z863" s="55"/>
      <c r="AA863" s="55"/>
      <c r="AB863" s="55"/>
      <c r="AC863" s="55"/>
      <c r="AD863" s="55"/>
      <c r="AE863" s="55"/>
      <c r="AF863" s="55"/>
      <c r="AG863" s="84"/>
    </row>
    <row r="864">
      <c r="A864" s="53">
        <v>50.0</v>
      </c>
      <c r="B864" s="54" t="s">
        <v>2501</v>
      </c>
      <c r="C864" s="55" t="s">
        <v>2335</v>
      </c>
      <c r="D864" s="55"/>
      <c r="E864" s="55" t="s">
        <v>2502</v>
      </c>
      <c r="F864" s="55" t="s">
        <v>2503</v>
      </c>
      <c r="G864" s="55">
        <v>39.0</v>
      </c>
      <c r="H864" s="55" t="s">
        <v>85</v>
      </c>
      <c r="I864" s="55" t="s">
        <v>86</v>
      </c>
      <c r="J864" s="56" t="s">
        <v>87</v>
      </c>
      <c r="K864" s="55" t="s">
        <v>2504</v>
      </c>
      <c r="L864" s="55" t="s">
        <v>24</v>
      </c>
      <c r="M864" s="55" t="s">
        <v>89</v>
      </c>
      <c r="N864" s="55" t="s">
        <v>90</v>
      </c>
      <c r="O864" s="55"/>
      <c r="P864" s="55" t="s">
        <v>91</v>
      </c>
      <c r="Q864" s="55"/>
      <c r="R864" s="55" t="s">
        <v>36</v>
      </c>
      <c r="S864" s="55"/>
      <c r="T864" s="55"/>
      <c r="U864" s="55"/>
      <c r="V864" s="55"/>
      <c r="W864" s="55"/>
      <c r="X864" s="57" t="str">
        <f t="shared" si="499"/>
        <v>--857-11-05</v>
      </c>
      <c r="Y864" s="55"/>
      <c r="Z864" s="55"/>
      <c r="AA864" s="55"/>
      <c r="AB864" s="55"/>
      <c r="AC864" s="55"/>
      <c r="AD864" s="55"/>
      <c r="AE864" s="55"/>
      <c r="AF864" s="55"/>
      <c r="AG864" s="84"/>
    </row>
    <row r="865">
      <c r="A865" s="53">
        <v>51.0</v>
      </c>
      <c r="B865" s="54" t="s">
        <v>2505</v>
      </c>
      <c r="C865" s="55" t="s">
        <v>2335</v>
      </c>
      <c r="D865" s="55"/>
      <c r="E865" s="55" t="s">
        <v>2506</v>
      </c>
      <c r="F865" s="55" t="s">
        <v>2507</v>
      </c>
      <c r="G865" s="55">
        <v>19.0</v>
      </c>
      <c r="H865" s="55" t="s">
        <v>85</v>
      </c>
      <c r="I865" s="55" t="s">
        <v>86</v>
      </c>
      <c r="J865" s="56" t="s">
        <v>87</v>
      </c>
      <c r="K865" s="55" t="s">
        <v>2508</v>
      </c>
      <c r="L865" s="55" t="s">
        <v>24</v>
      </c>
      <c r="M865" s="55" t="s">
        <v>133</v>
      </c>
      <c r="N865" s="55" t="s">
        <v>90</v>
      </c>
      <c r="O865" s="55"/>
      <c r="P865" s="55" t="s">
        <v>91</v>
      </c>
      <c r="Q865" s="55" t="s">
        <v>16</v>
      </c>
      <c r="R865" s="55"/>
      <c r="S865" s="55"/>
      <c r="T865" s="55"/>
      <c r="U865" s="55"/>
      <c r="V865" s="55"/>
      <c r="W865" s="55"/>
      <c r="X865" s="57" t="str">
        <f t="shared" si="499"/>
        <v>--858-11-05</v>
      </c>
      <c r="Y865" s="55"/>
      <c r="Z865" s="55"/>
      <c r="AA865" s="55"/>
      <c r="AB865" s="55"/>
      <c r="AC865" s="55"/>
      <c r="AD865" s="55"/>
      <c r="AE865" s="55"/>
      <c r="AF865" s="55"/>
      <c r="AG865" s="84"/>
    </row>
    <row r="866">
      <c r="A866" s="53">
        <v>52.0</v>
      </c>
      <c r="B866" s="54" t="s">
        <v>2509</v>
      </c>
      <c r="C866" s="55" t="s">
        <v>2335</v>
      </c>
      <c r="D866" s="55"/>
      <c r="E866" s="55" t="s">
        <v>2510</v>
      </c>
      <c r="F866" s="55" t="s">
        <v>2511</v>
      </c>
      <c r="G866" s="55">
        <v>12.0</v>
      </c>
      <c r="H866" s="55" t="s">
        <v>111</v>
      </c>
      <c r="I866" s="55" t="s">
        <v>112</v>
      </c>
      <c r="J866" s="56" t="s">
        <v>113</v>
      </c>
      <c r="K866" s="55" t="s">
        <v>2508</v>
      </c>
      <c r="L866" s="55" t="s">
        <v>24</v>
      </c>
      <c r="M866" s="55" t="s">
        <v>133</v>
      </c>
      <c r="N866" s="55" t="s">
        <v>90</v>
      </c>
      <c r="O866" s="55"/>
      <c r="P866" s="55" t="s">
        <v>91</v>
      </c>
      <c r="Q866" s="55" t="s">
        <v>4</v>
      </c>
      <c r="R866" s="55"/>
      <c r="S866" s="55"/>
      <c r="T866" s="55"/>
      <c r="U866" s="55"/>
      <c r="V866" s="55"/>
      <c r="W866" s="55"/>
      <c r="X866" s="57" t="str">
        <f t="shared" si="499"/>
        <v>--859-11-05</v>
      </c>
      <c r="Y866" s="55"/>
      <c r="Z866" s="55"/>
      <c r="AA866" s="55"/>
      <c r="AB866" s="55"/>
      <c r="AC866" s="55"/>
      <c r="AD866" s="55"/>
      <c r="AE866" s="55"/>
      <c r="AF866" s="55"/>
      <c r="AG866" s="84"/>
    </row>
    <row r="867">
      <c r="A867" s="53">
        <v>53.0</v>
      </c>
      <c r="B867" s="54" t="s">
        <v>2512</v>
      </c>
      <c r="C867" s="55" t="s">
        <v>2335</v>
      </c>
      <c r="D867" s="55"/>
      <c r="E867" s="55" t="s">
        <v>2513</v>
      </c>
      <c r="F867" s="55" t="s">
        <v>2514</v>
      </c>
      <c r="G867" s="55">
        <v>46.0</v>
      </c>
      <c r="H867" s="55" t="s">
        <v>85</v>
      </c>
      <c r="I867" s="55" t="s">
        <v>112</v>
      </c>
      <c r="J867" s="56" t="s">
        <v>113</v>
      </c>
      <c r="K867" s="55" t="s">
        <v>2515</v>
      </c>
      <c r="L867" s="55" t="s">
        <v>13</v>
      </c>
      <c r="M867" s="55" t="s">
        <v>89</v>
      </c>
      <c r="N867" s="55" t="s">
        <v>90</v>
      </c>
      <c r="O867" s="55"/>
      <c r="P867" s="55" t="s">
        <v>91</v>
      </c>
      <c r="Q867" s="55" t="s">
        <v>4</v>
      </c>
      <c r="R867" s="55"/>
      <c r="S867" s="55"/>
      <c r="T867" s="55"/>
      <c r="U867" s="55"/>
      <c r="V867" s="55"/>
      <c r="W867" s="55"/>
      <c r="X867" s="57" t="str">
        <f t="shared" si="499"/>
        <v>--860-11-05</v>
      </c>
      <c r="Y867" s="55"/>
      <c r="Z867" s="55"/>
      <c r="AA867" s="55"/>
      <c r="AB867" s="55"/>
      <c r="AC867" s="55"/>
      <c r="AD867" s="55"/>
      <c r="AE867" s="55"/>
      <c r="AF867" s="55"/>
      <c r="AG867" s="84"/>
    </row>
    <row r="868">
      <c r="A868" s="53">
        <v>54.0</v>
      </c>
      <c r="B868" s="54" t="s">
        <v>2516</v>
      </c>
      <c r="C868" s="55" t="s">
        <v>2335</v>
      </c>
      <c r="D868" s="55"/>
      <c r="E868" s="55" t="s">
        <v>2517</v>
      </c>
      <c r="F868" s="55" t="s">
        <v>2518</v>
      </c>
      <c r="G868" s="55">
        <v>50.0</v>
      </c>
      <c r="H868" s="55" t="s">
        <v>85</v>
      </c>
      <c r="I868" s="55" t="s">
        <v>86</v>
      </c>
      <c r="J868" s="56" t="s">
        <v>87</v>
      </c>
      <c r="K868" s="55" t="s">
        <v>2519</v>
      </c>
      <c r="L868" s="55" t="s">
        <v>13</v>
      </c>
      <c r="M868" s="55" t="s">
        <v>89</v>
      </c>
      <c r="N868" s="55" t="s">
        <v>90</v>
      </c>
      <c r="O868" s="55"/>
      <c r="P868" s="55" t="s">
        <v>91</v>
      </c>
      <c r="Q868" s="55" t="s">
        <v>16</v>
      </c>
      <c r="R868" s="55"/>
      <c r="S868" s="55"/>
      <c r="T868" s="55"/>
      <c r="U868" s="55"/>
      <c r="V868" s="55"/>
      <c r="W868" s="55"/>
      <c r="X868" s="57" t="str">
        <f t="shared" si="499"/>
        <v>--861-11-05</v>
      </c>
      <c r="Y868" s="55"/>
      <c r="Z868" s="55"/>
      <c r="AA868" s="55"/>
      <c r="AB868" s="55"/>
      <c r="AC868" s="55"/>
      <c r="AD868" s="55"/>
      <c r="AE868" s="55"/>
      <c r="AF868" s="55"/>
      <c r="AG868" s="84"/>
    </row>
    <row r="869">
      <c r="A869" s="53">
        <v>55.0</v>
      </c>
      <c r="B869" s="54" t="s">
        <v>2520</v>
      </c>
      <c r="C869" s="55" t="s">
        <v>2335</v>
      </c>
      <c r="D869" s="60">
        <v>46138.0</v>
      </c>
      <c r="E869" s="55" t="s">
        <v>230</v>
      </c>
      <c r="F869" s="55" t="s">
        <v>2521</v>
      </c>
      <c r="G869" s="55">
        <v>16.0</v>
      </c>
      <c r="H869" s="55" t="s">
        <v>111</v>
      </c>
      <c r="I869" s="55" t="s">
        <v>86</v>
      </c>
      <c r="J869" s="56" t="s">
        <v>87</v>
      </c>
      <c r="K869" s="55" t="s">
        <v>526</v>
      </c>
      <c r="L869" s="55" t="s">
        <v>24</v>
      </c>
      <c r="M869" s="55" t="s">
        <v>133</v>
      </c>
      <c r="N869" s="55" t="s">
        <v>90</v>
      </c>
      <c r="O869" s="55"/>
      <c r="P869" s="55" t="s">
        <v>91</v>
      </c>
      <c r="Q869" s="55" t="s">
        <v>16</v>
      </c>
      <c r="R869" s="55"/>
      <c r="S869" s="55"/>
      <c r="T869" s="55"/>
      <c r="U869" s="55"/>
      <c r="V869" s="55"/>
      <c r="W869" s="55"/>
      <c r="X869" s="57" t="str">
        <f t="shared" si="499"/>
        <v>--862-11-05</v>
      </c>
      <c r="Y869" s="55"/>
      <c r="Z869" s="55"/>
      <c r="AA869" s="55"/>
      <c r="AB869" s="55"/>
      <c r="AC869" s="55"/>
      <c r="AD869" s="55"/>
      <c r="AE869" s="55"/>
      <c r="AF869" s="55"/>
      <c r="AG869" s="84"/>
    </row>
    <row r="870">
      <c r="A870" s="53">
        <v>56.0</v>
      </c>
      <c r="B870" s="54" t="s">
        <v>2522</v>
      </c>
      <c r="C870" s="55" t="s">
        <v>2335</v>
      </c>
      <c r="D870" s="60">
        <v>46147.0</v>
      </c>
      <c r="E870" s="55" t="s">
        <v>2523</v>
      </c>
      <c r="F870" s="55" t="s">
        <v>2524</v>
      </c>
      <c r="G870" s="55">
        <v>29.0</v>
      </c>
      <c r="H870" s="55" t="s">
        <v>85</v>
      </c>
      <c r="I870" s="55" t="s">
        <v>86</v>
      </c>
      <c r="J870" s="56" t="s">
        <v>87</v>
      </c>
      <c r="K870" s="55" t="s">
        <v>2525</v>
      </c>
      <c r="L870" s="55" t="s">
        <v>13</v>
      </c>
      <c r="M870" s="55" t="s">
        <v>89</v>
      </c>
      <c r="N870" s="55" t="s">
        <v>90</v>
      </c>
      <c r="O870" s="55"/>
      <c r="P870" s="55" t="s">
        <v>91</v>
      </c>
      <c r="Q870" s="55"/>
      <c r="R870" s="55" t="s">
        <v>36</v>
      </c>
      <c r="S870" s="55"/>
      <c r="T870" s="55"/>
      <c r="U870" s="55"/>
      <c r="V870" s="55"/>
      <c r="W870" s="55"/>
      <c r="X870" s="57" t="str">
        <f t="shared" si="499"/>
        <v>--863-11-05</v>
      </c>
      <c r="Y870" s="55"/>
      <c r="Z870" s="55"/>
      <c r="AA870" s="55"/>
      <c r="AB870" s="55"/>
      <c r="AC870" s="55"/>
      <c r="AD870" s="55"/>
      <c r="AE870" s="55"/>
      <c r="AF870" s="55"/>
      <c r="AG870" s="84"/>
    </row>
    <row r="871">
      <c r="A871" s="53">
        <v>57.0</v>
      </c>
      <c r="B871" s="54" t="s">
        <v>2526</v>
      </c>
      <c r="C871" s="55" t="s">
        <v>2335</v>
      </c>
      <c r="D871" s="55"/>
      <c r="E871" s="55" t="s">
        <v>2527</v>
      </c>
      <c r="F871" s="55" t="s">
        <v>2528</v>
      </c>
      <c r="G871" s="55">
        <v>2.0</v>
      </c>
      <c r="H871" s="55" t="s">
        <v>119</v>
      </c>
      <c r="I871" s="55" t="s">
        <v>86</v>
      </c>
      <c r="J871" s="56" t="s">
        <v>87</v>
      </c>
      <c r="K871" s="55" t="s">
        <v>2525</v>
      </c>
      <c r="L871" s="55" t="s">
        <v>34</v>
      </c>
      <c r="M871" s="55" t="s">
        <v>133</v>
      </c>
      <c r="N871" s="55" t="s">
        <v>90</v>
      </c>
      <c r="O871" s="55"/>
      <c r="P871" s="55" t="s">
        <v>91</v>
      </c>
      <c r="Q871" s="55" t="s">
        <v>16</v>
      </c>
      <c r="R871" s="55"/>
      <c r="S871" s="55"/>
      <c r="T871" s="55"/>
      <c r="U871" s="55"/>
      <c r="V871" s="55"/>
      <c r="W871" s="55"/>
      <c r="X871" s="57" t="str">
        <f t="shared" si="499"/>
        <v>--864-11-05</v>
      </c>
      <c r="Y871" s="55"/>
      <c r="Z871" s="55"/>
      <c r="AA871" s="55"/>
      <c r="AB871" s="55"/>
      <c r="AC871" s="55"/>
      <c r="AD871" s="55"/>
      <c r="AE871" s="55"/>
      <c r="AF871" s="55"/>
      <c r="AG871" s="84"/>
    </row>
    <row r="872">
      <c r="A872" s="53">
        <v>58.0</v>
      </c>
      <c r="B872" s="54" t="s">
        <v>2529</v>
      </c>
      <c r="C872" s="55" t="s">
        <v>2335</v>
      </c>
      <c r="D872" s="55"/>
      <c r="E872" s="55" t="s">
        <v>2530</v>
      </c>
      <c r="F872" s="55" t="s">
        <v>2531</v>
      </c>
      <c r="G872" s="55">
        <v>40.0</v>
      </c>
      <c r="H872" s="55" t="s">
        <v>85</v>
      </c>
      <c r="I872" s="55" t="s">
        <v>86</v>
      </c>
      <c r="J872" s="56" t="s">
        <v>87</v>
      </c>
      <c r="K872" s="55" t="s">
        <v>1433</v>
      </c>
      <c r="L872" s="55" t="s">
        <v>24</v>
      </c>
      <c r="M872" s="55" t="s">
        <v>89</v>
      </c>
      <c r="N872" s="55" t="s">
        <v>90</v>
      </c>
      <c r="O872" s="55"/>
      <c r="P872" s="55" t="s">
        <v>91</v>
      </c>
      <c r="Q872" s="55"/>
      <c r="R872" s="55" t="s">
        <v>36</v>
      </c>
      <c r="S872" s="55"/>
      <c r="T872" s="55"/>
      <c r="U872" s="55"/>
      <c r="V872" s="55"/>
      <c r="W872" s="55"/>
      <c r="X872" s="57" t="str">
        <f t="shared" si="499"/>
        <v>--865-11-05</v>
      </c>
      <c r="Y872" s="55"/>
      <c r="Z872" s="55"/>
      <c r="AA872" s="55"/>
      <c r="AB872" s="55"/>
      <c r="AC872" s="55"/>
      <c r="AD872" s="55"/>
      <c r="AE872" s="55"/>
      <c r="AF872" s="55"/>
      <c r="AG872" s="84"/>
    </row>
    <row r="873">
      <c r="A873" s="53">
        <v>59.0</v>
      </c>
      <c r="B873" s="54" t="s">
        <v>1755</v>
      </c>
      <c r="C873" s="55" t="s">
        <v>2335</v>
      </c>
      <c r="D873" s="60">
        <v>46145.0</v>
      </c>
      <c r="E873" s="55" t="s">
        <v>1756</v>
      </c>
      <c r="F873" s="55" t="s">
        <v>2532</v>
      </c>
      <c r="G873" s="55">
        <v>75.0</v>
      </c>
      <c r="H873" s="55" t="s">
        <v>260</v>
      </c>
      <c r="I873" s="55" t="s">
        <v>112</v>
      </c>
      <c r="J873" s="56" t="s">
        <v>113</v>
      </c>
      <c r="K873" s="55" t="s">
        <v>1758</v>
      </c>
      <c r="L873" s="55" t="s">
        <v>34</v>
      </c>
      <c r="M873" s="55" t="s">
        <v>89</v>
      </c>
      <c r="N873" s="55" t="s">
        <v>90</v>
      </c>
      <c r="O873" s="55"/>
      <c r="P873" s="55" t="s">
        <v>91</v>
      </c>
      <c r="Q873" s="55" t="s">
        <v>4</v>
      </c>
      <c r="R873" s="55"/>
      <c r="S873" s="55"/>
      <c r="T873" s="55"/>
      <c r="U873" s="55"/>
      <c r="V873" s="55"/>
      <c r="W873" s="55"/>
      <c r="X873" s="57" t="str">
        <f t="shared" si="499"/>
        <v>--866-11-05</v>
      </c>
      <c r="Y873" s="55"/>
      <c r="Z873" s="55"/>
      <c r="AA873" s="55"/>
      <c r="AB873" s="55"/>
      <c r="AC873" s="55"/>
      <c r="AD873" s="55"/>
      <c r="AE873" s="55"/>
      <c r="AF873" s="55"/>
      <c r="AG873" s="84"/>
    </row>
    <row r="874">
      <c r="A874" s="53">
        <v>60.0</v>
      </c>
      <c r="B874" s="54" t="s">
        <v>2533</v>
      </c>
      <c r="C874" s="55" t="s">
        <v>2335</v>
      </c>
      <c r="D874" s="55"/>
      <c r="E874" s="55" t="s">
        <v>2534</v>
      </c>
      <c r="F874" s="55" t="s">
        <v>2535</v>
      </c>
      <c r="G874" s="55">
        <v>41.0</v>
      </c>
      <c r="H874" s="55" t="s">
        <v>85</v>
      </c>
      <c r="I874" s="55" t="s">
        <v>86</v>
      </c>
      <c r="J874" s="56" t="s">
        <v>87</v>
      </c>
      <c r="K874" s="55" t="s">
        <v>2536</v>
      </c>
      <c r="L874" s="55" t="s">
        <v>24</v>
      </c>
      <c r="M874" s="55" t="s">
        <v>89</v>
      </c>
      <c r="N874" s="55" t="s">
        <v>90</v>
      </c>
      <c r="O874" s="55"/>
      <c r="P874" s="55" t="s">
        <v>91</v>
      </c>
      <c r="Q874" s="55"/>
      <c r="R874" s="55" t="s">
        <v>36</v>
      </c>
      <c r="S874" s="55"/>
      <c r="T874" s="55" t="s">
        <v>7</v>
      </c>
      <c r="U874" s="55"/>
      <c r="V874" s="55"/>
      <c r="W874" s="55"/>
      <c r="X874" s="57" t="str">
        <f t="shared" si="499"/>
        <v>--867-11-05</v>
      </c>
      <c r="Y874" s="55"/>
      <c r="Z874" s="55"/>
      <c r="AA874" s="55"/>
      <c r="AB874" s="55"/>
      <c r="AC874" s="55"/>
      <c r="AD874" s="55"/>
      <c r="AE874" s="55"/>
      <c r="AF874" s="55"/>
      <c r="AG874" s="84"/>
    </row>
    <row r="875">
      <c r="A875" s="53">
        <v>61.0</v>
      </c>
      <c r="B875" s="54" t="s">
        <v>2537</v>
      </c>
      <c r="C875" s="55" t="s">
        <v>2335</v>
      </c>
      <c r="D875" s="55"/>
      <c r="E875" s="55" t="s">
        <v>2538</v>
      </c>
      <c r="F875" s="55" t="s">
        <v>2539</v>
      </c>
      <c r="G875" s="55">
        <v>32.0</v>
      </c>
      <c r="H875" s="55" t="s">
        <v>85</v>
      </c>
      <c r="I875" s="55" t="s">
        <v>86</v>
      </c>
      <c r="J875" s="56" t="s">
        <v>87</v>
      </c>
      <c r="K875" s="55" t="s">
        <v>2540</v>
      </c>
      <c r="L875" s="55" t="s">
        <v>34</v>
      </c>
      <c r="M875" s="55" t="s">
        <v>89</v>
      </c>
      <c r="N875" s="55" t="s">
        <v>90</v>
      </c>
      <c r="O875" s="55"/>
      <c r="P875" s="55" t="s">
        <v>91</v>
      </c>
      <c r="Q875" s="55"/>
      <c r="R875" s="55" t="s">
        <v>36</v>
      </c>
      <c r="S875" s="55"/>
      <c r="T875" s="55"/>
      <c r="U875" s="55"/>
      <c r="V875" s="55"/>
      <c r="W875" s="55"/>
      <c r="X875" s="57" t="str">
        <f t="shared" si="499"/>
        <v>--868-11-05</v>
      </c>
      <c r="Y875" s="55"/>
      <c r="Z875" s="55"/>
      <c r="AA875" s="55"/>
      <c r="AB875" s="55"/>
      <c r="AC875" s="55"/>
      <c r="AD875" s="55"/>
      <c r="AE875" s="55"/>
      <c r="AF875" s="55"/>
      <c r="AG875" s="84"/>
    </row>
    <row r="876">
      <c r="A876" s="53">
        <v>62.0</v>
      </c>
      <c r="B876" s="54" t="s">
        <v>695</v>
      </c>
      <c r="C876" s="55" t="s">
        <v>2335</v>
      </c>
      <c r="D876" s="60">
        <v>46139.0</v>
      </c>
      <c r="E876" s="55" t="s">
        <v>696</v>
      </c>
      <c r="F876" s="55" t="s">
        <v>2541</v>
      </c>
      <c r="G876" s="55">
        <v>31.0</v>
      </c>
      <c r="H876" s="55" t="s">
        <v>85</v>
      </c>
      <c r="I876" s="55" t="s">
        <v>86</v>
      </c>
      <c r="J876" s="56" t="s">
        <v>87</v>
      </c>
      <c r="K876" s="55" t="s">
        <v>698</v>
      </c>
      <c r="L876" s="55" t="s">
        <v>34</v>
      </c>
      <c r="M876" s="55" t="s">
        <v>89</v>
      </c>
      <c r="N876" s="55" t="s">
        <v>90</v>
      </c>
      <c r="O876" s="55"/>
      <c r="P876" s="55" t="s">
        <v>91</v>
      </c>
      <c r="Q876" s="55" t="s">
        <v>4</v>
      </c>
      <c r="R876" s="55"/>
      <c r="S876" s="55"/>
      <c r="T876" s="55"/>
      <c r="U876" s="55"/>
      <c r="V876" s="55"/>
      <c r="W876" s="55"/>
      <c r="X876" s="57" t="str">
        <f t="shared" si="499"/>
        <v>--869-11-05</v>
      </c>
      <c r="Y876" s="55"/>
      <c r="Z876" s="55"/>
      <c r="AA876" s="55"/>
      <c r="AB876" s="55"/>
      <c r="AC876" s="55"/>
      <c r="AD876" s="55"/>
      <c r="AE876" s="55"/>
      <c r="AF876" s="55"/>
      <c r="AG876" s="84"/>
    </row>
    <row r="877">
      <c r="A877" s="53">
        <v>63.0</v>
      </c>
      <c r="B877" s="54" t="s">
        <v>710</v>
      </c>
      <c r="C877" s="55" t="s">
        <v>2335</v>
      </c>
      <c r="D877" s="60">
        <v>46139.0</v>
      </c>
      <c r="E877" s="55" t="s">
        <v>711</v>
      </c>
      <c r="F877" s="55" t="s">
        <v>2542</v>
      </c>
      <c r="G877" s="55">
        <v>49.0</v>
      </c>
      <c r="H877" s="55" t="s">
        <v>85</v>
      </c>
      <c r="I877" s="55" t="s">
        <v>86</v>
      </c>
      <c r="J877" s="56" t="s">
        <v>87</v>
      </c>
      <c r="K877" s="55" t="s">
        <v>2543</v>
      </c>
      <c r="L877" s="55" t="s">
        <v>24</v>
      </c>
      <c r="M877" s="55" t="s">
        <v>89</v>
      </c>
      <c r="N877" s="55" t="s">
        <v>90</v>
      </c>
      <c r="O877" s="55"/>
      <c r="P877" s="55" t="s">
        <v>91</v>
      </c>
      <c r="Q877" s="55" t="s">
        <v>4</v>
      </c>
      <c r="R877" s="55"/>
      <c r="S877" s="55"/>
      <c r="T877" s="55"/>
      <c r="U877" s="55"/>
      <c r="V877" s="55"/>
      <c r="W877" s="55"/>
      <c r="X877" s="57" t="str">
        <f t="shared" si="499"/>
        <v>--870-11-05</v>
      </c>
      <c r="Y877" s="55"/>
      <c r="Z877" s="55"/>
      <c r="AA877" s="55"/>
      <c r="AB877" s="55"/>
      <c r="AC877" s="55"/>
      <c r="AD877" s="55"/>
      <c r="AE877" s="55"/>
      <c r="AF877" s="55"/>
      <c r="AG877" s="84"/>
    </row>
    <row r="878">
      <c r="A878" s="53">
        <v>64.0</v>
      </c>
      <c r="B878" s="54" t="s">
        <v>2544</v>
      </c>
      <c r="C878" s="55" t="s">
        <v>2335</v>
      </c>
      <c r="D878" s="55"/>
      <c r="E878" s="55" t="s">
        <v>2545</v>
      </c>
      <c r="F878" s="55" t="s">
        <v>2546</v>
      </c>
      <c r="G878" s="55">
        <v>1.0</v>
      </c>
      <c r="H878" s="55" t="s">
        <v>119</v>
      </c>
      <c r="I878" s="55" t="s">
        <v>112</v>
      </c>
      <c r="J878" s="56" t="s">
        <v>113</v>
      </c>
      <c r="K878" s="55" t="s">
        <v>2543</v>
      </c>
      <c r="L878" s="55" t="s">
        <v>34</v>
      </c>
      <c r="M878" s="55" t="s">
        <v>133</v>
      </c>
      <c r="N878" s="55" t="s">
        <v>90</v>
      </c>
      <c r="O878" s="55"/>
      <c r="P878" s="55" t="s">
        <v>91</v>
      </c>
      <c r="Q878" s="55" t="s">
        <v>16</v>
      </c>
      <c r="R878" s="55"/>
      <c r="S878" s="55"/>
      <c r="T878" s="55"/>
      <c r="U878" s="55"/>
      <c r="V878" s="55"/>
      <c r="W878" s="55"/>
      <c r="X878" s="57" t="str">
        <f t="shared" si="499"/>
        <v>--871-11-05</v>
      </c>
      <c r="Y878" s="55"/>
      <c r="Z878" s="55"/>
      <c r="AA878" s="55"/>
      <c r="AB878" s="55"/>
      <c r="AC878" s="55"/>
      <c r="AD878" s="55"/>
      <c r="AE878" s="55"/>
      <c r="AF878" s="55"/>
      <c r="AG878" s="84"/>
    </row>
    <row r="879">
      <c r="A879" s="53">
        <v>65.0</v>
      </c>
      <c r="B879" s="54" t="s">
        <v>2547</v>
      </c>
      <c r="C879" s="55" t="s">
        <v>2335</v>
      </c>
      <c r="D879" s="55"/>
      <c r="E879" s="55" t="s">
        <v>2548</v>
      </c>
      <c r="F879" s="55" t="s">
        <v>2493</v>
      </c>
      <c r="G879" s="55">
        <v>5.0</v>
      </c>
      <c r="H879" s="55" t="s">
        <v>119</v>
      </c>
      <c r="I879" s="55" t="s">
        <v>112</v>
      </c>
      <c r="J879" s="56" t="s">
        <v>113</v>
      </c>
      <c r="K879" s="55" t="s">
        <v>2549</v>
      </c>
      <c r="L879" s="55" t="s">
        <v>34</v>
      </c>
      <c r="M879" s="55" t="s">
        <v>133</v>
      </c>
      <c r="N879" s="55" t="s">
        <v>90</v>
      </c>
      <c r="O879" s="55"/>
      <c r="P879" s="55" t="s">
        <v>91</v>
      </c>
      <c r="Q879" s="55" t="s">
        <v>16</v>
      </c>
      <c r="R879" s="55"/>
      <c r="S879" s="55"/>
      <c r="T879" s="55"/>
      <c r="U879" s="55"/>
      <c r="V879" s="55"/>
      <c r="W879" s="55"/>
      <c r="X879" s="57" t="str">
        <f t="shared" si="499"/>
        <v>--872-11-05</v>
      </c>
      <c r="Y879" s="55"/>
      <c r="Z879" s="55"/>
      <c r="AA879" s="55"/>
      <c r="AB879" s="55"/>
      <c r="AC879" s="55"/>
      <c r="AD879" s="55"/>
      <c r="AE879" s="55"/>
      <c r="AF879" s="55"/>
      <c r="AG879" s="84"/>
    </row>
    <row r="880">
      <c r="A880" s="53">
        <v>66.0</v>
      </c>
      <c r="B880" s="54" t="s">
        <v>2550</v>
      </c>
      <c r="C880" s="55" t="s">
        <v>2335</v>
      </c>
      <c r="D880" s="55"/>
      <c r="E880" s="55" t="s">
        <v>2551</v>
      </c>
      <c r="F880" s="55" t="s">
        <v>2552</v>
      </c>
      <c r="G880" s="55">
        <v>8.0</v>
      </c>
      <c r="H880" s="55" t="s">
        <v>111</v>
      </c>
      <c r="I880" s="55" t="s">
        <v>112</v>
      </c>
      <c r="J880" s="56" t="s">
        <v>113</v>
      </c>
      <c r="K880" s="55" t="s">
        <v>2549</v>
      </c>
      <c r="L880" s="55" t="s">
        <v>34</v>
      </c>
      <c r="M880" s="55" t="s">
        <v>133</v>
      </c>
      <c r="N880" s="55" t="s">
        <v>90</v>
      </c>
      <c r="O880" s="55"/>
      <c r="P880" s="55" t="s">
        <v>91</v>
      </c>
      <c r="Q880" s="55" t="s">
        <v>16</v>
      </c>
      <c r="R880" s="55"/>
      <c r="S880" s="55"/>
      <c r="T880" s="55"/>
      <c r="U880" s="55"/>
      <c r="V880" s="55"/>
      <c r="W880" s="55"/>
      <c r="X880" s="57" t="str">
        <f t="shared" si="499"/>
        <v>--873-11-05</v>
      </c>
      <c r="Y880" s="55"/>
      <c r="Z880" s="55"/>
      <c r="AA880" s="55"/>
      <c r="AB880" s="55"/>
      <c r="AC880" s="55"/>
      <c r="AD880" s="55"/>
      <c r="AE880" s="55"/>
      <c r="AF880" s="55"/>
      <c r="AG880" s="84"/>
    </row>
    <row r="881">
      <c r="A881" s="53">
        <v>67.0</v>
      </c>
      <c r="B881" s="54" t="s">
        <v>2553</v>
      </c>
      <c r="C881" s="55" t="s">
        <v>2335</v>
      </c>
      <c r="D881" s="55"/>
      <c r="E881" s="55" t="s">
        <v>2554</v>
      </c>
      <c r="F881" s="55" t="s">
        <v>2555</v>
      </c>
      <c r="G881" s="55">
        <v>11.0</v>
      </c>
      <c r="H881" s="55" t="s">
        <v>111</v>
      </c>
      <c r="I881" s="55" t="s">
        <v>86</v>
      </c>
      <c r="J881" s="56" t="s">
        <v>87</v>
      </c>
      <c r="K881" s="55" t="s">
        <v>2556</v>
      </c>
      <c r="L881" s="55" t="s">
        <v>34</v>
      </c>
      <c r="M881" s="55" t="s">
        <v>115</v>
      </c>
      <c r="N881" s="55" t="s">
        <v>90</v>
      </c>
      <c r="O881" s="55"/>
      <c r="P881" s="55" t="s">
        <v>91</v>
      </c>
      <c r="Q881" s="55" t="s">
        <v>16</v>
      </c>
      <c r="R881" s="55"/>
      <c r="S881" s="55"/>
      <c r="T881" s="55"/>
      <c r="U881" s="55"/>
      <c r="V881" s="55"/>
      <c r="W881" s="55"/>
      <c r="X881" s="57" t="str">
        <f t="shared" si="499"/>
        <v>--874-11-05</v>
      </c>
      <c r="Y881" s="55"/>
      <c r="Z881" s="55"/>
      <c r="AA881" s="55"/>
      <c r="AB881" s="55"/>
      <c r="AC881" s="55"/>
      <c r="AD881" s="55"/>
      <c r="AE881" s="55"/>
      <c r="AF881" s="55"/>
      <c r="AG881" s="84"/>
    </row>
    <row r="882" ht="24.0" customHeight="1">
      <c r="A882" s="45">
        <v>1.0</v>
      </c>
      <c r="B882" s="74" t="s">
        <v>180</v>
      </c>
      <c r="C882" s="55" t="s">
        <v>2557</v>
      </c>
      <c r="D882" s="75" t="s">
        <v>1883</v>
      </c>
      <c r="E882" s="57">
        <v>8.03459551E8</v>
      </c>
      <c r="F882" s="76">
        <v>34014.0</v>
      </c>
      <c r="G882" s="77">
        <v>33.0</v>
      </c>
      <c r="H882" s="78" t="str">
        <f t="shared" ref="H882:H902" si="768">IF(G882="","",IF(G882&lt;=5,"0-5",IF(G882&lt;=18,"6-18",IF(G882&lt;=60,"19-60","+60"))))</f>
        <v>19-60</v>
      </c>
      <c r="I882" s="79" t="s">
        <v>86</v>
      </c>
      <c r="J882" s="80" t="str">
        <f t="shared" ref="J882:J955" si="769">IF(I882="","",IF(LOWER(TRIM(I882))="male","male",IF(LOWER(TRIM(I882))="female","female","")))</f>
        <v>female</v>
      </c>
      <c r="K882" s="58">
        <v>5.99619139E8</v>
      </c>
      <c r="L882" s="58" t="s">
        <v>34</v>
      </c>
      <c r="M882" s="57" t="s">
        <v>89</v>
      </c>
      <c r="N882" s="55" t="s">
        <v>90</v>
      </c>
      <c r="O882" s="55"/>
      <c r="P882" s="55" t="s">
        <v>91</v>
      </c>
      <c r="Q882" s="55"/>
      <c r="R882" s="57" t="s">
        <v>5</v>
      </c>
      <c r="S882" s="57"/>
      <c r="T882" s="82"/>
      <c r="U882" s="82" t="s">
        <v>7</v>
      </c>
      <c r="V882" s="57"/>
      <c r="W882" s="57"/>
      <c r="X882" s="57" t="str">
        <f t="shared" ref="X882:X887" si="770">IF(E882="","",UPPER(LEFT($C$3,1)&amp;"-"&amp;LEFT($C$4,1)&amp;"-"&amp;TEXT(ROW(B876),"000")&amp;"-"&amp;TEXT(C882,"dd-mm")))</f>
        <v>--876-12-05</v>
      </c>
      <c r="Y882" s="58" t="str">
        <f t="shared" ref="Y882:AC882" si="767">TRIM(SUBSTITUTE(SUBSTITUTE(OFFSET(#REF!,0,COLUMN()-COLUMN($AL$1)),CHAR(160)," "),_xludf.UNICHAR(8239)," "))</f>
        <v>#REF!</v>
      </c>
      <c r="Z882" s="58" t="str">
        <f t="shared" si="767"/>
        <v>#REF!</v>
      </c>
      <c r="AA882" s="58" t="str">
        <f t="shared" si="767"/>
        <v>#REF!</v>
      </c>
      <c r="AB882" s="58" t="str">
        <f t="shared" si="767"/>
        <v>#REF!</v>
      </c>
      <c r="AC882" s="58" t="str">
        <f t="shared" si="767"/>
        <v>#REF!</v>
      </c>
      <c r="AD882" s="57">
        <f t="shared" ref="AD882:AD1004" si="772">IF($E882="",0,--(COUNTIFS($E:$E,$E882,$C:$C,"&gt;"&amp;$C882)+COUNTIFS($E$8:E882,$E882,$C$8:C882,$C882)=1))</f>
        <v>1</v>
      </c>
      <c r="AE882" s="57" t="str">
        <f t="shared" ref="AE882:AE1004" si="773">IF($C882="","",TEXT($C882,"yyyy-mm"))</f>
        <v>2026-05</v>
      </c>
      <c r="AF882" s="57">
        <f t="shared" ref="AF882:AF1004" si="774">IF(OR($E882="",$AE882=""),0,IF(COUNTIFS($E$8:E882,$E882,$AE$8:AE882,$AE882)=1,1,0))</f>
        <v>0</v>
      </c>
      <c r="AG882" s="59">
        <f t="shared" ref="AG882:AG1004" si="775">IF($E882="",0,IF(COUNTIF($E$8:E882,$E882)=1,1,0))</f>
        <v>0</v>
      </c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</row>
    <row r="883" ht="24.0" customHeight="1">
      <c r="A883" s="45">
        <v>2.0</v>
      </c>
      <c r="B883" s="74" t="s">
        <v>789</v>
      </c>
      <c r="C883" s="55" t="s">
        <v>2557</v>
      </c>
      <c r="D883" s="75" t="s">
        <v>1883</v>
      </c>
      <c r="E883" s="57">
        <v>9.26574971E8</v>
      </c>
      <c r="F883" s="76">
        <v>26867.0</v>
      </c>
      <c r="G883" s="77">
        <v>53.0</v>
      </c>
      <c r="H883" s="78" t="str">
        <f t="shared" si="768"/>
        <v>19-60</v>
      </c>
      <c r="I883" s="79" t="s">
        <v>86</v>
      </c>
      <c r="J883" s="80" t="str">
        <f t="shared" si="769"/>
        <v>female</v>
      </c>
      <c r="K883" s="58">
        <v>5.98078523E8</v>
      </c>
      <c r="L883" s="58" t="s">
        <v>41</v>
      </c>
      <c r="M883" s="57" t="s">
        <v>89</v>
      </c>
      <c r="N883" s="55" t="s">
        <v>90</v>
      </c>
      <c r="O883" s="55"/>
      <c r="P883" s="55" t="s">
        <v>91</v>
      </c>
      <c r="Q883" s="57" t="s">
        <v>4</v>
      </c>
      <c r="R883" s="81"/>
      <c r="S883" s="57"/>
      <c r="T883" s="82"/>
      <c r="U883" s="82"/>
      <c r="V883" s="57"/>
      <c r="W883" s="57"/>
      <c r="X883" s="57" t="str">
        <f t="shared" si="770"/>
        <v>--877-12-05</v>
      </c>
      <c r="Y883" s="58" t="str">
        <f t="shared" ref="Y883:AC883" si="771">TRIM(SUBSTITUTE(SUBSTITUTE(OFFSET(#REF!,0,COLUMN()-COLUMN($AL$1)),CHAR(160)," "),_xludf.UNICHAR(8239)," "))</f>
        <v>#REF!</v>
      </c>
      <c r="Z883" s="58" t="str">
        <f t="shared" si="771"/>
        <v>#REF!</v>
      </c>
      <c r="AA883" s="58" t="str">
        <f t="shared" si="771"/>
        <v>#REF!</v>
      </c>
      <c r="AB883" s="58" t="str">
        <f t="shared" si="771"/>
        <v>#REF!</v>
      </c>
      <c r="AC883" s="58" t="str">
        <f t="shared" si="771"/>
        <v>#REF!</v>
      </c>
      <c r="AD883" s="57">
        <f t="shared" si="772"/>
        <v>1</v>
      </c>
      <c r="AE883" s="57" t="str">
        <f t="shared" si="773"/>
        <v>2026-05</v>
      </c>
      <c r="AF883" s="57">
        <f t="shared" si="774"/>
        <v>0</v>
      </c>
      <c r="AG883" s="59">
        <f t="shared" si="775"/>
        <v>0</v>
      </c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</row>
    <row r="884" ht="24.0" customHeight="1">
      <c r="A884" s="45">
        <v>3.0</v>
      </c>
      <c r="B884" s="74" t="s">
        <v>2331</v>
      </c>
      <c r="C884" s="55" t="s">
        <v>2557</v>
      </c>
      <c r="D884" s="75" t="s">
        <v>1883</v>
      </c>
      <c r="E884" s="57">
        <v>9.34863358E8</v>
      </c>
      <c r="F884" s="76">
        <v>24112.0</v>
      </c>
      <c r="G884" s="77">
        <v>60.0</v>
      </c>
      <c r="H884" s="78" t="str">
        <f t="shared" si="768"/>
        <v>19-60</v>
      </c>
      <c r="I884" s="79" t="s">
        <v>112</v>
      </c>
      <c r="J884" s="80" t="str">
        <f t="shared" si="769"/>
        <v>male</v>
      </c>
      <c r="K884" s="58">
        <v>5.9211644E8</v>
      </c>
      <c r="L884" s="58" t="s">
        <v>44</v>
      </c>
      <c r="M884" s="57" t="s">
        <v>89</v>
      </c>
      <c r="N884" s="55" t="s">
        <v>90</v>
      </c>
      <c r="O884" s="55"/>
      <c r="P884" s="55" t="s">
        <v>91</v>
      </c>
      <c r="Q884" s="55"/>
      <c r="R884" s="81"/>
      <c r="S884" s="58" t="s">
        <v>6</v>
      </c>
      <c r="T884" s="82"/>
      <c r="U884" s="82"/>
      <c r="V884" s="57"/>
      <c r="W884" s="57"/>
      <c r="X884" s="57" t="str">
        <f t="shared" si="770"/>
        <v>--878-12-05</v>
      </c>
      <c r="Y884" s="58" t="str">
        <f t="shared" ref="Y884:AC884" si="776">TRIM(SUBSTITUTE(SUBSTITUTE(OFFSET(#REF!,0,COLUMN()-COLUMN($AL$1)),CHAR(160)," "),_xludf.UNICHAR(8239)," "))</f>
        <v>#REF!</v>
      </c>
      <c r="Z884" s="58" t="str">
        <f t="shared" si="776"/>
        <v>#REF!</v>
      </c>
      <c r="AA884" s="58" t="str">
        <f t="shared" si="776"/>
        <v>#REF!</v>
      </c>
      <c r="AB884" s="58" t="str">
        <f t="shared" si="776"/>
        <v>#REF!</v>
      </c>
      <c r="AC884" s="58" t="str">
        <f t="shared" si="776"/>
        <v>#REF!</v>
      </c>
      <c r="AD884" s="57">
        <f t="shared" si="772"/>
        <v>1</v>
      </c>
      <c r="AE884" s="57" t="str">
        <f t="shared" si="773"/>
        <v>2026-05</v>
      </c>
      <c r="AF884" s="57">
        <f t="shared" si="774"/>
        <v>0</v>
      </c>
      <c r="AG884" s="59">
        <f t="shared" si="775"/>
        <v>0</v>
      </c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</row>
    <row r="885" ht="24.0" customHeight="1">
      <c r="A885" s="45">
        <v>4.0</v>
      </c>
      <c r="B885" s="74" t="s">
        <v>2558</v>
      </c>
      <c r="C885" s="55" t="s">
        <v>2557</v>
      </c>
      <c r="D885" s="75" t="s">
        <v>1883</v>
      </c>
      <c r="E885" s="57">
        <v>9.03508471E8</v>
      </c>
      <c r="F885" s="76">
        <v>29024.0</v>
      </c>
      <c r="G885" s="77">
        <v>47.0</v>
      </c>
      <c r="H885" s="78" t="str">
        <f t="shared" si="768"/>
        <v>19-60</v>
      </c>
      <c r="I885" s="79" t="s">
        <v>86</v>
      </c>
      <c r="J885" s="80" t="str">
        <f t="shared" si="769"/>
        <v>female</v>
      </c>
      <c r="K885" s="58">
        <v>5.99459178E8</v>
      </c>
      <c r="L885" s="58" t="s">
        <v>44</v>
      </c>
      <c r="M885" s="57" t="s">
        <v>89</v>
      </c>
      <c r="N885" s="55" t="s">
        <v>90</v>
      </c>
      <c r="O885" s="55"/>
      <c r="P885" s="55" t="s">
        <v>91</v>
      </c>
      <c r="Q885" s="55"/>
      <c r="R885" s="58" t="s">
        <v>36</v>
      </c>
      <c r="S885" s="57"/>
      <c r="T885" s="82"/>
      <c r="U885" s="82"/>
      <c r="V885" s="57"/>
      <c r="W885" s="57"/>
      <c r="X885" s="57" t="str">
        <f t="shared" si="770"/>
        <v>--879-12-05</v>
      </c>
      <c r="Y885" s="58" t="str">
        <f t="shared" ref="Y885:AC885" si="777">TRIM(SUBSTITUTE(SUBSTITUTE(OFFSET(#REF!,0,COLUMN()-COLUMN($AL$1)),CHAR(160)," "),_xludf.UNICHAR(8239)," "))</f>
        <v>#REF!</v>
      </c>
      <c r="Z885" s="58" t="str">
        <f t="shared" si="777"/>
        <v>#REF!</v>
      </c>
      <c r="AA885" s="58" t="str">
        <f t="shared" si="777"/>
        <v>#REF!</v>
      </c>
      <c r="AB885" s="58" t="str">
        <f t="shared" si="777"/>
        <v>#REF!</v>
      </c>
      <c r="AC885" s="58" t="str">
        <f t="shared" si="777"/>
        <v>#REF!</v>
      </c>
      <c r="AD885" s="57">
        <f t="shared" si="772"/>
        <v>1</v>
      </c>
      <c r="AE885" s="57" t="str">
        <f t="shared" si="773"/>
        <v>2026-05</v>
      </c>
      <c r="AF885" s="57">
        <f t="shared" si="774"/>
        <v>1</v>
      </c>
      <c r="AG885" s="59">
        <f t="shared" si="775"/>
        <v>1</v>
      </c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</row>
    <row r="886" ht="24.0" customHeight="1">
      <c r="A886" s="45">
        <v>5.0</v>
      </c>
      <c r="B886" s="74" t="s">
        <v>2559</v>
      </c>
      <c r="C886" s="55" t="s">
        <v>2557</v>
      </c>
      <c r="D886" s="75" t="s">
        <v>1883</v>
      </c>
      <c r="E886" s="57">
        <v>4.09883402E8</v>
      </c>
      <c r="F886" s="76">
        <v>38683.0</v>
      </c>
      <c r="G886" s="77">
        <v>21.0</v>
      </c>
      <c r="H886" s="78" t="str">
        <f t="shared" si="768"/>
        <v>19-60</v>
      </c>
      <c r="I886" s="79" t="s">
        <v>86</v>
      </c>
      <c r="J886" s="80" t="str">
        <f t="shared" si="769"/>
        <v>female</v>
      </c>
      <c r="K886" s="58">
        <v>5.97298646E8</v>
      </c>
      <c r="L886" s="58" t="s">
        <v>44</v>
      </c>
      <c r="M886" s="57" t="s">
        <v>89</v>
      </c>
      <c r="N886" s="55" t="s">
        <v>90</v>
      </c>
      <c r="O886" s="55"/>
      <c r="P886" s="55" t="s">
        <v>91</v>
      </c>
      <c r="Q886" s="55"/>
      <c r="R886" s="58" t="s">
        <v>36</v>
      </c>
      <c r="S886" s="57"/>
      <c r="T886" s="82"/>
      <c r="U886" s="82"/>
      <c r="V886" s="57"/>
      <c r="W886" s="57"/>
      <c r="X886" s="57" t="str">
        <f t="shared" si="770"/>
        <v>--880-12-05</v>
      </c>
      <c r="Y886" s="58" t="str">
        <f t="shared" ref="Y886:AC886" si="778">TRIM(SUBSTITUTE(SUBSTITUTE(OFFSET(#REF!,0,COLUMN()-COLUMN($AL$1)),CHAR(160)," "),_xludf.UNICHAR(8239)," "))</f>
        <v>#REF!</v>
      </c>
      <c r="Z886" s="58" t="str">
        <f t="shared" si="778"/>
        <v>#REF!</v>
      </c>
      <c r="AA886" s="58" t="str">
        <f t="shared" si="778"/>
        <v>#REF!</v>
      </c>
      <c r="AB886" s="58" t="str">
        <f t="shared" si="778"/>
        <v>#REF!</v>
      </c>
      <c r="AC886" s="58" t="str">
        <f t="shared" si="778"/>
        <v>#REF!</v>
      </c>
      <c r="AD886" s="57">
        <f t="shared" si="772"/>
        <v>1</v>
      </c>
      <c r="AE886" s="57" t="str">
        <f t="shared" si="773"/>
        <v>2026-05</v>
      </c>
      <c r="AF886" s="57">
        <f t="shared" si="774"/>
        <v>1</v>
      </c>
      <c r="AG886" s="59">
        <f t="shared" si="775"/>
        <v>1</v>
      </c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</row>
    <row r="887" ht="24.0" customHeight="1">
      <c r="A887" s="45">
        <v>6.0</v>
      </c>
      <c r="B887" s="74" t="s">
        <v>2560</v>
      </c>
      <c r="C887" s="55" t="s">
        <v>2557</v>
      </c>
      <c r="D887" s="75" t="s">
        <v>1883</v>
      </c>
      <c r="E887" s="57">
        <v>4.45853369E8</v>
      </c>
      <c r="F887" s="76">
        <v>44660.0</v>
      </c>
      <c r="G887" s="77">
        <v>3.5</v>
      </c>
      <c r="H887" s="78" t="str">
        <f t="shared" si="768"/>
        <v>0-5</v>
      </c>
      <c r="I887" s="79" t="s">
        <v>112</v>
      </c>
      <c r="J887" s="80" t="str">
        <f t="shared" si="769"/>
        <v>male</v>
      </c>
      <c r="K887" s="58">
        <v>5.97298646E8</v>
      </c>
      <c r="L887" s="58" t="s">
        <v>44</v>
      </c>
      <c r="M887" s="57" t="s">
        <v>133</v>
      </c>
      <c r="N887" s="55" t="s">
        <v>90</v>
      </c>
      <c r="O887" s="55"/>
      <c r="P887" s="55" t="s">
        <v>91</v>
      </c>
      <c r="Q887" s="58" t="s">
        <v>16</v>
      </c>
      <c r="R887" s="81"/>
      <c r="S887" s="57"/>
      <c r="T887" s="82"/>
      <c r="U887" s="82"/>
      <c r="V887" s="57"/>
      <c r="W887" s="57"/>
      <c r="X887" s="57" t="str">
        <f t="shared" si="770"/>
        <v>--881-12-05</v>
      </c>
      <c r="Y887" s="58" t="str">
        <f t="shared" ref="Y887:AC887" si="779">TRIM(SUBSTITUTE(SUBSTITUTE(OFFSET(#REF!,0,COLUMN()-COLUMN($AL$1)),CHAR(160)," "),_xludf.UNICHAR(8239)," "))</f>
        <v>#REF!</v>
      </c>
      <c r="Z887" s="58" t="str">
        <f t="shared" si="779"/>
        <v>#REF!</v>
      </c>
      <c r="AA887" s="58" t="str">
        <f t="shared" si="779"/>
        <v>#REF!</v>
      </c>
      <c r="AB887" s="58" t="str">
        <f t="shared" si="779"/>
        <v>#REF!</v>
      </c>
      <c r="AC887" s="58" t="str">
        <f t="shared" si="779"/>
        <v>#REF!</v>
      </c>
      <c r="AD887" s="57">
        <f t="shared" si="772"/>
        <v>1</v>
      </c>
      <c r="AE887" s="57" t="str">
        <f t="shared" si="773"/>
        <v>2026-05</v>
      </c>
      <c r="AF887" s="57">
        <f t="shared" si="774"/>
        <v>1</v>
      </c>
      <c r="AG887" s="59">
        <f t="shared" si="775"/>
        <v>1</v>
      </c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</row>
    <row r="888" ht="24.0" customHeight="1">
      <c r="A888" s="45">
        <v>7.0</v>
      </c>
      <c r="B888" s="74" t="s">
        <v>1887</v>
      </c>
      <c r="C888" s="55" t="s">
        <v>2557</v>
      </c>
      <c r="D888" s="75" t="s">
        <v>1883</v>
      </c>
      <c r="E888" s="57">
        <v>4.70215294E8</v>
      </c>
      <c r="F888" s="76">
        <v>45565.0</v>
      </c>
      <c r="G888" s="77">
        <v>1.4</v>
      </c>
      <c r="H888" s="78" t="str">
        <f t="shared" si="768"/>
        <v>0-5</v>
      </c>
      <c r="I888" s="79" t="s">
        <v>112</v>
      </c>
      <c r="J888" s="80" t="str">
        <f t="shared" si="769"/>
        <v>male</v>
      </c>
      <c r="K888" s="58">
        <v>5.97054651E8</v>
      </c>
      <c r="L888" s="58" t="s">
        <v>44</v>
      </c>
      <c r="M888" s="57" t="s">
        <v>133</v>
      </c>
      <c r="N888" s="55" t="s">
        <v>90</v>
      </c>
      <c r="O888" s="55"/>
      <c r="P888" s="55" t="s">
        <v>91</v>
      </c>
      <c r="Q888" s="58" t="s">
        <v>4</v>
      </c>
      <c r="R888" s="81"/>
      <c r="S888" s="57"/>
      <c r="T888" s="82"/>
      <c r="U888" s="82"/>
      <c r="V888" s="57"/>
      <c r="W888" s="57"/>
      <c r="X888" s="57" t="str">
        <f t="shared" ref="X888:X1069" si="781">IF(E888="","",UPPER(LEFT($C$3,1)&amp;"-"&amp;LEFT($C$4,1)&amp;"-"&amp;TEXT(ROW(B881),"000")&amp;"-"&amp;TEXT(C888,"dd-mm")))</f>
        <v>--881-12-05</v>
      </c>
      <c r="Y888" s="58" t="str">
        <f t="shared" ref="Y888:AC888" si="780">TRIM(SUBSTITUTE(SUBSTITUTE(OFFSET(#REF!,0,COLUMN()-COLUMN($AL$1)),CHAR(160)," "),_xludf.UNICHAR(8239)," "))</f>
        <v>#REF!</v>
      </c>
      <c r="Z888" s="58" t="str">
        <f t="shared" si="780"/>
        <v>#REF!</v>
      </c>
      <c r="AA888" s="58" t="str">
        <f t="shared" si="780"/>
        <v>#REF!</v>
      </c>
      <c r="AB888" s="58" t="str">
        <f t="shared" si="780"/>
        <v>#REF!</v>
      </c>
      <c r="AC888" s="58" t="str">
        <f t="shared" si="780"/>
        <v>#REF!</v>
      </c>
      <c r="AD888" s="57">
        <f t="shared" si="772"/>
        <v>1</v>
      </c>
      <c r="AE888" s="57" t="str">
        <f t="shared" si="773"/>
        <v>2026-05</v>
      </c>
      <c r="AF888" s="57">
        <f t="shared" si="774"/>
        <v>0</v>
      </c>
      <c r="AG888" s="59">
        <f t="shared" si="775"/>
        <v>0</v>
      </c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</row>
    <row r="889" ht="24.0" customHeight="1">
      <c r="A889" s="45">
        <v>8.0</v>
      </c>
      <c r="B889" s="74" t="s">
        <v>2561</v>
      </c>
      <c r="C889" s="55" t="s">
        <v>2557</v>
      </c>
      <c r="D889" s="75" t="s">
        <v>1883</v>
      </c>
      <c r="E889" s="57">
        <v>4.44278949E8</v>
      </c>
      <c r="F889" s="76">
        <v>44969.0</v>
      </c>
      <c r="G889" s="77">
        <v>3.0</v>
      </c>
      <c r="H889" s="78" t="str">
        <f t="shared" si="768"/>
        <v>0-5</v>
      </c>
      <c r="I889" s="79" t="s">
        <v>112</v>
      </c>
      <c r="J889" s="80" t="str">
        <f t="shared" si="769"/>
        <v>male</v>
      </c>
      <c r="K889" s="58">
        <v>5.97961926E8</v>
      </c>
      <c r="L889" s="58" t="s">
        <v>34</v>
      </c>
      <c r="M889" s="57" t="s">
        <v>133</v>
      </c>
      <c r="N889" s="55" t="s">
        <v>90</v>
      </c>
      <c r="O889" s="55"/>
      <c r="P889" s="55" t="s">
        <v>91</v>
      </c>
      <c r="Q889" s="58" t="s">
        <v>16</v>
      </c>
      <c r="R889" s="81"/>
      <c r="S889" s="57"/>
      <c r="T889" s="82"/>
      <c r="U889" s="82"/>
      <c r="V889" s="57"/>
      <c r="W889" s="57"/>
      <c r="X889" s="57" t="str">
        <f t="shared" si="781"/>
        <v>--882-12-05</v>
      </c>
      <c r="Y889" s="58" t="str">
        <f t="shared" ref="Y889:AC889" si="782">TRIM(SUBSTITUTE(SUBSTITUTE(OFFSET(#REF!,0,COLUMN()-COLUMN($AL$1)),CHAR(160)," "),_xludf.UNICHAR(8239)," "))</f>
        <v>#REF!</v>
      </c>
      <c r="Z889" s="58" t="str">
        <f t="shared" si="782"/>
        <v>#REF!</v>
      </c>
      <c r="AA889" s="58" t="str">
        <f t="shared" si="782"/>
        <v>#REF!</v>
      </c>
      <c r="AB889" s="58" t="str">
        <f t="shared" si="782"/>
        <v>#REF!</v>
      </c>
      <c r="AC889" s="58" t="str">
        <f t="shared" si="782"/>
        <v>#REF!</v>
      </c>
      <c r="AD889" s="57">
        <f t="shared" si="772"/>
        <v>1</v>
      </c>
      <c r="AE889" s="57" t="str">
        <f t="shared" si="773"/>
        <v>2026-05</v>
      </c>
      <c r="AF889" s="57">
        <f t="shared" si="774"/>
        <v>1</v>
      </c>
      <c r="AG889" s="59">
        <f t="shared" si="775"/>
        <v>1</v>
      </c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</row>
    <row r="890" ht="24.0" customHeight="1">
      <c r="A890" s="45">
        <v>9.0</v>
      </c>
      <c r="B890" s="74" t="s">
        <v>2562</v>
      </c>
      <c r="C890" s="55" t="s">
        <v>2557</v>
      </c>
      <c r="D890" s="75" t="s">
        <v>1883</v>
      </c>
      <c r="E890" s="57">
        <v>4.70269861E8</v>
      </c>
      <c r="F890" s="76">
        <v>45498.0</v>
      </c>
      <c r="G890" s="77">
        <v>1.5</v>
      </c>
      <c r="H890" s="78" t="str">
        <f t="shared" si="768"/>
        <v>0-5</v>
      </c>
      <c r="I890" s="79" t="s">
        <v>112</v>
      </c>
      <c r="J890" s="80" t="str">
        <f t="shared" si="769"/>
        <v>male</v>
      </c>
      <c r="K890" s="58">
        <v>5.97986126E8</v>
      </c>
      <c r="L890" s="58" t="s">
        <v>34</v>
      </c>
      <c r="M890" s="57" t="s">
        <v>133</v>
      </c>
      <c r="N890" s="55" t="s">
        <v>90</v>
      </c>
      <c r="O890" s="55"/>
      <c r="P890" s="55" t="s">
        <v>91</v>
      </c>
      <c r="Q890" s="58" t="s">
        <v>16</v>
      </c>
      <c r="R890" s="81"/>
      <c r="S890" s="57"/>
      <c r="T890" s="82"/>
      <c r="U890" s="82"/>
      <c r="V890" s="57"/>
      <c r="W890" s="57"/>
      <c r="X890" s="57" t="str">
        <f t="shared" si="781"/>
        <v>--883-12-05</v>
      </c>
      <c r="Y890" s="58" t="str">
        <f t="shared" ref="Y890:AC890" si="783">TRIM(SUBSTITUTE(SUBSTITUTE(OFFSET(#REF!,0,COLUMN()-COLUMN($AL$1)),CHAR(160)," "),_xludf.UNICHAR(8239)," "))</f>
        <v>#REF!</v>
      </c>
      <c r="Z890" s="58" t="str">
        <f t="shared" si="783"/>
        <v>#REF!</v>
      </c>
      <c r="AA890" s="58" t="str">
        <f t="shared" si="783"/>
        <v>#REF!</v>
      </c>
      <c r="AB890" s="58" t="str">
        <f t="shared" si="783"/>
        <v>#REF!</v>
      </c>
      <c r="AC890" s="58" t="str">
        <f t="shared" si="783"/>
        <v>#REF!</v>
      </c>
      <c r="AD890" s="57">
        <f t="shared" si="772"/>
        <v>1</v>
      </c>
      <c r="AE890" s="57" t="str">
        <f t="shared" si="773"/>
        <v>2026-05</v>
      </c>
      <c r="AF890" s="57">
        <f t="shared" si="774"/>
        <v>1</v>
      </c>
      <c r="AG890" s="59">
        <f t="shared" si="775"/>
        <v>1</v>
      </c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</row>
    <row r="891" ht="24.0" customHeight="1">
      <c r="A891" s="45">
        <v>10.0</v>
      </c>
      <c r="B891" s="74" t="s">
        <v>2563</v>
      </c>
      <c r="C891" s="55" t="s">
        <v>2557</v>
      </c>
      <c r="D891" s="75" t="s">
        <v>1883</v>
      </c>
      <c r="E891" s="57">
        <v>4.71146217E8</v>
      </c>
      <c r="F891" s="76">
        <v>46056.0</v>
      </c>
      <c r="G891" s="55">
        <v>1.0</v>
      </c>
      <c r="H891" s="78" t="str">
        <f t="shared" si="768"/>
        <v>0-5</v>
      </c>
      <c r="I891" s="79" t="s">
        <v>86</v>
      </c>
      <c r="J891" s="80" t="str">
        <f t="shared" si="769"/>
        <v>female</v>
      </c>
      <c r="K891" s="58">
        <v>5.94293325E8</v>
      </c>
      <c r="L891" s="58" t="s">
        <v>44</v>
      </c>
      <c r="M891" s="57" t="s">
        <v>133</v>
      </c>
      <c r="N891" s="55" t="s">
        <v>90</v>
      </c>
      <c r="O891" s="55"/>
      <c r="P891" s="55" t="s">
        <v>91</v>
      </c>
      <c r="Q891" s="58" t="s">
        <v>4</v>
      </c>
      <c r="R891" s="81"/>
      <c r="S891" s="57"/>
      <c r="T891" s="82"/>
      <c r="U891" s="82"/>
      <c r="V891" s="57"/>
      <c r="W891" s="57"/>
      <c r="X891" s="57" t="str">
        <f t="shared" si="781"/>
        <v>--884-12-05</v>
      </c>
      <c r="Y891" s="58" t="str">
        <f t="shared" ref="Y891:AC891" si="784">TRIM(SUBSTITUTE(SUBSTITUTE(OFFSET(#REF!,0,COLUMN()-COLUMN($AL$1)),CHAR(160)," "),_xludf.UNICHAR(8239)," "))</f>
        <v>#REF!</v>
      </c>
      <c r="Z891" s="58" t="str">
        <f t="shared" si="784"/>
        <v>#REF!</v>
      </c>
      <c r="AA891" s="58" t="str">
        <f t="shared" si="784"/>
        <v>#REF!</v>
      </c>
      <c r="AB891" s="58" t="str">
        <f t="shared" si="784"/>
        <v>#REF!</v>
      </c>
      <c r="AC891" s="58" t="str">
        <f t="shared" si="784"/>
        <v>#REF!</v>
      </c>
      <c r="AD891" s="57">
        <f t="shared" si="772"/>
        <v>1</v>
      </c>
      <c r="AE891" s="57" t="str">
        <f t="shared" si="773"/>
        <v>2026-05</v>
      </c>
      <c r="AF891" s="57">
        <f t="shared" si="774"/>
        <v>1</v>
      </c>
      <c r="AG891" s="59">
        <f t="shared" si="775"/>
        <v>1</v>
      </c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</row>
    <row r="892" ht="24.0" customHeight="1">
      <c r="A892" s="45">
        <v>11.0</v>
      </c>
      <c r="B892" s="74" t="s">
        <v>2564</v>
      </c>
      <c r="C892" s="55" t="s">
        <v>2557</v>
      </c>
      <c r="D892" s="75" t="s">
        <v>1883</v>
      </c>
      <c r="E892" s="57">
        <v>8.00503377E8</v>
      </c>
      <c r="F892" s="76">
        <v>32433.0</v>
      </c>
      <c r="G892" s="77">
        <v>38.0</v>
      </c>
      <c r="H892" s="78" t="str">
        <f t="shared" si="768"/>
        <v>19-60</v>
      </c>
      <c r="I892" s="79" t="s">
        <v>86</v>
      </c>
      <c r="J892" s="80" t="str">
        <f t="shared" si="769"/>
        <v>female</v>
      </c>
      <c r="K892" s="58">
        <v>5.95696235E8</v>
      </c>
      <c r="L892" s="58" t="s">
        <v>41</v>
      </c>
      <c r="M892" s="57" t="s">
        <v>89</v>
      </c>
      <c r="N892" s="55" t="s">
        <v>90</v>
      </c>
      <c r="O892" s="55"/>
      <c r="P892" s="55" t="s">
        <v>91</v>
      </c>
      <c r="Q892" s="58" t="s">
        <v>16</v>
      </c>
      <c r="R892" s="81"/>
      <c r="S892" s="57"/>
      <c r="T892" s="82"/>
      <c r="U892" s="82"/>
      <c r="V892" s="57"/>
      <c r="W892" s="57"/>
      <c r="X892" s="57" t="str">
        <f t="shared" si="781"/>
        <v>--885-12-05</v>
      </c>
      <c r="Y892" s="58" t="str">
        <f t="shared" ref="Y892:AC892" si="785">TRIM(SUBSTITUTE(SUBSTITUTE(OFFSET(#REF!,0,COLUMN()-COLUMN($AL$1)),CHAR(160)," "),_xludf.UNICHAR(8239)," "))</f>
        <v>#REF!</v>
      </c>
      <c r="Z892" s="58" t="str">
        <f t="shared" si="785"/>
        <v>#REF!</v>
      </c>
      <c r="AA892" s="58" t="str">
        <f t="shared" si="785"/>
        <v>#REF!</v>
      </c>
      <c r="AB892" s="58" t="str">
        <f t="shared" si="785"/>
        <v>#REF!</v>
      </c>
      <c r="AC892" s="58" t="str">
        <f t="shared" si="785"/>
        <v>#REF!</v>
      </c>
      <c r="AD892" s="57">
        <f t="shared" si="772"/>
        <v>1</v>
      </c>
      <c r="AE892" s="57" t="str">
        <f t="shared" si="773"/>
        <v>2026-05</v>
      </c>
      <c r="AF892" s="57">
        <f t="shared" si="774"/>
        <v>1</v>
      </c>
      <c r="AG892" s="59">
        <f t="shared" si="775"/>
        <v>1</v>
      </c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</row>
    <row r="893" ht="24.0" customHeight="1">
      <c r="A893" s="45">
        <v>12.0</v>
      </c>
      <c r="B893" s="74" t="s">
        <v>2565</v>
      </c>
      <c r="C893" s="55" t="s">
        <v>2557</v>
      </c>
      <c r="D893" s="75" t="s">
        <v>1883</v>
      </c>
      <c r="E893" s="57">
        <v>9.21920237E8</v>
      </c>
      <c r="F893" s="76">
        <v>22258.0</v>
      </c>
      <c r="G893" s="77">
        <v>66.0</v>
      </c>
      <c r="H893" s="78" t="str">
        <f t="shared" si="768"/>
        <v>+60</v>
      </c>
      <c r="I893" s="79" t="s">
        <v>86</v>
      </c>
      <c r="J893" s="80" t="str">
        <f t="shared" si="769"/>
        <v>female</v>
      </c>
      <c r="K893" s="58">
        <v>5.95696235E8</v>
      </c>
      <c r="L893" s="58" t="s">
        <v>41</v>
      </c>
      <c r="M893" s="57" t="s">
        <v>89</v>
      </c>
      <c r="N893" s="55" t="s">
        <v>90</v>
      </c>
      <c r="O893" s="55"/>
      <c r="P893" s="55" t="s">
        <v>91</v>
      </c>
      <c r="Q893" s="58" t="s">
        <v>4</v>
      </c>
      <c r="R893" s="81"/>
      <c r="S893" s="57"/>
      <c r="T893" s="82"/>
      <c r="U893" s="82"/>
      <c r="V893" s="57"/>
      <c r="W893" s="57"/>
      <c r="X893" s="57" t="str">
        <f t="shared" si="781"/>
        <v>--886-12-05</v>
      </c>
      <c r="Y893" s="58" t="str">
        <f t="shared" ref="Y893:AC893" si="786">TRIM(SUBSTITUTE(SUBSTITUTE(OFFSET(#REF!,0,COLUMN()-COLUMN($AL$1)),CHAR(160)," "),_xludf.UNICHAR(8239)," "))</f>
        <v>#REF!</v>
      </c>
      <c r="Z893" s="58" t="str">
        <f t="shared" si="786"/>
        <v>#REF!</v>
      </c>
      <c r="AA893" s="58" t="str">
        <f t="shared" si="786"/>
        <v>#REF!</v>
      </c>
      <c r="AB893" s="58" t="str">
        <f t="shared" si="786"/>
        <v>#REF!</v>
      </c>
      <c r="AC893" s="58" t="str">
        <f t="shared" si="786"/>
        <v>#REF!</v>
      </c>
      <c r="AD893" s="57">
        <f t="shared" si="772"/>
        <v>1</v>
      </c>
      <c r="AE893" s="57" t="str">
        <f t="shared" si="773"/>
        <v>2026-05</v>
      </c>
      <c r="AF893" s="57">
        <f t="shared" si="774"/>
        <v>1</v>
      </c>
      <c r="AG893" s="59">
        <f t="shared" si="775"/>
        <v>1</v>
      </c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</row>
    <row r="894" ht="24.0" customHeight="1">
      <c r="A894" s="45">
        <v>13.0</v>
      </c>
      <c r="B894" s="74" t="s">
        <v>2566</v>
      </c>
      <c r="C894" s="55" t="s">
        <v>2557</v>
      </c>
      <c r="D894" s="75" t="s">
        <v>1883</v>
      </c>
      <c r="E894" s="57">
        <v>8.01771114E8</v>
      </c>
      <c r="F894" s="76">
        <v>32284.0</v>
      </c>
      <c r="G894" s="77">
        <v>38.0</v>
      </c>
      <c r="H894" s="78" t="str">
        <f t="shared" si="768"/>
        <v>19-60</v>
      </c>
      <c r="I894" s="79" t="s">
        <v>86</v>
      </c>
      <c r="J894" s="80" t="str">
        <f t="shared" si="769"/>
        <v>female</v>
      </c>
      <c r="K894" s="58">
        <v>5.95696235E8</v>
      </c>
      <c r="L894" s="58" t="s">
        <v>41</v>
      </c>
      <c r="M894" s="57" t="s">
        <v>89</v>
      </c>
      <c r="N894" s="55" t="s">
        <v>90</v>
      </c>
      <c r="O894" s="55"/>
      <c r="P894" s="55" t="s">
        <v>91</v>
      </c>
      <c r="Q894" s="58" t="s">
        <v>4</v>
      </c>
      <c r="R894" s="81"/>
      <c r="S894" s="57"/>
      <c r="T894" s="82"/>
      <c r="U894" s="82"/>
      <c r="V894" s="57"/>
      <c r="W894" s="57"/>
      <c r="X894" s="57" t="str">
        <f t="shared" si="781"/>
        <v>--887-12-05</v>
      </c>
      <c r="Y894" s="58" t="str">
        <f t="shared" ref="Y894:AC894" si="787">TRIM(SUBSTITUTE(SUBSTITUTE(OFFSET(#REF!,0,COLUMN()-COLUMN($AL$1)),CHAR(160)," "),_xludf.UNICHAR(8239)," "))</f>
        <v>#REF!</v>
      </c>
      <c r="Z894" s="58" t="str">
        <f t="shared" si="787"/>
        <v>#REF!</v>
      </c>
      <c r="AA894" s="58" t="str">
        <f t="shared" si="787"/>
        <v>#REF!</v>
      </c>
      <c r="AB894" s="58" t="str">
        <f t="shared" si="787"/>
        <v>#REF!</v>
      </c>
      <c r="AC894" s="58" t="str">
        <f t="shared" si="787"/>
        <v>#REF!</v>
      </c>
      <c r="AD894" s="57">
        <f t="shared" si="772"/>
        <v>1</v>
      </c>
      <c r="AE894" s="57" t="str">
        <f t="shared" si="773"/>
        <v>2026-05</v>
      </c>
      <c r="AF894" s="57">
        <f t="shared" si="774"/>
        <v>1</v>
      </c>
      <c r="AG894" s="59">
        <f t="shared" si="775"/>
        <v>1</v>
      </c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</row>
    <row r="895" ht="24.0" customHeight="1">
      <c r="A895" s="45">
        <v>14.0</v>
      </c>
      <c r="B895" s="74" t="s">
        <v>2567</v>
      </c>
      <c r="C895" s="55" t="s">
        <v>2557</v>
      </c>
      <c r="D895" s="75" t="s">
        <v>1883</v>
      </c>
      <c r="E895" s="57">
        <v>8.02594705E8</v>
      </c>
      <c r="F895" s="76">
        <v>32092.0</v>
      </c>
      <c r="G895" s="77">
        <v>39.0</v>
      </c>
      <c r="H895" s="78" t="str">
        <f t="shared" si="768"/>
        <v>19-60</v>
      </c>
      <c r="I895" s="79" t="s">
        <v>86</v>
      </c>
      <c r="J895" s="80" t="str">
        <f t="shared" si="769"/>
        <v>female</v>
      </c>
      <c r="K895" s="58">
        <v>5.983348E8</v>
      </c>
      <c r="L895" s="58" t="s">
        <v>34</v>
      </c>
      <c r="M895" s="57" t="s">
        <v>89</v>
      </c>
      <c r="N895" s="55" t="s">
        <v>90</v>
      </c>
      <c r="O895" s="55"/>
      <c r="P895" s="55" t="s">
        <v>91</v>
      </c>
      <c r="Q895" s="55"/>
      <c r="R895" s="58" t="s">
        <v>36</v>
      </c>
      <c r="S895" s="57"/>
      <c r="T895" s="82"/>
      <c r="U895" s="82"/>
      <c r="V895" s="57"/>
      <c r="W895" s="57"/>
      <c r="X895" s="57" t="str">
        <f t="shared" si="781"/>
        <v>--888-12-05</v>
      </c>
      <c r="Y895" s="58" t="str">
        <f t="shared" ref="Y895:AC895" si="788">TRIM(SUBSTITUTE(SUBSTITUTE(OFFSET(#REF!,0,COLUMN()-COLUMN($AL$1)),CHAR(160)," "),_xludf.UNICHAR(8239)," "))</f>
        <v>#REF!</v>
      </c>
      <c r="Z895" s="58" t="str">
        <f t="shared" si="788"/>
        <v>#REF!</v>
      </c>
      <c r="AA895" s="58" t="str">
        <f t="shared" si="788"/>
        <v>#REF!</v>
      </c>
      <c r="AB895" s="58" t="str">
        <f t="shared" si="788"/>
        <v>#REF!</v>
      </c>
      <c r="AC895" s="58" t="str">
        <f t="shared" si="788"/>
        <v>#REF!</v>
      </c>
      <c r="AD895" s="57">
        <f t="shared" si="772"/>
        <v>1</v>
      </c>
      <c r="AE895" s="57" t="str">
        <f t="shared" si="773"/>
        <v>2026-05</v>
      </c>
      <c r="AF895" s="57">
        <f t="shared" si="774"/>
        <v>0</v>
      </c>
      <c r="AG895" s="59">
        <f t="shared" si="775"/>
        <v>0</v>
      </c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</row>
    <row r="896" ht="24.0" customHeight="1">
      <c r="A896" s="45">
        <v>15.0</v>
      </c>
      <c r="B896" s="74" t="s">
        <v>2568</v>
      </c>
      <c r="C896" s="55" t="s">
        <v>2557</v>
      </c>
      <c r="D896" s="75" t="s">
        <v>1883</v>
      </c>
      <c r="E896" s="57">
        <v>4.70049131E8</v>
      </c>
      <c r="F896" s="76">
        <v>45320.0</v>
      </c>
      <c r="G896" s="77">
        <v>2.0</v>
      </c>
      <c r="H896" s="78" t="str">
        <f t="shared" si="768"/>
        <v>0-5</v>
      </c>
      <c r="I896" s="79" t="s">
        <v>112</v>
      </c>
      <c r="J896" s="80" t="str">
        <f t="shared" si="769"/>
        <v>male</v>
      </c>
      <c r="K896" s="58">
        <v>5.9254291E8</v>
      </c>
      <c r="L896" s="58" t="s">
        <v>34</v>
      </c>
      <c r="M896" s="57" t="s">
        <v>133</v>
      </c>
      <c r="N896" s="55" t="s">
        <v>90</v>
      </c>
      <c r="O896" s="55"/>
      <c r="P896" s="55" t="s">
        <v>91</v>
      </c>
      <c r="Q896" s="58" t="s">
        <v>16</v>
      </c>
      <c r="R896" s="81"/>
      <c r="S896" s="57"/>
      <c r="T896" s="82"/>
      <c r="U896" s="82"/>
      <c r="V896" s="57"/>
      <c r="W896" s="57"/>
      <c r="X896" s="57" t="str">
        <f t="shared" si="781"/>
        <v>--889-12-05</v>
      </c>
      <c r="Y896" s="58" t="str">
        <f t="shared" ref="Y896:AC896" si="789">TRIM(SUBSTITUTE(SUBSTITUTE(OFFSET(#REF!,0,COLUMN()-COLUMN($AL$1)),CHAR(160)," "),_xludf.UNICHAR(8239)," "))</f>
        <v>#REF!</v>
      </c>
      <c r="Z896" s="58" t="str">
        <f t="shared" si="789"/>
        <v>#REF!</v>
      </c>
      <c r="AA896" s="58" t="str">
        <f t="shared" si="789"/>
        <v>#REF!</v>
      </c>
      <c r="AB896" s="58" t="str">
        <f t="shared" si="789"/>
        <v>#REF!</v>
      </c>
      <c r="AC896" s="58" t="str">
        <f t="shared" si="789"/>
        <v>#REF!</v>
      </c>
      <c r="AD896" s="57">
        <f t="shared" si="772"/>
        <v>1</v>
      </c>
      <c r="AE896" s="57" t="str">
        <f t="shared" si="773"/>
        <v>2026-05</v>
      </c>
      <c r="AF896" s="57">
        <f t="shared" si="774"/>
        <v>1</v>
      </c>
      <c r="AG896" s="59">
        <f t="shared" si="775"/>
        <v>1</v>
      </c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</row>
    <row r="897" ht="24.0" customHeight="1">
      <c r="A897" s="45">
        <v>16.0</v>
      </c>
      <c r="B897" s="74" t="s">
        <v>2569</v>
      </c>
      <c r="C897" s="55" t="s">
        <v>2557</v>
      </c>
      <c r="D897" s="75" t="s">
        <v>1883</v>
      </c>
      <c r="E897" s="57">
        <v>4.00628129E8</v>
      </c>
      <c r="F897" s="76">
        <v>34856.0</v>
      </c>
      <c r="G897" s="77">
        <v>31.0</v>
      </c>
      <c r="H897" s="78" t="str">
        <f t="shared" si="768"/>
        <v>19-60</v>
      </c>
      <c r="I897" s="79" t="s">
        <v>86</v>
      </c>
      <c r="J897" s="80" t="str">
        <f t="shared" si="769"/>
        <v>female</v>
      </c>
      <c r="K897" s="58">
        <v>5.92681364E8</v>
      </c>
      <c r="L897" s="58" t="s">
        <v>34</v>
      </c>
      <c r="M897" s="57" t="s">
        <v>89</v>
      </c>
      <c r="N897" s="55" t="s">
        <v>90</v>
      </c>
      <c r="O897" s="55"/>
      <c r="P897" s="55" t="s">
        <v>91</v>
      </c>
      <c r="Q897" s="58" t="s">
        <v>16</v>
      </c>
      <c r="R897" s="81"/>
      <c r="S897" s="57"/>
      <c r="T897" s="82"/>
      <c r="U897" s="82"/>
      <c r="V897" s="57"/>
      <c r="W897" s="57"/>
      <c r="X897" s="57" t="str">
        <f t="shared" si="781"/>
        <v>--890-12-05</v>
      </c>
      <c r="Y897" s="58" t="str">
        <f t="shared" ref="Y897:AC897" si="790">TRIM(SUBSTITUTE(SUBSTITUTE(OFFSET(#REF!,0,COLUMN()-COLUMN($AL$1)),CHAR(160)," "),_xludf.UNICHAR(8239)," "))</f>
        <v>#REF!</v>
      </c>
      <c r="Z897" s="58" t="str">
        <f t="shared" si="790"/>
        <v>#REF!</v>
      </c>
      <c r="AA897" s="58" t="str">
        <f t="shared" si="790"/>
        <v>#REF!</v>
      </c>
      <c r="AB897" s="58" t="str">
        <f t="shared" si="790"/>
        <v>#REF!</v>
      </c>
      <c r="AC897" s="58" t="str">
        <f t="shared" si="790"/>
        <v>#REF!</v>
      </c>
      <c r="AD897" s="57">
        <f t="shared" si="772"/>
        <v>1</v>
      </c>
      <c r="AE897" s="57" t="str">
        <f t="shared" si="773"/>
        <v>2026-05</v>
      </c>
      <c r="AF897" s="57">
        <f t="shared" si="774"/>
        <v>1</v>
      </c>
      <c r="AG897" s="59">
        <f t="shared" si="775"/>
        <v>0</v>
      </c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</row>
    <row r="898" ht="24.0" customHeight="1">
      <c r="A898" s="45">
        <v>17.0</v>
      </c>
      <c r="B898" s="74" t="s">
        <v>2570</v>
      </c>
      <c r="C898" s="55" t="s">
        <v>2557</v>
      </c>
      <c r="D898" s="75" t="s">
        <v>1883</v>
      </c>
      <c r="E898" s="57">
        <v>8.01554775E8</v>
      </c>
      <c r="F898" s="76">
        <v>31822.0</v>
      </c>
      <c r="G898" s="77">
        <v>39.0</v>
      </c>
      <c r="H898" s="78" t="str">
        <f t="shared" si="768"/>
        <v>19-60</v>
      </c>
      <c r="I898" s="79" t="s">
        <v>86</v>
      </c>
      <c r="J898" s="80" t="str">
        <f t="shared" si="769"/>
        <v>female</v>
      </c>
      <c r="K898" s="58">
        <v>5.9262472E8</v>
      </c>
      <c r="L898" s="58" t="s">
        <v>34</v>
      </c>
      <c r="M898" s="57" t="s">
        <v>89</v>
      </c>
      <c r="N898" s="55" t="s">
        <v>90</v>
      </c>
      <c r="O898" s="55"/>
      <c r="P898" s="55" t="s">
        <v>91</v>
      </c>
      <c r="Q898" s="58" t="s">
        <v>16</v>
      </c>
      <c r="R898" s="81"/>
      <c r="S898" s="57"/>
      <c r="T898" s="82"/>
      <c r="U898" s="82"/>
      <c r="V898" s="57"/>
      <c r="W898" s="57"/>
      <c r="X898" s="57" t="str">
        <f t="shared" si="781"/>
        <v>--891-12-05</v>
      </c>
      <c r="Y898" s="58" t="str">
        <f t="shared" ref="Y898:AC898" si="791">TRIM(SUBSTITUTE(SUBSTITUTE(OFFSET(#REF!,0,COLUMN()-COLUMN($AL$1)),CHAR(160)," "),_xludf.UNICHAR(8239)," "))</f>
        <v>#REF!</v>
      </c>
      <c r="Z898" s="58" t="str">
        <f t="shared" si="791"/>
        <v>#REF!</v>
      </c>
      <c r="AA898" s="58" t="str">
        <f t="shared" si="791"/>
        <v>#REF!</v>
      </c>
      <c r="AB898" s="58" t="str">
        <f t="shared" si="791"/>
        <v>#REF!</v>
      </c>
      <c r="AC898" s="58" t="str">
        <f t="shared" si="791"/>
        <v>#REF!</v>
      </c>
      <c r="AD898" s="57">
        <f t="shared" si="772"/>
        <v>1</v>
      </c>
      <c r="AE898" s="57" t="str">
        <f t="shared" si="773"/>
        <v>2026-05</v>
      </c>
      <c r="AF898" s="57">
        <f t="shared" si="774"/>
        <v>1</v>
      </c>
      <c r="AG898" s="59">
        <f t="shared" si="775"/>
        <v>1</v>
      </c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</row>
    <row r="899" ht="24.0" customHeight="1">
      <c r="A899" s="45">
        <v>18.0</v>
      </c>
      <c r="B899" s="74" t="s">
        <v>2571</v>
      </c>
      <c r="C899" s="55" t="s">
        <v>2557</v>
      </c>
      <c r="D899" s="75" t="s">
        <v>1883</v>
      </c>
      <c r="E899" s="57">
        <v>4.70819871E8</v>
      </c>
      <c r="F899" s="76">
        <v>45892.0</v>
      </c>
      <c r="G899" s="55">
        <v>1.0</v>
      </c>
      <c r="H899" s="78" t="str">
        <f t="shared" si="768"/>
        <v>0-5</v>
      </c>
      <c r="I899" s="79" t="s">
        <v>86</v>
      </c>
      <c r="J899" s="80" t="str">
        <f t="shared" si="769"/>
        <v>female</v>
      </c>
      <c r="K899" s="58">
        <v>5.98295713E8</v>
      </c>
      <c r="L899" s="58" t="s">
        <v>41</v>
      </c>
      <c r="M899" s="57" t="s">
        <v>133</v>
      </c>
      <c r="N899" s="55" t="s">
        <v>90</v>
      </c>
      <c r="O899" s="55"/>
      <c r="P899" s="55" t="s">
        <v>91</v>
      </c>
      <c r="Q899" s="58" t="s">
        <v>16</v>
      </c>
      <c r="R899" s="81"/>
      <c r="S899" s="57"/>
      <c r="T899" s="82"/>
      <c r="U899" s="82"/>
      <c r="V899" s="57"/>
      <c r="W899" s="57"/>
      <c r="X899" s="57" t="str">
        <f t="shared" si="781"/>
        <v>--892-12-05</v>
      </c>
      <c r="Y899" s="58" t="str">
        <f t="shared" ref="Y899:AC899" si="792">TRIM(SUBSTITUTE(SUBSTITUTE(OFFSET(#REF!,0,COLUMN()-COLUMN($AL$1)),CHAR(160)," "),_xludf.UNICHAR(8239)," "))</f>
        <v>#REF!</v>
      </c>
      <c r="Z899" s="58" t="str">
        <f t="shared" si="792"/>
        <v>#REF!</v>
      </c>
      <c r="AA899" s="58" t="str">
        <f t="shared" si="792"/>
        <v>#REF!</v>
      </c>
      <c r="AB899" s="58" t="str">
        <f t="shared" si="792"/>
        <v>#REF!</v>
      </c>
      <c r="AC899" s="58" t="str">
        <f t="shared" si="792"/>
        <v>#REF!</v>
      </c>
      <c r="AD899" s="57">
        <f t="shared" si="772"/>
        <v>1</v>
      </c>
      <c r="AE899" s="57" t="str">
        <f t="shared" si="773"/>
        <v>2026-05</v>
      </c>
      <c r="AF899" s="57">
        <f t="shared" si="774"/>
        <v>1</v>
      </c>
      <c r="AG899" s="59">
        <f t="shared" si="775"/>
        <v>1</v>
      </c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</row>
    <row r="900" ht="24.0" customHeight="1">
      <c r="A900" s="45">
        <v>19.0</v>
      </c>
      <c r="B900" s="74" t="s">
        <v>2572</v>
      </c>
      <c r="C900" s="55" t="s">
        <v>2557</v>
      </c>
      <c r="D900" s="75" t="s">
        <v>1883</v>
      </c>
      <c r="E900" s="57">
        <v>4.29783491E8</v>
      </c>
      <c r="F900" s="76">
        <v>40731.0</v>
      </c>
      <c r="G900" s="77">
        <v>15.0</v>
      </c>
      <c r="H900" s="78" t="str">
        <f t="shared" si="768"/>
        <v>6-18</v>
      </c>
      <c r="I900" s="79" t="s">
        <v>86</v>
      </c>
      <c r="J900" s="80" t="str">
        <f t="shared" si="769"/>
        <v>female</v>
      </c>
      <c r="K900" s="58">
        <v>5.99059696E8</v>
      </c>
      <c r="L900" s="58" t="s">
        <v>41</v>
      </c>
      <c r="M900" s="57" t="s">
        <v>133</v>
      </c>
      <c r="N900" s="55" t="s">
        <v>90</v>
      </c>
      <c r="O900" s="55"/>
      <c r="P900" s="55" t="s">
        <v>91</v>
      </c>
      <c r="Q900" s="58" t="s">
        <v>16</v>
      </c>
      <c r="R900" s="81"/>
      <c r="S900" s="57"/>
      <c r="T900" s="82"/>
      <c r="U900" s="82"/>
      <c r="V900" s="57"/>
      <c r="W900" s="57"/>
      <c r="X900" s="57" t="str">
        <f t="shared" si="781"/>
        <v>--893-12-05</v>
      </c>
      <c r="Y900" s="58" t="str">
        <f t="shared" ref="Y900:AC900" si="793">TRIM(SUBSTITUTE(SUBSTITUTE(OFFSET(#REF!,0,COLUMN()-COLUMN($AL$1)),CHAR(160)," "),_xludf.UNICHAR(8239)," "))</f>
        <v>#REF!</v>
      </c>
      <c r="Z900" s="58" t="str">
        <f t="shared" si="793"/>
        <v>#REF!</v>
      </c>
      <c r="AA900" s="58" t="str">
        <f t="shared" si="793"/>
        <v>#REF!</v>
      </c>
      <c r="AB900" s="58" t="str">
        <f t="shared" si="793"/>
        <v>#REF!</v>
      </c>
      <c r="AC900" s="58" t="str">
        <f t="shared" si="793"/>
        <v>#REF!</v>
      </c>
      <c r="AD900" s="57">
        <f t="shared" si="772"/>
        <v>1</v>
      </c>
      <c r="AE900" s="57" t="str">
        <f t="shared" si="773"/>
        <v>2026-05</v>
      </c>
      <c r="AF900" s="57">
        <f t="shared" si="774"/>
        <v>1</v>
      </c>
      <c r="AG900" s="59">
        <f t="shared" si="775"/>
        <v>1</v>
      </c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</row>
    <row r="901" ht="24.0" customHeight="1">
      <c r="A901" s="45">
        <v>20.0</v>
      </c>
      <c r="B901" s="74" t="s">
        <v>2573</v>
      </c>
      <c r="C901" s="55" t="s">
        <v>2557</v>
      </c>
      <c r="D901" s="75" t="s">
        <v>1883</v>
      </c>
      <c r="E901" s="57">
        <v>4.07931153E8</v>
      </c>
      <c r="F901" s="76">
        <v>37272.0</v>
      </c>
      <c r="G901" s="77">
        <v>24.0</v>
      </c>
      <c r="H901" s="78" t="str">
        <f t="shared" si="768"/>
        <v>19-60</v>
      </c>
      <c r="I901" s="79" t="s">
        <v>112</v>
      </c>
      <c r="J901" s="80" t="str">
        <f t="shared" si="769"/>
        <v>male</v>
      </c>
      <c r="K901" s="58">
        <v>5.98419352E8</v>
      </c>
      <c r="L901" s="58" t="s">
        <v>34</v>
      </c>
      <c r="M901" s="57" t="s">
        <v>89</v>
      </c>
      <c r="N901" s="55" t="s">
        <v>90</v>
      </c>
      <c r="O901" s="55"/>
      <c r="P901" s="55" t="s">
        <v>91</v>
      </c>
      <c r="Q901" s="58" t="s">
        <v>4</v>
      </c>
      <c r="R901" s="81"/>
      <c r="S901" s="57"/>
      <c r="T901" s="82"/>
      <c r="U901" s="82"/>
      <c r="V901" s="57"/>
      <c r="W901" s="57"/>
      <c r="X901" s="57" t="str">
        <f t="shared" si="781"/>
        <v>--894-12-05</v>
      </c>
      <c r="Y901" s="58" t="str">
        <f t="shared" ref="Y901:AC901" si="794">TRIM(SUBSTITUTE(SUBSTITUTE(OFFSET(#REF!,0,COLUMN()-COLUMN($AL$1)),CHAR(160)," "),_xludf.UNICHAR(8239)," "))</f>
        <v>#REF!</v>
      </c>
      <c r="Z901" s="58" t="str">
        <f t="shared" si="794"/>
        <v>#REF!</v>
      </c>
      <c r="AA901" s="58" t="str">
        <f t="shared" si="794"/>
        <v>#REF!</v>
      </c>
      <c r="AB901" s="58" t="str">
        <f t="shared" si="794"/>
        <v>#REF!</v>
      </c>
      <c r="AC901" s="58" t="str">
        <f t="shared" si="794"/>
        <v>#REF!</v>
      </c>
      <c r="AD901" s="57">
        <f t="shared" si="772"/>
        <v>1</v>
      </c>
      <c r="AE901" s="57" t="str">
        <f t="shared" si="773"/>
        <v>2026-05</v>
      </c>
      <c r="AF901" s="57">
        <f t="shared" si="774"/>
        <v>1</v>
      </c>
      <c r="AG901" s="59">
        <f t="shared" si="775"/>
        <v>0</v>
      </c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</row>
    <row r="902" ht="24.0" customHeight="1">
      <c r="A902" s="45">
        <v>21.0</v>
      </c>
      <c r="B902" s="74" t="s">
        <v>2574</v>
      </c>
      <c r="C902" s="55" t="s">
        <v>2557</v>
      </c>
      <c r="D902" s="75" t="s">
        <v>1883</v>
      </c>
      <c r="E902" s="57">
        <v>8.00033565E8</v>
      </c>
      <c r="F902" s="76">
        <v>33721.0</v>
      </c>
      <c r="G902" s="77">
        <v>34.0</v>
      </c>
      <c r="H902" s="78" t="str">
        <f t="shared" si="768"/>
        <v>19-60</v>
      </c>
      <c r="I902" s="79" t="s">
        <v>112</v>
      </c>
      <c r="J902" s="80" t="str">
        <f t="shared" si="769"/>
        <v>male</v>
      </c>
      <c r="K902" s="58">
        <v>5.98888842E8</v>
      </c>
      <c r="L902" s="58" t="s">
        <v>34</v>
      </c>
      <c r="M902" s="57" t="s">
        <v>89</v>
      </c>
      <c r="N902" s="55" t="s">
        <v>90</v>
      </c>
      <c r="O902" s="55"/>
      <c r="P902" s="55" t="s">
        <v>91</v>
      </c>
      <c r="Q902" s="58" t="s">
        <v>4</v>
      </c>
      <c r="R902" s="81"/>
      <c r="S902" s="57"/>
      <c r="T902" s="82"/>
      <c r="U902" s="82"/>
      <c r="V902" s="57"/>
      <c r="W902" s="57"/>
      <c r="X902" s="57" t="str">
        <f t="shared" si="781"/>
        <v>--895-12-05</v>
      </c>
      <c r="Y902" s="58" t="str">
        <f t="shared" ref="Y902:AC902" si="795">TRIM(SUBSTITUTE(SUBSTITUTE(OFFSET(#REF!,0,COLUMN()-COLUMN($AL$1)),CHAR(160)," "),_xludf.UNICHAR(8239)," "))</f>
        <v>#REF!</v>
      </c>
      <c r="Z902" s="58" t="str">
        <f t="shared" si="795"/>
        <v>#REF!</v>
      </c>
      <c r="AA902" s="58" t="str">
        <f t="shared" si="795"/>
        <v>#REF!</v>
      </c>
      <c r="AB902" s="58" t="str">
        <f t="shared" si="795"/>
        <v>#REF!</v>
      </c>
      <c r="AC902" s="58" t="str">
        <f t="shared" si="795"/>
        <v>#REF!</v>
      </c>
      <c r="AD902" s="57">
        <f t="shared" si="772"/>
        <v>1</v>
      </c>
      <c r="AE902" s="57" t="str">
        <f t="shared" si="773"/>
        <v>2026-05</v>
      </c>
      <c r="AF902" s="57">
        <f t="shared" si="774"/>
        <v>1</v>
      </c>
      <c r="AG902" s="59">
        <f t="shared" si="775"/>
        <v>0</v>
      </c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</row>
    <row r="903" ht="24.0" customHeight="1">
      <c r="A903" s="45">
        <v>22.0</v>
      </c>
      <c r="B903" s="74" t="s">
        <v>2575</v>
      </c>
      <c r="C903" s="55" t="s">
        <v>2557</v>
      </c>
      <c r="D903" s="75" t="s">
        <v>1883</v>
      </c>
      <c r="E903" s="57">
        <v>4.31935188E8</v>
      </c>
      <c r="F903" s="76">
        <v>41764.0</v>
      </c>
      <c r="G903" s="77">
        <v>12.0</v>
      </c>
      <c r="H903" s="55" t="s">
        <v>111</v>
      </c>
      <c r="I903" s="78" t="s">
        <v>112</v>
      </c>
      <c r="J903" s="80" t="str">
        <f t="shared" si="769"/>
        <v>male</v>
      </c>
      <c r="K903" s="58">
        <v>5.95266744E8</v>
      </c>
      <c r="L903" s="58" t="s">
        <v>34</v>
      </c>
      <c r="M903" s="57" t="s">
        <v>133</v>
      </c>
      <c r="N903" s="55" t="s">
        <v>90</v>
      </c>
      <c r="O903" s="55"/>
      <c r="P903" s="55" t="s">
        <v>91</v>
      </c>
      <c r="Q903" s="55"/>
      <c r="R903" s="81"/>
      <c r="S903" s="58" t="s">
        <v>6</v>
      </c>
      <c r="T903" s="82"/>
      <c r="U903" s="82"/>
      <c r="V903" s="57"/>
      <c r="W903" s="57"/>
      <c r="X903" s="57" t="str">
        <f t="shared" si="781"/>
        <v>--896-12-05</v>
      </c>
      <c r="Y903" s="58" t="str">
        <f t="shared" ref="Y903:AC903" si="796">TRIM(SUBSTITUTE(SUBSTITUTE(OFFSET(#REF!,0,COLUMN()-COLUMN($AL$1)),CHAR(160)," "),_xludf.UNICHAR(8239)," "))</f>
        <v>#REF!</v>
      </c>
      <c r="Z903" s="58" t="str">
        <f t="shared" si="796"/>
        <v>#REF!</v>
      </c>
      <c r="AA903" s="58" t="str">
        <f t="shared" si="796"/>
        <v>#REF!</v>
      </c>
      <c r="AB903" s="58" t="str">
        <f t="shared" si="796"/>
        <v>#REF!</v>
      </c>
      <c r="AC903" s="58" t="str">
        <f t="shared" si="796"/>
        <v>#REF!</v>
      </c>
      <c r="AD903" s="57">
        <f t="shared" si="772"/>
        <v>1</v>
      </c>
      <c r="AE903" s="57" t="str">
        <f t="shared" si="773"/>
        <v>2026-05</v>
      </c>
      <c r="AF903" s="57">
        <f t="shared" si="774"/>
        <v>0</v>
      </c>
      <c r="AG903" s="59">
        <f t="shared" si="775"/>
        <v>0</v>
      </c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</row>
    <row r="904" ht="24.0" customHeight="1">
      <c r="A904" s="45">
        <v>23.0</v>
      </c>
      <c r="B904" s="74" t="s">
        <v>2242</v>
      </c>
      <c r="C904" s="55" t="s">
        <v>2557</v>
      </c>
      <c r="D904" s="75" t="s">
        <v>1883</v>
      </c>
      <c r="E904" s="57">
        <v>8.02262899E8</v>
      </c>
      <c r="F904" s="76">
        <v>33174.0</v>
      </c>
      <c r="G904" s="77">
        <v>36.0</v>
      </c>
      <c r="H904" s="78" t="str">
        <f t="shared" ref="H904:H947" si="798">IF(G904="","",IF(G904&lt;=5,"0-5",IF(G904&lt;=18,"6-18",IF(G904&lt;=60,"19-60","+60"))))</f>
        <v>19-60</v>
      </c>
      <c r="I904" s="79" t="s">
        <v>86</v>
      </c>
      <c r="J904" s="80" t="str">
        <f t="shared" si="769"/>
        <v>female</v>
      </c>
      <c r="K904" s="58">
        <v>5.902626573E9</v>
      </c>
      <c r="L904" s="58" t="s">
        <v>44</v>
      </c>
      <c r="M904" s="57" t="s">
        <v>89</v>
      </c>
      <c r="N904" s="55" t="s">
        <v>90</v>
      </c>
      <c r="O904" s="55"/>
      <c r="P904" s="55" t="s">
        <v>91</v>
      </c>
      <c r="Q904" s="58" t="s">
        <v>16</v>
      </c>
      <c r="R904" s="81"/>
      <c r="S904" s="57"/>
      <c r="T904" s="82"/>
      <c r="U904" s="82"/>
      <c r="V904" s="57"/>
      <c r="W904" s="57"/>
      <c r="X904" s="57" t="str">
        <f t="shared" si="781"/>
        <v>--897-12-05</v>
      </c>
      <c r="Y904" s="58" t="str">
        <f t="shared" ref="Y904:AC904" si="797">TRIM(SUBSTITUTE(SUBSTITUTE(OFFSET(#REF!,0,COLUMN()-COLUMN($AL$1)),CHAR(160)," "),_xludf.UNICHAR(8239)," "))</f>
        <v>#REF!</v>
      </c>
      <c r="Z904" s="58" t="str">
        <f t="shared" si="797"/>
        <v>#REF!</v>
      </c>
      <c r="AA904" s="58" t="str">
        <f t="shared" si="797"/>
        <v>#REF!</v>
      </c>
      <c r="AB904" s="58" t="str">
        <f t="shared" si="797"/>
        <v>#REF!</v>
      </c>
      <c r="AC904" s="58" t="str">
        <f t="shared" si="797"/>
        <v>#REF!</v>
      </c>
      <c r="AD904" s="57">
        <f t="shared" si="772"/>
        <v>1</v>
      </c>
      <c r="AE904" s="57" t="str">
        <f t="shared" si="773"/>
        <v>2026-05</v>
      </c>
      <c r="AF904" s="57">
        <f t="shared" si="774"/>
        <v>0</v>
      </c>
      <c r="AG904" s="59">
        <f t="shared" si="775"/>
        <v>0</v>
      </c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</row>
    <row r="905" ht="24.0" customHeight="1">
      <c r="A905" s="45">
        <v>24.0</v>
      </c>
      <c r="B905" s="74" t="s">
        <v>2576</v>
      </c>
      <c r="C905" s="55" t="s">
        <v>2557</v>
      </c>
      <c r="D905" s="75" t="s">
        <v>1883</v>
      </c>
      <c r="E905" s="57">
        <v>4.45853591E8</v>
      </c>
      <c r="F905" s="76">
        <v>45173.0</v>
      </c>
      <c r="G905" s="77">
        <v>3.0</v>
      </c>
      <c r="H905" s="78" t="str">
        <f t="shared" si="798"/>
        <v>0-5</v>
      </c>
      <c r="I905" s="79" t="s">
        <v>86</v>
      </c>
      <c r="J905" s="80" t="str">
        <f t="shared" si="769"/>
        <v>female</v>
      </c>
      <c r="K905" s="58">
        <v>5.92626573E8</v>
      </c>
      <c r="L905" s="58" t="s">
        <v>44</v>
      </c>
      <c r="M905" s="57" t="s">
        <v>133</v>
      </c>
      <c r="N905" s="55" t="s">
        <v>90</v>
      </c>
      <c r="O905" s="55"/>
      <c r="P905" s="55" t="s">
        <v>91</v>
      </c>
      <c r="Q905" s="58" t="s">
        <v>16</v>
      </c>
      <c r="R905" s="81"/>
      <c r="S905" s="57"/>
      <c r="T905" s="82"/>
      <c r="U905" s="82"/>
      <c r="V905" s="57"/>
      <c r="W905" s="57"/>
      <c r="X905" s="57" t="str">
        <f t="shared" si="781"/>
        <v>--898-12-05</v>
      </c>
      <c r="Y905" s="58" t="str">
        <f t="shared" ref="Y905:AC905" si="799">TRIM(SUBSTITUTE(SUBSTITUTE(OFFSET(#REF!,0,COLUMN()-COLUMN($AL$1)),CHAR(160)," "),_xludf.UNICHAR(8239)," "))</f>
        <v>#REF!</v>
      </c>
      <c r="Z905" s="58" t="str">
        <f t="shared" si="799"/>
        <v>#REF!</v>
      </c>
      <c r="AA905" s="58" t="str">
        <f t="shared" si="799"/>
        <v>#REF!</v>
      </c>
      <c r="AB905" s="58" t="str">
        <f t="shared" si="799"/>
        <v>#REF!</v>
      </c>
      <c r="AC905" s="58" t="str">
        <f t="shared" si="799"/>
        <v>#REF!</v>
      </c>
      <c r="AD905" s="57">
        <f t="shared" si="772"/>
        <v>1</v>
      </c>
      <c r="AE905" s="57" t="str">
        <f t="shared" si="773"/>
        <v>2026-05</v>
      </c>
      <c r="AF905" s="57">
        <f t="shared" si="774"/>
        <v>1</v>
      </c>
      <c r="AG905" s="59">
        <f t="shared" si="775"/>
        <v>1</v>
      </c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</row>
    <row r="906" ht="24.0" customHeight="1">
      <c r="A906" s="45">
        <v>25.0</v>
      </c>
      <c r="B906" s="74" t="s">
        <v>2577</v>
      </c>
      <c r="C906" s="55" t="s">
        <v>2557</v>
      </c>
      <c r="D906" s="75" t="s">
        <v>1883</v>
      </c>
      <c r="E906" s="57">
        <v>4.00266243E8</v>
      </c>
      <c r="F906" s="76">
        <v>35077.0</v>
      </c>
      <c r="G906" s="77">
        <v>30.0</v>
      </c>
      <c r="H906" s="78" t="str">
        <f t="shared" si="798"/>
        <v>19-60</v>
      </c>
      <c r="I906" s="79" t="s">
        <v>86</v>
      </c>
      <c r="J906" s="80" t="str">
        <f t="shared" si="769"/>
        <v>female</v>
      </c>
      <c r="K906" s="58">
        <v>5.92509277E8</v>
      </c>
      <c r="L906" s="58" t="s">
        <v>44</v>
      </c>
      <c r="M906" s="57" t="s">
        <v>89</v>
      </c>
      <c r="N906" s="55" t="s">
        <v>90</v>
      </c>
      <c r="O906" s="55"/>
      <c r="P906" s="55" t="s">
        <v>91</v>
      </c>
      <c r="Q906" s="58" t="s">
        <v>16</v>
      </c>
      <c r="R906" s="81"/>
      <c r="S906" s="57"/>
      <c r="T906" s="82"/>
      <c r="U906" s="82"/>
      <c r="V906" s="57"/>
      <c r="W906" s="57"/>
      <c r="X906" s="57" t="str">
        <f t="shared" si="781"/>
        <v>--899-12-05</v>
      </c>
      <c r="Y906" s="58" t="str">
        <f t="shared" ref="Y906:AC906" si="800">TRIM(SUBSTITUTE(SUBSTITUTE(OFFSET(#REF!,0,COLUMN()-COLUMN($AL$1)),CHAR(160)," "),_xludf.UNICHAR(8239)," "))</f>
        <v>#REF!</v>
      </c>
      <c r="Z906" s="58" t="str">
        <f t="shared" si="800"/>
        <v>#REF!</v>
      </c>
      <c r="AA906" s="58" t="str">
        <f t="shared" si="800"/>
        <v>#REF!</v>
      </c>
      <c r="AB906" s="58" t="str">
        <f t="shared" si="800"/>
        <v>#REF!</v>
      </c>
      <c r="AC906" s="58" t="str">
        <f t="shared" si="800"/>
        <v>#REF!</v>
      </c>
      <c r="AD906" s="57">
        <f t="shared" si="772"/>
        <v>1</v>
      </c>
      <c r="AE906" s="57" t="str">
        <f t="shared" si="773"/>
        <v>2026-05</v>
      </c>
      <c r="AF906" s="57">
        <f t="shared" si="774"/>
        <v>1</v>
      </c>
      <c r="AG906" s="59">
        <f t="shared" si="775"/>
        <v>1</v>
      </c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</row>
    <row r="907" ht="24.0" customHeight="1">
      <c r="A907" s="45">
        <v>26.0</v>
      </c>
      <c r="B907" s="74" t="s">
        <v>2578</v>
      </c>
      <c r="C907" s="55" t="s">
        <v>2557</v>
      </c>
      <c r="D907" s="75" t="s">
        <v>1883</v>
      </c>
      <c r="E907" s="57">
        <v>4.710904415E9</v>
      </c>
      <c r="F907" s="76">
        <v>46044.0</v>
      </c>
      <c r="G907" s="55">
        <v>1.0</v>
      </c>
      <c r="H907" s="78" t="str">
        <f t="shared" si="798"/>
        <v>0-5</v>
      </c>
      <c r="I907" s="79" t="s">
        <v>112</v>
      </c>
      <c r="J907" s="80" t="str">
        <f t="shared" si="769"/>
        <v>male</v>
      </c>
      <c r="K907" s="58">
        <v>5.92509277E8</v>
      </c>
      <c r="L907" s="58" t="s">
        <v>44</v>
      </c>
      <c r="M907" s="57" t="s">
        <v>133</v>
      </c>
      <c r="N907" s="55" t="s">
        <v>90</v>
      </c>
      <c r="O907" s="55"/>
      <c r="P907" s="55" t="s">
        <v>91</v>
      </c>
      <c r="Q907" s="58" t="s">
        <v>16</v>
      </c>
      <c r="R907" s="81"/>
      <c r="S907" s="57"/>
      <c r="T907" s="82"/>
      <c r="U907" s="82"/>
      <c r="V907" s="57"/>
      <c r="W907" s="57"/>
      <c r="X907" s="57" t="str">
        <f t="shared" si="781"/>
        <v>--900-12-05</v>
      </c>
      <c r="Y907" s="58" t="str">
        <f t="shared" ref="Y907:AC907" si="801">TRIM(SUBSTITUTE(SUBSTITUTE(OFFSET(#REF!,0,COLUMN()-COLUMN($AL$1)),CHAR(160)," "),_xludf.UNICHAR(8239)," "))</f>
        <v>#REF!</v>
      </c>
      <c r="Z907" s="58" t="str">
        <f t="shared" si="801"/>
        <v>#REF!</v>
      </c>
      <c r="AA907" s="58" t="str">
        <f t="shared" si="801"/>
        <v>#REF!</v>
      </c>
      <c r="AB907" s="58" t="str">
        <f t="shared" si="801"/>
        <v>#REF!</v>
      </c>
      <c r="AC907" s="58" t="str">
        <f t="shared" si="801"/>
        <v>#REF!</v>
      </c>
      <c r="AD907" s="57">
        <f t="shared" si="772"/>
        <v>1</v>
      </c>
      <c r="AE907" s="57" t="str">
        <f t="shared" si="773"/>
        <v>2026-05</v>
      </c>
      <c r="AF907" s="57">
        <f t="shared" si="774"/>
        <v>1</v>
      </c>
      <c r="AG907" s="59">
        <f t="shared" si="775"/>
        <v>1</v>
      </c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</row>
    <row r="908" ht="24.0" customHeight="1">
      <c r="A908" s="45">
        <v>27.0</v>
      </c>
      <c r="B908" s="74" t="s">
        <v>2579</v>
      </c>
      <c r="C908" s="55" t="s">
        <v>2557</v>
      </c>
      <c r="D908" s="75" t="s">
        <v>1883</v>
      </c>
      <c r="E908" s="57">
        <v>8.02682237E8</v>
      </c>
      <c r="F908" s="76">
        <v>33287.0</v>
      </c>
      <c r="G908" s="77">
        <v>35.0</v>
      </c>
      <c r="H908" s="78" t="str">
        <f t="shared" si="798"/>
        <v>19-60</v>
      </c>
      <c r="I908" s="79" t="s">
        <v>86</v>
      </c>
      <c r="J908" s="80" t="str">
        <f t="shared" si="769"/>
        <v>female</v>
      </c>
      <c r="K908" s="58">
        <v>5.97803223E8</v>
      </c>
      <c r="L908" s="58" t="s">
        <v>44</v>
      </c>
      <c r="M908" s="57" t="s">
        <v>89</v>
      </c>
      <c r="N908" s="55" t="s">
        <v>90</v>
      </c>
      <c r="O908" s="55"/>
      <c r="P908" s="55" t="s">
        <v>91</v>
      </c>
      <c r="Q908" s="55"/>
      <c r="R908" s="58" t="s">
        <v>5</v>
      </c>
      <c r="S908" s="57"/>
      <c r="T908" s="82"/>
      <c r="U908" s="82" t="s">
        <v>7</v>
      </c>
      <c r="V908" s="57"/>
      <c r="W908" s="57"/>
      <c r="X908" s="57" t="str">
        <f t="shared" si="781"/>
        <v>--901-12-05</v>
      </c>
      <c r="Y908" s="58" t="str">
        <f t="shared" ref="Y908:AC908" si="802">TRIM(SUBSTITUTE(SUBSTITUTE(OFFSET(#REF!,0,COLUMN()-COLUMN($AL$1)),CHAR(160)," "),_xludf.UNICHAR(8239)," "))</f>
        <v>#REF!</v>
      </c>
      <c r="Z908" s="58" t="str">
        <f t="shared" si="802"/>
        <v>#REF!</v>
      </c>
      <c r="AA908" s="58" t="str">
        <f t="shared" si="802"/>
        <v>#REF!</v>
      </c>
      <c r="AB908" s="58" t="str">
        <f t="shared" si="802"/>
        <v>#REF!</v>
      </c>
      <c r="AC908" s="58" t="str">
        <f t="shared" si="802"/>
        <v>#REF!</v>
      </c>
      <c r="AD908" s="57">
        <f t="shared" si="772"/>
        <v>1</v>
      </c>
      <c r="AE908" s="57" t="str">
        <f t="shared" si="773"/>
        <v>2026-05</v>
      </c>
      <c r="AF908" s="57">
        <f t="shared" si="774"/>
        <v>1</v>
      </c>
      <c r="AG908" s="59">
        <f t="shared" si="775"/>
        <v>1</v>
      </c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</row>
    <row r="909" ht="24.0" customHeight="1">
      <c r="A909" s="45">
        <v>28.0</v>
      </c>
      <c r="B909" s="74" t="s">
        <v>2580</v>
      </c>
      <c r="C909" s="55" t="s">
        <v>2557</v>
      </c>
      <c r="D909" s="75" t="s">
        <v>1883</v>
      </c>
      <c r="E909" s="57">
        <v>9.03685964E8</v>
      </c>
      <c r="F909" s="76">
        <v>29504.0</v>
      </c>
      <c r="G909" s="77">
        <v>46.0</v>
      </c>
      <c r="H909" s="78" t="str">
        <f t="shared" si="798"/>
        <v>19-60</v>
      </c>
      <c r="I909" s="79" t="s">
        <v>86</v>
      </c>
      <c r="J909" s="80" t="str">
        <f t="shared" si="769"/>
        <v>female</v>
      </c>
      <c r="K909" s="58">
        <v>5.99887326E8</v>
      </c>
      <c r="L909" s="58" t="s">
        <v>34</v>
      </c>
      <c r="M909" s="57" t="s">
        <v>89</v>
      </c>
      <c r="N909" s="55" t="s">
        <v>90</v>
      </c>
      <c r="O909" s="55"/>
      <c r="P909" s="55" t="s">
        <v>91</v>
      </c>
      <c r="Q909" s="58" t="s">
        <v>16</v>
      </c>
      <c r="R909" s="81"/>
      <c r="S909" s="57"/>
      <c r="T909" s="82"/>
      <c r="U909" s="82"/>
      <c r="V909" s="57"/>
      <c r="W909" s="57"/>
      <c r="X909" s="57" t="str">
        <f t="shared" si="781"/>
        <v>--902-12-05</v>
      </c>
      <c r="Y909" s="58" t="str">
        <f t="shared" ref="Y909:AC909" si="803">TRIM(SUBSTITUTE(SUBSTITUTE(OFFSET(#REF!,0,COLUMN()-COLUMN($AL$1)),CHAR(160)," "),_xludf.UNICHAR(8239)," "))</f>
        <v>#REF!</v>
      </c>
      <c r="Z909" s="58" t="str">
        <f t="shared" si="803"/>
        <v>#REF!</v>
      </c>
      <c r="AA909" s="58" t="str">
        <f t="shared" si="803"/>
        <v>#REF!</v>
      </c>
      <c r="AB909" s="58" t="str">
        <f t="shared" si="803"/>
        <v>#REF!</v>
      </c>
      <c r="AC909" s="58" t="str">
        <f t="shared" si="803"/>
        <v>#REF!</v>
      </c>
      <c r="AD909" s="57">
        <f t="shared" si="772"/>
        <v>1</v>
      </c>
      <c r="AE909" s="57" t="str">
        <f t="shared" si="773"/>
        <v>2026-05</v>
      </c>
      <c r="AF909" s="57">
        <f t="shared" si="774"/>
        <v>1</v>
      </c>
      <c r="AG909" s="59">
        <f t="shared" si="775"/>
        <v>1</v>
      </c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</row>
    <row r="910" ht="24.0" customHeight="1">
      <c r="A910" s="45">
        <v>29.0</v>
      </c>
      <c r="B910" s="74" t="s">
        <v>2581</v>
      </c>
      <c r="C910" s="55" t="s">
        <v>2557</v>
      </c>
      <c r="D910" s="75" t="s">
        <v>1883</v>
      </c>
      <c r="E910" s="57">
        <v>9.0656933E8</v>
      </c>
      <c r="F910" s="76">
        <v>30288.0</v>
      </c>
      <c r="G910" s="77">
        <v>44.0</v>
      </c>
      <c r="H910" s="78" t="str">
        <f t="shared" si="798"/>
        <v>19-60</v>
      </c>
      <c r="I910" s="79" t="s">
        <v>86</v>
      </c>
      <c r="J910" s="80" t="str">
        <f t="shared" si="769"/>
        <v>female</v>
      </c>
      <c r="K910" s="58">
        <v>5.67744054E8</v>
      </c>
      <c r="L910" s="58" t="s">
        <v>34</v>
      </c>
      <c r="M910" s="57" t="s">
        <v>89</v>
      </c>
      <c r="N910" s="55" t="s">
        <v>90</v>
      </c>
      <c r="O910" s="55"/>
      <c r="P910" s="55" t="s">
        <v>91</v>
      </c>
      <c r="Q910" s="58" t="s">
        <v>16</v>
      </c>
      <c r="R910" s="81"/>
      <c r="S910" s="57"/>
      <c r="T910" s="82"/>
      <c r="U910" s="82"/>
      <c r="V910" s="57"/>
      <c r="W910" s="57"/>
      <c r="X910" s="57" t="str">
        <f t="shared" si="781"/>
        <v>--903-12-05</v>
      </c>
      <c r="Y910" s="58" t="str">
        <f t="shared" ref="Y910:AC910" si="804">TRIM(SUBSTITUTE(SUBSTITUTE(OFFSET(#REF!,0,COLUMN()-COLUMN($AL$1)),CHAR(160)," "),_xludf.UNICHAR(8239)," "))</f>
        <v>#REF!</v>
      </c>
      <c r="Z910" s="58" t="str">
        <f t="shared" si="804"/>
        <v>#REF!</v>
      </c>
      <c r="AA910" s="58" t="str">
        <f t="shared" si="804"/>
        <v>#REF!</v>
      </c>
      <c r="AB910" s="58" t="str">
        <f t="shared" si="804"/>
        <v>#REF!</v>
      </c>
      <c r="AC910" s="58" t="str">
        <f t="shared" si="804"/>
        <v>#REF!</v>
      </c>
      <c r="AD910" s="57">
        <f t="shared" si="772"/>
        <v>1</v>
      </c>
      <c r="AE910" s="57" t="str">
        <f t="shared" si="773"/>
        <v>2026-05</v>
      </c>
      <c r="AF910" s="57">
        <f t="shared" si="774"/>
        <v>1</v>
      </c>
      <c r="AG910" s="59">
        <f t="shared" si="775"/>
        <v>1</v>
      </c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</row>
    <row r="911" ht="24.0" customHeight="1">
      <c r="A911" s="45">
        <v>30.0</v>
      </c>
      <c r="B911" s="74" t="s">
        <v>2582</v>
      </c>
      <c r="C911" s="55" t="s">
        <v>2557</v>
      </c>
      <c r="D911" s="75" t="s">
        <v>1883</v>
      </c>
      <c r="E911" s="57">
        <v>4.29871106E8</v>
      </c>
      <c r="F911" s="76">
        <v>40409.0</v>
      </c>
      <c r="G911" s="77">
        <v>16.0</v>
      </c>
      <c r="H911" s="78" t="str">
        <f t="shared" si="798"/>
        <v>6-18</v>
      </c>
      <c r="I911" s="79" t="s">
        <v>86</v>
      </c>
      <c r="J911" s="80" t="str">
        <f t="shared" si="769"/>
        <v>female</v>
      </c>
      <c r="K911" s="58">
        <v>5.92503063E8</v>
      </c>
      <c r="L911" s="58" t="s">
        <v>41</v>
      </c>
      <c r="M911" s="57" t="s">
        <v>133</v>
      </c>
      <c r="N911" s="55" t="s">
        <v>90</v>
      </c>
      <c r="O911" s="55"/>
      <c r="P911" s="55" t="s">
        <v>91</v>
      </c>
      <c r="Q911" s="55"/>
      <c r="R911" s="58" t="s">
        <v>5</v>
      </c>
      <c r="S911" s="57"/>
      <c r="T911" s="82"/>
      <c r="U911" s="82" t="s">
        <v>7</v>
      </c>
      <c r="V911" s="57"/>
      <c r="W911" s="57"/>
      <c r="X911" s="57" t="str">
        <f t="shared" si="781"/>
        <v>--904-12-05</v>
      </c>
      <c r="Y911" s="58" t="str">
        <f t="shared" ref="Y911:AC911" si="805">TRIM(SUBSTITUTE(SUBSTITUTE(OFFSET(#REF!,0,COLUMN()-COLUMN($AL$1)),CHAR(160)," "),_xludf.UNICHAR(8239)," "))</f>
        <v>#REF!</v>
      </c>
      <c r="Z911" s="58" t="str">
        <f t="shared" si="805"/>
        <v>#REF!</v>
      </c>
      <c r="AA911" s="58" t="str">
        <f t="shared" si="805"/>
        <v>#REF!</v>
      </c>
      <c r="AB911" s="58" t="str">
        <f t="shared" si="805"/>
        <v>#REF!</v>
      </c>
      <c r="AC911" s="58" t="str">
        <f t="shared" si="805"/>
        <v>#REF!</v>
      </c>
      <c r="AD911" s="57">
        <f t="shared" si="772"/>
        <v>1</v>
      </c>
      <c r="AE911" s="57" t="str">
        <f t="shared" si="773"/>
        <v>2026-05</v>
      </c>
      <c r="AF911" s="57">
        <f t="shared" si="774"/>
        <v>1</v>
      </c>
      <c r="AG911" s="59">
        <f t="shared" si="775"/>
        <v>1</v>
      </c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</row>
    <row r="912" ht="24.0" customHeight="1">
      <c r="A912" s="45">
        <v>31.0</v>
      </c>
      <c r="B912" s="74" t="s">
        <v>2583</v>
      </c>
      <c r="C912" s="55" t="s">
        <v>2557</v>
      </c>
      <c r="D912" s="75" t="s">
        <v>1883</v>
      </c>
      <c r="E912" s="57">
        <v>4.26312054E8</v>
      </c>
      <c r="F912" s="76">
        <v>40021.0</v>
      </c>
      <c r="G912" s="77">
        <v>17.0</v>
      </c>
      <c r="H912" s="78" t="str">
        <f t="shared" si="798"/>
        <v>6-18</v>
      </c>
      <c r="I912" s="79" t="s">
        <v>86</v>
      </c>
      <c r="J912" s="80" t="str">
        <f t="shared" si="769"/>
        <v>female</v>
      </c>
      <c r="K912" s="58">
        <v>5.97452922E8</v>
      </c>
      <c r="L912" s="58" t="s">
        <v>41</v>
      </c>
      <c r="M912" s="57" t="s">
        <v>89</v>
      </c>
      <c r="N912" s="55" t="s">
        <v>90</v>
      </c>
      <c r="O912" s="55"/>
      <c r="P912" s="55" t="s">
        <v>91</v>
      </c>
      <c r="Q912" s="55"/>
      <c r="R912" s="58" t="s">
        <v>36</v>
      </c>
      <c r="S912" s="57"/>
      <c r="T912" s="82"/>
      <c r="U912" s="82"/>
      <c r="V912" s="57"/>
      <c r="W912" s="57"/>
      <c r="X912" s="57" t="str">
        <f t="shared" si="781"/>
        <v>--905-12-05</v>
      </c>
      <c r="Y912" s="58" t="str">
        <f t="shared" ref="Y912:AC912" si="806">TRIM(SUBSTITUTE(SUBSTITUTE(OFFSET(#REF!,0,COLUMN()-COLUMN($AL$1)),CHAR(160)," "),_xludf.UNICHAR(8239)," "))</f>
        <v>#REF!</v>
      </c>
      <c r="Z912" s="58" t="str">
        <f t="shared" si="806"/>
        <v>#REF!</v>
      </c>
      <c r="AA912" s="58" t="str">
        <f t="shared" si="806"/>
        <v>#REF!</v>
      </c>
      <c r="AB912" s="58" t="str">
        <f t="shared" si="806"/>
        <v>#REF!</v>
      </c>
      <c r="AC912" s="58" t="str">
        <f t="shared" si="806"/>
        <v>#REF!</v>
      </c>
      <c r="AD912" s="57">
        <f t="shared" si="772"/>
        <v>1</v>
      </c>
      <c r="AE912" s="57" t="str">
        <f t="shared" si="773"/>
        <v>2026-05</v>
      </c>
      <c r="AF912" s="57">
        <f t="shared" si="774"/>
        <v>1</v>
      </c>
      <c r="AG912" s="59">
        <f t="shared" si="775"/>
        <v>1</v>
      </c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</row>
    <row r="913" ht="24.0" customHeight="1">
      <c r="A913" s="45">
        <v>32.0</v>
      </c>
      <c r="B913" s="74" t="s">
        <v>2584</v>
      </c>
      <c r="C913" s="55" t="s">
        <v>2557</v>
      </c>
      <c r="D913" s="75" t="s">
        <v>1883</v>
      </c>
      <c r="E913" s="57">
        <v>4.70855644E8</v>
      </c>
      <c r="F913" s="76">
        <v>43891.0</v>
      </c>
      <c r="G913" s="77">
        <v>6.0</v>
      </c>
      <c r="H913" s="78" t="str">
        <f t="shared" si="798"/>
        <v>6-18</v>
      </c>
      <c r="I913" s="79" t="s">
        <v>86</v>
      </c>
      <c r="J913" s="80" t="str">
        <f t="shared" si="769"/>
        <v>female</v>
      </c>
      <c r="K913" s="58">
        <v>5.97452922E8</v>
      </c>
      <c r="L913" s="58" t="s">
        <v>41</v>
      </c>
      <c r="M913" s="57" t="s">
        <v>133</v>
      </c>
      <c r="N913" s="55" t="s">
        <v>90</v>
      </c>
      <c r="O913" s="55"/>
      <c r="P913" s="55" t="s">
        <v>91</v>
      </c>
      <c r="Q913" s="58" t="s">
        <v>16</v>
      </c>
      <c r="R913" s="81"/>
      <c r="S913" s="57"/>
      <c r="T913" s="82"/>
      <c r="U913" s="82"/>
      <c r="V913" s="57"/>
      <c r="W913" s="57"/>
      <c r="X913" s="57" t="str">
        <f t="shared" si="781"/>
        <v>--906-12-05</v>
      </c>
      <c r="Y913" s="58" t="str">
        <f t="shared" ref="Y913:AC913" si="807">TRIM(SUBSTITUTE(SUBSTITUTE(OFFSET(#REF!,0,COLUMN()-COLUMN($AL$1)),CHAR(160)," "),_xludf.UNICHAR(8239)," "))</f>
        <v>#REF!</v>
      </c>
      <c r="Z913" s="58" t="str">
        <f t="shared" si="807"/>
        <v>#REF!</v>
      </c>
      <c r="AA913" s="58" t="str">
        <f t="shared" si="807"/>
        <v>#REF!</v>
      </c>
      <c r="AB913" s="58" t="str">
        <f t="shared" si="807"/>
        <v>#REF!</v>
      </c>
      <c r="AC913" s="58" t="str">
        <f t="shared" si="807"/>
        <v>#REF!</v>
      </c>
      <c r="AD913" s="57">
        <f t="shared" si="772"/>
        <v>1</v>
      </c>
      <c r="AE913" s="57" t="str">
        <f t="shared" si="773"/>
        <v>2026-05</v>
      </c>
      <c r="AF913" s="57">
        <f t="shared" si="774"/>
        <v>1</v>
      </c>
      <c r="AG913" s="59">
        <f t="shared" si="775"/>
        <v>1</v>
      </c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</row>
    <row r="914" ht="24.0" customHeight="1">
      <c r="A914" s="45">
        <v>33.0</v>
      </c>
      <c r="B914" s="74" t="s">
        <v>2585</v>
      </c>
      <c r="C914" s="55" t="s">
        <v>2557</v>
      </c>
      <c r="D914" s="75" t="s">
        <v>1883</v>
      </c>
      <c r="E914" s="57">
        <v>4.03017122E8</v>
      </c>
      <c r="F914" s="76">
        <v>36053.0</v>
      </c>
      <c r="G914" s="77">
        <v>28.0</v>
      </c>
      <c r="H914" s="78" t="str">
        <f t="shared" si="798"/>
        <v>19-60</v>
      </c>
      <c r="I914" s="79" t="s">
        <v>86</v>
      </c>
      <c r="J914" s="80" t="str">
        <f t="shared" si="769"/>
        <v>female</v>
      </c>
      <c r="K914" s="58">
        <v>5.95661279E8</v>
      </c>
      <c r="L914" s="58" t="s">
        <v>41</v>
      </c>
      <c r="M914" s="57" t="s">
        <v>89</v>
      </c>
      <c r="N914" s="55" t="s">
        <v>90</v>
      </c>
      <c r="O914" s="55"/>
      <c r="P914" s="55" t="s">
        <v>91</v>
      </c>
      <c r="Q914" s="58" t="s">
        <v>4</v>
      </c>
      <c r="R914" s="81"/>
      <c r="S914" s="57"/>
      <c r="T914" s="82"/>
      <c r="U914" s="82"/>
      <c r="V914" s="57"/>
      <c r="W914" s="57"/>
      <c r="X914" s="57" t="str">
        <f t="shared" si="781"/>
        <v>--907-12-05</v>
      </c>
      <c r="Y914" s="58" t="str">
        <f t="shared" ref="Y914:AC914" si="808">TRIM(SUBSTITUTE(SUBSTITUTE(OFFSET(#REF!,0,COLUMN()-COLUMN($AL$1)),CHAR(160)," "),_xludf.UNICHAR(8239)," "))</f>
        <v>#REF!</v>
      </c>
      <c r="Z914" s="58" t="str">
        <f t="shared" si="808"/>
        <v>#REF!</v>
      </c>
      <c r="AA914" s="58" t="str">
        <f t="shared" si="808"/>
        <v>#REF!</v>
      </c>
      <c r="AB914" s="58" t="str">
        <f t="shared" si="808"/>
        <v>#REF!</v>
      </c>
      <c r="AC914" s="58" t="str">
        <f t="shared" si="808"/>
        <v>#REF!</v>
      </c>
      <c r="AD914" s="57">
        <f t="shared" si="772"/>
        <v>1</v>
      </c>
      <c r="AE914" s="57" t="str">
        <f t="shared" si="773"/>
        <v>2026-05</v>
      </c>
      <c r="AF914" s="57">
        <f t="shared" si="774"/>
        <v>1</v>
      </c>
      <c r="AG914" s="59">
        <f t="shared" si="775"/>
        <v>1</v>
      </c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</row>
    <row r="915" ht="24.0" customHeight="1">
      <c r="A915" s="45">
        <v>34.0</v>
      </c>
      <c r="B915" s="74" t="s">
        <v>2003</v>
      </c>
      <c r="C915" s="55" t="s">
        <v>2557</v>
      </c>
      <c r="D915" s="75" t="s">
        <v>1883</v>
      </c>
      <c r="E915" s="57">
        <v>8.03438365E8</v>
      </c>
      <c r="F915" s="76">
        <v>33609.0</v>
      </c>
      <c r="G915" s="77">
        <v>34.0</v>
      </c>
      <c r="H915" s="78" t="str">
        <f t="shared" si="798"/>
        <v>19-60</v>
      </c>
      <c r="I915" s="79" t="s">
        <v>112</v>
      </c>
      <c r="J915" s="80" t="str">
        <f t="shared" si="769"/>
        <v>male</v>
      </c>
      <c r="K915" s="58">
        <v>5.92342198E8</v>
      </c>
      <c r="L915" s="58" t="s">
        <v>34</v>
      </c>
      <c r="M915" s="57" t="s">
        <v>89</v>
      </c>
      <c r="N915" s="55" t="s">
        <v>90</v>
      </c>
      <c r="O915" s="55"/>
      <c r="P915" s="55" t="s">
        <v>91</v>
      </c>
      <c r="Q915" s="58" t="s">
        <v>16</v>
      </c>
      <c r="R915" s="81"/>
      <c r="S915" s="57"/>
      <c r="T915" s="82"/>
      <c r="U915" s="82"/>
      <c r="V915" s="57"/>
      <c r="W915" s="57"/>
      <c r="X915" s="57" t="str">
        <f t="shared" si="781"/>
        <v>--908-12-05</v>
      </c>
      <c r="Y915" s="58" t="str">
        <f t="shared" ref="Y915:AC915" si="809">TRIM(SUBSTITUTE(SUBSTITUTE(OFFSET(#REF!,0,COLUMN()-COLUMN($AL$1)),CHAR(160)," "),_xludf.UNICHAR(8239)," "))</f>
        <v>#REF!</v>
      </c>
      <c r="Z915" s="58" t="str">
        <f t="shared" si="809"/>
        <v>#REF!</v>
      </c>
      <c r="AA915" s="58" t="str">
        <f t="shared" si="809"/>
        <v>#REF!</v>
      </c>
      <c r="AB915" s="58" t="str">
        <f t="shared" si="809"/>
        <v>#REF!</v>
      </c>
      <c r="AC915" s="58" t="str">
        <f t="shared" si="809"/>
        <v>#REF!</v>
      </c>
      <c r="AD915" s="57">
        <f t="shared" si="772"/>
        <v>1</v>
      </c>
      <c r="AE915" s="57" t="str">
        <f t="shared" si="773"/>
        <v>2026-05</v>
      </c>
      <c r="AF915" s="57">
        <f t="shared" si="774"/>
        <v>1</v>
      </c>
      <c r="AG915" s="59">
        <f t="shared" si="775"/>
        <v>0</v>
      </c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</row>
    <row r="916" ht="24.0" customHeight="1">
      <c r="A916" s="45">
        <v>35.0</v>
      </c>
      <c r="B916" s="74" t="s">
        <v>2586</v>
      </c>
      <c r="C916" s="55" t="s">
        <v>2557</v>
      </c>
      <c r="D916" s="75" t="s">
        <v>1883</v>
      </c>
      <c r="E916" s="57">
        <v>4.39108978E8</v>
      </c>
      <c r="F916" s="76">
        <v>43211.0</v>
      </c>
      <c r="G916" s="77">
        <v>8.0</v>
      </c>
      <c r="H916" s="78" t="str">
        <f t="shared" si="798"/>
        <v>6-18</v>
      </c>
      <c r="I916" s="79" t="s">
        <v>112</v>
      </c>
      <c r="J916" s="80" t="str">
        <f t="shared" si="769"/>
        <v>male</v>
      </c>
      <c r="K916" s="58">
        <v>5.92509277E8</v>
      </c>
      <c r="L916" s="58" t="s">
        <v>44</v>
      </c>
      <c r="M916" s="57" t="s">
        <v>133</v>
      </c>
      <c r="N916" s="55" t="s">
        <v>90</v>
      </c>
      <c r="O916" s="55"/>
      <c r="P916" s="55" t="s">
        <v>91</v>
      </c>
      <c r="Q916" s="58" t="s">
        <v>16</v>
      </c>
      <c r="R916" s="81"/>
      <c r="S916" s="57"/>
      <c r="T916" s="82"/>
      <c r="U916" s="82"/>
      <c r="V916" s="57"/>
      <c r="W916" s="57"/>
      <c r="X916" s="57" t="str">
        <f t="shared" si="781"/>
        <v>--909-12-05</v>
      </c>
      <c r="Y916" s="58" t="str">
        <f t="shared" ref="Y916:AC916" si="810">TRIM(SUBSTITUTE(SUBSTITUTE(OFFSET(#REF!,0,COLUMN()-COLUMN($AL$1)),CHAR(160)," "),_xludf.UNICHAR(8239)," "))</f>
        <v>#REF!</v>
      </c>
      <c r="Z916" s="58" t="str">
        <f t="shared" si="810"/>
        <v>#REF!</v>
      </c>
      <c r="AA916" s="58" t="str">
        <f t="shared" si="810"/>
        <v>#REF!</v>
      </c>
      <c r="AB916" s="58" t="str">
        <f t="shared" si="810"/>
        <v>#REF!</v>
      </c>
      <c r="AC916" s="58" t="str">
        <f t="shared" si="810"/>
        <v>#REF!</v>
      </c>
      <c r="AD916" s="57">
        <f t="shared" si="772"/>
        <v>1</v>
      </c>
      <c r="AE916" s="57" t="str">
        <f t="shared" si="773"/>
        <v>2026-05</v>
      </c>
      <c r="AF916" s="57">
        <f t="shared" si="774"/>
        <v>1</v>
      </c>
      <c r="AG916" s="59">
        <f t="shared" si="775"/>
        <v>1</v>
      </c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</row>
    <row r="917" ht="24.0" customHeight="1">
      <c r="A917" s="45">
        <v>36.0</v>
      </c>
      <c r="B917" s="74" t="s">
        <v>2587</v>
      </c>
      <c r="C917" s="55" t="s">
        <v>2557</v>
      </c>
      <c r="D917" s="75" t="s">
        <v>1883</v>
      </c>
      <c r="E917" s="57">
        <v>8.00772253E8</v>
      </c>
      <c r="F917" s="76">
        <v>32842.0</v>
      </c>
      <c r="G917" s="77">
        <v>37.0</v>
      </c>
      <c r="H917" s="78" t="str">
        <f t="shared" si="798"/>
        <v>19-60</v>
      </c>
      <c r="I917" s="79" t="s">
        <v>86</v>
      </c>
      <c r="J917" s="80" t="str">
        <f t="shared" si="769"/>
        <v>female</v>
      </c>
      <c r="K917" s="58">
        <v>5.99158745E8</v>
      </c>
      <c r="L917" s="58" t="s">
        <v>41</v>
      </c>
      <c r="M917" s="57" t="s">
        <v>89</v>
      </c>
      <c r="N917" s="55" t="s">
        <v>90</v>
      </c>
      <c r="O917" s="55"/>
      <c r="P917" s="55" t="s">
        <v>91</v>
      </c>
      <c r="Q917" s="55"/>
      <c r="R917" s="58" t="s">
        <v>36</v>
      </c>
      <c r="S917" s="57"/>
      <c r="T917" s="82"/>
      <c r="U917" s="82"/>
      <c r="V917" s="57"/>
      <c r="W917" s="57"/>
      <c r="X917" s="57" t="str">
        <f t="shared" si="781"/>
        <v>--910-12-05</v>
      </c>
      <c r="Y917" s="58" t="str">
        <f t="shared" ref="Y917:AC917" si="811">TRIM(SUBSTITUTE(SUBSTITUTE(OFFSET(#REF!,0,COLUMN()-COLUMN($AL$1)),CHAR(160)," "),_xludf.UNICHAR(8239)," "))</f>
        <v>#REF!</v>
      </c>
      <c r="Z917" s="58" t="str">
        <f t="shared" si="811"/>
        <v>#REF!</v>
      </c>
      <c r="AA917" s="58" t="str">
        <f t="shared" si="811"/>
        <v>#REF!</v>
      </c>
      <c r="AB917" s="58" t="str">
        <f t="shared" si="811"/>
        <v>#REF!</v>
      </c>
      <c r="AC917" s="58" t="str">
        <f t="shared" si="811"/>
        <v>#REF!</v>
      </c>
      <c r="AD917" s="57">
        <f t="shared" si="772"/>
        <v>1</v>
      </c>
      <c r="AE917" s="57" t="str">
        <f t="shared" si="773"/>
        <v>2026-05</v>
      </c>
      <c r="AF917" s="57">
        <f t="shared" si="774"/>
        <v>1</v>
      </c>
      <c r="AG917" s="59">
        <f t="shared" si="775"/>
        <v>1</v>
      </c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</row>
    <row r="918" ht="24.0" customHeight="1">
      <c r="A918" s="45">
        <v>37.0</v>
      </c>
      <c r="B918" s="74" t="s">
        <v>2219</v>
      </c>
      <c r="C918" s="55" t="s">
        <v>2557</v>
      </c>
      <c r="D918" s="75" t="s">
        <v>1883</v>
      </c>
      <c r="E918" s="57">
        <v>4.70586553E8</v>
      </c>
      <c r="F918" s="76">
        <v>42224.0</v>
      </c>
      <c r="G918" s="77">
        <v>11.0</v>
      </c>
      <c r="H918" s="78" t="str">
        <f t="shared" si="798"/>
        <v>6-18</v>
      </c>
      <c r="I918" s="79" t="s">
        <v>112</v>
      </c>
      <c r="J918" s="80" t="str">
        <f t="shared" si="769"/>
        <v>male</v>
      </c>
      <c r="K918" s="58">
        <v>5.97775156E8</v>
      </c>
      <c r="L918" s="58" t="s">
        <v>34</v>
      </c>
      <c r="M918" s="57" t="s">
        <v>133</v>
      </c>
      <c r="N918" s="55" t="s">
        <v>90</v>
      </c>
      <c r="O918" s="55"/>
      <c r="P918" s="55" t="s">
        <v>91</v>
      </c>
      <c r="Q918" s="58" t="s">
        <v>16</v>
      </c>
      <c r="R918" s="81"/>
      <c r="S918" s="57"/>
      <c r="T918" s="82"/>
      <c r="U918" s="82"/>
      <c r="V918" s="57"/>
      <c r="W918" s="57"/>
      <c r="X918" s="57" t="str">
        <f t="shared" si="781"/>
        <v>--911-12-05</v>
      </c>
      <c r="Y918" s="58" t="str">
        <f t="shared" ref="Y918:AC918" si="812">TRIM(SUBSTITUTE(SUBSTITUTE(OFFSET(#REF!,0,COLUMN()-COLUMN($AL$1)),CHAR(160)," "),_xludf.UNICHAR(8239)," "))</f>
        <v>#REF!</v>
      </c>
      <c r="Z918" s="58" t="str">
        <f t="shared" si="812"/>
        <v>#REF!</v>
      </c>
      <c r="AA918" s="58" t="str">
        <f t="shared" si="812"/>
        <v>#REF!</v>
      </c>
      <c r="AB918" s="58" t="str">
        <f t="shared" si="812"/>
        <v>#REF!</v>
      </c>
      <c r="AC918" s="58" t="str">
        <f t="shared" si="812"/>
        <v>#REF!</v>
      </c>
      <c r="AD918" s="57">
        <f t="shared" si="772"/>
        <v>1</v>
      </c>
      <c r="AE918" s="57" t="str">
        <f t="shared" si="773"/>
        <v>2026-05</v>
      </c>
      <c r="AF918" s="57">
        <f t="shared" si="774"/>
        <v>0</v>
      </c>
      <c r="AG918" s="59">
        <f t="shared" si="775"/>
        <v>0</v>
      </c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</row>
    <row r="919" ht="24.0" customHeight="1">
      <c r="A919" s="45">
        <v>38.0</v>
      </c>
      <c r="B919" s="74" t="s">
        <v>2588</v>
      </c>
      <c r="C919" s="55" t="s">
        <v>2557</v>
      </c>
      <c r="D919" s="75" t="s">
        <v>1883</v>
      </c>
      <c r="E919" s="57">
        <v>4.38405185E8</v>
      </c>
      <c r="F919" s="76">
        <v>42872.0</v>
      </c>
      <c r="G919" s="77">
        <v>9.0</v>
      </c>
      <c r="H919" s="78" t="str">
        <f t="shared" si="798"/>
        <v>6-18</v>
      </c>
      <c r="I919" s="79" t="s">
        <v>112</v>
      </c>
      <c r="J919" s="80" t="str">
        <f t="shared" si="769"/>
        <v>male</v>
      </c>
      <c r="K919" s="58">
        <v>5.97775156E8</v>
      </c>
      <c r="L919" s="58" t="s">
        <v>34</v>
      </c>
      <c r="M919" s="57" t="s">
        <v>133</v>
      </c>
      <c r="N919" s="55" t="s">
        <v>90</v>
      </c>
      <c r="O919" s="55"/>
      <c r="P919" s="55" t="s">
        <v>91</v>
      </c>
      <c r="Q919" s="58" t="s">
        <v>16</v>
      </c>
      <c r="R919" s="81"/>
      <c r="S919" s="57"/>
      <c r="T919" s="82"/>
      <c r="U919" s="82"/>
      <c r="V919" s="57"/>
      <c r="W919" s="57"/>
      <c r="X919" s="57" t="str">
        <f t="shared" si="781"/>
        <v>--912-12-05</v>
      </c>
      <c r="Y919" s="58" t="str">
        <f t="shared" ref="Y919:AC919" si="813">TRIM(SUBSTITUTE(SUBSTITUTE(OFFSET(#REF!,0,COLUMN()-COLUMN($AL$1)),CHAR(160)," "),_xludf.UNICHAR(8239)," "))</f>
        <v>#REF!</v>
      </c>
      <c r="Z919" s="58" t="str">
        <f t="shared" si="813"/>
        <v>#REF!</v>
      </c>
      <c r="AA919" s="58" t="str">
        <f t="shared" si="813"/>
        <v>#REF!</v>
      </c>
      <c r="AB919" s="58" t="str">
        <f t="shared" si="813"/>
        <v>#REF!</v>
      </c>
      <c r="AC919" s="58" t="str">
        <f t="shared" si="813"/>
        <v>#REF!</v>
      </c>
      <c r="AD919" s="57">
        <f t="shared" si="772"/>
        <v>1</v>
      </c>
      <c r="AE919" s="57" t="str">
        <f t="shared" si="773"/>
        <v>2026-05</v>
      </c>
      <c r="AF919" s="57">
        <f t="shared" si="774"/>
        <v>1</v>
      </c>
      <c r="AG919" s="59">
        <f t="shared" si="775"/>
        <v>1</v>
      </c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</row>
    <row r="920" ht="24.0" customHeight="1">
      <c r="A920" s="45">
        <v>39.0</v>
      </c>
      <c r="B920" s="74" t="s">
        <v>2589</v>
      </c>
      <c r="C920" s="55" t="s">
        <v>2557</v>
      </c>
      <c r="D920" s="75" t="s">
        <v>1883</v>
      </c>
      <c r="E920" s="57">
        <v>4.29916919E8</v>
      </c>
      <c r="F920" s="76">
        <v>40211.0</v>
      </c>
      <c r="G920" s="77">
        <v>16.0</v>
      </c>
      <c r="H920" s="78" t="str">
        <f t="shared" si="798"/>
        <v>6-18</v>
      </c>
      <c r="I920" s="79" t="s">
        <v>86</v>
      </c>
      <c r="J920" s="80" t="str">
        <f t="shared" si="769"/>
        <v>female</v>
      </c>
      <c r="K920" s="58">
        <v>5.94407922E8</v>
      </c>
      <c r="L920" s="58" t="s">
        <v>34</v>
      </c>
      <c r="M920" s="57" t="s">
        <v>133</v>
      </c>
      <c r="N920" s="55" t="s">
        <v>90</v>
      </c>
      <c r="O920" s="55"/>
      <c r="P920" s="55" t="s">
        <v>91</v>
      </c>
      <c r="Q920" s="55"/>
      <c r="R920" s="58" t="s">
        <v>36</v>
      </c>
      <c r="S920" s="57"/>
      <c r="T920" s="82"/>
      <c r="U920" s="82"/>
      <c r="V920" s="57"/>
      <c r="W920" s="57"/>
      <c r="X920" s="57" t="str">
        <f t="shared" si="781"/>
        <v>--913-12-05</v>
      </c>
      <c r="Y920" s="58" t="str">
        <f t="shared" ref="Y920:AC920" si="814">TRIM(SUBSTITUTE(SUBSTITUTE(OFFSET(#REF!,0,COLUMN()-COLUMN($AL$1)),CHAR(160)," "),_xludf.UNICHAR(8239)," "))</f>
        <v>#REF!</v>
      </c>
      <c r="Z920" s="58" t="str">
        <f t="shared" si="814"/>
        <v>#REF!</v>
      </c>
      <c r="AA920" s="58" t="str">
        <f t="shared" si="814"/>
        <v>#REF!</v>
      </c>
      <c r="AB920" s="58" t="str">
        <f t="shared" si="814"/>
        <v>#REF!</v>
      </c>
      <c r="AC920" s="58" t="str">
        <f t="shared" si="814"/>
        <v>#REF!</v>
      </c>
      <c r="AD920" s="57">
        <f t="shared" si="772"/>
        <v>1</v>
      </c>
      <c r="AE920" s="57" t="str">
        <f t="shared" si="773"/>
        <v>2026-05</v>
      </c>
      <c r="AF920" s="57">
        <f t="shared" si="774"/>
        <v>1</v>
      </c>
      <c r="AG920" s="59">
        <f t="shared" si="775"/>
        <v>1</v>
      </c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</row>
    <row r="921" ht="24.0" customHeight="1">
      <c r="A921" s="45">
        <v>40.0</v>
      </c>
      <c r="B921" s="74" t="s">
        <v>2218</v>
      </c>
      <c r="C921" s="55" t="s">
        <v>2557</v>
      </c>
      <c r="D921" s="75" t="s">
        <v>1883</v>
      </c>
      <c r="E921" s="57">
        <v>8.02425371E8</v>
      </c>
      <c r="F921" s="76">
        <v>32807.0</v>
      </c>
      <c r="G921" s="77">
        <v>37.0</v>
      </c>
      <c r="H921" s="78" t="str">
        <f t="shared" si="798"/>
        <v>19-60</v>
      </c>
      <c r="I921" s="79" t="s">
        <v>86</v>
      </c>
      <c r="J921" s="80" t="str">
        <f t="shared" si="769"/>
        <v>female</v>
      </c>
      <c r="K921" s="58">
        <v>5.94407922E8</v>
      </c>
      <c r="L921" s="58" t="s">
        <v>34</v>
      </c>
      <c r="M921" s="57" t="s">
        <v>89</v>
      </c>
      <c r="N921" s="55" t="s">
        <v>90</v>
      </c>
      <c r="O921" s="55"/>
      <c r="P921" s="55" t="s">
        <v>91</v>
      </c>
      <c r="Q921" s="55"/>
      <c r="R921" s="58" t="s">
        <v>36</v>
      </c>
      <c r="S921" s="57"/>
      <c r="T921" s="82"/>
      <c r="U921" s="82"/>
      <c r="V921" s="57"/>
      <c r="W921" s="57"/>
      <c r="X921" s="57" t="str">
        <f t="shared" si="781"/>
        <v>--914-12-05</v>
      </c>
      <c r="Y921" s="58" t="str">
        <f t="shared" ref="Y921:AC921" si="815">TRIM(SUBSTITUTE(SUBSTITUTE(OFFSET(#REF!,0,COLUMN()-COLUMN($AL$1)),CHAR(160)," "),_xludf.UNICHAR(8239)," "))</f>
        <v>#REF!</v>
      </c>
      <c r="Z921" s="58" t="str">
        <f t="shared" si="815"/>
        <v>#REF!</v>
      </c>
      <c r="AA921" s="58" t="str">
        <f t="shared" si="815"/>
        <v>#REF!</v>
      </c>
      <c r="AB921" s="58" t="str">
        <f t="shared" si="815"/>
        <v>#REF!</v>
      </c>
      <c r="AC921" s="58" t="str">
        <f t="shared" si="815"/>
        <v>#REF!</v>
      </c>
      <c r="AD921" s="57">
        <f t="shared" si="772"/>
        <v>1</v>
      </c>
      <c r="AE921" s="57" t="str">
        <f t="shared" si="773"/>
        <v>2026-05</v>
      </c>
      <c r="AF921" s="57">
        <f t="shared" si="774"/>
        <v>0</v>
      </c>
      <c r="AG921" s="59">
        <f t="shared" si="775"/>
        <v>0</v>
      </c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</row>
    <row r="922" ht="24.0" customHeight="1">
      <c r="A922" s="45">
        <v>41.0</v>
      </c>
      <c r="B922" s="74" t="s">
        <v>2590</v>
      </c>
      <c r="C922" s="55" t="s">
        <v>2557</v>
      </c>
      <c r="D922" s="75" t="s">
        <v>1883</v>
      </c>
      <c r="E922" s="57">
        <v>8.02417659E8</v>
      </c>
      <c r="F922" s="76">
        <v>32760.0</v>
      </c>
      <c r="G922" s="77">
        <v>37.0</v>
      </c>
      <c r="H922" s="78" t="str">
        <f t="shared" si="798"/>
        <v>19-60</v>
      </c>
      <c r="I922" s="79" t="s">
        <v>86</v>
      </c>
      <c r="J922" s="80" t="str">
        <f t="shared" si="769"/>
        <v>female</v>
      </c>
      <c r="K922" s="58">
        <v>5.99233969E8</v>
      </c>
      <c r="L922" s="58" t="s">
        <v>41</v>
      </c>
      <c r="M922" s="57" t="s">
        <v>89</v>
      </c>
      <c r="N922" s="55" t="s">
        <v>90</v>
      </c>
      <c r="O922" s="55"/>
      <c r="P922" s="55" t="s">
        <v>91</v>
      </c>
      <c r="Q922" s="58" t="s">
        <v>4</v>
      </c>
      <c r="R922" s="81"/>
      <c r="S922" s="57"/>
      <c r="T922" s="82"/>
      <c r="U922" s="82"/>
      <c r="V922" s="57"/>
      <c r="W922" s="57"/>
      <c r="X922" s="57" t="str">
        <f t="shared" si="781"/>
        <v>--915-12-05</v>
      </c>
      <c r="Y922" s="58" t="str">
        <f t="shared" ref="Y922:AC922" si="816">TRIM(SUBSTITUTE(SUBSTITUTE(OFFSET(#REF!,0,COLUMN()-COLUMN($AL$1)),CHAR(160)," "),_xludf.UNICHAR(8239)," "))</f>
        <v>#REF!</v>
      </c>
      <c r="Z922" s="58" t="str">
        <f t="shared" si="816"/>
        <v>#REF!</v>
      </c>
      <c r="AA922" s="58" t="str">
        <f t="shared" si="816"/>
        <v>#REF!</v>
      </c>
      <c r="AB922" s="58" t="str">
        <f t="shared" si="816"/>
        <v>#REF!</v>
      </c>
      <c r="AC922" s="58" t="str">
        <f t="shared" si="816"/>
        <v>#REF!</v>
      </c>
      <c r="AD922" s="57">
        <f t="shared" si="772"/>
        <v>1</v>
      </c>
      <c r="AE922" s="57" t="str">
        <f t="shared" si="773"/>
        <v>2026-05</v>
      </c>
      <c r="AF922" s="57">
        <f t="shared" si="774"/>
        <v>1</v>
      </c>
      <c r="AG922" s="59">
        <f t="shared" si="775"/>
        <v>1</v>
      </c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</row>
    <row r="923" ht="24.0" customHeight="1">
      <c r="A923" s="45">
        <v>42.0</v>
      </c>
      <c r="B923" s="74" t="s">
        <v>2591</v>
      </c>
      <c r="C923" s="55" t="s">
        <v>2557</v>
      </c>
      <c r="D923" s="75" t="s">
        <v>1883</v>
      </c>
      <c r="E923" s="57">
        <v>4.03607831E8</v>
      </c>
      <c r="F923" s="76">
        <v>36506.0</v>
      </c>
      <c r="G923" s="77">
        <v>27.0</v>
      </c>
      <c r="H923" s="78" t="str">
        <f t="shared" si="798"/>
        <v>19-60</v>
      </c>
      <c r="I923" s="79" t="s">
        <v>86</v>
      </c>
      <c r="J923" s="80" t="str">
        <f t="shared" si="769"/>
        <v>female</v>
      </c>
      <c r="K923" s="58">
        <v>5.94342143E8</v>
      </c>
      <c r="L923" s="58" t="s">
        <v>41</v>
      </c>
      <c r="M923" s="57" t="s">
        <v>89</v>
      </c>
      <c r="N923" s="55" t="s">
        <v>90</v>
      </c>
      <c r="O923" s="55"/>
      <c r="P923" s="55" t="s">
        <v>91</v>
      </c>
      <c r="Q923" s="55"/>
      <c r="R923" s="58" t="s">
        <v>36</v>
      </c>
      <c r="S923" s="57"/>
      <c r="T923" s="82"/>
      <c r="U923" s="82"/>
      <c r="V923" s="57"/>
      <c r="W923" s="57"/>
      <c r="X923" s="57" t="str">
        <f t="shared" si="781"/>
        <v>--916-12-05</v>
      </c>
      <c r="Y923" s="58" t="str">
        <f t="shared" ref="Y923:AC923" si="817">TRIM(SUBSTITUTE(SUBSTITUTE(OFFSET(#REF!,0,COLUMN()-COLUMN($AL$1)),CHAR(160)," "),_xludf.UNICHAR(8239)," "))</f>
        <v>#REF!</v>
      </c>
      <c r="Z923" s="58" t="str">
        <f t="shared" si="817"/>
        <v>#REF!</v>
      </c>
      <c r="AA923" s="58" t="str">
        <f t="shared" si="817"/>
        <v>#REF!</v>
      </c>
      <c r="AB923" s="58" t="str">
        <f t="shared" si="817"/>
        <v>#REF!</v>
      </c>
      <c r="AC923" s="58" t="str">
        <f t="shared" si="817"/>
        <v>#REF!</v>
      </c>
      <c r="AD923" s="57">
        <f t="shared" si="772"/>
        <v>1</v>
      </c>
      <c r="AE923" s="57" t="str">
        <f t="shared" si="773"/>
        <v>2026-05</v>
      </c>
      <c r="AF923" s="57">
        <f t="shared" si="774"/>
        <v>1</v>
      </c>
      <c r="AG923" s="59">
        <f t="shared" si="775"/>
        <v>1</v>
      </c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</row>
    <row r="924" ht="24.0" customHeight="1">
      <c r="A924" s="45">
        <v>43.0</v>
      </c>
      <c r="B924" s="74" t="s">
        <v>2592</v>
      </c>
      <c r="C924" s="55" t="s">
        <v>2557</v>
      </c>
      <c r="D924" s="75" t="s">
        <v>1883</v>
      </c>
      <c r="E924" s="57">
        <v>4.20423659E8</v>
      </c>
      <c r="F924" s="76">
        <v>38446.0</v>
      </c>
      <c r="G924" s="77">
        <v>21.0</v>
      </c>
      <c r="H924" s="78" t="str">
        <f t="shared" si="798"/>
        <v>19-60</v>
      </c>
      <c r="I924" s="79" t="s">
        <v>86</v>
      </c>
      <c r="J924" s="80" t="str">
        <f t="shared" si="769"/>
        <v>female</v>
      </c>
      <c r="K924" s="58">
        <v>5.94043446E8</v>
      </c>
      <c r="L924" s="58" t="s">
        <v>41</v>
      </c>
      <c r="M924" s="57" t="s">
        <v>89</v>
      </c>
      <c r="N924" s="55" t="s">
        <v>90</v>
      </c>
      <c r="O924" s="55"/>
      <c r="P924" s="55" t="s">
        <v>91</v>
      </c>
      <c r="Q924" s="55"/>
      <c r="R924" s="58" t="s">
        <v>36</v>
      </c>
      <c r="S924" s="57"/>
      <c r="T924" s="82"/>
      <c r="U924" s="82"/>
      <c r="V924" s="57"/>
      <c r="W924" s="57"/>
      <c r="X924" s="57" t="str">
        <f t="shared" si="781"/>
        <v>--917-12-05</v>
      </c>
      <c r="Y924" s="58" t="str">
        <f t="shared" ref="Y924:AC924" si="818">TRIM(SUBSTITUTE(SUBSTITUTE(OFFSET(#REF!,0,COLUMN()-COLUMN($AL$1)),CHAR(160)," "),_xludf.UNICHAR(8239)," "))</f>
        <v>#REF!</v>
      </c>
      <c r="Z924" s="58" t="str">
        <f t="shared" si="818"/>
        <v>#REF!</v>
      </c>
      <c r="AA924" s="58" t="str">
        <f t="shared" si="818"/>
        <v>#REF!</v>
      </c>
      <c r="AB924" s="58" t="str">
        <f t="shared" si="818"/>
        <v>#REF!</v>
      </c>
      <c r="AC924" s="58" t="str">
        <f t="shared" si="818"/>
        <v>#REF!</v>
      </c>
      <c r="AD924" s="57">
        <f t="shared" si="772"/>
        <v>1</v>
      </c>
      <c r="AE924" s="57" t="str">
        <f t="shared" si="773"/>
        <v>2026-05</v>
      </c>
      <c r="AF924" s="57">
        <f t="shared" si="774"/>
        <v>1</v>
      </c>
      <c r="AG924" s="59">
        <f t="shared" si="775"/>
        <v>1</v>
      </c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</row>
    <row r="925" ht="24.0" customHeight="1">
      <c r="A925" s="45">
        <v>44.0</v>
      </c>
      <c r="B925" s="74" t="s">
        <v>2593</v>
      </c>
      <c r="C925" s="55" t="s">
        <v>2557</v>
      </c>
      <c r="D925" s="75" t="s">
        <v>1883</v>
      </c>
      <c r="E925" s="57">
        <v>4.05909235E8</v>
      </c>
      <c r="F925" s="76">
        <v>36905.0</v>
      </c>
      <c r="G925" s="77">
        <v>25.0</v>
      </c>
      <c r="H925" s="78" t="str">
        <f t="shared" si="798"/>
        <v>19-60</v>
      </c>
      <c r="I925" s="79" t="s">
        <v>86</v>
      </c>
      <c r="J925" s="80" t="str">
        <f t="shared" si="769"/>
        <v>female</v>
      </c>
      <c r="K925" s="58">
        <v>5.95612497E8</v>
      </c>
      <c r="L925" s="58" t="s">
        <v>34</v>
      </c>
      <c r="M925" s="57" t="s">
        <v>89</v>
      </c>
      <c r="N925" s="55" t="s">
        <v>90</v>
      </c>
      <c r="O925" s="55"/>
      <c r="P925" s="55" t="s">
        <v>91</v>
      </c>
      <c r="Q925" s="58" t="s">
        <v>16</v>
      </c>
      <c r="R925" s="81"/>
      <c r="S925" s="57"/>
      <c r="T925" s="82"/>
      <c r="U925" s="82"/>
      <c r="V925" s="57"/>
      <c r="W925" s="57"/>
      <c r="X925" s="57" t="str">
        <f t="shared" si="781"/>
        <v>--918-12-05</v>
      </c>
      <c r="Y925" s="58" t="str">
        <f t="shared" ref="Y925:AC925" si="819">TRIM(SUBSTITUTE(SUBSTITUTE(OFFSET(#REF!,0,COLUMN()-COLUMN($AL$1)),CHAR(160)," "),_xludf.UNICHAR(8239)," "))</f>
        <v>#REF!</v>
      </c>
      <c r="Z925" s="58" t="str">
        <f t="shared" si="819"/>
        <v>#REF!</v>
      </c>
      <c r="AA925" s="58" t="str">
        <f t="shared" si="819"/>
        <v>#REF!</v>
      </c>
      <c r="AB925" s="58" t="str">
        <f t="shared" si="819"/>
        <v>#REF!</v>
      </c>
      <c r="AC925" s="58" t="str">
        <f t="shared" si="819"/>
        <v>#REF!</v>
      </c>
      <c r="AD925" s="57">
        <f t="shared" si="772"/>
        <v>1</v>
      </c>
      <c r="AE925" s="57" t="str">
        <f t="shared" si="773"/>
        <v>2026-05</v>
      </c>
      <c r="AF925" s="57">
        <f t="shared" si="774"/>
        <v>1</v>
      </c>
      <c r="AG925" s="59">
        <f t="shared" si="775"/>
        <v>1</v>
      </c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</row>
    <row r="926" ht="24.0" customHeight="1">
      <c r="A926" s="45">
        <v>45.0</v>
      </c>
      <c r="B926" s="74" t="s">
        <v>2594</v>
      </c>
      <c r="C926" s="55" t="s">
        <v>2557</v>
      </c>
      <c r="D926" s="75" t="s">
        <v>1883</v>
      </c>
      <c r="E926" s="57">
        <v>4.70134636E8</v>
      </c>
      <c r="F926" s="76">
        <v>45738.0</v>
      </c>
      <c r="G926" s="77">
        <v>1.0</v>
      </c>
      <c r="H926" s="78" t="str">
        <f t="shared" si="798"/>
        <v>0-5</v>
      </c>
      <c r="I926" s="79" t="s">
        <v>86</v>
      </c>
      <c r="J926" s="80" t="str">
        <f t="shared" si="769"/>
        <v>female</v>
      </c>
      <c r="K926" s="58">
        <v>5.9344302E8</v>
      </c>
      <c r="L926" s="58" t="s">
        <v>41</v>
      </c>
      <c r="M926" s="57" t="s">
        <v>133</v>
      </c>
      <c r="N926" s="55" t="s">
        <v>90</v>
      </c>
      <c r="O926" s="55"/>
      <c r="P926" s="55" t="s">
        <v>91</v>
      </c>
      <c r="Q926" s="58" t="s">
        <v>16</v>
      </c>
      <c r="R926" s="81"/>
      <c r="S926" s="57"/>
      <c r="T926" s="82"/>
      <c r="U926" s="82"/>
      <c r="V926" s="57"/>
      <c r="W926" s="57"/>
      <c r="X926" s="57" t="str">
        <f t="shared" si="781"/>
        <v>--919-12-05</v>
      </c>
      <c r="Y926" s="58" t="str">
        <f t="shared" ref="Y926:AC926" si="820">TRIM(SUBSTITUTE(SUBSTITUTE(OFFSET(#REF!,0,COLUMN()-COLUMN($AL$1)),CHAR(160)," "),_xludf.UNICHAR(8239)," "))</f>
        <v>#REF!</v>
      </c>
      <c r="Z926" s="58" t="str">
        <f t="shared" si="820"/>
        <v>#REF!</v>
      </c>
      <c r="AA926" s="58" t="str">
        <f t="shared" si="820"/>
        <v>#REF!</v>
      </c>
      <c r="AB926" s="58" t="str">
        <f t="shared" si="820"/>
        <v>#REF!</v>
      </c>
      <c r="AC926" s="58" t="str">
        <f t="shared" si="820"/>
        <v>#REF!</v>
      </c>
      <c r="AD926" s="57">
        <f t="shared" si="772"/>
        <v>1</v>
      </c>
      <c r="AE926" s="57" t="str">
        <f t="shared" si="773"/>
        <v>2026-05</v>
      </c>
      <c r="AF926" s="57">
        <f t="shared" si="774"/>
        <v>1</v>
      </c>
      <c r="AG926" s="59">
        <f t="shared" si="775"/>
        <v>1</v>
      </c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</row>
    <row r="927" ht="24.0" customHeight="1">
      <c r="A927" s="45">
        <v>46.0</v>
      </c>
      <c r="B927" s="74" t="s">
        <v>2595</v>
      </c>
      <c r="C927" s="55" t="s">
        <v>2557</v>
      </c>
      <c r="D927" s="75" t="s">
        <v>1883</v>
      </c>
      <c r="E927" s="57">
        <v>4.40771822E8</v>
      </c>
      <c r="F927" s="76">
        <v>44327.0</v>
      </c>
      <c r="G927" s="77">
        <v>5.0</v>
      </c>
      <c r="H927" s="78" t="str">
        <f t="shared" si="798"/>
        <v>0-5</v>
      </c>
      <c r="I927" s="79" t="s">
        <v>86</v>
      </c>
      <c r="J927" s="80" t="str">
        <f t="shared" si="769"/>
        <v>female</v>
      </c>
      <c r="K927" s="58">
        <v>5.98814756E8</v>
      </c>
      <c r="L927" s="58" t="s">
        <v>41</v>
      </c>
      <c r="M927" s="57" t="s">
        <v>133</v>
      </c>
      <c r="N927" s="55" t="s">
        <v>90</v>
      </c>
      <c r="O927" s="55"/>
      <c r="P927" s="55" t="s">
        <v>91</v>
      </c>
      <c r="Q927" s="58" t="s">
        <v>16</v>
      </c>
      <c r="R927" s="81"/>
      <c r="S927" s="57"/>
      <c r="T927" s="82"/>
      <c r="U927" s="82"/>
      <c r="V927" s="57"/>
      <c r="W927" s="57"/>
      <c r="X927" s="57" t="str">
        <f t="shared" si="781"/>
        <v>--920-12-05</v>
      </c>
      <c r="Y927" s="58" t="str">
        <f t="shared" ref="Y927:AC927" si="821">TRIM(SUBSTITUTE(SUBSTITUTE(OFFSET(#REF!,0,COLUMN()-COLUMN($AL$1)),CHAR(160)," "),_xludf.UNICHAR(8239)," "))</f>
        <v>#REF!</v>
      </c>
      <c r="Z927" s="58" t="str">
        <f t="shared" si="821"/>
        <v>#REF!</v>
      </c>
      <c r="AA927" s="58" t="str">
        <f t="shared" si="821"/>
        <v>#REF!</v>
      </c>
      <c r="AB927" s="58" t="str">
        <f t="shared" si="821"/>
        <v>#REF!</v>
      </c>
      <c r="AC927" s="58" t="str">
        <f t="shared" si="821"/>
        <v>#REF!</v>
      </c>
      <c r="AD927" s="57">
        <f t="shared" si="772"/>
        <v>1</v>
      </c>
      <c r="AE927" s="57" t="str">
        <f t="shared" si="773"/>
        <v>2026-05</v>
      </c>
      <c r="AF927" s="57">
        <f t="shared" si="774"/>
        <v>1</v>
      </c>
      <c r="AG927" s="59">
        <f t="shared" si="775"/>
        <v>1</v>
      </c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</row>
    <row r="928" ht="24.0" customHeight="1">
      <c r="A928" s="45">
        <v>47.0</v>
      </c>
      <c r="B928" s="74" t="s">
        <v>2596</v>
      </c>
      <c r="C928" s="55" t="s">
        <v>2557</v>
      </c>
      <c r="D928" s="75" t="s">
        <v>1883</v>
      </c>
      <c r="E928" s="57">
        <v>9.14636022E8</v>
      </c>
      <c r="F928" s="76">
        <v>26936.0</v>
      </c>
      <c r="G928" s="77">
        <v>53.0</v>
      </c>
      <c r="H928" s="78" t="str">
        <f t="shared" si="798"/>
        <v>19-60</v>
      </c>
      <c r="I928" s="79" t="s">
        <v>86</v>
      </c>
      <c r="J928" s="80" t="str">
        <f t="shared" si="769"/>
        <v>female</v>
      </c>
      <c r="K928" s="58">
        <v>5.97206514E8</v>
      </c>
      <c r="L928" s="58" t="s">
        <v>34</v>
      </c>
      <c r="M928" s="57" t="s">
        <v>89</v>
      </c>
      <c r="N928" s="55" t="s">
        <v>90</v>
      </c>
      <c r="O928" s="55"/>
      <c r="P928" s="55" t="s">
        <v>91</v>
      </c>
      <c r="Q928" s="55"/>
      <c r="R928" s="58" t="s">
        <v>36</v>
      </c>
      <c r="S928" s="57"/>
      <c r="T928" s="82"/>
      <c r="U928" s="82"/>
      <c r="V928" s="57"/>
      <c r="W928" s="57"/>
      <c r="X928" s="57" t="str">
        <f t="shared" si="781"/>
        <v>--921-12-05</v>
      </c>
      <c r="Y928" s="58" t="str">
        <f t="shared" ref="Y928:AC928" si="822">TRIM(SUBSTITUTE(SUBSTITUTE(OFFSET(#REF!,0,COLUMN()-COLUMN($AL$1)),CHAR(160)," "),_xludf.UNICHAR(8239)," "))</f>
        <v>#REF!</v>
      </c>
      <c r="Z928" s="58" t="str">
        <f t="shared" si="822"/>
        <v>#REF!</v>
      </c>
      <c r="AA928" s="58" t="str">
        <f t="shared" si="822"/>
        <v>#REF!</v>
      </c>
      <c r="AB928" s="58" t="str">
        <f t="shared" si="822"/>
        <v>#REF!</v>
      </c>
      <c r="AC928" s="58" t="str">
        <f t="shared" si="822"/>
        <v>#REF!</v>
      </c>
      <c r="AD928" s="57">
        <f t="shared" si="772"/>
        <v>1</v>
      </c>
      <c r="AE928" s="57" t="str">
        <f t="shared" si="773"/>
        <v>2026-05</v>
      </c>
      <c r="AF928" s="57">
        <f t="shared" si="774"/>
        <v>1</v>
      </c>
      <c r="AG928" s="59">
        <f t="shared" si="775"/>
        <v>1</v>
      </c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</row>
    <row r="929" ht="24.0" customHeight="1">
      <c r="A929" s="45">
        <v>48.0</v>
      </c>
      <c r="B929" s="74" t="s">
        <v>2597</v>
      </c>
      <c r="C929" s="55" t="s">
        <v>2557</v>
      </c>
      <c r="D929" s="75" t="s">
        <v>1883</v>
      </c>
      <c r="E929" s="57">
        <v>4.45372774E8</v>
      </c>
      <c r="F929" s="76">
        <v>45450.0</v>
      </c>
      <c r="G929" s="77">
        <v>2.0</v>
      </c>
      <c r="H929" s="78" t="str">
        <f t="shared" si="798"/>
        <v>0-5</v>
      </c>
      <c r="I929" s="79" t="s">
        <v>112</v>
      </c>
      <c r="J929" s="80" t="str">
        <f t="shared" si="769"/>
        <v>male</v>
      </c>
      <c r="K929" s="58">
        <v>5.94787608E8</v>
      </c>
      <c r="L929" s="58" t="s">
        <v>41</v>
      </c>
      <c r="M929" s="57" t="s">
        <v>133</v>
      </c>
      <c r="N929" s="55" t="s">
        <v>90</v>
      </c>
      <c r="O929" s="55"/>
      <c r="P929" s="55" t="s">
        <v>91</v>
      </c>
      <c r="Q929" s="58" t="s">
        <v>16</v>
      </c>
      <c r="R929" s="81"/>
      <c r="S929" s="57"/>
      <c r="T929" s="82"/>
      <c r="U929" s="82"/>
      <c r="V929" s="57"/>
      <c r="W929" s="57"/>
      <c r="X929" s="57" t="str">
        <f t="shared" si="781"/>
        <v>--922-12-05</v>
      </c>
      <c r="Y929" s="58" t="str">
        <f t="shared" ref="Y929:AC929" si="823">TRIM(SUBSTITUTE(SUBSTITUTE(OFFSET(#REF!,0,COLUMN()-COLUMN($AL$1)),CHAR(160)," "),_xludf.UNICHAR(8239)," "))</f>
        <v>#REF!</v>
      </c>
      <c r="Z929" s="58" t="str">
        <f t="shared" si="823"/>
        <v>#REF!</v>
      </c>
      <c r="AA929" s="58" t="str">
        <f t="shared" si="823"/>
        <v>#REF!</v>
      </c>
      <c r="AB929" s="58" t="str">
        <f t="shared" si="823"/>
        <v>#REF!</v>
      </c>
      <c r="AC929" s="58" t="str">
        <f t="shared" si="823"/>
        <v>#REF!</v>
      </c>
      <c r="AD929" s="57">
        <f t="shared" si="772"/>
        <v>1</v>
      </c>
      <c r="AE929" s="57" t="str">
        <f t="shared" si="773"/>
        <v>2026-05</v>
      </c>
      <c r="AF929" s="57">
        <f t="shared" si="774"/>
        <v>1</v>
      </c>
      <c r="AG929" s="59">
        <f t="shared" si="775"/>
        <v>1</v>
      </c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</row>
    <row r="930" ht="24.0" customHeight="1">
      <c r="A930" s="45">
        <v>49.0</v>
      </c>
      <c r="B930" s="74" t="s">
        <v>968</v>
      </c>
      <c r="C930" s="55" t="s">
        <v>2557</v>
      </c>
      <c r="D930" s="75" t="s">
        <v>1883</v>
      </c>
      <c r="E930" s="57">
        <v>4.05875501E8</v>
      </c>
      <c r="F930" s="76">
        <v>36754.0</v>
      </c>
      <c r="G930" s="77">
        <v>26.0</v>
      </c>
      <c r="H930" s="78" t="str">
        <f t="shared" si="798"/>
        <v>19-60</v>
      </c>
      <c r="I930" s="79" t="s">
        <v>86</v>
      </c>
      <c r="J930" s="80" t="str">
        <f t="shared" si="769"/>
        <v>female</v>
      </c>
      <c r="K930" s="58">
        <v>5.94787608E8</v>
      </c>
      <c r="L930" s="58" t="s">
        <v>41</v>
      </c>
      <c r="M930" s="57" t="s">
        <v>89</v>
      </c>
      <c r="N930" s="55" t="s">
        <v>90</v>
      </c>
      <c r="O930" s="55"/>
      <c r="P930" s="55" t="s">
        <v>91</v>
      </c>
      <c r="Q930" s="55"/>
      <c r="R930" s="58" t="s">
        <v>5</v>
      </c>
      <c r="S930" s="57"/>
      <c r="T930" s="82"/>
      <c r="U930" s="82" t="s">
        <v>7</v>
      </c>
      <c r="V930" s="57"/>
      <c r="W930" s="57"/>
      <c r="X930" s="57" t="str">
        <f t="shared" si="781"/>
        <v>--923-12-05</v>
      </c>
      <c r="Y930" s="58" t="str">
        <f t="shared" ref="Y930:AC930" si="824">TRIM(SUBSTITUTE(SUBSTITUTE(OFFSET(#REF!,0,COLUMN()-COLUMN($AL$1)),CHAR(160)," "),_xludf.UNICHAR(8239)," "))</f>
        <v>#REF!</v>
      </c>
      <c r="Z930" s="58" t="str">
        <f t="shared" si="824"/>
        <v>#REF!</v>
      </c>
      <c r="AA930" s="58" t="str">
        <f t="shared" si="824"/>
        <v>#REF!</v>
      </c>
      <c r="AB930" s="58" t="str">
        <f t="shared" si="824"/>
        <v>#REF!</v>
      </c>
      <c r="AC930" s="58" t="str">
        <f t="shared" si="824"/>
        <v>#REF!</v>
      </c>
      <c r="AD930" s="57">
        <f t="shared" si="772"/>
        <v>1</v>
      </c>
      <c r="AE930" s="57" t="str">
        <f t="shared" si="773"/>
        <v>2026-05</v>
      </c>
      <c r="AF930" s="57">
        <f t="shared" si="774"/>
        <v>1</v>
      </c>
      <c r="AG930" s="59">
        <f t="shared" si="775"/>
        <v>0</v>
      </c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</row>
    <row r="931" ht="24.0" customHeight="1">
      <c r="A931" s="45">
        <v>50.0</v>
      </c>
      <c r="B931" s="74" t="s">
        <v>2598</v>
      </c>
      <c r="C931" s="55" t="s">
        <v>2557</v>
      </c>
      <c r="D931" s="75" t="s">
        <v>1883</v>
      </c>
      <c r="E931" s="57">
        <v>9.00665721E8</v>
      </c>
      <c r="F931" s="76">
        <v>28788.0</v>
      </c>
      <c r="G931" s="77">
        <v>48.0</v>
      </c>
      <c r="H931" s="78" t="str">
        <f t="shared" si="798"/>
        <v>19-60</v>
      </c>
      <c r="I931" s="79" t="s">
        <v>112</v>
      </c>
      <c r="J931" s="80" t="str">
        <f t="shared" si="769"/>
        <v>male</v>
      </c>
      <c r="K931" s="58">
        <v>5.9736633E8</v>
      </c>
      <c r="L931" s="58" t="s">
        <v>34</v>
      </c>
      <c r="M931" s="57" t="s">
        <v>89</v>
      </c>
      <c r="N931" s="55" t="s">
        <v>90</v>
      </c>
      <c r="O931" s="55"/>
      <c r="P931" s="55" t="s">
        <v>91</v>
      </c>
      <c r="Q931" s="58" t="s">
        <v>16</v>
      </c>
      <c r="R931" s="81"/>
      <c r="S931" s="57"/>
      <c r="T931" s="82"/>
      <c r="U931" s="82"/>
      <c r="V931" s="57"/>
      <c r="W931" s="57"/>
      <c r="X931" s="57" t="str">
        <f t="shared" si="781"/>
        <v>--924-12-05</v>
      </c>
      <c r="Y931" s="58" t="str">
        <f t="shared" ref="Y931:AC931" si="825">TRIM(SUBSTITUTE(SUBSTITUTE(OFFSET(#REF!,0,COLUMN()-COLUMN($AL$1)),CHAR(160)," "),_xludf.UNICHAR(8239)," "))</f>
        <v>#REF!</v>
      </c>
      <c r="Z931" s="58" t="str">
        <f t="shared" si="825"/>
        <v>#REF!</v>
      </c>
      <c r="AA931" s="58" t="str">
        <f t="shared" si="825"/>
        <v>#REF!</v>
      </c>
      <c r="AB931" s="58" t="str">
        <f t="shared" si="825"/>
        <v>#REF!</v>
      </c>
      <c r="AC931" s="58" t="str">
        <f t="shared" si="825"/>
        <v>#REF!</v>
      </c>
      <c r="AD931" s="57">
        <f t="shared" si="772"/>
        <v>1</v>
      </c>
      <c r="AE931" s="57" t="str">
        <f t="shared" si="773"/>
        <v>2026-05</v>
      </c>
      <c r="AF931" s="57">
        <f t="shared" si="774"/>
        <v>1</v>
      </c>
      <c r="AG931" s="59">
        <f t="shared" si="775"/>
        <v>1</v>
      </c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</row>
    <row r="932" ht="24.0" customHeight="1">
      <c r="A932" s="45">
        <v>51.0</v>
      </c>
      <c r="B932" s="74" t="s">
        <v>2599</v>
      </c>
      <c r="C932" s="55" t="s">
        <v>2557</v>
      </c>
      <c r="D932" s="75" t="s">
        <v>1883</v>
      </c>
      <c r="E932" s="57">
        <v>9.26679002E8</v>
      </c>
      <c r="F932" s="76">
        <v>28493.0</v>
      </c>
      <c r="G932" s="77">
        <v>48.0</v>
      </c>
      <c r="H932" s="78" t="str">
        <f t="shared" si="798"/>
        <v>19-60</v>
      </c>
      <c r="I932" s="79" t="s">
        <v>112</v>
      </c>
      <c r="J932" s="80" t="str">
        <f t="shared" si="769"/>
        <v>male</v>
      </c>
      <c r="K932" s="58">
        <v>5.9980985E8</v>
      </c>
      <c r="L932" s="58" t="s">
        <v>34</v>
      </c>
      <c r="M932" s="57" t="s">
        <v>89</v>
      </c>
      <c r="N932" s="55" t="s">
        <v>90</v>
      </c>
      <c r="O932" s="55"/>
      <c r="P932" s="55" t="s">
        <v>91</v>
      </c>
      <c r="Q932" s="58" t="s">
        <v>16</v>
      </c>
      <c r="R932" s="81"/>
      <c r="S932" s="57"/>
      <c r="T932" s="82"/>
      <c r="U932" s="82"/>
      <c r="V932" s="57"/>
      <c r="W932" s="57"/>
      <c r="X932" s="57" t="str">
        <f t="shared" si="781"/>
        <v>--925-12-05</v>
      </c>
      <c r="Y932" s="58" t="str">
        <f t="shared" ref="Y932:AC932" si="826">TRIM(SUBSTITUTE(SUBSTITUTE(OFFSET(#REF!,0,COLUMN()-COLUMN($AL$1)),CHAR(160)," "),_xludf.UNICHAR(8239)," "))</f>
        <v>#REF!</v>
      </c>
      <c r="Z932" s="58" t="str">
        <f t="shared" si="826"/>
        <v>#REF!</v>
      </c>
      <c r="AA932" s="58" t="str">
        <f t="shared" si="826"/>
        <v>#REF!</v>
      </c>
      <c r="AB932" s="58" t="str">
        <f t="shared" si="826"/>
        <v>#REF!</v>
      </c>
      <c r="AC932" s="58" t="str">
        <f t="shared" si="826"/>
        <v>#REF!</v>
      </c>
      <c r="AD932" s="57">
        <f t="shared" si="772"/>
        <v>1</v>
      </c>
      <c r="AE932" s="57" t="str">
        <f t="shared" si="773"/>
        <v>2026-05</v>
      </c>
      <c r="AF932" s="57">
        <f t="shared" si="774"/>
        <v>1</v>
      </c>
      <c r="AG932" s="59">
        <f t="shared" si="775"/>
        <v>1</v>
      </c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</row>
    <row r="933" ht="24.0" customHeight="1">
      <c r="A933" s="45">
        <v>52.0</v>
      </c>
      <c r="B933" s="74" t="s">
        <v>2246</v>
      </c>
      <c r="C933" s="55" t="s">
        <v>2557</v>
      </c>
      <c r="D933" s="75" t="s">
        <v>1883</v>
      </c>
      <c r="E933" s="57">
        <v>4.45514227E8</v>
      </c>
      <c r="F933" s="76">
        <v>44754.0</v>
      </c>
      <c r="G933" s="77">
        <v>4.0</v>
      </c>
      <c r="H933" s="78" t="str">
        <f t="shared" si="798"/>
        <v>0-5</v>
      </c>
      <c r="I933" s="79" t="s">
        <v>112</v>
      </c>
      <c r="J933" s="80" t="str">
        <f t="shared" si="769"/>
        <v>male</v>
      </c>
      <c r="K933" s="58">
        <v>5.95121595E8</v>
      </c>
      <c r="L933" s="58" t="s">
        <v>34</v>
      </c>
      <c r="M933" s="57" t="s">
        <v>133</v>
      </c>
      <c r="N933" s="55" t="s">
        <v>90</v>
      </c>
      <c r="O933" s="55"/>
      <c r="P933" s="55" t="s">
        <v>91</v>
      </c>
      <c r="Q933" s="58" t="s">
        <v>16</v>
      </c>
      <c r="R933" s="81"/>
      <c r="S933" s="57"/>
      <c r="T933" s="82"/>
      <c r="U933" s="82"/>
      <c r="V933" s="57"/>
      <c r="W933" s="57"/>
      <c r="X933" s="57" t="str">
        <f t="shared" si="781"/>
        <v>--926-12-05</v>
      </c>
      <c r="Y933" s="58" t="str">
        <f t="shared" ref="Y933:AC933" si="827">TRIM(SUBSTITUTE(SUBSTITUTE(OFFSET(#REF!,0,COLUMN()-COLUMN($AL$1)),CHAR(160)," "),_xludf.UNICHAR(8239)," "))</f>
        <v>#REF!</v>
      </c>
      <c r="Z933" s="58" t="str">
        <f t="shared" si="827"/>
        <v>#REF!</v>
      </c>
      <c r="AA933" s="58" t="str">
        <f t="shared" si="827"/>
        <v>#REF!</v>
      </c>
      <c r="AB933" s="58" t="str">
        <f t="shared" si="827"/>
        <v>#REF!</v>
      </c>
      <c r="AC933" s="58" t="str">
        <f t="shared" si="827"/>
        <v>#REF!</v>
      </c>
      <c r="AD933" s="57">
        <f t="shared" si="772"/>
        <v>1</v>
      </c>
      <c r="AE933" s="57" t="str">
        <f t="shared" si="773"/>
        <v>2026-05</v>
      </c>
      <c r="AF933" s="57">
        <f t="shared" si="774"/>
        <v>0</v>
      </c>
      <c r="AG933" s="59">
        <f t="shared" si="775"/>
        <v>0</v>
      </c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</row>
    <row r="934" ht="24.0" customHeight="1">
      <c r="A934" s="45">
        <v>53.0</v>
      </c>
      <c r="B934" s="74" t="s">
        <v>2600</v>
      </c>
      <c r="C934" s="55" t="s">
        <v>2557</v>
      </c>
      <c r="D934" s="75" t="s">
        <v>1883</v>
      </c>
      <c r="E934" s="57">
        <v>4.29547292E8</v>
      </c>
      <c r="F934" s="76">
        <v>40237.0</v>
      </c>
      <c r="G934" s="77">
        <v>16.0</v>
      </c>
      <c r="H934" s="78" t="str">
        <f t="shared" si="798"/>
        <v>6-18</v>
      </c>
      <c r="I934" s="79" t="s">
        <v>86</v>
      </c>
      <c r="J934" s="80" t="str">
        <f t="shared" si="769"/>
        <v>female</v>
      </c>
      <c r="K934" s="58">
        <v>5.95629081E8</v>
      </c>
      <c r="L934" s="58" t="s">
        <v>34</v>
      </c>
      <c r="M934" s="57" t="s">
        <v>133</v>
      </c>
      <c r="N934" s="55" t="s">
        <v>90</v>
      </c>
      <c r="O934" s="55"/>
      <c r="P934" s="55" t="s">
        <v>91</v>
      </c>
      <c r="Q934" s="58" t="s">
        <v>16</v>
      </c>
      <c r="R934" s="81"/>
      <c r="S934" s="57"/>
      <c r="T934" s="82"/>
      <c r="U934" s="82"/>
      <c r="V934" s="57"/>
      <c r="W934" s="57"/>
      <c r="X934" s="57" t="str">
        <f t="shared" si="781"/>
        <v>--927-12-05</v>
      </c>
      <c r="Y934" s="58" t="str">
        <f t="shared" ref="Y934:AC934" si="828">TRIM(SUBSTITUTE(SUBSTITUTE(OFFSET(#REF!,0,COLUMN()-COLUMN($AL$1)),CHAR(160)," "),_xludf.UNICHAR(8239)," "))</f>
        <v>#REF!</v>
      </c>
      <c r="Z934" s="58" t="str">
        <f t="shared" si="828"/>
        <v>#REF!</v>
      </c>
      <c r="AA934" s="58" t="str">
        <f t="shared" si="828"/>
        <v>#REF!</v>
      </c>
      <c r="AB934" s="58" t="str">
        <f t="shared" si="828"/>
        <v>#REF!</v>
      </c>
      <c r="AC934" s="58" t="str">
        <f t="shared" si="828"/>
        <v>#REF!</v>
      </c>
      <c r="AD934" s="57">
        <f t="shared" si="772"/>
        <v>1</v>
      </c>
      <c r="AE934" s="57" t="str">
        <f t="shared" si="773"/>
        <v>2026-05</v>
      </c>
      <c r="AF934" s="57">
        <f t="shared" si="774"/>
        <v>1</v>
      </c>
      <c r="AG934" s="59">
        <f t="shared" si="775"/>
        <v>1</v>
      </c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</row>
    <row r="935" ht="24.0" customHeight="1">
      <c r="A935" s="45">
        <v>54.0</v>
      </c>
      <c r="B935" s="74" t="s">
        <v>1940</v>
      </c>
      <c r="C935" s="55" t="s">
        <v>2557</v>
      </c>
      <c r="D935" s="75" t="s">
        <v>1883</v>
      </c>
      <c r="E935" s="57">
        <v>8.00199143E8</v>
      </c>
      <c r="F935" s="76">
        <v>31005.0</v>
      </c>
      <c r="G935" s="77">
        <v>42.0</v>
      </c>
      <c r="H935" s="78" t="str">
        <f t="shared" si="798"/>
        <v>19-60</v>
      </c>
      <c r="I935" s="79" t="s">
        <v>86</v>
      </c>
      <c r="J935" s="80" t="str">
        <f t="shared" si="769"/>
        <v>female</v>
      </c>
      <c r="K935" s="58">
        <v>5.95629081E8</v>
      </c>
      <c r="L935" s="58" t="s">
        <v>34</v>
      </c>
      <c r="M935" s="57" t="s">
        <v>89</v>
      </c>
      <c r="N935" s="55" t="s">
        <v>90</v>
      </c>
      <c r="O935" s="55"/>
      <c r="P935" s="55" t="s">
        <v>91</v>
      </c>
      <c r="Q935" s="55"/>
      <c r="R935" s="81"/>
      <c r="S935" s="58" t="s">
        <v>6</v>
      </c>
      <c r="T935" s="82"/>
      <c r="U935" s="82"/>
      <c r="V935" s="57"/>
      <c r="W935" s="57"/>
      <c r="X935" s="57" t="str">
        <f t="shared" si="781"/>
        <v>--928-12-05</v>
      </c>
      <c r="Y935" s="58" t="str">
        <f t="shared" ref="Y935:AC935" si="829">TRIM(SUBSTITUTE(SUBSTITUTE(OFFSET(#REF!,0,COLUMN()-COLUMN($AL$1)),CHAR(160)," "),_xludf.UNICHAR(8239)," "))</f>
        <v>#REF!</v>
      </c>
      <c r="Z935" s="58" t="str">
        <f t="shared" si="829"/>
        <v>#REF!</v>
      </c>
      <c r="AA935" s="58" t="str">
        <f t="shared" si="829"/>
        <v>#REF!</v>
      </c>
      <c r="AB935" s="58" t="str">
        <f t="shared" si="829"/>
        <v>#REF!</v>
      </c>
      <c r="AC935" s="58" t="str">
        <f t="shared" si="829"/>
        <v>#REF!</v>
      </c>
      <c r="AD935" s="57">
        <f t="shared" si="772"/>
        <v>1</v>
      </c>
      <c r="AE935" s="57" t="str">
        <f t="shared" si="773"/>
        <v>2026-05</v>
      </c>
      <c r="AF935" s="57">
        <f t="shared" si="774"/>
        <v>0</v>
      </c>
      <c r="AG935" s="59">
        <f t="shared" si="775"/>
        <v>0</v>
      </c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</row>
    <row r="936" ht="24.0" customHeight="1">
      <c r="A936" s="45">
        <v>55.0</v>
      </c>
      <c r="B936" s="74" t="s">
        <v>2601</v>
      </c>
      <c r="C936" s="55" t="s">
        <v>2557</v>
      </c>
      <c r="D936" s="75" t="s">
        <v>1883</v>
      </c>
      <c r="E936" s="57">
        <v>4.70796228E8</v>
      </c>
      <c r="F936" s="76">
        <v>45875.0</v>
      </c>
      <c r="G936" s="55">
        <v>1.0</v>
      </c>
      <c r="H936" s="78" t="str">
        <f t="shared" si="798"/>
        <v>0-5</v>
      </c>
      <c r="I936" s="79" t="s">
        <v>112</v>
      </c>
      <c r="J936" s="80" t="str">
        <f t="shared" si="769"/>
        <v>male</v>
      </c>
      <c r="K936" s="58">
        <v>5.97895953E8</v>
      </c>
      <c r="L936" s="58" t="s">
        <v>34</v>
      </c>
      <c r="M936" s="57" t="s">
        <v>133</v>
      </c>
      <c r="N936" s="55" t="s">
        <v>90</v>
      </c>
      <c r="O936" s="55"/>
      <c r="P936" s="55" t="s">
        <v>91</v>
      </c>
      <c r="Q936" s="58" t="s">
        <v>16</v>
      </c>
      <c r="R936" s="81"/>
      <c r="S936" s="57"/>
      <c r="T936" s="82"/>
      <c r="U936" s="82"/>
      <c r="V936" s="57"/>
      <c r="W936" s="57"/>
      <c r="X936" s="57" t="str">
        <f t="shared" si="781"/>
        <v>--929-12-05</v>
      </c>
      <c r="Y936" s="58" t="str">
        <f t="shared" ref="Y936:AC936" si="830">TRIM(SUBSTITUTE(SUBSTITUTE(OFFSET(#REF!,0,COLUMN()-COLUMN($AL$1)),CHAR(160)," "),_xludf.UNICHAR(8239)," "))</f>
        <v>#REF!</v>
      </c>
      <c r="Z936" s="58" t="str">
        <f t="shared" si="830"/>
        <v>#REF!</v>
      </c>
      <c r="AA936" s="58" t="str">
        <f t="shared" si="830"/>
        <v>#REF!</v>
      </c>
      <c r="AB936" s="58" t="str">
        <f t="shared" si="830"/>
        <v>#REF!</v>
      </c>
      <c r="AC936" s="58" t="str">
        <f t="shared" si="830"/>
        <v>#REF!</v>
      </c>
      <c r="AD936" s="57">
        <f t="shared" si="772"/>
        <v>1</v>
      </c>
      <c r="AE936" s="57" t="str">
        <f t="shared" si="773"/>
        <v>2026-05</v>
      </c>
      <c r="AF936" s="57">
        <f t="shared" si="774"/>
        <v>0</v>
      </c>
      <c r="AG936" s="59">
        <f t="shared" si="775"/>
        <v>0</v>
      </c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</row>
    <row r="937" ht="24.0" customHeight="1">
      <c r="A937" s="45">
        <v>56.0</v>
      </c>
      <c r="B937" s="74" t="s">
        <v>2602</v>
      </c>
      <c r="C937" s="55" t="s">
        <v>2557</v>
      </c>
      <c r="D937" s="75" t="s">
        <v>1883</v>
      </c>
      <c r="E937" s="57">
        <v>4.7067859E8</v>
      </c>
      <c r="F937" s="76">
        <v>45800.0</v>
      </c>
      <c r="G937" s="55">
        <v>1.0</v>
      </c>
      <c r="H937" s="78" t="str">
        <f t="shared" si="798"/>
        <v>0-5</v>
      </c>
      <c r="I937" s="79" t="s">
        <v>112</v>
      </c>
      <c r="J937" s="80" t="str">
        <f t="shared" si="769"/>
        <v>male</v>
      </c>
      <c r="K937" s="58">
        <v>5.990806816E9</v>
      </c>
      <c r="L937" s="58" t="s">
        <v>34</v>
      </c>
      <c r="M937" s="57" t="s">
        <v>133</v>
      </c>
      <c r="N937" s="55" t="s">
        <v>90</v>
      </c>
      <c r="O937" s="55"/>
      <c r="P937" s="55" t="s">
        <v>91</v>
      </c>
      <c r="Q937" s="58" t="s">
        <v>16</v>
      </c>
      <c r="R937" s="81"/>
      <c r="S937" s="57"/>
      <c r="T937" s="82"/>
      <c r="U937" s="82"/>
      <c r="V937" s="57"/>
      <c r="W937" s="57"/>
      <c r="X937" s="57" t="str">
        <f t="shared" si="781"/>
        <v>--930-12-05</v>
      </c>
      <c r="Y937" s="58" t="str">
        <f t="shared" ref="Y937:AC937" si="831">TRIM(SUBSTITUTE(SUBSTITUTE(OFFSET(#REF!,0,COLUMN()-COLUMN($AL$1)),CHAR(160)," "),_xludf.UNICHAR(8239)," "))</f>
        <v>#REF!</v>
      </c>
      <c r="Z937" s="58" t="str">
        <f t="shared" si="831"/>
        <v>#REF!</v>
      </c>
      <c r="AA937" s="58" t="str">
        <f t="shared" si="831"/>
        <v>#REF!</v>
      </c>
      <c r="AB937" s="58" t="str">
        <f t="shared" si="831"/>
        <v>#REF!</v>
      </c>
      <c r="AC937" s="58" t="str">
        <f t="shared" si="831"/>
        <v>#REF!</v>
      </c>
      <c r="AD937" s="57">
        <f t="shared" si="772"/>
        <v>1</v>
      </c>
      <c r="AE937" s="57" t="str">
        <f t="shared" si="773"/>
        <v>2026-05</v>
      </c>
      <c r="AF937" s="57">
        <f t="shared" si="774"/>
        <v>1</v>
      </c>
      <c r="AG937" s="59">
        <f t="shared" si="775"/>
        <v>1</v>
      </c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</row>
    <row r="938" ht="24.0" customHeight="1">
      <c r="A938" s="45">
        <v>57.0</v>
      </c>
      <c r="B938" s="74" t="s">
        <v>2603</v>
      </c>
      <c r="C938" s="55" t="s">
        <v>2557</v>
      </c>
      <c r="D938" s="75" t="s">
        <v>1883</v>
      </c>
      <c r="E938" s="57">
        <v>9.49830558E8</v>
      </c>
      <c r="F938" s="76">
        <v>29987.0</v>
      </c>
      <c r="G938" s="77">
        <v>43.0</v>
      </c>
      <c r="H938" s="78" t="str">
        <f t="shared" si="798"/>
        <v>19-60</v>
      </c>
      <c r="I938" s="79" t="s">
        <v>86</v>
      </c>
      <c r="J938" s="80" t="str">
        <f t="shared" si="769"/>
        <v>female</v>
      </c>
      <c r="K938" s="58">
        <v>5.990806816E9</v>
      </c>
      <c r="L938" s="58" t="s">
        <v>34</v>
      </c>
      <c r="M938" s="57" t="s">
        <v>89</v>
      </c>
      <c r="N938" s="55" t="s">
        <v>90</v>
      </c>
      <c r="O938" s="55"/>
      <c r="P938" s="55" t="s">
        <v>91</v>
      </c>
      <c r="Q938" s="58" t="s">
        <v>16</v>
      </c>
      <c r="R938" s="81"/>
      <c r="S938" s="57"/>
      <c r="T938" s="82"/>
      <c r="U938" s="82"/>
      <c r="V938" s="57"/>
      <c r="W938" s="57"/>
      <c r="X938" s="57" t="str">
        <f t="shared" si="781"/>
        <v>--931-12-05</v>
      </c>
      <c r="Y938" s="58" t="str">
        <f t="shared" ref="Y938:AC938" si="832">TRIM(SUBSTITUTE(SUBSTITUTE(OFFSET(#REF!,0,COLUMN()-COLUMN($AL$1)),CHAR(160)," "),_xludf.UNICHAR(8239)," "))</f>
        <v>#REF!</v>
      </c>
      <c r="Z938" s="58" t="str">
        <f t="shared" si="832"/>
        <v>#REF!</v>
      </c>
      <c r="AA938" s="58" t="str">
        <f t="shared" si="832"/>
        <v>#REF!</v>
      </c>
      <c r="AB938" s="58" t="str">
        <f t="shared" si="832"/>
        <v>#REF!</v>
      </c>
      <c r="AC938" s="58" t="str">
        <f t="shared" si="832"/>
        <v>#REF!</v>
      </c>
      <c r="AD938" s="57">
        <f t="shared" si="772"/>
        <v>1</v>
      </c>
      <c r="AE938" s="57" t="str">
        <f t="shared" si="773"/>
        <v>2026-05</v>
      </c>
      <c r="AF938" s="57">
        <f t="shared" si="774"/>
        <v>1</v>
      </c>
      <c r="AG938" s="59">
        <f t="shared" si="775"/>
        <v>1</v>
      </c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</row>
    <row r="939" ht="24.0" customHeight="1">
      <c r="A939" s="45">
        <v>58.0</v>
      </c>
      <c r="B939" s="74" t="s">
        <v>2604</v>
      </c>
      <c r="C939" s="55" t="s">
        <v>2557</v>
      </c>
      <c r="D939" s="75" t="s">
        <v>1883</v>
      </c>
      <c r="E939" s="57">
        <v>4.32330637E8</v>
      </c>
      <c r="F939" s="76">
        <v>40564.0</v>
      </c>
      <c r="G939" s="77">
        <v>15.0</v>
      </c>
      <c r="H939" s="78" t="str">
        <f t="shared" si="798"/>
        <v>6-18</v>
      </c>
      <c r="I939" s="79" t="s">
        <v>112</v>
      </c>
      <c r="J939" s="80" t="str">
        <f t="shared" si="769"/>
        <v>male</v>
      </c>
      <c r="K939" s="58">
        <v>5.99451135E8</v>
      </c>
      <c r="L939" s="58" t="s">
        <v>34</v>
      </c>
      <c r="M939" s="57" t="s">
        <v>133</v>
      </c>
      <c r="N939" s="55" t="s">
        <v>90</v>
      </c>
      <c r="O939" s="55"/>
      <c r="P939" s="55" t="s">
        <v>91</v>
      </c>
      <c r="Q939" s="58" t="s">
        <v>16</v>
      </c>
      <c r="R939" s="81"/>
      <c r="S939" s="57"/>
      <c r="T939" s="82"/>
      <c r="U939" s="82"/>
      <c r="V939" s="57"/>
      <c r="W939" s="57"/>
      <c r="X939" s="57" t="str">
        <f t="shared" si="781"/>
        <v>--932-12-05</v>
      </c>
      <c r="Y939" s="58" t="str">
        <f t="shared" ref="Y939:AC939" si="833">TRIM(SUBSTITUTE(SUBSTITUTE(OFFSET(#REF!,0,COLUMN()-COLUMN($AL$1)),CHAR(160)," "),_xludf.UNICHAR(8239)," "))</f>
        <v>#REF!</v>
      </c>
      <c r="Z939" s="58" t="str">
        <f t="shared" si="833"/>
        <v>#REF!</v>
      </c>
      <c r="AA939" s="58" t="str">
        <f t="shared" si="833"/>
        <v>#REF!</v>
      </c>
      <c r="AB939" s="58" t="str">
        <f t="shared" si="833"/>
        <v>#REF!</v>
      </c>
      <c r="AC939" s="58" t="str">
        <f t="shared" si="833"/>
        <v>#REF!</v>
      </c>
      <c r="AD939" s="57">
        <f t="shared" si="772"/>
        <v>1</v>
      </c>
      <c r="AE939" s="57" t="str">
        <f t="shared" si="773"/>
        <v>2026-05</v>
      </c>
      <c r="AF939" s="57">
        <f t="shared" si="774"/>
        <v>1</v>
      </c>
      <c r="AG939" s="59">
        <f t="shared" si="775"/>
        <v>1</v>
      </c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</row>
    <row r="940" ht="24.0" customHeight="1">
      <c r="A940" s="45">
        <v>59.0</v>
      </c>
      <c r="B940" s="74" t="s">
        <v>2605</v>
      </c>
      <c r="C940" s="55" t="s">
        <v>2557</v>
      </c>
      <c r="D940" s="75" t="s">
        <v>1883</v>
      </c>
      <c r="E940" s="57">
        <v>9.02032051E8</v>
      </c>
      <c r="F940" s="76">
        <v>25414.0</v>
      </c>
      <c r="G940" s="77">
        <v>57.0</v>
      </c>
      <c r="H940" s="78" t="str">
        <f t="shared" si="798"/>
        <v>19-60</v>
      </c>
      <c r="I940" s="79" t="s">
        <v>86</v>
      </c>
      <c r="J940" s="80" t="str">
        <f t="shared" si="769"/>
        <v>female</v>
      </c>
      <c r="K940" s="58">
        <v>5.97801721E8</v>
      </c>
      <c r="L940" s="58" t="s">
        <v>34</v>
      </c>
      <c r="M940" s="57" t="s">
        <v>89</v>
      </c>
      <c r="N940" s="55" t="s">
        <v>90</v>
      </c>
      <c r="O940" s="55"/>
      <c r="P940" s="55" t="s">
        <v>91</v>
      </c>
      <c r="Q940" s="58" t="s">
        <v>16</v>
      </c>
      <c r="R940" s="81"/>
      <c r="S940" s="57"/>
      <c r="T940" s="82"/>
      <c r="U940" s="82"/>
      <c r="V940" s="57"/>
      <c r="W940" s="57"/>
      <c r="X940" s="57" t="str">
        <f t="shared" si="781"/>
        <v>--933-12-05</v>
      </c>
      <c r="Y940" s="58" t="str">
        <f t="shared" ref="Y940:AC940" si="834">TRIM(SUBSTITUTE(SUBSTITUTE(OFFSET(#REF!,0,COLUMN()-COLUMN($AL$1)),CHAR(160)," "),_xludf.UNICHAR(8239)," "))</f>
        <v>#REF!</v>
      </c>
      <c r="Z940" s="58" t="str">
        <f t="shared" si="834"/>
        <v>#REF!</v>
      </c>
      <c r="AA940" s="58" t="str">
        <f t="shared" si="834"/>
        <v>#REF!</v>
      </c>
      <c r="AB940" s="58" t="str">
        <f t="shared" si="834"/>
        <v>#REF!</v>
      </c>
      <c r="AC940" s="58" t="str">
        <f t="shared" si="834"/>
        <v>#REF!</v>
      </c>
      <c r="AD940" s="57">
        <f t="shared" si="772"/>
        <v>1</v>
      </c>
      <c r="AE940" s="57" t="str">
        <f t="shared" si="773"/>
        <v>2026-05</v>
      </c>
      <c r="AF940" s="57">
        <f t="shared" si="774"/>
        <v>1</v>
      </c>
      <c r="AG940" s="59">
        <f t="shared" si="775"/>
        <v>1</v>
      </c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</row>
    <row r="941" ht="24.0" customHeight="1">
      <c r="A941" s="45">
        <v>60.0</v>
      </c>
      <c r="B941" s="74" t="s">
        <v>2606</v>
      </c>
      <c r="C941" s="55" t="s">
        <v>2557</v>
      </c>
      <c r="D941" s="75" t="s">
        <v>1883</v>
      </c>
      <c r="E941" s="57">
        <v>9.1627082E8</v>
      </c>
      <c r="F941" s="76">
        <v>16504.0</v>
      </c>
      <c r="G941" s="77">
        <v>81.0</v>
      </c>
      <c r="H941" s="78" t="str">
        <f t="shared" si="798"/>
        <v>+60</v>
      </c>
      <c r="I941" s="79" t="s">
        <v>86</v>
      </c>
      <c r="J941" s="80" t="str">
        <f t="shared" si="769"/>
        <v>female</v>
      </c>
      <c r="K941" s="58">
        <v>5.97801721E8</v>
      </c>
      <c r="L941" s="58" t="s">
        <v>34</v>
      </c>
      <c r="M941" s="57" t="s">
        <v>115</v>
      </c>
      <c r="N941" s="55" t="s">
        <v>90</v>
      </c>
      <c r="O941" s="55"/>
      <c r="P941" s="55" t="s">
        <v>91</v>
      </c>
      <c r="Q941" s="58" t="s">
        <v>16</v>
      </c>
      <c r="R941" s="81"/>
      <c r="S941" s="57"/>
      <c r="T941" s="82"/>
      <c r="U941" s="82"/>
      <c r="V941" s="57"/>
      <c r="W941" s="57"/>
      <c r="X941" s="57" t="str">
        <f t="shared" si="781"/>
        <v>--934-12-05</v>
      </c>
      <c r="Y941" s="58" t="str">
        <f t="shared" ref="Y941:AC941" si="835">TRIM(SUBSTITUTE(SUBSTITUTE(OFFSET(#REF!,0,COLUMN()-COLUMN($AL$1)),CHAR(160)," "),_xludf.UNICHAR(8239)," "))</f>
        <v>#REF!</v>
      </c>
      <c r="Z941" s="58" t="str">
        <f t="shared" si="835"/>
        <v>#REF!</v>
      </c>
      <c r="AA941" s="58" t="str">
        <f t="shared" si="835"/>
        <v>#REF!</v>
      </c>
      <c r="AB941" s="58" t="str">
        <f t="shared" si="835"/>
        <v>#REF!</v>
      </c>
      <c r="AC941" s="58" t="str">
        <f t="shared" si="835"/>
        <v>#REF!</v>
      </c>
      <c r="AD941" s="57">
        <f t="shared" si="772"/>
        <v>1</v>
      </c>
      <c r="AE941" s="57" t="str">
        <f t="shared" si="773"/>
        <v>2026-05</v>
      </c>
      <c r="AF941" s="57">
        <f t="shared" si="774"/>
        <v>1</v>
      </c>
      <c r="AG941" s="59">
        <f t="shared" si="775"/>
        <v>1</v>
      </c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</row>
    <row r="942" ht="24.0" customHeight="1">
      <c r="A942" s="45">
        <v>61.0</v>
      </c>
      <c r="B942" s="74" t="s">
        <v>2607</v>
      </c>
      <c r="C942" s="55" t="s">
        <v>2557</v>
      </c>
      <c r="D942" s="75" t="s">
        <v>1883</v>
      </c>
      <c r="E942" s="57">
        <v>8.02568683E8</v>
      </c>
      <c r="F942" s="76">
        <v>32768.0</v>
      </c>
      <c r="G942" s="77">
        <v>37.0</v>
      </c>
      <c r="H942" s="78" t="str">
        <f t="shared" si="798"/>
        <v>19-60</v>
      </c>
      <c r="I942" s="79" t="s">
        <v>86</v>
      </c>
      <c r="J942" s="80" t="str">
        <f t="shared" si="769"/>
        <v>female</v>
      </c>
      <c r="K942" s="58">
        <v>5.95047201E8</v>
      </c>
      <c r="L942" s="58" t="s">
        <v>34</v>
      </c>
      <c r="M942" s="57" t="s">
        <v>89</v>
      </c>
      <c r="N942" s="55" t="s">
        <v>90</v>
      </c>
      <c r="O942" s="55"/>
      <c r="P942" s="55" t="s">
        <v>91</v>
      </c>
      <c r="Q942" s="58" t="s">
        <v>16</v>
      </c>
      <c r="R942" s="81"/>
      <c r="S942" s="57"/>
      <c r="T942" s="82"/>
      <c r="U942" s="82"/>
      <c r="V942" s="57"/>
      <c r="W942" s="57"/>
      <c r="X942" s="57" t="str">
        <f t="shared" si="781"/>
        <v>--935-12-05</v>
      </c>
      <c r="Y942" s="58" t="str">
        <f t="shared" ref="Y942:AC942" si="836">TRIM(SUBSTITUTE(SUBSTITUTE(OFFSET(#REF!,0,COLUMN()-COLUMN($AL$1)),CHAR(160)," "),_xludf.UNICHAR(8239)," "))</f>
        <v>#REF!</v>
      </c>
      <c r="Z942" s="58" t="str">
        <f t="shared" si="836"/>
        <v>#REF!</v>
      </c>
      <c r="AA942" s="58" t="str">
        <f t="shared" si="836"/>
        <v>#REF!</v>
      </c>
      <c r="AB942" s="58" t="str">
        <f t="shared" si="836"/>
        <v>#REF!</v>
      </c>
      <c r="AC942" s="58" t="str">
        <f t="shared" si="836"/>
        <v>#REF!</v>
      </c>
      <c r="AD942" s="57">
        <f t="shared" si="772"/>
        <v>1</v>
      </c>
      <c r="AE942" s="57" t="str">
        <f t="shared" si="773"/>
        <v>2026-05</v>
      </c>
      <c r="AF942" s="57">
        <f t="shared" si="774"/>
        <v>1</v>
      </c>
      <c r="AG942" s="59">
        <f t="shared" si="775"/>
        <v>1</v>
      </c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</row>
    <row r="943" ht="24.0" customHeight="1">
      <c r="A943" s="45">
        <v>62.0</v>
      </c>
      <c r="B943" s="74" t="s">
        <v>2608</v>
      </c>
      <c r="C943" s="55" t="s">
        <v>2557</v>
      </c>
      <c r="D943" s="75" t="s">
        <v>1883</v>
      </c>
      <c r="E943" s="57">
        <v>4.26160594E8</v>
      </c>
      <c r="F943" s="76">
        <v>39594.0</v>
      </c>
      <c r="G943" s="77">
        <v>18.0</v>
      </c>
      <c r="H943" s="78" t="str">
        <f t="shared" si="798"/>
        <v>6-18</v>
      </c>
      <c r="I943" s="79" t="s">
        <v>86</v>
      </c>
      <c r="J943" s="80" t="str">
        <f t="shared" si="769"/>
        <v>female</v>
      </c>
      <c r="K943" s="58">
        <v>5.94026682E8</v>
      </c>
      <c r="L943" s="58" t="s">
        <v>41</v>
      </c>
      <c r="M943" s="57" t="s">
        <v>89</v>
      </c>
      <c r="N943" s="55" t="s">
        <v>90</v>
      </c>
      <c r="O943" s="55"/>
      <c r="P943" s="55" t="s">
        <v>91</v>
      </c>
      <c r="Q943" s="55"/>
      <c r="R943" s="58" t="s">
        <v>36</v>
      </c>
      <c r="S943" s="57"/>
      <c r="T943" s="82"/>
      <c r="U943" s="82"/>
      <c r="V943" s="57"/>
      <c r="W943" s="57"/>
      <c r="X943" s="57" t="str">
        <f t="shared" si="781"/>
        <v>--936-12-05</v>
      </c>
      <c r="Y943" s="58" t="str">
        <f t="shared" ref="Y943:AC943" si="837">TRIM(SUBSTITUTE(SUBSTITUTE(OFFSET(#REF!,0,COLUMN()-COLUMN($AL$1)),CHAR(160)," "),_xludf.UNICHAR(8239)," "))</f>
        <v>#REF!</v>
      </c>
      <c r="Z943" s="58" t="str">
        <f t="shared" si="837"/>
        <v>#REF!</v>
      </c>
      <c r="AA943" s="58" t="str">
        <f t="shared" si="837"/>
        <v>#REF!</v>
      </c>
      <c r="AB943" s="58" t="str">
        <f t="shared" si="837"/>
        <v>#REF!</v>
      </c>
      <c r="AC943" s="58" t="str">
        <f t="shared" si="837"/>
        <v>#REF!</v>
      </c>
      <c r="AD943" s="57">
        <f t="shared" si="772"/>
        <v>1</v>
      </c>
      <c r="AE943" s="57" t="str">
        <f t="shared" si="773"/>
        <v>2026-05</v>
      </c>
      <c r="AF943" s="57">
        <f t="shared" si="774"/>
        <v>1</v>
      </c>
      <c r="AG943" s="59">
        <f t="shared" si="775"/>
        <v>1</v>
      </c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</row>
    <row r="944" ht="24.0" customHeight="1">
      <c r="A944" s="45">
        <v>63.0</v>
      </c>
      <c r="B944" s="74" t="s">
        <v>2282</v>
      </c>
      <c r="C944" s="55" t="s">
        <v>2557</v>
      </c>
      <c r="D944" s="75" t="s">
        <v>1883</v>
      </c>
      <c r="E944" s="57">
        <v>4.05918939E8</v>
      </c>
      <c r="F944" s="76">
        <v>36536.0</v>
      </c>
      <c r="G944" s="77">
        <v>26.0</v>
      </c>
      <c r="H944" s="78" t="str">
        <f t="shared" si="798"/>
        <v>19-60</v>
      </c>
      <c r="I944" s="79" t="s">
        <v>86</v>
      </c>
      <c r="J944" s="80" t="str">
        <f t="shared" si="769"/>
        <v>female</v>
      </c>
      <c r="K944" s="58">
        <v>5.98191017E8</v>
      </c>
      <c r="L944" s="58" t="s">
        <v>12</v>
      </c>
      <c r="M944" s="57" t="s">
        <v>89</v>
      </c>
      <c r="N944" s="55" t="s">
        <v>90</v>
      </c>
      <c r="O944" s="55"/>
      <c r="P944" s="55" t="s">
        <v>91</v>
      </c>
      <c r="Q944" s="55"/>
      <c r="R944" s="58" t="s">
        <v>15</v>
      </c>
      <c r="S944" s="57"/>
      <c r="T944" s="82"/>
      <c r="U944" s="82"/>
      <c r="V944" s="57"/>
      <c r="W944" s="57"/>
      <c r="X944" s="57" t="str">
        <f t="shared" si="781"/>
        <v>--937-12-05</v>
      </c>
      <c r="Y944" s="58" t="str">
        <f t="shared" ref="Y944:AC944" si="838">TRIM(SUBSTITUTE(SUBSTITUTE(OFFSET(#REF!,0,COLUMN()-COLUMN($AL$1)),CHAR(160)," "),_xludf.UNICHAR(8239)," "))</f>
        <v>#REF!</v>
      </c>
      <c r="Z944" s="58" t="str">
        <f t="shared" si="838"/>
        <v>#REF!</v>
      </c>
      <c r="AA944" s="58" t="str">
        <f t="shared" si="838"/>
        <v>#REF!</v>
      </c>
      <c r="AB944" s="58" t="str">
        <f t="shared" si="838"/>
        <v>#REF!</v>
      </c>
      <c r="AC944" s="58" t="str">
        <f t="shared" si="838"/>
        <v>#REF!</v>
      </c>
      <c r="AD944" s="57">
        <f t="shared" si="772"/>
        <v>1</v>
      </c>
      <c r="AE944" s="57" t="str">
        <f t="shared" si="773"/>
        <v>2026-05</v>
      </c>
      <c r="AF944" s="57">
        <f t="shared" si="774"/>
        <v>0</v>
      </c>
      <c r="AG944" s="59">
        <f t="shared" si="775"/>
        <v>0</v>
      </c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</row>
    <row r="945" ht="24.0" customHeight="1">
      <c r="A945" s="45">
        <v>64.0</v>
      </c>
      <c r="B945" s="74" t="s">
        <v>2609</v>
      </c>
      <c r="C945" s="55" t="s">
        <v>2557</v>
      </c>
      <c r="D945" s="75" t="s">
        <v>1883</v>
      </c>
      <c r="E945" s="57">
        <v>8.0150788E8</v>
      </c>
      <c r="F945" s="76">
        <v>32471.0</v>
      </c>
      <c r="G945" s="77">
        <v>38.0</v>
      </c>
      <c r="H945" s="78" t="str">
        <f t="shared" si="798"/>
        <v>19-60</v>
      </c>
      <c r="I945" s="79" t="s">
        <v>86</v>
      </c>
      <c r="J945" s="80" t="str">
        <f t="shared" si="769"/>
        <v>female</v>
      </c>
      <c r="K945" s="58">
        <v>5.69618886E8</v>
      </c>
      <c r="L945" s="58" t="s">
        <v>34</v>
      </c>
      <c r="M945" s="57" t="s">
        <v>89</v>
      </c>
      <c r="N945" s="55" t="s">
        <v>90</v>
      </c>
      <c r="O945" s="55"/>
      <c r="P945" s="55" t="s">
        <v>91</v>
      </c>
      <c r="Q945" s="58" t="s">
        <v>4</v>
      </c>
      <c r="R945" s="81"/>
      <c r="S945" s="57"/>
      <c r="T945" s="82"/>
      <c r="U945" s="82"/>
      <c r="V945" s="57"/>
      <c r="W945" s="57"/>
      <c r="X945" s="57" t="str">
        <f t="shared" si="781"/>
        <v>--938-12-05</v>
      </c>
      <c r="Y945" s="58" t="str">
        <f t="shared" ref="Y945:AC945" si="839">TRIM(SUBSTITUTE(SUBSTITUTE(OFFSET(#REF!,0,COLUMN()-COLUMN($AL$1)),CHAR(160)," "),_xludf.UNICHAR(8239)," "))</f>
        <v>#REF!</v>
      </c>
      <c r="Z945" s="58" t="str">
        <f t="shared" si="839"/>
        <v>#REF!</v>
      </c>
      <c r="AA945" s="58" t="str">
        <f t="shared" si="839"/>
        <v>#REF!</v>
      </c>
      <c r="AB945" s="58" t="str">
        <f t="shared" si="839"/>
        <v>#REF!</v>
      </c>
      <c r="AC945" s="58" t="str">
        <f t="shared" si="839"/>
        <v>#REF!</v>
      </c>
      <c r="AD945" s="57">
        <f t="shared" si="772"/>
        <v>1</v>
      </c>
      <c r="AE945" s="57" t="str">
        <f t="shared" si="773"/>
        <v>2026-05</v>
      </c>
      <c r="AF945" s="57">
        <f t="shared" si="774"/>
        <v>1</v>
      </c>
      <c r="AG945" s="59">
        <f t="shared" si="775"/>
        <v>1</v>
      </c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</row>
    <row r="946" ht="24.0" customHeight="1">
      <c r="A946" s="45">
        <v>65.0</v>
      </c>
      <c r="B946" s="74" t="s">
        <v>2610</v>
      </c>
      <c r="C946" s="55" t="s">
        <v>2557</v>
      </c>
      <c r="D946" s="75" t="s">
        <v>1883</v>
      </c>
      <c r="E946" s="57">
        <v>4.04317612E8</v>
      </c>
      <c r="F946" s="76">
        <v>35887.0</v>
      </c>
      <c r="G946" s="77">
        <v>28.0</v>
      </c>
      <c r="H946" s="78" t="str">
        <f t="shared" si="798"/>
        <v>19-60</v>
      </c>
      <c r="I946" s="79" t="s">
        <v>86</v>
      </c>
      <c r="J946" s="80" t="str">
        <f t="shared" si="769"/>
        <v>female</v>
      </c>
      <c r="K946" s="58">
        <v>5.97820219E8</v>
      </c>
      <c r="L946" s="58" t="s">
        <v>34</v>
      </c>
      <c r="M946" s="57" t="s">
        <v>89</v>
      </c>
      <c r="N946" s="55" t="s">
        <v>90</v>
      </c>
      <c r="O946" s="55"/>
      <c r="P946" s="55" t="s">
        <v>91</v>
      </c>
      <c r="Q946" s="58" t="s">
        <v>4</v>
      </c>
      <c r="R946" s="81"/>
      <c r="S946" s="57"/>
      <c r="T946" s="82"/>
      <c r="U946" s="82"/>
      <c r="V946" s="57"/>
      <c r="W946" s="57"/>
      <c r="X946" s="57" t="str">
        <f t="shared" si="781"/>
        <v>--939-12-05</v>
      </c>
      <c r="Y946" s="58" t="str">
        <f t="shared" ref="Y946:AC946" si="840">TRIM(SUBSTITUTE(SUBSTITUTE(OFFSET(#REF!,0,COLUMN()-COLUMN($AL$1)),CHAR(160)," "),_xludf.UNICHAR(8239)," "))</f>
        <v>#REF!</v>
      </c>
      <c r="Z946" s="58" t="str">
        <f t="shared" si="840"/>
        <v>#REF!</v>
      </c>
      <c r="AA946" s="58" t="str">
        <f t="shared" si="840"/>
        <v>#REF!</v>
      </c>
      <c r="AB946" s="58" t="str">
        <f t="shared" si="840"/>
        <v>#REF!</v>
      </c>
      <c r="AC946" s="58" t="str">
        <f t="shared" si="840"/>
        <v>#REF!</v>
      </c>
      <c r="AD946" s="57">
        <f t="shared" si="772"/>
        <v>1</v>
      </c>
      <c r="AE946" s="57" t="str">
        <f t="shared" si="773"/>
        <v>2026-05</v>
      </c>
      <c r="AF946" s="57">
        <f t="shared" si="774"/>
        <v>1</v>
      </c>
      <c r="AG946" s="59">
        <f t="shared" si="775"/>
        <v>1</v>
      </c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</row>
    <row r="947" ht="24.0" customHeight="1">
      <c r="A947" s="45">
        <v>66.0</v>
      </c>
      <c r="B947" s="74" t="s">
        <v>1943</v>
      </c>
      <c r="C947" s="55" t="s">
        <v>2557</v>
      </c>
      <c r="D947" s="75" t="s">
        <v>1883</v>
      </c>
      <c r="E947" s="57">
        <v>4.45299415E8</v>
      </c>
      <c r="F947" s="76">
        <v>44601.0</v>
      </c>
      <c r="G947" s="77">
        <v>4.0</v>
      </c>
      <c r="H947" s="78" t="str">
        <f t="shared" si="798"/>
        <v>0-5</v>
      </c>
      <c r="I947" s="79" t="s">
        <v>86</v>
      </c>
      <c r="J947" s="80" t="str">
        <f t="shared" si="769"/>
        <v>female</v>
      </c>
      <c r="K947" s="58">
        <v>5.95566104E8</v>
      </c>
      <c r="L947" s="58" t="s">
        <v>34</v>
      </c>
      <c r="M947" s="57" t="s">
        <v>133</v>
      </c>
      <c r="N947" s="55" t="s">
        <v>90</v>
      </c>
      <c r="O947" s="55"/>
      <c r="P947" s="55" t="s">
        <v>91</v>
      </c>
      <c r="Q947" s="58" t="s">
        <v>16</v>
      </c>
      <c r="R947" s="81"/>
      <c r="S947" s="57"/>
      <c r="T947" s="82"/>
      <c r="U947" s="82"/>
      <c r="V947" s="57"/>
      <c r="W947" s="57"/>
      <c r="X947" s="57" t="str">
        <f t="shared" si="781"/>
        <v>--940-12-05</v>
      </c>
      <c r="Y947" s="58" t="str">
        <f t="shared" ref="Y947:AC947" si="841">TRIM(SUBSTITUTE(SUBSTITUTE(OFFSET(#REF!,0,COLUMN()-COLUMN($AL$1)),CHAR(160)," "),_xludf.UNICHAR(8239)," "))</f>
        <v>#REF!</v>
      </c>
      <c r="Z947" s="58" t="str">
        <f t="shared" si="841"/>
        <v>#REF!</v>
      </c>
      <c r="AA947" s="58" t="str">
        <f t="shared" si="841"/>
        <v>#REF!</v>
      </c>
      <c r="AB947" s="58" t="str">
        <f t="shared" si="841"/>
        <v>#REF!</v>
      </c>
      <c r="AC947" s="58" t="str">
        <f t="shared" si="841"/>
        <v>#REF!</v>
      </c>
      <c r="AD947" s="57">
        <f t="shared" si="772"/>
        <v>1</v>
      </c>
      <c r="AE947" s="57" t="str">
        <f t="shared" si="773"/>
        <v>2026-05</v>
      </c>
      <c r="AF947" s="57">
        <f t="shared" si="774"/>
        <v>0</v>
      </c>
      <c r="AG947" s="59">
        <f t="shared" si="775"/>
        <v>0</v>
      </c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</row>
    <row r="948" ht="24.0" customHeight="1">
      <c r="A948" s="45">
        <v>67.0</v>
      </c>
      <c r="B948" s="74" t="s">
        <v>2611</v>
      </c>
      <c r="C948" s="55" t="s">
        <v>2557</v>
      </c>
      <c r="D948" s="75" t="s">
        <v>1883</v>
      </c>
      <c r="E948" s="57">
        <v>4.32181832E8</v>
      </c>
      <c r="F948" s="76">
        <v>41445.0</v>
      </c>
      <c r="G948" s="77">
        <v>13.0</v>
      </c>
      <c r="H948" s="78" t="s">
        <v>111</v>
      </c>
      <c r="I948" s="79" t="s">
        <v>86</v>
      </c>
      <c r="J948" s="80" t="str">
        <f t="shared" si="769"/>
        <v>female</v>
      </c>
      <c r="K948" s="58">
        <v>5.99307197E8</v>
      </c>
      <c r="L948" s="58" t="s">
        <v>34</v>
      </c>
      <c r="M948" s="57" t="s">
        <v>133</v>
      </c>
      <c r="N948" s="55" t="s">
        <v>90</v>
      </c>
      <c r="O948" s="55"/>
      <c r="P948" s="55" t="s">
        <v>91</v>
      </c>
      <c r="Q948" s="58" t="s">
        <v>16</v>
      </c>
      <c r="R948" s="81"/>
      <c r="S948" s="57"/>
      <c r="T948" s="82"/>
      <c r="U948" s="82"/>
      <c r="V948" s="57"/>
      <c r="W948" s="57"/>
      <c r="X948" s="57" t="str">
        <f t="shared" si="781"/>
        <v>--941-12-05</v>
      </c>
      <c r="Y948" s="58" t="str">
        <f t="shared" ref="Y948:AC948" si="842">TRIM(SUBSTITUTE(SUBSTITUTE(OFFSET(#REF!,0,COLUMN()-COLUMN($AL$1)),CHAR(160)," "),_xludf.UNICHAR(8239)," "))</f>
        <v>#REF!</v>
      </c>
      <c r="Z948" s="58" t="str">
        <f t="shared" si="842"/>
        <v>#REF!</v>
      </c>
      <c r="AA948" s="58" t="str">
        <f t="shared" si="842"/>
        <v>#REF!</v>
      </c>
      <c r="AB948" s="58" t="str">
        <f t="shared" si="842"/>
        <v>#REF!</v>
      </c>
      <c r="AC948" s="58" t="str">
        <f t="shared" si="842"/>
        <v>#REF!</v>
      </c>
      <c r="AD948" s="57">
        <f t="shared" si="772"/>
        <v>1</v>
      </c>
      <c r="AE948" s="57" t="str">
        <f t="shared" si="773"/>
        <v>2026-05</v>
      </c>
      <c r="AF948" s="57">
        <f t="shared" si="774"/>
        <v>1</v>
      </c>
      <c r="AG948" s="59">
        <f t="shared" si="775"/>
        <v>1</v>
      </c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</row>
    <row r="949" ht="24.0" customHeight="1">
      <c r="A949" s="45">
        <v>68.0</v>
      </c>
      <c r="B949" s="74" t="s">
        <v>1541</v>
      </c>
      <c r="C949" s="55" t="s">
        <v>2557</v>
      </c>
      <c r="D949" s="75" t="s">
        <v>1883</v>
      </c>
      <c r="E949" s="57">
        <v>4.07205954E8</v>
      </c>
      <c r="F949" s="76">
        <v>37597.0</v>
      </c>
      <c r="G949" s="77">
        <v>24.0</v>
      </c>
      <c r="H949" s="78" t="str">
        <f t="shared" ref="H949:H955" si="844">IF(G949="","",IF(G949&lt;=5,"0-5",IF(G949&lt;=18,"6-18",IF(G949&lt;=60,"19-60","+60"))))</f>
        <v>19-60</v>
      </c>
      <c r="I949" s="79" t="s">
        <v>112</v>
      </c>
      <c r="J949" s="80" t="str">
        <f t="shared" si="769"/>
        <v>male</v>
      </c>
      <c r="K949" s="58">
        <v>5.97655949E8</v>
      </c>
      <c r="L949" s="58" t="s">
        <v>34</v>
      </c>
      <c r="M949" s="57" t="s">
        <v>89</v>
      </c>
      <c r="N949" s="55" t="s">
        <v>90</v>
      </c>
      <c r="O949" s="55"/>
      <c r="P949" s="55" t="s">
        <v>91</v>
      </c>
      <c r="Q949" s="58" t="s">
        <v>16</v>
      </c>
      <c r="R949" s="81"/>
      <c r="S949" s="57"/>
      <c r="T949" s="82"/>
      <c r="U949" s="82"/>
      <c r="V949" s="57"/>
      <c r="W949" s="57"/>
      <c r="X949" s="57" t="str">
        <f t="shared" si="781"/>
        <v>--942-12-05</v>
      </c>
      <c r="Y949" s="58" t="str">
        <f t="shared" ref="Y949:AC949" si="843">TRIM(SUBSTITUTE(SUBSTITUTE(OFFSET(#REF!,0,COLUMN()-COLUMN($AL$1)),CHAR(160)," "),_xludf.UNICHAR(8239)," "))</f>
        <v>#REF!</v>
      </c>
      <c r="Z949" s="58" t="str">
        <f t="shared" si="843"/>
        <v>#REF!</v>
      </c>
      <c r="AA949" s="58" t="str">
        <f t="shared" si="843"/>
        <v>#REF!</v>
      </c>
      <c r="AB949" s="58" t="str">
        <f t="shared" si="843"/>
        <v>#REF!</v>
      </c>
      <c r="AC949" s="58" t="str">
        <f t="shared" si="843"/>
        <v>#REF!</v>
      </c>
      <c r="AD949" s="57">
        <f t="shared" si="772"/>
        <v>1</v>
      </c>
      <c r="AE949" s="57" t="str">
        <f t="shared" si="773"/>
        <v>2026-05</v>
      </c>
      <c r="AF949" s="57">
        <f t="shared" si="774"/>
        <v>0</v>
      </c>
      <c r="AG949" s="59">
        <f t="shared" si="775"/>
        <v>0</v>
      </c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</row>
    <row r="950" ht="24.0" customHeight="1">
      <c r="A950" s="45">
        <v>69.0</v>
      </c>
      <c r="B950" s="74" t="s">
        <v>445</v>
      </c>
      <c r="C950" s="55" t="s">
        <v>2557</v>
      </c>
      <c r="D950" s="75" t="s">
        <v>1883</v>
      </c>
      <c r="E950" s="57">
        <v>4.29388325E8</v>
      </c>
      <c r="F950" s="76">
        <v>39885.0</v>
      </c>
      <c r="G950" s="77">
        <v>17.0</v>
      </c>
      <c r="H950" s="78" t="str">
        <f t="shared" si="844"/>
        <v>6-18</v>
      </c>
      <c r="I950" s="79" t="s">
        <v>112</v>
      </c>
      <c r="J950" s="80" t="str">
        <f t="shared" si="769"/>
        <v>male</v>
      </c>
      <c r="K950" s="58">
        <v>5.98147877E8</v>
      </c>
      <c r="L950" s="58" t="s">
        <v>34</v>
      </c>
      <c r="M950" s="57" t="s">
        <v>89</v>
      </c>
      <c r="N950" s="55" t="s">
        <v>90</v>
      </c>
      <c r="O950" s="55"/>
      <c r="P950" s="55" t="s">
        <v>91</v>
      </c>
      <c r="Q950" s="58" t="s">
        <v>16</v>
      </c>
      <c r="R950" s="81"/>
      <c r="S950" s="57"/>
      <c r="T950" s="82"/>
      <c r="U950" s="82"/>
      <c r="V950" s="57"/>
      <c r="W950" s="57"/>
      <c r="X950" s="57" t="str">
        <f t="shared" si="781"/>
        <v>--943-12-05</v>
      </c>
      <c r="Y950" s="58" t="str">
        <f t="shared" ref="Y950:AC950" si="845">TRIM(SUBSTITUTE(SUBSTITUTE(OFFSET(#REF!,0,COLUMN()-COLUMN($AL$1)),CHAR(160)," "),_xludf.UNICHAR(8239)," "))</f>
        <v>#REF!</v>
      </c>
      <c r="Z950" s="58" t="str">
        <f t="shared" si="845"/>
        <v>#REF!</v>
      </c>
      <c r="AA950" s="58" t="str">
        <f t="shared" si="845"/>
        <v>#REF!</v>
      </c>
      <c r="AB950" s="58" t="str">
        <f t="shared" si="845"/>
        <v>#REF!</v>
      </c>
      <c r="AC950" s="58" t="str">
        <f t="shared" si="845"/>
        <v>#REF!</v>
      </c>
      <c r="AD950" s="57">
        <f t="shared" si="772"/>
        <v>1</v>
      </c>
      <c r="AE950" s="57" t="str">
        <f t="shared" si="773"/>
        <v>2026-05</v>
      </c>
      <c r="AF950" s="57">
        <f t="shared" si="774"/>
        <v>1</v>
      </c>
      <c r="AG950" s="59">
        <f t="shared" si="775"/>
        <v>0</v>
      </c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</row>
    <row r="951" ht="24.0" customHeight="1">
      <c r="A951" s="45">
        <v>70.0</v>
      </c>
      <c r="B951" s="74" t="s">
        <v>2612</v>
      </c>
      <c r="C951" s="55" t="s">
        <v>2557</v>
      </c>
      <c r="D951" s="75" t="s">
        <v>1883</v>
      </c>
      <c r="E951" s="57">
        <v>4.00916078E8</v>
      </c>
      <c r="F951" s="76">
        <v>35366.0</v>
      </c>
      <c r="G951" s="77">
        <v>30.0</v>
      </c>
      <c r="H951" s="78" t="str">
        <f t="shared" si="844"/>
        <v>19-60</v>
      </c>
      <c r="I951" s="79" t="s">
        <v>86</v>
      </c>
      <c r="J951" s="80" t="str">
        <f t="shared" si="769"/>
        <v>female</v>
      </c>
      <c r="K951" s="58">
        <v>5.98448899E8</v>
      </c>
      <c r="L951" s="58" t="s">
        <v>24</v>
      </c>
      <c r="M951" s="57" t="s">
        <v>89</v>
      </c>
      <c r="N951" s="55" t="s">
        <v>90</v>
      </c>
      <c r="O951" s="55"/>
      <c r="P951" s="55" t="s">
        <v>91</v>
      </c>
      <c r="Q951" s="55"/>
      <c r="R951" s="58" t="s">
        <v>27</v>
      </c>
      <c r="S951" s="57"/>
      <c r="T951" s="82"/>
      <c r="U951" s="82"/>
      <c r="V951" s="57"/>
      <c r="W951" s="57"/>
      <c r="X951" s="57" t="str">
        <f t="shared" si="781"/>
        <v>--944-12-05</v>
      </c>
      <c r="Y951" s="58" t="str">
        <f t="shared" ref="Y951:AC951" si="846">TRIM(SUBSTITUTE(SUBSTITUTE(OFFSET(#REF!,0,COLUMN()-COLUMN($AL$1)),CHAR(160)," "),_xludf.UNICHAR(8239)," "))</f>
        <v>#REF!</v>
      </c>
      <c r="Z951" s="58" t="str">
        <f t="shared" si="846"/>
        <v>#REF!</v>
      </c>
      <c r="AA951" s="58" t="str">
        <f t="shared" si="846"/>
        <v>#REF!</v>
      </c>
      <c r="AB951" s="58" t="str">
        <f t="shared" si="846"/>
        <v>#REF!</v>
      </c>
      <c r="AC951" s="58" t="str">
        <f t="shared" si="846"/>
        <v>#REF!</v>
      </c>
      <c r="AD951" s="57">
        <f t="shared" si="772"/>
        <v>1</v>
      </c>
      <c r="AE951" s="57" t="str">
        <f t="shared" si="773"/>
        <v>2026-05</v>
      </c>
      <c r="AF951" s="57">
        <f t="shared" si="774"/>
        <v>1</v>
      </c>
      <c r="AG951" s="59">
        <f t="shared" si="775"/>
        <v>1</v>
      </c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</row>
    <row r="952" ht="24.0" customHeight="1">
      <c r="A952" s="45">
        <v>71.0</v>
      </c>
      <c r="B952" s="74" t="s">
        <v>449</v>
      </c>
      <c r="C952" s="55" t="s">
        <v>2557</v>
      </c>
      <c r="D952" s="75" t="s">
        <v>1883</v>
      </c>
      <c r="E952" s="57">
        <v>9.26707308E8</v>
      </c>
      <c r="F952" s="76">
        <v>30075.0</v>
      </c>
      <c r="G952" s="77">
        <v>44.0</v>
      </c>
      <c r="H952" s="78" t="str">
        <f t="shared" si="844"/>
        <v>19-60</v>
      </c>
      <c r="I952" s="79" t="s">
        <v>112</v>
      </c>
      <c r="J952" s="80" t="str">
        <f t="shared" si="769"/>
        <v>male</v>
      </c>
      <c r="K952" s="58">
        <v>5.98147877E8</v>
      </c>
      <c r="L952" s="58" t="s">
        <v>34</v>
      </c>
      <c r="M952" s="57" t="s">
        <v>89</v>
      </c>
      <c r="N952" s="55" t="s">
        <v>90</v>
      </c>
      <c r="O952" s="55"/>
      <c r="P952" s="55" t="s">
        <v>91</v>
      </c>
      <c r="Q952" s="58" t="s">
        <v>4</v>
      </c>
      <c r="R952" s="81"/>
      <c r="S952" s="57"/>
      <c r="T952" s="82"/>
      <c r="U952" s="82"/>
      <c r="V952" s="57"/>
      <c r="W952" s="57"/>
      <c r="X952" s="57" t="str">
        <f t="shared" si="781"/>
        <v>--945-12-05</v>
      </c>
      <c r="Y952" s="58" t="str">
        <f t="shared" ref="Y952:AC952" si="847">TRIM(SUBSTITUTE(SUBSTITUTE(OFFSET(#REF!,0,COLUMN()-COLUMN($AL$1)),CHAR(160)," "),_xludf.UNICHAR(8239)," "))</f>
        <v>#REF!</v>
      </c>
      <c r="Z952" s="58" t="str">
        <f t="shared" si="847"/>
        <v>#REF!</v>
      </c>
      <c r="AA952" s="58" t="str">
        <f t="shared" si="847"/>
        <v>#REF!</v>
      </c>
      <c r="AB952" s="58" t="str">
        <f t="shared" si="847"/>
        <v>#REF!</v>
      </c>
      <c r="AC952" s="58" t="str">
        <f t="shared" si="847"/>
        <v>#REF!</v>
      </c>
      <c r="AD952" s="57">
        <f t="shared" si="772"/>
        <v>1</v>
      </c>
      <c r="AE952" s="57" t="str">
        <f t="shared" si="773"/>
        <v>2026-05</v>
      </c>
      <c r="AF952" s="57">
        <f t="shared" si="774"/>
        <v>1</v>
      </c>
      <c r="AG952" s="59">
        <f t="shared" si="775"/>
        <v>1</v>
      </c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</row>
    <row r="953" ht="24.0" customHeight="1">
      <c r="A953" s="45">
        <v>72.0</v>
      </c>
      <c r="B953" s="74" t="s">
        <v>2216</v>
      </c>
      <c r="C953" s="55" t="s">
        <v>2557</v>
      </c>
      <c r="D953" s="75" t="s">
        <v>1883</v>
      </c>
      <c r="E953" s="57">
        <v>8.00338659E8</v>
      </c>
      <c r="F953" s="76">
        <v>30941.0</v>
      </c>
      <c r="G953" s="77">
        <v>42.0</v>
      </c>
      <c r="H953" s="78" t="str">
        <f t="shared" si="844"/>
        <v>19-60</v>
      </c>
      <c r="I953" s="79" t="s">
        <v>86</v>
      </c>
      <c r="J953" s="80" t="str">
        <f t="shared" si="769"/>
        <v>female</v>
      </c>
      <c r="K953" s="58">
        <v>5.99458403E8</v>
      </c>
      <c r="L953" s="58" t="s">
        <v>41</v>
      </c>
      <c r="M953" s="57" t="s">
        <v>89</v>
      </c>
      <c r="N953" s="55" t="s">
        <v>90</v>
      </c>
      <c r="O953" s="55"/>
      <c r="P953" s="55" t="s">
        <v>91</v>
      </c>
      <c r="Q953" s="58" t="s">
        <v>16</v>
      </c>
      <c r="R953" s="81"/>
      <c r="S953" s="57"/>
      <c r="T953" s="82"/>
      <c r="U953" s="82"/>
      <c r="V953" s="57"/>
      <c r="W953" s="57"/>
      <c r="X953" s="57" t="str">
        <f t="shared" si="781"/>
        <v>--946-12-05</v>
      </c>
      <c r="Y953" s="58" t="str">
        <f t="shared" ref="Y953:AC953" si="848">TRIM(SUBSTITUTE(SUBSTITUTE(OFFSET(#REF!,0,COLUMN()-COLUMN($AL$1)),CHAR(160)," "),_xludf.UNICHAR(8239)," "))</f>
        <v>#REF!</v>
      </c>
      <c r="Z953" s="58" t="str">
        <f t="shared" si="848"/>
        <v>#REF!</v>
      </c>
      <c r="AA953" s="58" t="str">
        <f t="shared" si="848"/>
        <v>#REF!</v>
      </c>
      <c r="AB953" s="58" t="str">
        <f t="shared" si="848"/>
        <v>#REF!</v>
      </c>
      <c r="AC953" s="58" t="str">
        <f t="shared" si="848"/>
        <v>#REF!</v>
      </c>
      <c r="AD953" s="57">
        <f t="shared" si="772"/>
        <v>1</v>
      </c>
      <c r="AE953" s="57" t="str">
        <f t="shared" si="773"/>
        <v>2026-05</v>
      </c>
      <c r="AF953" s="57">
        <f t="shared" si="774"/>
        <v>0</v>
      </c>
      <c r="AG953" s="59">
        <f t="shared" si="775"/>
        <v>0</v>
      </c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</row>
    <row r="954" ht="24.0" customHeight="1">
      <c r="A954" s="45">
        <v>73.0</v>
      </c>
      <c r="B954" s="74" t="s">
        <v>1864</v>
      </c>
      <c r="C954" s="55" t="s">
        <v>2557</v>
      </c>
      <c r="D954" s="75" t="s">
        <v>1883</v>
      </c>
      <c r="E954" s="57">
        <v>9.11871978E8</v>
      </c>
      <c r="F954" s="76">
        <v>24525.0</v>
      </c>
      <c r="G954" s="77">
        <v>59.0</v>
      </c>
      <c r="H954" s="78" t="str">
        <f t="shared" si="844"/>
        <v>19-60</v>
      </c>
      <c r="I954" s="79" t="s">
        <v>86</v>
      </c>
      <c r="J954" s="80" t="str">
        <f t="shared" si="769"/>
        <v>female</v>
      </c>
      <c r="K954" s="58">
        <v>5.97982225E8</v>
      </c>
      <c r="L954" s="58" t="s">
        <v>41</v>
      </c>
      <c r="M954" s="57" t="s">
        <v>89</v>
      </c>
      <c r="N954" s="55" t="s">
        <v>90</v>
      </c>
      <c r="O954" s="55"/>
      <c r="P954" s="55" t="s">
        <v>91</v>
      </c>
      <c r="Q954" s="58" t="s">
        <v>4</v>
      </c>
      <c r="R954" s="81"/>
      <c r="S954" s="57"/>
      <c r="T954" s="82"/>
      <c r="U954" s="82"/>
      <c r="V954" s="57"/>
      <c r="W954" s="57"/>
      <c r="X954" s="57" t="str">
        <f t="shared" si="781"/>
        <v>--947-12-05</v>
      </c>
      <c r="Y954" s="58" t="str">
        <f t="shared" ref="Y954:AC954" si="849">TRIM(SUBSTITUTE(SUBSTITUTE(OFFSET(#REF!,0,COLUMN()-COLUMN($AL$1)),CHAR(160)," "),_xludf.UNICHAR(8239)," "))</f>
        <v>#REF!</v>
      </c>
      <c r="Z954" s="58" t="str">
        <f t="shared" si="849"/>
        <v>#REF!</v>
      </c>
      <c r="AA954" s="58" t="str">
        <f t="shared" si="849"/>
        <v>#REF!</v>
      </c>
      <c r="AB954" s="58" t="str">
        <f t="shared" si="849"/>
        <v>#REF!</v>
      </c>
      <c r="AC954" s="58" t="str">
        <f t="shared" si="849"/>
        <v>#REF!</v>
      </c>
      <c r="AD954" s="57">
        <f t="shared" si="772"/>
        <v>1</v>
      </c>
      <c r="AE954" s="57" t="str">
        <f t="shared" si="773"/>
        <v>2026-05</v>
      </c>
      <c r="AF954" s="57">
        <f t="shared" si="774"/>
        <v>0</v>
      </c>
      <c r="AG954" s="59">
        <f t="shared" si="775"/>
        <v>0</v>
      </c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</row>
    <row r="955" ht="24.0" customHeight="1">
      <c r="A955" s="45">
        <v>74.0</v>
      </c>
      <c r="B955" s="74" t="s">
        <v>2613</v>
      </c>
      <c r="C955" s="55" t="s">
        <v>2557</v>
      </c>
      <c r="D955" s="75" t="s">
        <v>1883</v>
      </c>
      <c r="E955" s="57">
        <v>4.44829271E8</v>
      </c>
      <c r="F955" s="76">
        <v>45112.0</v>
      </c>
      <c r="G955" s="77">
        <v>3.0</v>
      </c>
      <c r="H955" s="78" t="str">
        <f t="shared" si="844"/>
        <v>0-5</v>
      </c>
      <c r="I955" s="79" t="s">
        <v>86</v>
      </c>
      <c r="J955" s="80" t="str">
        <f t="shared" si="769"/>
        <v>female</v>
      </c>
      <c r="K955" s="58">
        <v>5.99156239E8</v>
      </c>
      <c r="L955" s="58" t="s">
        <v>34</v>
      </c>
      <c r="M955" s="57" t="s">
        <v>133</v>
      </c>
      <c r="N955" s="55" t="s">
        <v>90</v>
      </c>
      <c r="O955" s="55"/>
      <c r="P955" s="55" t="s">
        <v>91</v>
      </c>
      <c r="Q955" s="58" t="s">
        <v>16</v>
      </c>
      <c r="R955" s="81"/>
      <c r="S955" s="57"/>
      <c r="T955" s="82"/>
      <c r="U955" s="82"/>
      <c r="V955" s="57"/>
      <c r="W955" s="57"/>
      <c r="X955" s="57" t="str">
        <f t="shared" si="781"/>
        <v>--948-12-05</v>
      </c>
      <c r="Y955" s="58" t="str">
        <f t="shared" ref="Y955:AC955" si="850">TRIM(SUBSTITUTE(SUBSTITUTE(OFFSET(#REF!,0,COLUMN()-COLUMN($AL$1)),CHAR(160)," "),_xludf.UNICHAR(8239)," "))</f>
        <v>#REF!</v>
      </c>
      <c r="Z955" s="58" t="str">
        <f t="shared" si="850"/>
        <v>#REF!</v>
      </c>
      <c r="AA955" s="58" t="str">
        <f t="shared" si="850"/>
        <v>#REF!</v>
      </c>
      <c r="AB955" s="58" t="str">
        <f t="shared" si="850"/>
        <v>#REF!</v>
      </c>
      <c r="AC955" s="58" t="str">
        <f t="shared" si="850"/>
        <v>#REF!</v>
      </c>
      <c r="AD955" s="57">
        <f t="shared" si="772"/>
        <v>1</v>
      </c>
      <c r="AE955" s="57" t="str">
        <f t="shared" si="773"/>
        <v>2026-05</v>
      </c>
      <c r="AF955" s="57">
        <f t="shared" si="774"/>
        <v>1</v>
      </c>
      <c r="AG955" s="59">
        <f t="shared" si="775"/>
        <v>1</v>
      </c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</row>
    <row r="956" ht="24.0" customHeight="1">
      <c r="A956" s="85">
        <v>1.0</v>
      </c>
      <c r="B956" s="54" t="s">
        <v>2614</v>
      </c>
      <c r="C956" s="55" t="s">
        <v>2615</v>
      </c>
      <c r="D956" s="55"/>
      <c r="E956" s="55" t="s">
        <v>2616</v>
      </c>
      <c r="F956" s="55" t="s">
        <v>2617</v>
      </c>
      <c r="G956" s="55">
        <v>49.0</v>
      </c>
      <c r="H956" s="55" t="s">
        <v>85</v>
      </c>
      <c r="I956" s="55" t="s">
        <v>86</v>
      </c>
      <c r="J956" s="55" t="s">
        <v>87</v>
      </c>
      <c r="K956" s="55" t="s">
        <v>2618</v>
      </c>
      <c r="L956" s="55" t="s">
        <v>34</v>
      </c>
      <c r="M956" s="55" t="s">
        <v>89</v>
      </c>
      <c r="N956" s="55" t="s">
        <v>90</v>
      </c>
      <c r="O956" s="55"/>
      <c r="P956" s="55" t="s">
        <v>91</v>
      </c>
      <c r="Q956" s="55" t="s">
        <v>4</v>
      </c>
      <c r="R956" s="55"/>
      <c r="S956" s="55"/>
      <c r="T956" s="55"/>
      <c r="U956" s="55"/>
      <c r="V956" s="55"/>
      <c r="W956" s="55"/>
      <c r="X956" s="57" t="str">
        <f t="shared" si="781"/>
        <v>--949-13-05</v>
      </c>
      <c r="Y956" s="58" t="str">
        <f t="shared" ref="Y956:AC956" si="851">TRIM(SUBSTITUTE(SUBSTITUTE(OFFSET($Q956,0,COLUMN()-COLUMN($AL$1)),CHAR(160)," "),_xludf.UNICHAR(8239)," "))</f>
        <v>#NAME?</v>
      </c>
      <c r="Z956" s="58" t="str">
        <f t="shared" si="851"/>
        <v>#NAME?</v>
      </c>
      <c r="AA956" s="58" t="str">
        <f t="shared" si="851"/>
        <v>#NAME?</v>
      </c>
      <c r="AB956" s="58" t="str">
        <f t="shared" si="851"/>
        <v>#NAME?</v>
      </c>
      <c r="AC956" s="58" t="str">
        <f t="shared" si="851"/>
        <v>#NAME?</v>
      </c>
      <c r="AD956" s="57">
        <f t="shared" si="772"/>
        <v>1</v>
      </c>
      <c r="AE956" s="57" t="str">
        <f t="shared" si="773"/>
        <v>2026-05</v>
      </c>
      <c r="AF956" s="57">
        <f t="shared" si="774"/>
        <v>1</v>
      </c>
      <c r="AG956" s="59">
        <f t="shared" si="775"/>
        <v>1</v>
      </c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</row>
    <row r="957" ht="24.0" customHeight="1">
      <c r="A957" s="85">
        <v>2.0</v>
      </c>
      <c r="B957" s="54" t="s">
        <v>2619</v>
      </c>
      <c r="C957" s="55" t="s">
        <v>2615</v>
      </c>
      <c r="D957" s="55"/>
      <c r="E957" s="55" t="s">
        <v>2620</v>
      </c>
      <c r="F957" s="55" t="s">
        <v>2621</v>
      </c>
      <c r="G957" s="55">
        <v>50.0</v>
      </c>
      <c r="H957" s="55" t="s">
        <v>85</v>
      </c>
      <c r="I957" s="55" t="s">
        <v>86</v>
      </c>
      <c r="J957" s="55" t="s">
        <v>87</v>
      </c>
      <c r="K957" s="55" t="s">
        <v>2622</v>
      </c>
      <c r="L957" s="55" t="s">
        <v>13</v>
      </c>
      <c r="M957" s="55" t="s">
        <v>89</v>
      </c>
      <c r="N957" s="55" t="s">
        <v>90</v>
      </c>
      <c r="O957" s="55"/>
      <c r="P957" s="55" t="s">
        <v>91</v>
      </c>
      <c r="Q957" s="55" t="s">
        <v>4</v>
      </c>
      <c r="R957" s="55"/>
      <c r="S957" s="55"/>
      <c r="T957" s="55"/>
      <c r="U957" s="55"/>
      <c r="V957" s="55"/>
      <c r="W957" s="55"/>
      <c r="X957" s="57" t="str">
        <f t="shared" si="781"/>
        <v>--950-13-05</v>
      </c>
      <c r="Y957" s="58" t="str">
        <f t="shared" ref="Y957:AC957" si="852">TRIM(SUBSTITUTE(SUBSTITUTE(OFFSET($Q957,0,COLUMN()-COLUMN($AL$1)),CHAR(160)," "),_xludf.UNICHAR(8239)," "))</f>
        <v>#NAME?</v>
      </c>
      <c r="Z957" s="58" t="str">
        <f t="shared" si="852"/>
        <v>#NAME?</v>
      </c>
      <c r="AA957" s="58" t="str">
        <f t="shared" si="852"/>
        <v>#NAME?</v>
      </c>
      <c r="AB957" s="58" t="str">
        <f t="shared" si="852"/>
        <v>#NAME?</v>
      </c>
      <c r="AC957" s="58" t="str">
        <f t="shared" si="852"/>
        <v>#NAME?</v>
      </c>
      <c r="AD957" s="57">
        <f t="shared" si="772"/>
        <v>1</v>
      </c>
      <c r="AE957" s="57" t="str">
        <f t="shared" si="773"/>
        <v>2026-05</v>
      </c>
      <c r="AF957" s="57">
        <f t="shared" si="774"/>
        <v>1</v>
      </c>
      <c r="AG957" s="59">
        <f t="shared" si="775"/>
        <v>1</v>
      </c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</row>
    <row r="958" ht="24.0" customHeight="1">
      <c r="A958" s="85">
        <v>3.0</v>
      </c>
      <c r="B958" s="54" t="s">
        <v>2623</v>
      </c>
      <c r="C958" s="55" t="s">
        <v>2615</v>
      </c>
      <c r="D958" s="55"/>
      <c r="E958" s="55" t="s">
        <v>2624</v>
      </c>
      <c r="F958" s="55" t="s">
        <v>2625</v>
      </c>
      <c r="G958" s="55">
        <v>27.0</v>
      </c>
      <c r="H958" s="55" t="s">
        <v>85</v>
      </c>
      <c r="I958" s="55" t="s">
        <v>86</v>
      </c>
      <c r="J958" s="55" t="s">
        <v>87</v>
      </c>
      <c r="K958" s="55" t="s">
        <v>2626</v>
      </c>
      <c r="L958" s="55" t="s">
        <v>34</v>
      </c>
      <c r="M958" s="55" t="s">
        <v>89</v>
      </c>
      <c r="N958" s="55" t="s">
        <v>90</v>
      </c>
      <c r="O958" s="55"/>
      <c r="P958" s="55" t="s">
        <v>91</v>
      </c>
      <c r="Q958" s="55" t="s">
        <v>16</v>
      </c>
      <c r="R958" s="55"/>
      <c r="S958" s="55"/>
      <c r="T958" s="55"/>
      <c r="U958" s="55"/>
      <c r="V958" s="55"/>
      <c r="W958" s="55"/>
      <c r="X958" s="57" t="str">
        <f t="shared" si="781"/>
        <v>--951-13-05</v>
      </c>
      <c r="Y958" s="58" t="str">
        <f t="shared" ref="Y958:AC958" si="853">TRIM(SUBSTITUTE(SUBSTITUTE(OFFSET($Q958,0,COLUMN()-COLUMN($AL$1)),CHAR(160)," "),_xludf.UNICHAR(8239)," "))</f>
        <v>#NAME?</v>
      </c>
      <c r="Z958" s="58" t="str">
        <f t="shared" si="853"/>
        <v>#NAME?</v>
      </c>
      <c r="AA958" s="58" t="str">
        <f t="shared" si="853"/>
        <v>#NAME?</v>
      </c>
      <c r="AB958" s="58" t="str">
        <f t="shared" si="853"/>
        <v>#NAME?</v>
      </c>
      <c r="AC958" s="58" t="str">
        <f t="shared" si="853"/>
        <v>#NAME?</v>
      </c>
      <c r="AD958" s="57">
        <f t="shared" si="772"/>
        <v>1</v>
      </c>
      <c r="AE958" s="57" t="str">
        <f t="shared" si="773"/>
        <v>2026-05</v>
      </c>
      <c r="AF958" s="57">
        <f t="shared" si="774"/>
        <v>1</v>
      </c>
      <c r="AG958" s="59">
        <f t="shared" si="775"/>
        <v>1</v>
      </c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</row>
    <row r="959" ht="24.0" customHeight="1">
      <c r="A959" s="85">
        <v>4.0</v>
      </c>
      <c r="B959" s="54" t="s">
        <v>2627</v>
      </c>
      <c r="C959" s="55" t="s">
        <v>2615</v>
      </c>
      <c r="D959" s="55"/>
      <c r="E959" s="55" t="s">
        <v>2628</v>
      </c>
      <c r="F959" s="55" t="s">
        <v>2629</v>
      </c>
      <c r="G959" s="55">
        <v>57.0</v>
      </c>
      <c r="H959" s="55" t="s">
        <v>85</v>
      </c>
      <c r="I959" s="55" t="s">
        <v>86</v>
      </c>
      <c r="J959" s="55" t="s">
        <v>87</v>
      </c>
      <c r="K959" s="55" t="s">
        <v>2630</v>
      </c>
      <c r="L959" s="55" t="s">
        <v>34</v>
      </c>
      <c r="M959" s="55" t="s">
        <v>89</v>
      </c>
      <c r="N959" s="55" t="s">
        <v>90</v>
      </c>
      <c r="O959" s="55"/>
      <c r="P959" s="55" t="s">
        <v>91</v>
      </c>
      <c r="Q959" s="55" t="s">
        <v>16</v>
      </c>
      <c r="R959" s="55"/>
      <c r="S959" s="55"/>
      <c r="T959" s="55"/>
      <c r="U959" s="55"/>
      <c r="V959" s="55"/>
      <c r="W959" s="55"/>
      <c r="X959" s="57" t="str">
        <f t="shared" si="781"/>
        <v>--952-13-05</v>
      </c>
      <c r="Y959" s="58" t="str">
        <f t="shared" ref="Y959:AC959" si="854">TRIM(SUBSTITUTE(SUBSTITUTE(OFFSET($Q959,0,COLUMN()-COLUMN($AL$1)),CHAR(160)," "),_xludf.UNICHAR(8239)," "))</f>
        <v>#NAME?</v>
      </c>
      <c r="Z959" s="58" t="str">
        <f t="shared" si="854"/>
        <v>#NAME?</v>
      </c>
      <c r="AA959" s="58" t="str">
        <f t="shared" si="854"/>
        <v>#NAME?</v>
      </c>
      <c r="AB959" s="58" t="str">
        <f t="shared" si="854"/>
        <v>#NAME?</v>
      </c>
      <c r="AC959" s="58" t="str">
        <f t="shared" si="854"/>
        <v>#NAME?</v>
      </c>
      <c r="AD959" s="57">
        <f t="shared" si="772"/>
        <v>1</v>
      </c>
      <c r="AE959" s="57" t="str">
        <f t="shared" si="773"/>
        <v>2026-05</v>
      </c>
      <c r="AF959" s="57">
        <f t="shared" si="774"/>
        <v>1</v>
      </c>
      <c r="AG959" s="59">
        <f t="shared" si="775"/>
        <v>1</v>
      </c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</row>
    <row r="960" ht="24.0" customHeight="1">
      <c r="A960" s="85">
        <v>5.0</v>
      </c>
      <c r="B960" s="54" t="s">
        <v>2631</v>
      </c>
      <c r="C960" s="55" t="s">
        <v>2615</v>
      </c>
      <c r="D960" s="55"/>
      <c r="E960" s="55" t="s">
        <v>2632</v>
      </c>
      <c r="F960" s="55" t="s">
        <v>2633</v>
      </c>
      <c r="G960" s="55">
        <v>8.0</v>
      </c>
      <c r="H960" s="55" t="s">
        <v>111</v>
      </c>
      <c r="I960" s="55" t="s">
        <v>112</v>
      </c>
      <c r="J960" s="55" t="s">
        <v>113</v>
      </c>
      <c r="K960" s="55" t="s">
        <v>2630</v>
      </c>
      <c r="L960" s="55" t="s">
        <v>34</v>
      </c>
      <c r="M960" s="55" t="s">
        <v>133</v>
      </c>
      <c r="N960" s="55" t="s">
        <v>90</v>
      </c>
      <c r="O960" s="55"/>
      <c r="P960" s="55" t="s">
        <v>91</v>
      </c>
      <c r="Q960" s="55" t="s">
        <v>16</v>
      </c>
      <c r="R960" s="55"/>
      <c r="S960" s="55"/>
      <c r="T960" s="55"/>
      <c r="U960" s="55"/>
      <c r="V960" s="55"/>
      <c r="W960" s="55"/>
      <c r="X960" s="57" t="str">
        <f t="shared" si="781"/>
        <v>--953-13-05</v>
      </c>
      <c r="Y960" s="58" t="str">
        <f t="shared" ref="Y960:AC960" si="855">TRIM(SUBSTITUTE(SUBSTITUTE(OFFSET($Q960,0,COLUMN()-COLUMN($AL$1)),CHAR(160)," "),_xludf.UNICHAR(8239)," "))</f>
        <v>#NAME?</v>
      </c>
      <c r="Z960" s="58" t="str">
        <f t="shared" si="855"/>
        <v>#NAME?</v>
      </c>
      <c r="AA960" s="58" t="str">
        <f t="shared" si="855"/>
        <v>#NAME?</v>
      </c>
      <c r="AB960" s="58" t="str">
        <f t="shared" si="855"/>
        <v>#NAME?</v>
      </c>
      <c r="AC960" s="58" t="str">
        <f t="shared" si="855"/>
        <v>#NAME?</v>
      </c>
      <c r="AD960" s="57">
        <f t="shared" si="772"/>
        <v>1</v>
      </c>
      <c r="AE960" s="57" t="str">
        <f t="shared" si="773"/>
        <v>2026-05</v>
      </c>
      <c r="AF960" s="57">
        <f t="shared" si="774"/>
        <v>1</v>
      </c>
      <c r="AG960" s="59">
        <f t="shared" si="775"/>
        <v>1</v>
      </c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</row>
    <row r="961" ht="24.0" customHeight="1">
      <c r="A961" s="85">
        <v>6.0</v>
      </c>
      <c r="B961" s="54" t="s">
        <v>2634</v>
      </c>
      <c r="C961" s="55" t="s">
        <v>2615</v>
      </c>
      <c r="D961" s="55"/>
      <c r="E961" s="55" t="s">
        <v>2635</v>
      </c>
      <c r="F961" s="55" t="s">
        <v>2636</v>
      </c>
      <c r="G961" s="55">
        <v>42.0</v>
      </c>
      <c r="H961" s="55" t="s">
        <v>85</v>
      </c>
      <c r="I961" s="55" t="s">
        <v>86</v>
      </c>
      <c r="J961" s="55" t="s">
        <v>87</v>
      </c>
      <c r="K961" s="55" t="s">
        <v>2637</v>
      </c>
      <c r="L961" s="55" t="s">
        <v>34</v>
      </c>
      <c r="M961" s="55" t="s">
        <v>89</v>
      </c>
      <c r="N961" s="55" t="s">
        <v>90</v>
      </c>
      <c r="O961" s="55"/>
      <c r="P961" s="55" t="s">
        <v>91</v>
      </c>
      <c r="Q961" s="55" t="s">
        <v>16</v>
      </c>
      <c r="R961" s="55"/>
      <c r="S961" s="55"/>
      <c r="T961" s="55"/>
      <c r="U961" s="55"/>
      <c r="V961" s="55"/>
      <c r="W961" s="55"/>
      <c r="X961" s="57" t="str">
        <f t="shared" si="781"/>
        <v>--954-13-05</v>
      </c>
      <c r="Y961" s="58" t="str">
        <f t="shared" ref="Y961:AC961" si="856">TRIM(SUBSTITUTE(SUBSTITUTE(OFFSET($Q961,0,COLUMN()-COLUMN($AL$1)),CHAR(160)," "),_xludf.UNICHAR(8239)," "))</f>
        <v>#NAME?</v>
      </c>
      <c r="Z961" s="58" t="str">
        <f t="shared" si="856"/>
        <v>#NAME?</v>
      </c>
      <c r="AA961" s="58" t="str">
        <f t="shared" si="856"/>
        <v>#NAME?</v>
      </c>
      <c r="AB961" s="58" t="str">
        <f t="shared" si="856"/>
        <v>#NAME?</v>
      </c>
      <c r="AC961" s="58" t="str">
        <f t="shared" si="856"/>
        <v>#NAME?</v>
      </c>
      <c r="AD961" s="57">
        <f t="shared" si="772"/>
        <v>1</v>
      </c>
      <c r="AE961" s="57" t="str">
        <f t="shared" si="773"/>
        <v>2026-05</v>
      </c>
      <c r="AF961" s="57">
        <f t="shared" si="774"/>
        <v>1</v>
      </c>
      <c r="AG961" s="59">
        <f t="shared" si="775"/>
        <v>1</v>
      </c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</row>
    <row r="962" ht="24.0" customHeight="1">
      <c r="A962" s="85">
        <v>7.0</v>
      </c>
      <c r="B962" s="54" t="s">
        <v>2638</v>
      </c>
      <c r="C962" s="55" t="s">
        <v>2615</v>
      </c>
      <c r="D962" s="55"/>
      <c r="E962" s="55" t="s">
        <v>2639</v>
      </c>
      <c r="F962" s="55" t="s">
        <v>2640</v>
      </c>
      <c r="G962" s="55">
        <v>52.0</v>
      </c>
      <c r="H962" s="55" t="s">
        <v>85</v>
      </c>
      <c r="I962" s="55" t="s">
        <v>112</v>
      </c>
      <c r="J962" s="55" t="s">
        <v>113</v>
      </c>
      <c r="K962" s="55" t="s">
        <v>2140</v>
      </c>
      <c r="L962" s="55" t="s">
        <v>34</v>
      </c>
      <c r="M962" s="55" t="s">
        <v>89</v>
      </c>
      <c r="N962" s="55" t="s">
        <v>90</v>
      </c>
      <c r="O962" s="55"/>
      <c r="P962" s="55" t="s">
        <v>91</v>
      </c>
      <c r="Q962" s="55" t="s">
        <v>16</v>
      </c>
      <c r="R962" s="55"/>
      <c r="S962" s="55"/>
      <c r="T962" s="55"/>
      <c r="U962" s="55"/>
      <c r="V962" s="55"/>
      <c r="W962" s="55"/>
      <c r="X962" s="57" t="str">
        <f t="shared" si="781"/>
        <v>--955-13-05</v>
      </c>
      <c r="Y962" s="58" t="str">
        <f t="shared" ref="Y962:AC962" si="857">TRIM(SUBSTITUTE(SUBSTITUTE(OFFSET($Q962,0,COLUMN()-COLUMN($AL$1)),CHAR(160)," "),_xludf.UNICHAR(8239)," "))</f>
        <v>#NAME?</v>
      </c>
      <c r="Z962" s="58" t="str">
        <f t="shared" si="857"/>
        <v>#NAME?</v>
      </c>
      <c r="AA962" s="58" t="str">
        <f t="shared" si="857"/>
        <v>#NAME?</v>
      </c>
      <c r="AB962" s="58" t="str">
        <f t="shared" si="857"/>
        <v>#NAME?</v>
      </c>
      <c r="AC962" s="58" t="str">
        <f t="shared" si="857"/>
        <v>#NAME?</v>
      </c>
      <c r="AD962" s="57">
        <f t="shared" si="772"/>
        <v>1</v>
      </c>
      <c r="AE962" s="57" t="str">
        <f t="shared" si="773"/>
        <v>2026-05</v>
      </c>
      <c r="AF962" s="57">
        <f t="shared" si="774"/>
        <v>1</v>
      </c>
      <c r="AG962" s="59">
        <f t="shared" si="775"/>
        <v>1</v>
      </c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</row>
    <row r="963" ht="24.0" customHeight="1">
      <c r="A963" s="85">
        <v>8.0</v>
      </c>
      <c r="B963" s="54" t="s">
        <v>949</v>
      </c>
      <c r="C963" s="55" t="s">
        <v>2615</v>
      </c>
      <c r="D963" s="60">
        <v>46145.0</v>
      </c>
      <c r="E963" s="55" t="s">
        <v>950</v>
      </c>
      <c r="F963" s="55" t="s">
        <v>2641</v>
      </c>
      <c r="G963" s="55">
        <v>35.0</v>
      </c>
      <c r="H963" s="55" t="s">
        <v>85</v>
      </c>
      <c r="I963" s="55" t="s">
        <v>86</v>
      </c>
      <c r="J963" s="55" t="s">
        <v>87</v>
      </c>
      <c r="K963" s="55" t="s">
        <v>2642</v>
      </c>
      <c r="L963" s="55" t="s">
        <v>24</v>
      </c>
      <c r="M963" s="55" t="s">
        <v>89</v>
      </c>
      <c r="N963" s="55" t="s">
        <v>90</v>
      </c>
      <c r="O963" s="55"/>
      <c r="P963" s="55" t="s">
        <v>91</v>
      </c>
      <c r="Q963" s="55"/>
      <c r="R963" s="55" t="s">
        <v>36</v>
      </c>
      <c r="S963" s="55"/>
      <c r="T963" s="55"/>
      <c r="U963" s="55"/>
      <c r="V963" s="55"/>
      <c r="W963" s="55"/>
      <c r="X963" s="57" t="str">
        <f t="shared" si="781"/>
        <v>--956-13-05</v>
      </c>
      <c r="Y963" s="58" t="str">
        <f t="shared" ref="Y963:AC963" si="858">TRIM(SUBSTITUTE(SUBSTITUTE(OFFSET($Q963,0,COLUMN()-COLUMN($AL$1)),CHAR(160)," "),_xludf.UNICHAR(8239)," "))</f>
        <v>#NAME?</v>
      </c>
      <c r="Z963" s="58" t="str">
        <f t="shared" si="858"/>
        <v>#NAME?</v>
      </c>
      <c r="AA963" s="58" t="str">
        <f t="shared" si="858"/>
        <v>#NAME?</v>
      </c>
      <c r="AB963" s="58" t="str">
        <f t="shared" si="858"/>
        <v>#NAME?</v>
      </c>
      <c r="AC963" s="58" t="str">
        <f t="shared" si="858"/>
        <v>#NAME?</v>
      </c>
      <c r="AD963" s="57">
        <f t="shared" si="772"/>
        <v>1</v>
      </c>
      <c r="AE963" s="57" t="str">
        <f t="shared" si="773"/>
        <v>2026-05</v>
      </c>
      <c r="AF963" s="57">
        <f t="shared" si="774"/>
        <v>0</v>
      </c>
      <c r="AG963" s="59">
        <f t="shared" si="775"/>
        <v>0</v>
      </c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</row>
    <row r="964" ht="24.0" customHeight="1">
      <c r="A964" s="85">
        <v>9.0</v>
      </c>
      <c r="B964" s="54" t="s">
        <v>2643</v>
      </c>
      <c r="C964" s="55" t="s">
        <v>2615</v>
      </c>
      <c r="D964" s="55"/>
      <c r="E964" s="55" t="s">
        <v>2644</v>
      </c>
      <c r="F964" s="55" t="s">
        <v>2645</v>
      </c>
      <c r="G964" s="55">
        <v>25.0</v>
      </c>
      <c r="H964" s="55" t="s">
        <v>85</v>
      </c>
      <c r="I964" s="55" t="s">
        <v>86</v>
      </c>
      <c r="J964" s="55" t="s">
        <v>87</v>
      </c>
      <c r="K964" s="55" t="s">
        <v>2646</v>
      </c>
      <c r="L964" s="55" t="s">
        <v>13</v>
      </c>
      <c r="M964" s="55" t="s">
        <v>133</v>
      </c>
      <c r="N964" s="55" t="s">
        <v>90</v>
      </c>
      <c r="O964" s="55"/>
      <c r="P964" s="55" t="s">
        <v>91</v>
      </c>
      <c r="Q964" s="55"/>
      <c r="R964" s="55" t="s">
        <v>5</v>
      </c>
      <c r="S964" s="55"/>
      <c r="T964" s="55"/>
      <c r="U964" s="55" t="s">
        <v>7</v>
      </c>
      <c r="V964" s="55"/>
      <c r="W964" s="55"/>
      <c r="X964" s="57" t="str">
        <f t="shared" si="781"/>
        <v>--957-13-05</v>
      </c>
      <c r="Y964" s="58" t="str">
        <f t="shared" ref="Y964:AC964" si="859">TRIM(SUBSTITUTE(SUBSTITUTE(OFFSET($Q964,0,COLUMN()-COLUMN($AL$1)),CHAR(160)," "),_xludf.UNICHAR(8239)," "))</f>
        <v>#NAME?</v>
      </c>
      <c r="Z964" s="58" t="str">
        <f t="shared" si="859"/>
        <v>#NAME?</v>
      </c>
      <c r="AA964" s="58" t="str">
        <f t="shared" si="859"/>
        <v>#NAME?</v>
      </c>
      <c r="AB964" s="58" t="str">
        <f t="shared" si="859"/>
        <v>#NAME?</v>
      </c>
      <c r="AC964" s="58" t="str">
        <f t="shared" si="859"/>
        <v>#NAME?</v>
      </c>
      <c r="AD964" s="57">
        <f t="shared" si="772"/>
        <v>1</v>
      </c>
      <c r="AE964" s="57" t="str">
        <f t="shared" si="773"/>
        <v>2026-05</v>
      </c>
      <c r="AF964" s="57">
        <f t="shared" si="774"/>
        <v>1</v>
      </c>
      <c r="AG964" s="59">
        <f t="shared" si="775"/>
        <v>1</v>
      </c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</row>
    <row r="965" ht="24.0" customHeight="1">
      <c r="A965" s="85">
        <v>10.0</v>
      </c>
      <c r="B965" s="54" t="s">
        <v>2647</v>
      </c>
      <c r="C965" s="55" t="s">
        <v>2615</v>
      </c>
      <c r="D965" s="55"/>
      <c r="E965" s="55" t="s">
        <v>2648</v>
      </c>
      <c r="F965" s="55" t="s">
        <v>1881</v>
      </c>
      <c r="G965" s="55">
        <v>27.0</v>
      </c>
      <c r="H965" s="55" t="s">
        <v>85</v>
      </c>
      <c r="I965" s="55" t="s">
        <v>86</v>
      </c>
      <c r="J965" s="55" t="s">
        <v>87</v>
      </c>
      <c r="K965" s="55" t="s">
        <v>2649</v>
      </c>
      <c r="L965" s="55" t="s">
        <v>34</v>
      </c>
      <c r="M965" s="55" t="s">
        <v>89</v>
      </c>
      <c r="N965" s="55" t="s">
        <v>90</v>
      </c>
      <c r="O965" s="55"/>
      <c r="P965" s="55" t="s">
        <v>91</v>
      </c>
      <c r="Q965" s="55"/>
      <c r="R965" s="55" t="s">
        <v>5</v>
      </c>
      <c r="S965" s="55"/>
      <c r="T965" s="55"/>
      <c r="U965" s="55" t="s">
        <v>7</v>
      </c>
      <c r="V965" s="55"/>
      <c r="W965" s="55"/>
      <c r="X965" s="57" t="str">
        <f t="shared" si="781"/>
        <v>--958-13-05</v>
      </c>
      <c r="Y965" s="58" t="str">
        <f t="shared" ref="Y965:AC965" si="860">TRIM(SUBSTITUTE(SUBSTITUTE(OFFSET($Q965,0,COLUMN()-COLUMN($AL$1)),CHAR(160)," "),_xludf.UNICHAR(8239)," "))</f>
        <v>#NAME?</v>
      </c>
      <c r="Z965" s="58" t="str">
        <f t="shared" si="860"/>
        <v>#NAME?</v>
      </c>
      <c r="AA965" s="58" t="str">
        <f t="shared" si="860"/>
        <v>#NAME?</v>
      </c>
      <c r="AB965" s="58" t="str">
        <f t="shared" si="860"/>
        <v>#NAME?</v>
      </c>
      <c r="AC965" s="58" t="str">
        <f t="shared" si="860"/>
        <v>#NAME?</v>
      </c>
      <c r="AD965" s="57">
        <f t="shared" si="772"/>
        <v>1</v>
      </c>
      <c r="AE965" s="57" t="str">
        <f t="shared" si="773"/>
        <v>2026-05</v>
      </c>
      <c r="AF965" s="57">
        <f t="shared" si="774"/>
        <v>1</v>
      </c>
      <c r="AG965" s="59">
        <f t="shared" si="775"/>
        <v>1</v>
      </c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</row>
    <row r="966" ht="24.0" customHeight="1">
      <c r="A966" s="85">
        <v>11.0</v>
      </c>
      <c r="B966" s="54" t="s">
        <v>2650</v>
      </c>
      <c r="C966" s="55" t="s">
        <v>2615</v>
      </c>
      <c r="D966" s="55"/>
      <c r="E966" s="55" t="s">
        <v>2651</v>
      </c>
      <c r="F966" s="55" t="s">
        <v>2652</v>
      </c>
      <c r="G966" s="55">
        <v>23.0</v>
      </c>
      <c r="H966" s="55" t="s">
        <v>85</v>
      </c>
      <c r="I966" s="55" t="s">
        <v>86</v>
      </c>
      <c r="J966" s="55" t="s">
        <v>87</v>
      </c>
      <c r="K966" s="55" t="s">
        <v>2653</v>
      </c>
      <c r="L966" s="55" t="s">
        <v>13</v>
      </c>
      <c r="M966" s="55" t="s">
        <v>133</v>
      </c>
      <c r="N966" s="55" t="s">
        <v>90</v>
      </c>
      <c r="O966" s="55"/>
      <c r="P966" s="55" t="s">
        <v>91</v>
      </c>
      <c r="Q966" s="55"/>
      <c r="R966" s="55" t="s">
        <v>5</v>
      </c>
      <c r="S966" s="55"/>
      <c r="T966" s="55"/>
      <c r="U966" s="55" t="s">
        <v>7</v>
      </c>
      <c r="V966" s="55"/>
      <c r="W966" s="55"/>
      <c r="X966" s="57" t="str">
        <f t="shared" si="781"/>
        <v>--959-13-05</v>
      </c>
      <c r="Y966" s="58" t="str">
        <f t="shared" ref="Y966:AC966" si="861">TRIM(SUBSTITUTE(SUBSTITUTE(OFFSET($Q966,0,COLUMN()-COLUMN($AL$1)),CHAR(160)," "),_xludf.UNICHAR(8239)," "))</f>
        <v>#NAME?</v>
      </c>
      <c r="Z966" s="58" t="str">
        <f t="shared" si="861"/>
        <v>#NAME?</v>
      </c>
      <c r="AA966" s="58" t="str">
        <f t="shared" si="861"/>
        <v>#NAME?</v>
      </c>
      <c r="AB966" s="58" t="str">
        <f t="shared" si="861"/>
        <v>#NAME?</v>
      </c>
      <c r="AC966" s="58" t="str">
        <f t="shared" si="861"/>
        <v>#NAME?</v>
      </c>
      <c r="AD966" s="57">
        <f t="shared" si="772"/>
        <v>1</v>
      </c>
      <c r="AE966" s="57" t="str">
        <f t="shared" si="773"/>
        <v>2026-05</v>
      </c>
      <c r="AF966" s="57">
        <f t="shared" si="774"/>
        <v>1</v>
      </c>
      <c r="AG966" s="59">
        <f t="shared" si="775"/>
        <v>1</v>
      </c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</row>
    <row r="967" ht="24.0" customHeight="1">
      <c r="A967" s="85">
        <v>12.0</v>
      </c>
      <c r="B967" s="54" t="s">
        <v>2654</v>
      </c>
      <c r="C967" s="55" t="s">
        <v>2615</v>
      </c>
      <c r="D967" s="55"/>
      <c r="E967" s="55" t="s">
        <v>2655</v>
      </c>
      <c r="F967" s="55" t="s">
        <v>2656</v>
      </c>
      <c r="G967" s="55">
        <v>37.0</v>
      </c>
      <c r="H967" s="55" t="s">
        <v>85</v>
      </c>
      <c r="I967" s="55" t="s">
        <v>86</v>
      </c>
      <c r="J967" s="55" t="s">
        <v>87</v>
      </c>
      <c r="K967" s="55" t="s">
        <v>2657</v>
      </c>
      <c r="L967" s="55" t="s">
        <v>24</v>
      </c>
      <c r="M967" s="55" t="s">
        <v>89</v>
      </c>
      <c r="N967" s="55" t="s">
        <v>90</v>
      </c>
      <c r="O967" s="55"/>
      <c r="P967" s="55" t="s">
        <v>91</v>
      </c>
      <c r="Q967" s="55"/>
      <c r="R967" s="55" t="s">
        <v>5</v>
      </c>
      <c r="S967" s="55"/>
      <c r="T967" s="55"/>
      <c r="U967" s="55" t="s">
        <v>7</v>
      </c>
      <c r="V967" s="55"/>
      <c r="W967" s="55"/>
      <c r="X967" s="57" t="str">
        <f t="shared" si="781"/>
        <v>--960-13-05</v>
      </c>
      <c r="Y967" s="58" t="str">
        <f t="shared" ref="Y967:AC967" si="862">TRIM(SUBSTITUTE(SUBSTITUTE(OFFSET($Q967,0,COLUMN()-COLUMN($AL$1)),CHAR(160)," "),_xludf.UNICHAR(8239)," "))</f>
        <v>#NAME?</v>
      </c>
      <c r="Z967" s="58" t="str">
        <f t="shared" si="862"/>
        <v>#NAME?</v>
      </c>
      <c r="AA967" s="58" t="str">
        <f t="shared" si="862"/>
        <v>#NAME?</v>
      </c>
      <c r="AB967" s="58" t="str">
        <f t="shared" si="862"/>
        <v>#NAME?</v>
      </c>
      <c r="AC967" s="58" t="str">
        <f t="shared" si="862"/>
        <v>#NAME?</v>
      </c>
      <c r="AD967" s="57">
        <f t="shared" si="772"/>
        <v>1</v>
      </c>
      <c r="AE967" s="57" t="str">
        <f t="shared" si="773"/>
        <v>2026-05</v>
      </c>
      <c r="AF967" s="57">
        <f t="shared" si="774"/>
        <v>1</v>
      </c>
      <c r="AG967" s="59">
        <f t="shared" si="775"/>
        <v>1</v>
      </c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</row>
    <row r="968" ht="24.0" customHeight="1">
      <c r="A968" s="85">
        <v>13.0</v>
      </c>
      <c r="B968" s="54" t="s">
        <v>2658</v>
      </c>
      <c r="C968" s="55" t="s">
        <v>2615</v>
      </c>
      <c r="D968" s="55"/>
      <c r="E968" s="55" t="s">
        <v>2659</v>
      </c>
      <c r="F968" s="55" t="s">
        <v>2660</v>
      </c>
      <c r="G968" s="55">
        <v>29.0</v>
      </c>
      <c r="H968" s="55" t="s">
        <v>85</v>
      </c>
      <c r="I968" s="55" t="s">
        <v>86</v>
      </c>
      <c r="J968" s="55" t="s">
        <v>87</v>
      </c>
      <c r="K968" s="55" t="s">
        <v>2661</v>
      </c>
      <c r="L968" s="55" t="s">
        <v>13</v>
      </c>
      <c r="M968" s="55" t="s">
        <v>89</v>
      </c>
      <c r="N968" s="55" t="s">
        <v>90</v>
      </c>
      <c r="O968" s="55"/>
      <c r="P968" s="55" t="s">
        <v>91</v>
      </c>
      <c r="Q968" s="55" t="s">
        <v>16</v>
      </c>
      <c r="R968" s="55"/>
      <c r="S968" s="55"/>
      <c r="T968" s="55"/>
      <c r="U968" s="55"/>
      <c r="V968" s="55"/>
      <c r="W968" s="55"/>
      <c r="X968" s="57" t="str">
        <f t="shared" si="781"/>
        <v>--961-13-05</v>
      </c>
      <c r="Y968" s="58" t="str">
        <f t="shared" ref="Y968:AC968" si="863">TRIM(SUBSTITUTE(SUBSTITUTE(OFFSET($Q968,0,COLUMN()-COLUMN($AL$1)),CHAR(160)," "),_xludf.UNICHAR(8239)," "))</f>
        <v>#NAME?</v>
      </c>
      <c r="Z968" s="58" t="str">
        <f t="shared" si="863"/>
        <v>#NAME?</v>
      </c>
      <c r="AA968" s="58" t="str">
        <f t="shared" si="863"/>
        <v>#NAME?</v>
      </c>
      <c r="AB968" s="58" t="str">
        <f t="shared" si="863"/>
        <v>#NAME?</v>
      </c>
      <c r="AC968" s="58" t="str">
        <f t="shared" si="863"/>
        <v>#NAME?</v>
      </c>
      <c r="AD968" s="57">
        <f t="shared" si="772"/>
        <v>1</v>
      </c>
      <c r="AE968" s="57" t="str">
        <f t="shared" si="773"/>
        <v>2026-05</v>
      </c>
      <c r="AF968" s="57">
        <f t="shared" si="774"/>
        <v>1</v>
      </c>
      <c r="AG968" s="59">
        <f t="shared" si="775"/>
        <v>1</v>
      </c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</row>
    <row r="969" ht="24.0" customHeight="1">
      <c r="A969" s="85">
        <v>14.0</v>
      </c>
      <c r="B969" s="54" t="s">
        <v>2662</v>
      </c>
      <c r="C969" s="55" t="s">
        <v>2615</v>
      </c>
      <c r="D969" s="55"/>
      <c r="E969" s="55" t="s">
        <v>2663</v>
      </c>
      <c r="F969" s="55" t="s">
        <v>1592</v>
      </c>
      <c r="G969" s="55">
        <v>30.0</v>
      </c>
      <c r="H969" s="55" t="s">
        <v>85</v>
      </c>
      <c r="I969" s="55" t="s">
        <v>86</v>
      </c>
      <c r="J969" s="55" t="s">
        <v>87</v>
      </c>
      <c r="K969" s="55" t="s">
        <v>2664</v>
      </c>
      <c r="L969" s="55" t="s">
        <v>13</v>
      </c>
      <c r="M969" s="55" t="s">
        <v>89</v>
      </c>
      <c r="N969" s="55" t="s">
        <v>90</v>
      </c>
      <c r="O969" s="55"/>
      <c r="P969" s="55" t="s">
        <v>91</v>
      </c>
      <c r="Q969" s="55"/>
      <c r="R969" s="55" t="s">
        <v>5</v>
      </c>
      <c r="S969" s="55"/>
      <c r="T969" s="55"/>
      <c r="U969" s="55" t="s">
        <v>7</v>
      </c>
      <c r="V969" s="55"/>
      <c r="W969" s="55"/>
      <c r="X969" s="57" t="str">
        <f t="shared" si="781"/>
        <v>--962-13-05</v>
      </c>
      <c r="Y969" s="58" t="str">
        <f t="shared" ref="Y969:AC969" si="864">TRIM(SUBSTITUTE(SUBSTITUTE(OFFSET($Q969,0,COLUMN()-COLUMN($AL$1)),CHAR(160)," "),_xludf.UNICHAR(8239)," "))</f>
        <v>#NAME?</v>
      </c>
      <c r="Z969" s="58" t="str">
        <f t="shared" si="864"/>
        <v>#NAME?</v>
      </c>
      <c r="AA969" s="58" t="str">
        <f t="shared" si="864"/>
        <v>#NAME?</v>
      </c>
      <c r="AB969" s="58" t="str">
        <f t="shared" si="864"/>
        <v>#NAME?</v>
      </c>
      <c r="AC969" s="58" t="str">
        <f t="shared" si="864"/>
        <v>#NAME?</v>
      </c>
      <c r="AD969" s="57">
        <f t="shared" si="772"/>
        <v>1</v>
      </c>
      <c r="AE969" s="57" t="str">
        <f t="shared" si="773"/>
        <v>2026-05</v>
      </c>
      <c r="AF969" s="57">
        <f t="shared" si="774"/>
        <v>1</v>
      </c>
      <c r="AG969" s="59">
        <f t="shared" si="775"/>
        <v>1</v>
      </c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</row>
    <row r="970" ht="24.0" customHeight="1">
      <c r="A970" s="85">
        <v>15.0</v>
      </c>
      <c r="B970" s="54" t="s">
        <v>2665</v>
      </c>
      <c r="C970" s="55" t="s">
        <v>2615</v>
      </c>
      <c r="D970" s="55"/>
      <c r="E970" s="55" t="s">
        <v>2666</v>
      </c>
      <c r="F970" s="55" t="s">
        <v>2667</v>
      </c>
      <c r="G970" s="55">
        <v>37.0</v>
      </c>
      <c r="H970" s="55" t="s">
        <v>85</v>
      </c>
      <c r="I970" s="55" t="s">
        <v>86</v>
      </c>
      <c r="J970" s="55" t="s">
        <v>87</v>
      </c>
      <c r="K970" s="55" t="s">
        <v>2668</v>
      </c>
      <c r="L970" s="55" t="s">
        <v>24</v>
      </c>
      <c r="M970" s="55" t="s">
        <v>89</v>
      </c>
      <c r="N970" s="55" t="s">
        <v>90</v>
      </c>
      <c r="O970" s="55"/>
      <c r="P970" s="55" t="s">
        <v>91</v>
      </c>
      <c r="Q970" s="55"/>
      <c r="R970" s="55" t="s">
        <v>17</v>
      </c>
      <c r="S970" s="55"/>
      <c r="T970" s="55"/>
      <c r="U970" s="55"/>
      <c r="V970" s="55"/>
      <c r="W970" s="55"/>
      <c r="X970" s="57" t="str">
        <f t="shared" si="781"/>
        <v>--963-13-05</v>
      </c>
      <c r="Y970" s="58" t="str">
        <f t="shared" ref="Y970:AC970" si="865">TRIM(SUBSTITUTE(SUBSTITUTE(OFFSET($Q970,0,COLUMN()-COLUMN($AL$1)),CHAR(160)," "),_xludf.UNICHAR(8239)," "))</f>
        <v>#NAME?</v>
      </c>
      <c r="Z970" s="58" t="str">
        <f t="shared" si="865"/>
        <v>#NAME?</v>
      </c>
      <c r="AA970" s="58" t="str">
        <f t="shared" si="865"/>
        <v>#NAME?</v>
      </c>
      <c r="AB970" s="58" t="str">
        <f t="shared" si="865"/>
        <v>#NAME?</v>
      </c>
      <c r="AC970" s="58" t="str">
        <f t="shared" si="865"/>
        <v>#NAME?</v>
      </c>
      <c r="AD970" s="57">
        <f t="shared" si="772"/>
        <v>1</v>
      </c>
      <c r="AE970" s="57" t="str">
        <f t="shared" si="773"/>
        <v>2026-05</v>
      </c>
      <c r="AF970" s="57">
        <f t="shared" si="774"/>
        <v>1</v>
      </c>
      <c r="AG970" s="59">
        <f t="shared" si="775"/>
        <v>1</v>
      </c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</row>
    <row r="971" ht="24.0" customHeight="1">
      <c r="A971" s="85">
        <v>16.0</v>
      </c>
      <c r="B971" s="54" t="s">
        <v>2669</v>
      </c>
      <c r="C971" s="55" t="s">
        <v>2615</v>
      </c>
      <c r="D971" s="55"/>
      <c r="E971" s="55" t="s">
        <v>2670</v>
      </c>
      <c r="F971" s="55" t="s">
        <v>2671</v>
      </c>
      <c r="G971" s="55">
        <v>1.0</v>
      </c>
      <c r="H971" s="55" t="s">
        <v>119</v>
      </c>
      <c r="I971" s="55" t="s">
        <v>112</v>
      </c>
      <c r="J971" s="55" t="s">
        <v>113</v>
      </c>
      <c r="K971" s="55" t="s">
        <v>2668</v>
      </c>
      <c r="L971" s="55" t="s">
        <v>34</v>
      </c>
      <c r="M971" s="55" t="s">
        <v>133</v>
      </c>
      <c r="N971" s="55" t="s">
        <v>90</v>
      </c>
      <c r="O971" s="55"/>
      <c r="P971" s="55" t="s">
        <v>91</v>
      </c>
      <c r="Q971" s="55" t="s">
        <v>16</v>
      </c>
      <c r="R971" s="55"/>
      <c r="S971" s="55"/>
      <c r="T971" s="55"/>
      <c r="U971" s="55"/>
      <c r="V971" s="55"/>
      <c r="W971" s="55"/>
      <c r="X971" s="57" t="str">
        <f t="shared" si="781"/>
        <v>--964-13-05</v>
      </c>
      <c r="Y971" s="58" t="str">
        <f t="shared" ref="Y971:AC971" si="866">TRIM(SUBSTITUTE(SUBSTITUTE(OFFSET($Q971,0,COLUMN()-COLUMN($AL$1)),CHAR(160)," "),_xludf.UNICHAR(8239)," "))</f>
        <v>#NAME?</v>
      </c>
      <c r="Z971" s="58" t="str">
        <f t="shared" si="866"/>
        <v>#NAME?</v>
      </c>
      <c r="AA971" s="58" t="str">
        <f t="shared" si="866"/>
        <v>#NAME?</v>
      </c>
      <c r="AB971" s="58" t="str">
        <f t="shared" si="866"/>
        <v>#NAME?</v>
      </c>
      <c r="AC971" s="58" t="str">
        <f t="shared" si="866"/>
        <v>#NAME?</v>
      </c>
      <c r="AD971" s="57">
        <f t="shared" si="772"/>
        <v>1</v>
      </c>
      <c r="AE971" s="57" t="str">
        <f t="shared" si="773"/>
        <v>2026-05</v>
      </c>
      <c r="AF971" s="57">
        <f t="shared" si="774"/>
        <v>1</v>
      </c>
      <c r="AG971" s="59">
        <f t="shared" si="775"/>
        <v>1</v>
      </c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</row>
    <row r="972" ht="24.0" customHeight="1">
      <c r="A972" s="85">
        <v>17.0</v>
      </c>
      <c r="B972" s="54" t="s">
        <v>2672</v>
      </c>
      <c r="C972" s="55" t="s">
        <v>2615</v>
      </c>
      <c r="D972" s="60">
        <v>46149.0</v>
      </c>
      <c r="E972" s="55" t="s">
        <v>2673</v>
      </c>
      <c r="F972" s="55" t="s">
        <v>2674</v>
      </c>
      <c r="G972" s="55">
        <v>30.0</v>
      </c>
      <c r="H972" s="55" t="s">
        <v>85</v>
      </c>
      <c r="I972" s="55" t="s">
        <v>86</v>
      </c>
      <c r="J972" s="55" t="s">
        <v>87</v>
      </c>
      <c r="K972" s="55" t="s">
        <v>2675</v>
      </c>
      <c r="L972" s="55" t="s">
        <v>44</v>
      </c>
      <c r="M972" s="55" t="s">
        <v>89</v>
      </c>
      <c r="N972" s="55" t="s">
        <v>90</v>
      </c>
      <c r="O972" s="55"/>
      <c r="P972" s="55" t="s">
        <v>91</v>
      </c>
      <c r="Q972" s="55"/>
      <c r="R972" s="55" t="s">
        <v>27</v>
      </c>
      <c r="S972" s="55"/>
      <c r="T972" s="55"/>
      <c r="U972" s="55"/>
      <c r="V972" s="55"/>
      <c r="W972" s="55"/>
      <c r="X972" s="57" t="str">
        <f t="shared" si="781"/>
        <v>--965-13-05</v>
      </c>
      <c r="Y972" s="58" t="str">
        <f t="shared" ref="Y972:AC972" si="867">TRIM(SUBSTITUTE(SUBSTITUTE(OFFSET($Q972,0,COLUMN()-COLUMN($AL$1)),CHAR(160)," "),_xludf.UNICHAR(8239)," "))</f>
        <v>#NAME?</v>
      </c>
      <c r="Z972" s="58" t="str">
        <f t="shared" si="867"/>
        <v>#NAME?</v>
      </c>
      <c r="AA972" s="58" t="str">
        <f t="shared" si="867"/>
        <v>#NAME?</v>
      </c>
      <c r="AB972" s="58" t="str">
        <f t="shared" si="867"/>
        <v>#NAME?</v>
      </c>
      <c r="AC972" s="58" t="str">
        <f t="shared" si="867"/>
        <v>#NAME?</v>
      </c>
      <c r="AD972" s="57">
        <f t="shared" si="772"/>
        <v>1</v>
      </c>
      <c r="AE972" s="57" t="str">
        <f t="shared" si="773"/>
        <v>2026-05</v>
      </c>
      <c r="AF972" s="57">
        <f t="shared" si="774"/>
        <v>0</v>
      </c>
      <c r="AG972" s="59">
        <f t="shared" si="775"/>
        <v>0</v>
      </c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</row>
    <row r="973" ht="24.0" customHeight="1">
      <c r="A973" s="85">
        <v>18.0</v>
      </c>
      <c r="B973" s="54" t="s">
        <v>1027</v>
      </c>
      <c r="C973" s="55" t="s">
        <v>2615</v>
      </c>
      <c r="D973" s="60">
        <v>46141.0</v>
      </c>
      <c r="E973" s="55" t="s">
        <v>1028</v>
      </c>
      <c r="F973" s="55" t="s">
        <v>2676</v>
      </c>
      <c r="G973" s="55">
        <v>1.0</v>
      </c>
      <c r="H973" s="55" t="s">
        <v>119</v>
      </c>
      <c r="I973" s="55" t="s">
        <v>86</v>
      </c>
      <c r="J973" s="55" t="s">
        <v>87</v>
      </c>
      <c r="K973" s="55" t="s">
        <v>1030</v>
      </c>
      <c r="L973" s="55" t="s">
        <v>34</v>
      </c>
      <c r="M973" s="55" t="s">
        <v>133</v>
      </c>
      <c r="N973" s="55" t="s">
        <v>90</v>
      </c>
      <c r="O973" s="55"/>
      <c r="P973" s="55" t="s">
        <v>91</v>
      </c>
      <c r="Q973" s="55" t="s">
        <v>16</v>
      </c>
      <c r="R973" s="55"/>
      <c r="S973" s="55"/>
      <c r="T973" s="55"/>
      <c r="U973" s="55"/>
      <c r="V973" s="55"/>
      <c r="W973" s="55"/>
      <c r="X973" s="57" t="str">
        <f t="shared" si="781"/>
        <v>--966-13-05</v>
      </c>
      <c r="Y973" s="58" t="str">
        <f t="shared" ref="Y973:AC973" si="868">TRIM(SUBSTITUTE(SUBSTITUTE(OFFSET($Q973,0,COLUMN()-COLUMN($AL$1)),CHAR(160)," "),_xludf.UNICHAR(8239)," "))</f>
        <v>#NAME?</v>
      </c>
      <c r="Z973" s="58" t="str">
        <f t="shared" si="868"/>
        <v>#NAME?</v>
      </c>
      <c r="AA973" s="58" t="str">
        <f t="shared" si="868"/>
        <v>#NAME?</v>
      </c>
      <c r="AB973" s="58" t="str">
        <f t="shared" si="868"/>
        <v>#NAME?</v>
      </c>
      <c r="AC973" s="58" t="str">
        <f t="shared" si="868"/>
        <v>#NAME?</v>
      </c>
      <c r="AD973" s="57">
        <f t="shared" si="772"/>
        <v>1</v>
      </c>
      <c r="AE973" s="57" t="str">
        <f t="shared" si="773"/>
        <v>2026-05</v>
      </c>
      <c r="AF973" s="57">
        <f t="shared" si="774"/>
        <v>1</v>
      </c>
      <c r="AG973" s="59">
        <f t="shared" si="775"/>
        <v>0</v>
      </c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</row>
    <row r="974" ht="24.0" customHeight="1">
      <c r="A974" s="85">
        <v>19.0</v>
      </c>
      <c r="B974" s="54" t="s">
        <v>2677</v>
      </c>
      <c r="C974" s="55" t="s">
        <v>2615</v>
      </c>
      <c r="D974" s="55"/>
      <c r="E974" s="55" t="s">
        <v>2678</v>
      </c>
      <c r="F974" s="55" t="s">
        <v>2679</v>
      </c>
      <c r="G974" s="55">
        <v>4.0</v>
      </c>
      <c r="H974" s="55" t="s">
        <v>119</v>
      </c>
      <c r="I974" s="55" t="s">
        <v>112</v>
      </c>
      <c r="J974" s="55" t="s">
        <v>113</v>
      </c>
      <c r="K974" s="55" t="s">
        <v>1030</v>
      </c>
      <c r="L974" s="55" t="s">
        <v>34</v>
      </c>
      <c r="M974" s="55" t="s">
        <v>133</v>
      </c>
      <c r="N974" s="55" t="s">
        <v>90</v>
      </c>
      <c r="O974" s="55"/>
      <c r="P974" s="55" t="s">
        <v>91</v>
      </c>
      <c r="Q974" s="55" t="s">
        <v>16</v>
      </c>
      <c r="R974" s="55"/>
      <c r="S974" s="55"/>
      <c r="T974" s="55"/>
      <c r="U974" s="55"/>
      <c r="V974" s="55"/>
      <c r="W974" s="55"/>
      <c r="X974" s="57" t="str">
        <f t="shared" si="781"/>
        <v>--967-13-05</v>
      </c>
      <c r="Y974" s="58" t="str">
        <f t="shared" ref="Y974:AC974" si="869">TRIM(SUBSTITUTE(SUBSTITUTE(OFFSET($Q974,0,COLUMN()-COLUMN($AL$1)),CHAR(160)," "),_xludf.UNICHAR(8239)," "))</f>
        <v>#NAME?</v>
      </c>
      <c r="Z974" s="58" t="str">
        <f t="shared" si="869"/>
        <v>#NAME?</v>
      </c>
      <c r="AA974" s="58" t="str">
        <f t="shared" si="869"/>
        <v>#NAME?</v>
      </c>
      <c r="AB974" s="58" t="str">
        <f t="shared" si="869"/>
        <v>#NAME?</v>
      </c>
      <c r="AC974" s="58" t="str">
        <f t="shared" si="869"/>
        <v>#NAME?</v>
      </c>
      <c r="AD974" s="57">
        <f t="shared" si="772"/>
        <v>1</v>
      </c>
      <c r="AE974" s="57" t="str">
        <f t="shared" si="773"/>
        <v>2026-05</v>
      </c>
      <c r="AF974" s="57">
        <f t="shared" si="774"/>
        <v>1</v>
      </c>
      <c r="AG974" s="59">
        <f t="shared" si="775"/>
        <v>1</v>
      </c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</row>
    <row r="975" ht="24.0" customHeight="1">
      <c r="A975" s="85">
        <v>20.0</v>
      </c>
      <c r="B975" s="54" t="s">
        <v>464</v>
      </c>
      <c r="C975" s="55" t="s">
        <v>2615</v>
      </c>
      <c r="D975" s="60">
        <v>46148.0</v>
      </c>
      <c r="E975" s="55" t="s">
        <v>465</v>
      </c>
      <c r="F975" s="55" t="s">
        <v>2680</v>
      </c>
      <c r="G975" s="55">
        <v>27.0</v>
      </c>
      <c r="H975" s="55" t="s">
        <v>85</v>
      </c>
      <c r="I975" s="55" t="s">
        <v>112</v>
      </c>
      <c r="J975" s="55" t="s">
        <v>113</v>
      </c>
      <c r="K975" s="55" t="s">
        <v>467</v>
      </c>
      <c r="L975" s="55" t="s">
        <v>24</v>
      </c>
      <c r="M975" s="55" t="s">
        <v>89</v>
      </c>
      <c r="N975" s="55" t="s">
        <v>90</v>
      </c>
      <c r="O975" s="55"/>
      <c r="P975" s="55" t="s">
        <v>91</v>
      </c>
      <c r="Q975" s="55" t="s">
        <v>4</v>
      </c>
      <c r="R975" s="55"/>
      <c r="S975" s="55"/>
      <c r="T975" s="55"/>
      <c r="U975" s="55"/>
      <c r="V975" s="55"/>
      <c r="W975" s="55"/>
      <c r="X975" s="57" t="str">
        <f t="shared" si="781"/>
        <v>--968-13-05</v>
      </c>
      <c r="Y975" s="58" t="str">
        <f t="shared" ref="Y975:AC975" si="870">TRIM(SUBSTITUTE(SUBSTITUTE(OFFSET($Q975,0,COLUMN()-COLUMN($AL$1)),CHAR(160)," "),_xludf.UNICHAR(8239)," "))</f>
        <v>#NAME?</v>
      </c>
      <c r="Z975" s="58" t="str">
        <f t="shared" si="870"/>
        <v>#NAME?</v>
      </c>
      <c r="AA975" s="58" t="str">
        <f t="shared" si="870"/>
        <v>#NAME?</v>
      </c>
      <c r="AB975" s="58" t="str">
        <f t="shared" si="870"/>
        <v>#NAME?</v>
      </c>
      <c r="AC975" s="58" t="str">
        <f t="shared" si="870"/>
        <v>#NAME?</v>
      </c>
      <c r="AD975" s="57">
        <f t="shared" si="772"/>
        <v>1</v>
      </c>
      <c r="AE975" s="57" t="str">
        <f t="shared" si="773"/>
        <v>2026-05</v>
      </c>
      <c r="AF975" s="57">
        <f t="shared" si="774"/>
        <v>1</v>
      </c>
      <c r="AG975" s="59">
        <f t="shared" si="775"/>
        <v>0</v>
      </c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</row>
    <row r="976" ht="24.0" customHeight="1">
      <c r="A976" s="85">
        <v>21.0</v>
      </c>
      <c r="B976" s="54" t="s">
        <v>913</v>
      </c>
      <c r="C976" s="55" t="s">
        <v>2615</v>
      </c>
      <c r="D976" s="60">
        <v>46152.0</v>
      </c>
      <c r="E976" s="55" t="s">
        <v>914</v>
      </c>
      <c r="F976" s="55" t="s">
        <v>2681</v>
      </c>
      <c r="G976" s="55">
        <v>19.0</v>
      </c>
      <c r="H976" s="55" t="s">
        <v>85</v>
      </c>
      <c r="I976" s="55" t="s">
        <v>86</v>
      </c>
      <c r="J976" s="55" t="s">
        <v>87</v>
      </c>
      <c r="K976" s="55" t="s">
        <v>916</v>
      </c>
      <c r="L976" s="55" t="s">
        <v>34</v>
      </c>
      <c r="M976" s="55" t="s">
        <v>89</v>
      </c>
      <c r="N976" s="55" t="s">
        <v>90</v>
      </c>
      <c r="O976" s="55"/>
      <c r="P976" s="55" t="s">
        <v>91</v>
      </c>
      <c r="Q976" s="55"/>
      <c r="R976" s="55" t="s">
        <v>36</v>
      </c>
      <c r="S976" s="55"/>
      <c r="T976" s="55"/>
      <c r="U976" s="55"/>
      <c r="V976" s="55"/>
      <c r="W976" s="55"/>
      <c r="X976" s="57" t="str">
        <f t="shared" si="781"/>
        <v>--969-13-05</v>
      </c>
      <c r="Y976" s="58" t="str">
        <f t="shared" ref="Y976:AC976" si="871">TRIM(SUBSTITUTE(SUBSTITUTE(OFFSET($Q976,0,COLUMN()-COLUMN($AL$1)),CHAR(160)," "),_xludf.UNICHAR(8239)," "))</f>
        <v>#NAME?</v>
      </c>
      <c r="Z976" s="58" t="str">
        <f t="shared" si="871"/>
        <v>#NAME?</v>
      </c>
      <c r="AA976" s="58" t="str">
        <f t="shared" si="871"/>
        <v>#NAME?</v>
      </c>
      <c r="AB976" s="58" t="str">
        <f t="shared" si="871"/>
        <v>#NAME?</v>
      </c>
      <c r="AC976" s="58" t="str">
        <f t="shared" si="871"/>
        <v>#NAME?</v>
      </c>
      <c r="AD976" s="57">
        <f t="shared" si="772"/>
        <v>1</v>
      </c>
      <c r="AE976" s="57" t="str">
        <f t="shared" si="773"/>
        <v>2026-05</v>
      </c>
      <c r="AF976" s="57">
        <f t="shared" si="774"/>
        <v>0</v>
      </c>
      <c r="AG976" s="59">
        <f t="shared" si="775"/>
        <v>0</v>
      </c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</row>
    <row r="977" ht="24.0" customHeight="1">
      <c r="A977" s="85">
        <v>22.0</v>
      </c>
      <c r="B977" s="54" t="s">
        <v>2682</v>
      </c>
      <c r="C977" s="55" t="s">
        <v>2615</v>
      </c>
      <c r="D977" s="55"/>
      <c r="E977" s="55" t="s">
        <v>2683</v>
      </c>
      <c r="F977" s="55" t="s">
        <v>2684</v>
      </c>
      <c r="G977" s="55">
        <v>29.0</v>
      </c>
      <c r="H977" s="55" t="s">
        <v>85</v>
      </c>
      <c r="I977" s="55" t="s">
        <v>86</v>
      </c>
      <c r="J977" s="55" t="s">
        <v>87</v>
      </c>
      <c r="K977" s="55" t="s">
        <v>2685</v>
      </c>
      <c r="L977" s="55" t="s">
        <v>34</v>
      </c>
      <c r="M977" s="55" t="s">
        <v>133</v>
      </c>
      <c r="N977" s="55" t="s">
        <v>90</v>
      </c>
      <c r="O977" s="55"/>
      <c r="P977" s="55" t="s">
        <v>91</v>
      </c>
      <c r="Q977" s="55"/>
      <c r="R977" s="55" t="s">
        <v>36</v>
      </c>
      <c r="S977" s="55"/>
      <c r="T977" s="55"/>
      <c r="U977" s="55"/>
      <c r="V977" s="55"/>
      <c r="W977" s="55"/>
      <c r="X977" s="57" t="str">
        <f t="shared" si="781"/>
        <v>--970-13-05</v>
      </c>
      <c r="Y977" s="58" t="str">
        <f t="shared" ref="Y977:AC977" si="872">TRIM(SUBSTITUTE(SUBSTITUTE(OFFSET($Q977,0,COLUMN()-COLUMN($AL$1)),CHAR(160)," "),_xludf.UNICHAR(8239)," "))</f>
        <v>#NAME?</v>
      </c>
      <c r="Z977" s="58" t="str">
        <f t="shared" si="872"/>
        <v>#NAME?</v>
      </c>
      <c r="AA977" s="58" t="str">
        <f t="shared" si="872"/>
        <v>#NAME?</v>
      </c>
      <c r="AB977" s="58" t="str">
        <f t="shared" si="872"/>
        <v>#NAME?</v>
      </c>
      <c r="AC977" s="58" t="str">
        <f t="shared" si="872"/>
        <v>#NAME?</v>
      </c>
      <c r="AD977" s="57">
        <f t="shared" si="772"/>
        <v>1</v>
      </c>
      <c r="AE977" s="57" t="str">
        <f t="shared" si="773"/>
        <v>2026-05</v>
      </c>
      <c r="AF977" s="57">
        <f t="shared" si="774"/>
        <v>1</v>
      </c>
      <c r="AG977" s="59">
        <f t="shared" si="775"/>
        <v>1</v>
      </c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</row>
    <row r="978" ht="24.0" customHeight="1">
      <c r="A978" s="85">
        <v>23.0</v>
      </c>
      <c r="B978" s="54" t="s">
        <v>2686</v>
      </c>
      <c r="C978" s="55" t="s">
        <v>2615</v>
      </c>
      <c r="D978" s="55"/>
      <c r="E978" s="55" t="s">
        <v>2687</v>
      </c>
      <c r="F978" s="55" t="s">
        <v>2688</v>
      </c>
      <c r="G978" s="55">
        <v>30.0</v>
      </c>
      <c r="H978" s="55" t="s">
        <v>85</v>
      </c>
      <c r="I978" s="55" t="s">
        <v>86</v>
      </c>
      <c r="J978" s="55" t="s">
        <v>87</v>
      </c>
      <c r="K978" s="55" t="s">
        <v>2689</v>
      </c>
      <c r="L978" s="55" t="s">
        <v>41</v>
      </c>
      <c r="M978" s="55" t="s">
        <v>89</v>
      </c>
      <c r="N978" s="55" t="s">
        <v>90</v>
      </c>
      <c r="O978" s="55"/>
      <c r="P978" s="55" t="s">
        <v>91</v>
      </c>
      <c r="Q978" s="55"/>
      <c r="R978" s="55" t="s">
        <v>5</v>
      </c>
      <c r="S978" s="55"/>
      <c r="T978" s="55"/>
      <c r="U978" s="55" t="s">
        <v>7</v>
      </c>
      <c r="V978" s="55"/>
      <c r="W978" s="55"/>
      <c r="X978" s="57" t="str">
        <f t="shared" si="781"/>
        <v>--971-13-05</v>
      </c>
      <c r="Y978" s="58" t="str">
        <f t="shared" ref="Y978:AC978" si="873">TRIM(SUBSTITUTE(SUBSTITUTE(OFFSET($Q978,0,COLUMN()-COLUMN($AL$1)),CHAR(160)," "),_xludf.UNICHAR(8239)," "))</f>
        <v>#NAME?</v>
      </c>
      <c r="Z978" s="58" t="str">
        <f t="shared" si="873"/>
        <v>#NAME?</v>
      </c>
      <c r="AA978" s="58" t="str">
        <f t="shared" si="873"/>
        <v>#NAME?</v>
      </c>
      <c r="AB978" s="58" t="str">
        <f t="shared" si="873"/>
        <v>#NAME?</v>
      </c>
      <c r="AC978" s="58" t="str">
        <f t="shared" si="873"/>
        <v>#NAME?</v>
      </c>
      <c r="AD978" s="57">
        <f t="shared" si="772"/>
        <v>1</v>
      </c>
      <c r="AE978" s="57" t="str">
        <f t="shared" si="773"/>
        <v>2026-05</v>
      </c>
      <c r="AF978" s="57">
        <f t="shared" si="774"/>
        <v>1</v>
      </c>
      <c r="AG978" s="59">
        <f t="shared" si="775"/>
        <v>1</v>
      </c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</row>
    <row r="979" ht="24.0" customHeight="1">
      <c r="A979" s="85">
        <v>24.0</v>
      </c>
      <c r="B979" s="54" t="s">
        <v>2690</v>
      </c>
      <c r="C979" s="55" t="s">
        <v>2615</v>
      </c>
      <c r="D979" s="55"/>
      <c r="E979" s="55" t="s">
        <v>2691</v>
      </c>
      <c r="F979" s="55" t="s">
        <v>2692</v>
      </c>
      <c r="G979" s="55">
        <v>15.0</v>
      </c>
      <c r="H979" s="55" t="s">
        <v>111</v>
      </c>
      <c r="I979" s="55" t="s">
        <v>112</v>
      </c>
      <c r="J979" s="55" t="s">
        <v>113</v>
      </c>
      <c r="K979" s="55" t="s">
        <v>2693</v>
      </c>
      <c r="L979" s="55" t="s">
        <v>13</v>
      </c>
      <c r="M979" s="55" t="s">
        <v>133</v>
      </c>
      <c r="N979" s="55" t="s">
        <v>90</v>
      </c>
      <c r="O979" s="55"/>
      <c r="P979" s="55" t="s">
        <v>91</v>
      </c>
      <c r="Q979" s="55" t="s">
        <v>16</v>
      </c>
      <c r="R979" s="55"/>
      <c r="S979" s="55"/>
      <c r="T979" s="55"/>
      <c r="U979" s="55"/>
      <c r="V979" s="55"/>
      <c r="W979" s="55"/>
      <c r="X979" s="57" t="str">
        <f t="shared" si="781"/>
        <v>--972-13-05</v>
      </c>
      <c r="Y979" s="58" t="str">
        <f t="shared" ref="Y979:AC979" si="874">TRIM(SUBSTITUTE(SUBSTITUTE(OFFSET($Q979,0,COLUMN()-COLUMN($AL$1)),CHAR(160)," "),_xludf.UNICHAR(8239)," "))</f>
        <v>#NAME?</v>
      </c>
      <c r="Z979" s="58" t="str">
        <f t="shared" si="874"/>
        <v>#NAME?</v>
      </c>
      <c r="AA979" s="58" t="str">
        <f t="shared" si="874"/>
        <v>#NAME?</v>
      </c>
      <c r="AB979" s="58" t="str">
        <f t="shared" si="874"/>
        <v>#NAME?</v>
      </c>
      <c r="AC979" s="58" t="str">
        <f t="shared" si="874"/>
        <v>#NAME?</v>
      </c>
      <c r="AD979" s="57">
        <f t="shared" si="772"/>
        <v>1</v>
      </c>
      <c r="AE979" s="57" t="str">
        <f t="shared" si="773"/>
        <v>2026-05</v>
      </c>
      <c r="AF979" s="57">
        <f t="shared" si="774"/>
        <v>1</v>
      </c>
      <c r="AG979" s="59">
        <f t="shared" si="775"/>
        <v>1</v>
      </c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</row>
    <row r="980" ht="24.0" customHeight="1">
      <c r="A980" s="85">
        <v>25.0</v>
      </c>
      <c r="B980" s="54" t="s">
        <v>2694</v>
      </c>
      <c r="C980" s="55" t="s">
        <v>2615</v>
      </c>
      <c r="D980" s="55"/>
      <c r="E980" s="55" t="s">
        <v>2695</v>
      </c>
      <c r="F980" s="55" t="s">
        <v>2696</v>
      </c>
      <c r="G980" s="55">
        <v>47.0</v>
      </c>
      <c r="H980" s="55" t="s">
        <v>85</v>
      </c>
      <c r="I980" s="55" t="s">
        <v>112</v>
      </c>
      <c r="J980" s="55" t="s">
        <v>113</v>
      </c>
      <c r="K980" s="55" t="s">
        <v>2693</v>
      </c>
      <c r="L980" s="55" t="s">
        <v>13</v>
      </c>
      <c r="M980" s="55" t="s">
        <v>89</v>
      </c>
      <c r="N980" s="55" t="s">
        <v>90</v>
      </c>
      <c r="O980" s="55"/>
      <c r="P980" s="55" t="s">
        <v>91</v>
      </c>
      <c r="Q980" s="55" t="s">
        <v>16</v>
      </c>
      <c r="R980" s="55"/>
      <c r="S980" s="55"/>
      <c r="T980" s="55"/>
      <c r="U980" s="55"/>
      <c r="V980" s="55"/>
      <c r="W980" s="55"/>
      <c r="X980" s="57" t="str">
        <f t="shared" si="781"/>
        <v>--973-13-05</v>
      </c>
      <c r="Y980" s="58" t="str">
        <f t="shared" ref="Y980:AC980" si="875">TRIM(SUBSTITUTE(SUBSTITUTE(OFFSET($Q980,0,COLUMN()-COLUMN($AL$1)),CHAR(160)," "),_xludf.UNICHAR(8239)," "))</f>
        <v>#NAME?</v>
      </c>
      <c r="Z980" s="58" t="str">
        <f t="shared" si="875"/>
        <v>#NAME?</v>
      </c>
      <c r="AA980" s="58" t="str">
        <f t="shared" si="875"/>
        <v>#NAME?</v>
      </c>
      <c r="AB980" s="58" t="str">
        <f t="shared" si="875"/>
        <v>#NAME?</v>
      </c>
      <c r="AC980" s="58" t="str">
        <f t="shared" si="875"/>
        <v>#NAME?</v>
      </c>
      <c r="AD980" s="57">
        <f t="shared" si="772"/>
        <v>1</v>
      </c>
      <c r="AE980" s="57" t="str">
        <f t="shared" si="773"/>
        <v>2026-05</v>
      </c>
      <c r="AF980" s="57">
        <f t="shared" si="774"/>
        <v>1</v>
      </c>
      <c r="AG980" s="59">
        <f t="shared" si="775"/>
        <v>1</v>
      </c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</row>
    <row r="981" ht="24.0" customHeight="1">
      <c r="A981" s="85">
        <v>26.0</v>
      </c>
      <c r="B981" s="54" t="s">
        <v>2697</v>
      </c>
      <c r="C981" s="55" t="s">
        <v>2615</v>
      </c>
      <c r="D981" s="55"/>
      <c r="E981" s="55" t="s">
        <v>2698</v>
      </c>
      <c r="F981" s="55" t="s">
        <v>2699</v>
      </c>
      <c r="G981" s="55">
        <v>46.0</v>
      </c>
      <c r="H981" s="55" t="s">
        <v>85</v>
      </c>
      <c r="I981" s="55" t="s">
        <v>86</v>
      </c>
      <c r="J981" s="55" t="s">
        <v>87</v>
      </c>
      <c r="K981" s="55" t="s">
        <v>2700</v>
      </c>
      <c r="L981" s="55"/>
      <c r="M981" s="55" t="s">
        <v>89</v>
      </c>
      <c r="N981" s="55" t="s">
        <v>90</v>
      </c>
      <c r="O981" s="55"/>
      <c r="P981" s="55" t="s">
        <v>91</v>
      </c>
      <c r="Q981" s="55" t="s">
        <v>16</v>
      </c>
      <c r="R981" s="55"/>
      <c r="S981" s="55" t="s">
        <v>6</v>
      </c>
      <c r="T981" s="55"/>
      <c r="U981" s="55"/>
      <c r="V981" s="55"/>
      <c r="W981" s="55"/>
      <c r="X981" s="57" t="str">
        <f t="shared" si="781"/>
        <v>--974-13-05</v>
      </c>
      <c r="Y981" s="58" t="str">
        <f t="shared" ref="Y981:AC981" si="876">TRIM(SUBSTITUTE(SUBSTITUTE(OFFSET($Q981,0,COLUMN()-COLUMN($AL$1)),CHAR(160)," "),_xludf.UNICHAR(8239)," "))</f>
        <v>#NAME?</v>
      </c>
      <c r="Z981" s="58" t="str">
        <f t="shared" si="876"/>
        <v>#NAME?</v>
      </c>
      <c r="AA981" s="58" t="str">
        <f t="shared" si="876"/>
        <v>#NAME?</v>
      </c>
      <c r="AB981" s="58" t="str">
        <f t="shared" si="876"/>
        <v>#NAME?</v>
      </c>
      <c r="AC981" s="58" t="str">
        <f t="shared" si="876"/>
        <v>#NAME?</v>
      </c>
      <c r="AD981" s="57">
        <f t="shared" si="772"/>
        <v>1</v>
      </c>
      <c r="AE981" s="57" t="str">
        <f t="shared" si="773"/>
        <v>2026-05</v>
      </c>
      <c r="AF981" s="57">
        <f t="shared" si="774"/>
        <v>1</v>
      </c>
      <c r="AG981" s="59">
        <f t="shared" si="775"/>
        <v>1</v>
      </c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</row>
    <row r="982" ht="24.0" customHeight="1">
      <c r="A982" s="85">
        <v>27.0</v>
      </c>
      <c r="B982" s="54" t="s">
        <v>2701</v>
      </c>
      <c r="C982" s="55" t="s">
        <v>2615</v>
      </c>
      <c r="D982" s="55"/>
      <c r="E982" s="55" t="s">
        <v>2702</v>
      </c>
      <c r="F982" s="55" t="s">
        <v>2703</v>
      </c>
      <c r="G982" s="55">
        <v>5.0</v>
      </c>
      <c r="H982" s="55" t="s">
        <v>119</v>
      </c>
      <c r="I982" s="55" t="s">
        <v>112</v>
      </c>
      <c r="J982" s="55" t="s">
        <v>113</v>
      </c>
      <c r="K982" s="55" t="s">
        <v>845</v>
      </c>
      <c r="L982" s="55" t="s">
        <v>34</v>
      </c>
      <c r="M982" s="55" t="s">
        <v>133</v>
      </c>
      <c r="N982" s="55" t="s">
        <v>90</v>
      </c>
      <c r="O982" s="55"/>
      <c r="P982" s="55" t="s">
        <v>91</v>
      </c>
      <c r="Q982" s="55" t="s">
        <v>16</v>
      </c>
      <c r="R982" s="55"/>
      <c r="S982" s="55"/>
      <c r="T982" s="55"/>
      <c r="U982" s="55"/>
      <c r="V982" s="55"/>
      <c r="W982" s="55"/>
      <c r="X982" s="57" t="str">
        <f t="shared" si="781"/>
        <v>--975-13-05</v>
      </c>
      <c r="Y982" s="58" t="str">
        <f t="shared" ref="Y982:AC982" si="877">TRIM(SUBSTITUTE(SUBSTITUTE(OFFSET($Q982,0,COLUMN()-COLUMN($AL$1)),CHAR(160)," "),_xludf.UNICHAR(8239)," "))</f>
        <v>#NAME?</v>
      </c>
      <c r="Z982" s="58" t="str">
        <f t="shared" si="877"/>
        <v>#NAME?</v>
      </c>
      <c r="AA982" s="58" t="str">
        <f t="shared" si="877"/>
        <v>#NAME?</v>
      </c>
      <c r="AB982" s="58" t="str">
        <f t="shared" si="877"/>
        <v>#NAME?</v>
      </c>
      <c r="AC982" s="58" t="str">
        <f t="shared" si="877"/>
        <v>#NAME?</v>
      </c>
      <c r="AD982" s="57">
        <f t="shared" si="772"/>
        <v>1</v>
      </c>
      <c r="AE982" s="57" t="str">
        <f t="shared" si="773"/>
        <v>2026-05</v>
      </c>
      <c r="AF982" s="57">
        <f t="shared" si="774"/>
        <v>1</v>
      </c>
      <c r="AG982" s="59">
        <f t="shared" si="775"/>
        <v>1</v>
      </c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</row>
    <row r="983" ht="24.0" customHeight="1">
      <c r="A983" s="85">
        <v>28.0</v>
      </c>
      <c r="B983" s="54" t="s">
        <v>2074</v>
      </c>
      <c r="C983" s="55" t="s">
        <v>2615</v>
      </c>
      <c r="D983" s="60">
        <v>46148.0</v>
      </c>
      <c r="E983" s="55" t="s">
        <v>2075</v>
      </c>
      <c r="F983" s="55" t="s">
        <v>2704</v>
      </c>
      <c r="G983" s="55">
        <v>1.0</v>
      </c>
      <c r="H983" s="55" t="s">
        <v>119</v>
      </c>
      <c r="I983" s="55" t="s">
        <v>86</v>
      </c>
      <c r="J983" s="55" t="s">
        <v>87</v>
      </c>
      <c r="K983" s="55"/>
      <c r="L983" s="55" t="s">
        <v>34</v>
      </c>
      <c r="M983" s="55" t="s">
        <v>133</v>
      </c>
      <c r="N983" s="55" t="s">
        <v>90</v>
      </c>
      <c r="O983" s="55"/>
      <c r="P983" s="55" t="s">
        <v>91</v>
      </c>
      <c r="Q983" s="55" t="s">
        <v>16</v>
      </c>
      <c r="R983" s="55"/>
      <c r="S983" s="55"/>
      <c r="T983" s="55"/>
      <c r="U983" s="55"/>
      <c r="V983" s="55"/>
      <c r="W983" s="55"/>
      <c r="X983" s="57" t="str">
        <f t="shared" si="781"/>
        <v>--976-13-05</v>
      </c>
      <c r="Y983" s="58" t="str">
        <f t="shared" ref="Y983:AC983" si="878">TRIM(SUBSTITUTE(SUBSTITUTE(OFFSET($Q983,0,COLUMN()-COLUMN($AL$1)),CHAR(160)," "),_xludf.UNICHAR(8239)," "))</f>
        <v>#NAME?</v>
      </c>
      <c r="Z983" s="58" t="str">
        <f t="shared" si="878"/>
        <v>#NAME?</v>
      </c>
      <c r="AA983" s="58" t="str">
        <f t="shared" si="878"/>
        <v>#NAME?</v>
      </c>
      <c r="AB983" s="58" t="str">
        <f t="shared" si="878"/>
        <v>#NAME?</v>
      </c>
      <c r="AC983" s="58" t="str">
        <f t="shared" si="878"/>
        <v>#NAME?</v>
      </c>
      <c r="AD983" s="57">
        <f t="shared" si="772"/>
        <v>1</v>
      </c>
      <c r="AE983" s="57" t="str">
        <f t="shared" si="773"/>
        <v>2026-05</v>
      </c>
      <c r="AF983" s="57">
        <f t="shared" si="774"/>
        <v>1</v>
      </c>
      <c r="AG983" s="59">
        <f t="shared" si="775"/>
        <v>0</v>
      </c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</row>
    <row r="984" ht="24.0" customHeight="1">
      <c r="A984" s="85">
        <v>29.0</v>
      </c>
      <c r="B984" s="54" t="s">
        <v>2705</v>
      </c>
      <c r="C984" s="55" t="s">
        <v>2615</v>
      </c>
      <c r="D984" s="55"/>
      <c r="E984" s="55" t="s">
        <v>2706</v>
      </c>
      <c r="F984" s="55" t="s">
        <v>2707</v>
      </c>
      <c r="G984" s="55">
        <v>8.0</v>
      </c>
      <c r="H984" s="55" t="s">
        <v>111</v>
      </c>
      <c r="I984" s="55" t="s">
        <v>112</v>
      </c>
      <c r="J984" s="55" t="s">
        <v>113</v>
      </c>
      <c r="K984" s="55" t="s">
        <v>2708</v>
      </c>
      <c r="L984" s="55" t="s">
        <v>34</v>
      </c>
      <c r="M984" s="55" t="s">
        <v>133</v>
      </c>
      <c r="N984" s="55" t="s">
        <v>90</v>
      </c>
      <c r="O984" s="55"/>
      <c r="P984" s="55" t="s">
        <v>91</v>
      </c>
      <c r="Q984" s="55" t="s">
        <v>16</v>
      </c>
      <c r="R984" s="55"/>
      <c r="S984" s="55" t="s">
        <v>6</v>
      </c>
      <c r="T984" s="55"/>
      <c r="U984" s="55"/>
      <c r="V984" s="55"/>
      <c r="W984" s="55"/>
      <c r="X984" s="57" t="str">
        <f t="shared" si="781"/>
        <v>--977-13-05</v>
      </c>
      <c r="Y984" s="58" t="str">
        <f t="shared" ref="Y984:AC984" si="879">TRIM(SUBSTITUTE(SUBSTITUTE(OFFSET($Q984,0,COLUMN()-COLUMN($AL$1)),CHAR(160)," "),_xludf.UNICHAR(8239)," "))</f>
        <v>#NAME?</v>
      </c>
      <c r="Z984" s="58" t="str">
        <f t="shared" si="879"/>
        <v>#NAME?</v>
      </c>
      <c r="AA984" s="58" t="str">
        <f t="shared" si="879"/>
        <v>#NAME?</v>
      </c>
      <c r="AB984" s="58" t="str">
        <f t="shared" si="879"/>
        <v>#NAME?</v>
      </c>
      <c r="AC984" s="58" t="str">
        <f t="shared" si="879"/>
        <v>#NAME?</v>
      </c>
      <c r="AD984" s="57">
        <f t="shared" si="772"/>
        <v>1</v>
      </c>
      <c r="AE984" s="57" t="str">
        <f t="shared" si="773"/>
        <v>2026-05</v>
      </c>
      <c r="AF984" s="57">
        <f t="shared" si="774"/>
        <v>1</v>
      </c>
      <c r="AG984" s="59">
        <f t="shared" si="775"/>
        <v>1</v>
      </c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</row>
    <row r="985" ht="24.0" customHeight="1">
      <c r="A985" s="85">
        <v>30.0</v>
      </c>
      <c r="B985" s="54" t="s">
        <v>2709</v>
      </c>
      <c r="C985" s="55" t="s">
        <v>2615</v>
      </c>
      <c r="D985" s="55"/>
      <c r="E985" s="55" t="s">
        <v>2710</v>
      </c>
      <c r="F985" s="55" t="s">
        <v>2711</v>
      </c>
      <c r="G985" s="55">
        <v>3.0</v>
      </c>
      <c r="H985" s="55" t="s">
        <v>119</v>
      </c>
      <c r="I985" s="55" t="s">
        <v>86</v>
      </c>
      <c r="J985" s="55" t="s">
        <v>87</v>
      </c>
      <c r="K985" s="55" t="s">
        <v>2708</v>
      </c>
      <c r="L985" s="55" t="s">
        <v>34</v>
      </c>
      <c r="M985" s="55" t="s">
        <v>133</v>
      </c>
      <c r="N985" s="55" t="s">
        <v>90</v>
      </c>
      <c r="O985" s="55"/>
      <c r="P985" s="55" t="s">
        <v>91</v>
      </c>
      <c r="Q985" s="55" t="s">
        <v>16</v>
      </c>
      <c r="R985" s="55"/>
      <c r="S985" s="55"/>
      <c r="T985" s="55"/>
      <c r="U985" s="55"/>
      <c r="V985" s="55"/>
      <c r="W985" s="55"/>
      <c r="X985" s="57" t="str">
        <f t="shared" si="781"/>
        <v>--978-13-05</v>
      </c>
      <c r="Y985" s="58" t="str">
        <f t="shared" ref="Y985:AC985" si="880">TRIM(SUBSTITUTE(SUBSTITUTE(OFFSET($Q985,0,COLUMN()-COLUMN($AL$1)),CHAR(160)," "),_xludf.UNICHAR(8239)," "))</f>
        <v>#NAME?</v>
      </c>
      <c r="Z985" s="58" t="str">
        <f t="shared" si="880"/>
        <v>#NAME?</v>
      </c>
      <c r="AA985" s="58" t="str">
        <f t="shared" si="880"/>
        <v>#NAME?</v>
      </c>
      <c r="AB985" s="58" t="str">
        <f t="shared" si="880"/>
        <v>#NAME?</v>
      </c>
      <c r="AC985" s="58" t="str">
        <f t="shared" si="880"/>
        <v>#NAME?</v>
      </c>
      <c r="AD985" s="57">
        <f t="shared" si="772"/>
        <v>1</v>
      </c>
      <c r="AE985" s="57" t="str">
        <f t="shared" si="773"/>
        <v>2026-05</v>
      </c>
      <c r="AF985" s="57">
        <f t="shared" si="774"/>
        <v>1</v>
      </c>
      <c r="AG985" s="59">
        <f t="shared" si="775"/>
        <v>1</v>
      </c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</row>
    <row r="986" ht="24.0" customHeight="1">
      <c r="A986" s="85">
        <v>31.0</v>
      </c>
      <c r="B986" s="54" t="s">
        <v>2712</v>
      </c>
      <c r="C986" s="55" t="s">
        <v>2615</v>
      </c>
      <c r="D986" s="55"/>
      <c r="E986" s="55" t="s">
        <v>2713</v>
      </c>
      <c r="F986" s="55" t="s">
        <v>2714</v>
      </c>
      <c r="G986" s="55">
        <v>51.0</v>
      </c>
      <c r="H986" s="55" t="s">
        <v>85</v>
      </c>
      <c r="I986" s="55" t="s">
        <v>86</v>
      </c>
      <c r="J986" s="55" t="s">
        <v>87</v>
      </c>
      <c r="K986" s="55" t="s">
        <v>232</v>
      </c>
      <c r="L986" s="55" t="s">
        <v>34</v>
      </c>
      <c r="M986" s="55" t="s">
        <v>89</v>
      </c>
      <c r="N986" s="55" t="s">
        <v>90</v>
      </c>
      <c r="O986" s="55"/>
      <c r="P986" s="55" t="s">
        <v>91</v>
      </c>
      <c r="Q986" s="55" t="s">
        <v>16</v>
      </c>
      <c r="R986" s="55"/>
      <c r="S986" s="55"/>
      <c r="T986" s="55"/>
      <c r="U986" s="55"/>
      <c r="V986" s="55"/>
      <c r="W986" s="55"/>
      <c r="X986" s="57" t="str">
        <f t="shared" si="781"/>
        <v>--979-13-05</v>
      </c>
      <c r="Y986" s="58" t="str">
        <f t="shared" ref="Y986:AC986" si="881">TRIM(SUBSTITUTE(SUBSTITUTE(OFFSET($Q986,0,COLUMN()-COLUMN($AL$1)),CHAR(160)," "),_xludf.UNICHAR(8239)," "))</f>
        <v>#NAME?</v>
      </c>
      <c r="Z986" s="58" t="str">
        <f t="shared" si="881"/>
        <v>#NAME?</v>
      </c>
      <c r="AA986" s="58" t="str">
        <f t="shared" si="881"/>
        <v>#NAME?</v>
      </c>
      <c r="AB986" s="58" t="str">
        <f t="shared" si="881"/>
        <v>#NAME?</v>
      </c>
      <c r="AC986" s="58" t="str">
        <f t="shared" si="881"/>
        <v>#NAME?</v>
      </c>
      <c r="AD986" s="57">
        <f t="shared" si="772"/>
        <v>1</v>
      </c>
      <c r="AE986" s="57" t="str">
        <f t="shared" si="773"/>
        <v>2026-05</v>
      </c>
      <c r="AF986" s="57">
        <f t="shared" si="774"/>
        <v>1</v>
      </c>
      <c r="AG986" s="59">
        <f t="shared" si="775"/>
        <v>1</v>
      </c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</row>
    <row r="987" ht="24.0" customHeight="1">
      <c r="A987" s="85">
        <v>32.0</v>
      </c>
      <c r="B987" s="54" t="s">
        <v>2715</v>
      </c>
      <c r="C987" s="55" t="s">
        <v>2615</v>
      </c>
      <c r="D987" s="55"/>
      <c r="E987" s="55" t="s">
        <v>2716</v>
      </c>
      <c r="F987" s="55" t="s">
        <v>2717</v>
      </c>
      <c r="G987" s="55">
        <v>1.0</v>
      </c>
      <c r="H987" s="55" t="s">
        <v>119</v>
      </c>
      <c r="I987" s="55" t="s">
        <v>86</v>
      </c>
      <c r="J987" s="55" t="s">
        <v>87</v>
      </c>
      <c r="K987" s="55" t="s">
        <v>2718</v>
      </c>
      <c r="L987" s="55" t="s">
        <v>34</v>
      </c>
      <c r="M987" s="55" t="s">
        <v>133</v>
      </c>
      <c r="N987" s="55" t="s">
        <v>90</v>
      </c>
      <c r="O987" s="55"/>
      <c r="P987" s="55" t="s">
        <v>91</v>
      </c>
      <c r="Q987" s="55" t="s">
        <v>16</v>
      </c>
      <c r="R987" s="55"/>
      <c r="S987" s="55"/>
      <c r="T987" s="55"/>
      <c r="U987" s="55"/>
      <c r="V987" s="55"/>
      <c r="W987" s="55"/>
      <c r="X987" s="57" t="str">
        <f t="shared" si="781"/>
        <v>--980-13-05</v>
      </c>
      <c r="Y987" s="58" t="str">
        <f t="shared" ref="Y987:AC987" si="882">TRIM(SUBSTITUTE(SUBSTITUTE(OFFSET($Q987,0,COLUMN()-COLUMN($AL$1)),CHAR(160)," "),_xludf.UNICHAR(8239)," "))</f>
        <v>#NAME?</v>
      </c>
      <c r="Z987" s="58" t="str">
        <f t="shared" si="882"/>
        <v>#NAME?</v>
      </c>
      <c r="AA987" s="58" t="str">
        <f t="shared" si="882"/>
        <v>#NAME?</v>
      </c>
      <c r="AB987" s="58" t="str">
        <f t="shared" si="882"/>
        <v>#NAME?</v>
      </c>
      <c r="AC987" s="58" t="str">
        <f t="shared" si="882"/>
        <v>#NAME?</v>
      </c>
      <c r="AD987" s="57">
        <f t="shared" si="772"/>
        <v>1</v>
      </c>
      <c r="AE987" s="57" t="str">
        <f t="shared" si="773"/>
        <v>2026-05</v>
      </c>
      <c r="AF987" s="57">
        <f t="shared" si="774"/>
        <v>1</v>
      </c>
      <c r="AG987" s="59">
        <f t="shared" si="775"/>
        <v>1</v>
      </c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</row>
    <row r="988" ht="24.0" customHeight="1">
      <c r="A988" s="85">
        <v>33.0</v>
      </c>
      <c r="B988" s="54" t="s">
        <v>2719</v>
      </c>
      <c r="C988" s="55" t="s">
        <v>2615</v>
      </c>
      <c r="D988" s="55"/>
      <c r="E988" s="55" t="s">
        <v>2720</v>
      </c>
      <c r="F988" s="55" t="s">
        <v>2721</v>
      </c>
      <c r="G988" s="55">
        <v>3.0</v>
      </c>
      <c r="H988" s="55" t="s">
        <v>119</v>
      </c>
      <c r="I988" s="55" t="s">
        <v>86</v>
      </c>
      <c r="J988" s="55" t="s">
        <v>87</v>
      </c>
      <c r="K988" s="55" t="s">
        <v>265</v>
      </c>
      <c r="L988" s="55" t="s">
        <v>34</v>
      </c>
      <c r="M988" s="55" t="s">
        <v>89</v>
      </c>
      <c r="N988" s="55" t="s">
        <v>90</v>
      </c>
      <c r="O988" s="55"/>
      <c r="P988" s="55" t="s">
        <v>91</v>
      </c>
      <c r="Q988" s="55" t="s">
        <v>16</v>
      </c>
      <c r="R988" s="55"/>
      <c r="S988" s="55"/>
      <c r="T988" s="55"/>
      <c r="U988" s="55"/>
      <c r="V988" s="55"/>
      <c r="W988" s="55"/>
      <c r="X988" s="57" t="str">
        <f t="shared" si="781"/>
        <v>--981-13-05</v>
      </c>
      <c r="Y988" s="58" t="str">
        <f t="shared" ref="Y988:AC988" si="883">TRIM(SUBSTITUTE(SUBSTITUTE(OFFSET($Q988,0,COLUMN()-COLUMN($AL$1)),CHAR(160)," "),_xludf.UNICHAR(8239)," "))</f>
        <v>#NAME?</v>
      </c>
      <c r="Z988" s="58" t="str">
        <f t="shared" si="883"/>
        <v>#NAME?</v>
      </c>
      <c r="AA988" s="58" t="str">
        <f t="shared" si="883"/>
        <v>#NAME?</v>
      </c>
      <c r="AB988" s="58" t="str">
        <f t="shared" si="883"/>
        <v>#NAME?</v>
      </c>
      <c r="AC988" s="58" t="str">
        <f t="shared" si="883"/>
        <v>#NAME?</v>
      </c>
      <c r="AD988" s="57">
        <f t="shared" si="772"/>
        <v>1</v>
      </c>
      <c r="AE988" s="57" t="str">
        <f t="shared" si="773"/>
        <v>2026-05</v>
      </c>
      <c r="AF988" s="57">
        <f t="shared" si="774"/>
        <v>1</v>
      </c>
      <c r="AG988" s="59">
        <f t="shared" si="775"/>
        <v>1</v>
      </c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</row>
    <row r="989" ht="24.0" customHeight="1">
      <c r="A989" s="85">
        <v>34.0</v>
      </c>
      <c r="B989" s="54" t="s">
        <v>2722</v>
      </c>
      <c r="C989" s="55" t="s">
        <v>2615</v>
      </c>
      <c r="D989" s="55"/>
      <c r="E989" s="55" t="s">
        <v>2723</v>
      </c>
      <c r="F989" s="55" t="s">
        <v>2724</v>
      </c>
      <c r="G989" s="55">
        <v>48.0</v>
      </c>
      <c r="H989" s="55" t="s">
        <v>85</v>
      </c>
      <c r="I989" s="55" t="s">
        <v>86</v>
      </c>
      <c r="J989" s="55" t="s">
        <v>87</v>
      </c>
      <c r="K989" s="55" t="s">
        <v>2725</v>
      </c>
      <c r="L989" s="55" t="s">
        <v>44</v>
      </c>
      <c r="M989" s="55" t="s">
        <v>89</v>
      </c>
      <c r="N989" s="55" t="s">
        <v>90</v>
      </c>
      <c r="O989" s="55"/>
      <c r="P989" s="55" t="s">
        <v>91</v>
      </c>
      <c r="Q989" s="55" t="s">
        <v>16</v>
      </c>
      <c r="R989" s="55"/>
      <c r="S989" s="55"/>
      <c r="T989" s="55"/>
      <c r="U989" s="55"/>
      <c r="V989" s="55"/>
      <c r="W989" s="55"/>
      <c r="X989" s="57" t="str">
        <f t="shared" si="781"/>
        <v>--982-13-05</v>
      </c>
      <c r="Y989" s="58" t="str">
        <f t="shared" ref="Y989:AC989" si="884">TRIM(SUBSTITUTE(SUBSTITUTE(OFFSET($Q989,0,COLUMN()-COLUMN($AL$1)),CHAR(160)," "),_xludf.UNICHAR(8239)," "))</f>
        <v>#NAME?</v>
      </c>
      <c r="Z989" s="58" t="str">
        <f t="shared" si="884"/>
        <v>#NAME?</v>
      </c>
      <c r="AA989" s="58" t="str">
        <f t="shared" si="884"/>
        <v>#NAME?</v>
      </c>
      <c r="AB989" s="58" t="str">
        <f t="shared" si="884"/>
        <v>#NAME?</v>
      </c>
      <c r="AC989" s="58" t="str">
        <f t="shared" si="884"/>
        <v>#NAME?</v>
      </c>
      <c r="AD989" s="57">
        <f t="shared" si="772"/>
        <v>1</v>
      </c>
      <c r="AE989" s="57" t="str">
        <f t="shared" si="773"/>
        <v>2026-05</v>
      </c>
      <c r="AF989" s="57">
        <f t="shared" si="774"/>
        <v>1</v>
      </c>
      <c r="AG989" s="59">
        <f t="shared" si="775"/>
        <v>1</v>
      </c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</row>
    <row r="990" ht="24.0" customHeight="1">
      <c r="A990" s="85">
        <v>35.0</v>
      </c>
      <c r="B990" s="54" t="s">
        <v>2726</v>
      </c>
      <c r="C990" s="55" t="s">
        <v>2615</v>
      </c>
      <c r="D990" s="55"/>
      <c r="E990" s="55" t="s">
        <v>2727</v>
      </c>
      <c r="F990" s="55" t="s">
        <v>2728</v>
      </c>
      <c r="G990" s="55">
        <v>10.0</v>
      </c>
      <c r="H990" s="55" t="s">
        <v>111</v>
      </c>
      <c r="I990" s="55" t="s">
        <v>86</v>
      </c>
      <c r="J990" s="55" t="s">
        <v>87</v>
      </c>
      <c r="K990" s="55" t="s">
        <v>2729</v>
      </c>
      <c r="L990" s="55" t="s">
        <v>34</v>
      </c>
      <c r="M990" s="55" t="s">
        <v>133</v>
      </c>
      <c r="N990" s="55" t="s">
        <v>90</v>
      </c>
      <c r="O990" s="55"/>
      <c r="P990" s="55" t="s">
        <v>91</v>
      </c>
      <c r="Q990" s="55" t="s">
        <v>16</v>
      </c>
      <c r="R990" s="55"/>
      <c r="S990" s="55"/>
      <c r="T990" s="55"/>
      <c r="U990" s="55"/>
      <c r="V990" s="55"/>
      <c r="W990" s="55"/>
      <c r="X990" s="57" t="str">
        <f t="shared" si="781"/>
        <v>--983-13-05</v>
      </c>
      <c r="Y990" s="58" t="str">
        <f t="shared" ref="Y990:AC990" si="885">TRIM(SUBSTITUTE(SUBSTITUTE(OFFSET($Q990,0,COLUMN()-COLUMN($AL$1)),CHAR(160)," "),_xludf.UNICHAR(8239)," "))</f>
        <v>#NAME?</v>
      </c>
      <c r="Z990" s="58" t="str">
        <f t="shared" si="885"/>
        <v>#NAME?</v>
      </c>
      <c r="AA990" s="58" t="str">
        <f t="shared" si="885"/>
        <v>#NAME?</v>
      </c>
      <c r="AB990" s="58" t="str">
        <f t="shared" si="885"/>
        <v>#NAME?</v>
      </c>
      <c r="AC990" s="58" t="str">
        <f t="shared" si="885"/>
        <v>#NAME?</v>
      </c>
      <c r="AD990" s="57">
        <f t="shared" si="772"/>
        <v>1</v>
      </c>
      <c r="AE990" s="57" t="str">
        <f t="shared" si="773"/>
        <v>2026-05</v>
      </c>
      <c r="AF990" s="57">
        <f t="shared" si="774"/>
        <v>1</v>
      </c>
      <c r="AG990" s="59">
        <f t="shared" si="775"/>
        <v>1</v>
      </c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</row>
    <row r="991" ht="24.0" customHeight="1">
      <c r="A991" s="85">
        <v>36.0</v>
      </c>
      <c r="B991" s="54" t="s">
        <v>2730</v>
      </c>
      <c r="C991" s="55" t="s">
        <v>2615</v>
      </c>
      <c r="D991" s="55"/>
      <c r="E991" s="55" t="s">
        <v>2731</v>
      </c>
      <c r="F991" s="55" t="s">
        <v>2732</v>
      </c>
      <c r="G991" s="55">
        <v>29.0</v>
      </c>
      <c r="H991" s="55" t="s">
        <v>85</v>
      </c>
      <c r="I991" s="55" t="s">
        <v>86</v>
      </c>
      <c r="J991" s="55" t="s">
        <v>87</v>
      </c>
      <c r="K991" s="55" t="s">
        <v>2733</v>
      </c>
      <c r="L991" s="55" t="s">
        <v>24</v>
      </c>
      <c r="M991" s="55" t="s">
        <v>89</v>
      </c>
      <c r="N991" s="55" t="s">
        <v>90</v>
      </c>
      <c r="O991" s="55"/>
      <c r="P991" s="55" t="s">
        <v>91</v>
      </c>
      <c r="Q991" s="55" t="s">
        <v>16</v>
      </c>
      <c r="R991" s="55"/>
      <c r="S991" s="55"/>
      <c r="T991" s="55"/>
      <c r="U991" s="55"/>
      <c r="V991" s="55"/>
      <c r="W991" s="55"/>
      <c r="X991" s="57" t="str">
        <f t="shared" si="781"/>
        <v>--984-13-05</v>
      </c>
      <c r="Y991" s="58" t="str">
        <f t="shared" ref="Y991:AC991" si="886">TRIM(SUBSTITUTE(SUBSTITUTE(OFFSET($Q991,0,COLUMN()-COLUMN($AL$1)),CHAR(160)," "),_xludf.UNICHAR(8239)," "))</f>
        <v>#NAME?</v>
      </c>
      <c r="Z991" s="58" t="str">
        <f t="shared" si="886"/>
        <v>#NAME?</v>
      </c>
      <c r="AA991" s="58" t="str">
        <f t="shared" si="886"/>
        <v>#NAME?</v>
      </c>
      <c r="AB991" s="58" t="str">
        <f t="shared" si="886"/>
        <v>#NAME?</v>
      </c>
      <c r="AC991" s="58" t="str">
        <f t="shared" si="886"/>
        <v>#NAME?</v>
      </c>
      <c r="AD991" s="57">
        <f t="shared" si="772"/>
        <v>1</v>
      </c>
      <c r="AE991" s="57" t="str">
        <f t="shared" si="773"/>
        <v>2026-05</v>
      </c>
      <c r="AF991" s="57">
        <f t="shared" si="774"/>
        <v>1</v>
      </c>
      <c r="AG991" s="59">
        <f t="shared" si="775"/>
        <v>1</v>
      </c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</row>
    <row r="992" ht="24.0" customHeight="1">
      <c r="A992" s="85">
        <v>37.0</v>
      </c>
      <c r="B992" s="54" t="s">
        <v>2734</v>
      </c>
      <c r="C992" s="55" t="s">
        <v>2615</v>
      </c>
      <c r="D992" s="55"/>
      <c r="E992" s="55" t="s">
        <v>2735</v>
      </c>
      <c r="F992" s="55" t="s">
        <v>2736</v>
      </c>
      <c r="G992" s="55">
        <v>4.0</v>
      </c>
      <c r="H992" s="55" t="s">
        <v>119</v>
      </c>
      <c r="I992" s="55" t="s">
        <v>86</v>
      </c>
      <c r="J992" s="55" t="s">
        <v>87</v>
      </c>
      <c r="K992" s="55" t="s">
        <v>2733</v>
      </c>
      <c r="L992" s="55" t="s">
        <v>34</v>
      </c>
      <c r="M992" s="55" t="s">
        <v>133</v>
      </c>
      <c r="N992" s="55" t="s">
        <v>90</v>
      </c>
      <c r="O992" s="55"/>
      <c r="P992" s="55" t="s">
        <v>91</v>
      </c>
      <c r="Q992" s="55" t="s">
        <v>16</v>
      </c>
      <c r="R992" s="55"/>
      <c r="S992" s="55"/>
      <c r="T992" s="55"/>
      <c r="U992" s="55"/>
      <c r="V992" s="55"/>
      <c r="W992" s="55"/>
      <c r="X992" s="57" t="str">
        <f t="shared" si="781"/>
        <v>--985-13-05</v>
      </c>
      <c r="Y992" s="58" t="str">
        <f t="shared" ref="Y992:AC992" si="887">TRIM(SUBSTITUTE(SUBSTITUTE(OFFSET($Q992,0,COLUMN()-COLUMN($AL$1)),CHAR(160)," "),_xludf.UNICHAR(8239)," "))</f>
        <v>#NAME?</v>
      </c>
      <c r="Z992" s="58" t="str">
        <f t="shared" si="887"/>
        <v>#NAME?</v>
      </c>
      <c r="AA992" s="58" t="str">
        <f t="shared" si="887"/>
        <v>#NAME?</v>
      </c>
      <c r="AB992" s="58" t="str">
        <f t="shared" si="887"/>
        <v>#NAME?</v>
      </c>
      <c r="AC992" s="58" t="str">
        <f t="shared" si="887"/>
        <v>#NAME?</v>
      </c>
      <c r="AD992" s="57">
        <f t="shared" si="772"/>
        <v>1</v>
      </c>
      <c r="AE992" s="57" t="str">
        <f t="shared" si="773"/>
        <v>2026-05</v>
      </c>
      <c r="AF992" s="57">
        <f t="shared" si="774"/>
        <v>1</v>
      </c>
      <c r="AG992" s="59">
        <f t="shared" si="775"/>
        <v>1</v>
      </c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</row>
    <row r="993" ht="24.0" customHeight="1">
      <c r="A993" s="85">
        <v>38.0</v>
      </c>
      <c r="B993" s="54" t="s">
        <v>2737</v>
      </c>
      <c r="C993" s="55" t="s">
        <v>2615</v>
      </c>
      <c r="D993" s="55"/>
      <c r="E993" s="55" t="s">
        <v>2738</v>
      </c>
      <c r="F993" s="55" t="s">
        <v>2739</v>
      </c>
      <c r="G993" s="55">
        <v>29.0</v>
      </c>
      <c r="H993" s="55" t="s">
        <v>85</v>
      </c>
      <c r="I993" s="55" t="s">
        <v>86</v>
      </c>
      <c r="J993" s="55" t="s">
        <v>87</v>
      </c>
      <c r="K993" s="55" t="s">
        <v>2740</v>
      </c>
      <c r="L993" s="55" t="s">
        <v>13</v>
      </c>
      <c r="M993" s="55" t="s">
        <v>89</v>
      </c>
      <c r="N993" s="55" t="s">
        <v>90</v>
      </c>
      <c r="O993" s="55"/>
      <c r="P993" s="55" t="s">
        <v>91</v>
      </c>
      <c r="Q993" s="55" t="s">
        <v>16</v>
      </c>
      <c r="R993" s="55"/>
      <c r="S993" s="55"/>
      <c r="T993" s="55"/>
      <c r="U993" s="55"/>
      <c r="V993" s="55"/>
      <c r="W993" s="55"/>
      <c r="X993" s="57" t="str">
        <f t="shared" si="781"/>
        <v>--986-13-05</v>
      </c>
      <c r="Y993" s="58" t="str">
        <f t="shared" ref="Y993:AC993" si="888">TRIM(SUBSTITUTE(SUBSTITUTE(OFFSET($Q993,0,COLUMN()-COLUMN($AL$1)),CHAR(160)," "),_xludf.UNICHAR(8239)," "))</f>
        <v>#NAME?</v>
      </c>
      <c r="Z993" s="58" t="str">
        <f t="shared" si="888"/>
        <v>#NAME?</v>
      </c>
      <c r="AA993" s="58" t="str">
        <f t="shared" si="888"/>
        <v>#NAME?</v>
      </c>
      <c r="AB993" s="58" t="str">
        <f t="shared" si="888"/>
        <v>#NAME?</v>
      </c>
      <c r="AC993" s="58" t="str">
        <f t="shared" si="888"/>
        <v>#NAME?</v>
      </c>
      <c r="AD993" s="57">
        <f t="shared" si="772"/>
        <v>1</v>
      </c>
      <c r="AE993" s="57" t="str">
        <f t="shared" si="773"/>
        <v>2026-05</v>
      </c>
      <c r="AF993" s="57">
        <f t="shared" si="774"/>
        <v>1</v>
      </c>
      <c r="AG993" s="59">
        <f t="shared" si="775"/>
        <v>1</v>
      </c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</row>
    <row r="994" ht="24.0" customHeight="1">
      <c r="A994" s="85">
        <v>39.0</v>
      </c>
      <c r="B994" s="54" t="s">
        <v>2741</v>
      </c>
      <c r="C994" s="55" t="s">
        <v>2615</v>
      </c>
      <c r="D994" s="55"/>
      <c r="E994" s="55" t="s">
        <v>2742</v>
      </c>
      <c r="F994" s="55" t="s">
        <v>2743</v>
      </c>
      <c r="G994" s="55">
        <v>44.0</v>
      </c>
      <c r="H994" s="55" t="s">
        <v>85</v>
      </c>
      <c r="I994" s="55" t="s">
        <v>86</v>
      </c>
      <c r="J994" s="55" t="s">
        <v>87</v>
      </c>
      <c r="K994" s="55" t="s">
        <v>2744</v>
      </c>
      <c r="L994" s="55" t="s">
        <v>34</v>
      </c>
      <c r="M994" s="55" t="s">
        <v>133</v>
      </c>
      <c r="N994" s="55" t="s">
        <v>90</v>
      </c>
      <c r="O994" s="55"/>
      <c r="P994" s="55" t="s">
        <v>91</v>
      </c>
      <c r="Q994" s="55" t="s">
        <v>4</v>
      </c>
      <c r="R994" s="55"/>
      <c r="S994" s="55"/>
      <c r="T994" s="55"/>
      <c r="U994" s="55"/>
      <c r="V994" s="55"/>
      <c r="W994" s="55"/>
      <c r="X994" s="57" t="str">
        <f t="shared" si="781"/>
        <v>--987-13-05</v>
      </c>
      <c r="Y994" s="58" t="str">
        <f t="shared" ref="Y994:AC994" si="889">TRIM(SUBSTITUTE(SUBSTITUTE(OFFSET($Q994,0,COLUMN()-COLUMN($AL$1)),CHAR(160)," "),_xludf.UNICHAR(8239)," "))</f>
        <v>#NAME?</v>
      </c>
      <c r="Z994" s="58" t="str">
        <f t="shared" si="889"/>
        <v>#NAME?</v>
      </c>
      <c r="AA994" s="58" t="str">
        <f t="shared" si="889"/>
        <v>#NAME?</v>
      </c>
      <c r="AB994" s="58" t="str">
        <f t="shared" si="889"/>
        <v>#NAME?</v>
      </c>
      <c r="AC994" s="58" t="str">
        <f t="shared" si="889"/>
        <v>#NAME?</v>
      </c>
      <c r="AD994" s="57">
        <f t="shared" si="772"/>
        <v>1</v>
      </c>
      <c r="AE994" s="57" t="str">
        <f t="shared" si="773"/>
        <v>2026-05</v>
      </c>
      <c r="AF994" s="57">
        <f t="shared" si="774"/>
        <v>1</v>
      </c>
      <c r="AG994" s="59">
        <f t="shared" si="775"/>
        <v>1</v>
      </c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</row>
    <row r="995" ht="24.0" customHeight="1">
      <c r="A995" s="85">
        <v>40.0</v>
      </c>
      <c r="B995" s="54" t="s">
        <v>1270</v>
      </c>
      <c r="C995" s="55" t="s">
        <v>2615</v>
      </c>
      <c r="D995" s="60">
        <v>46142.0</v>
      </c>
      <c r="E995" s="55" t="s">
        <v>1271</v>
      </c>
      <c r="F995" s="55" t="s">
        <v>2745</v>
      </c>
      <c r="G995" s="55">
        <v>23.0</v>
      </c>
      <c r="H995" s="55" t="s">
        <v>85</v>
      </c>
      <c r="I995" s="55" t="s">
        <v>86</v>
      </c>
      <c r="J995" s="55" t="s">
        <v>87</v>
      </c>
      <c r="K995" s="55" t="s">
        <v>1273</v>
      </c>
      <c r="L995" s="55" t="s">
        <v>34</v>
      </c>
      <c r="M995" s="55" t="s">
        <v>89</v>
      </c>
      <c r="N995" s="55" t="s">
        <v>90</v>
      </c>
      <c r="O995" s="55"/>
      <c r="P995" s="55" t="s">
        <v>91</v>
      </c>
      <c r="Q995" s="55" t="s">
        <v>16</v>
      </c>
      <c r="R995" s="55"/>
      <c r="S995" s="55"/>
      <c r="T995" s="55"/>
      <c r="U995" s="55"/>
      <c r="V995" s="55"/>
      <c r="W995" s="55"/>
      <c r="X995" s="57" t="str">
        <f t="shared" si="781"/>
        <v>--988-13-05</v>
      </c>
      <c r="Y995" s="58" t="str">
        <f t="shared" ref="Y995:AC995" si="890">TRIM(SUBSTITUTE(SUBSTITUTE(OFFSET($Q995,0,COLUMN()-COLUMN($AL$1)),CHAR(160)," "),_xludf.UNICHAR(8239)," "))</f>
        <v>#NAME?</v>
      </c>
      <c r="Z995" s="58" t="str">
        <f t="shared" si="890"/>
        <v>#NAME?</v>
      </c>
      <c r="AA995" s="58" t="str">
        <f t="shared" si="890"/>
        <v>#NAME?</v>
      </c>
      <c r="AB995" s="58" t="str">
        <f t="shared" si="890"/>
        <v>#NAME?</v>
      </c>
      <c r="AC995" s="58" t="str">
        <f t="shared" si="890"/>
        <v>#NAME?</v>
      </c>
      <c r="AD995" s="57">
        <f t="shared" si="772"/>
        <v>1</v>
      </c>
      <c r="AE995" s="57" t="str">
        <f t="shared" si="773"/>
        <v>2026-05</v>
      </c>
      <c r="AF995" s="57">
        <f t="shared" si="774"/>
        <v>1</v>
      </c>
      <c r="AG995" s="59">
        <f t="shared" si="775"/>
        <v>0</v>
      </c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</row>
    <row r="996" ht="24.0" customHeight="1">
      <c r="A996" s="85">
        <v>41.0</v>
      </c>
      <c r="B996" s="54" t="s">
        <v>1274</v>
      </c>
      <c r="C996" s="55" t="s">
        <v>2615</v>
      </c>
      <c r="D996" s="60">
        <v>46142.0</v>
      </c>
      <c r="E996" s="55" t="s">
        <v>1275</v>
      </c>
      <c r="F996" s="55" t="s">
        <v>2746</v>
      </c>
      <c r="G996" s="55">
        <v>1.0</v>
      </c>
      <c r="H996" s="55" t="s">
        <v>119</v>
      </c>
      <c r="I996" s="55" t="s">
        <v>112</v>
      </c>
      <c r="J996" s="55" t="s">
        <v>113</v>
      </c>
      <c r="K996" s="55" t="s">
        <v>1273</v>
      </c>
      <c r="L996" s="55" t="s">
        <v>34</v>
      </c>
      <c r="M996" s="55" t="s">
        <v>133</v>
      </c>
      <c r="N996" s="55" t="s">
        <v>90</v>
      </c>
      <c r="O996" s="55"/>
      <c r="P996" s="55" t="s">
        <v>91</v>
      </c>
      <c r="Q996" s="55" t="s">
        <v>16</v>
      </c>
      <c r="R996" s="55"/>
      <c r="S996" s="55" t="s">
        <v>6</v>
      </c>
      <c r="T996" s="55"/>
      <c r="U996" s="55"/>
      <c r="V996" s="55"/>
      <c r="W996" s="55"/>
      <c r="X996" s="57" t="str">
        <f t="shared" si="781"/>
        <v>--989-13-05</v>
      </c>
      <c r="Y996" s="58" t="str">
        <f t="shared" ref="Y996:AC996" si="891">TRIM(SUBSTITUTE(SUBSTITUTE(OFFSET($Q996,0,COLUMN()-COLUMN($AL$1)),CHAR(160)," "),_xludf.UNICHAR(8239)," "))</f>
        <v>#NAME?</v>
      </c>
      <c r="Z996" s="58" t="str">
        <f t="shared" si="891"/>
        <v>#NAME?</v>
      </c>
      <c r="AA996" s="58" t="str">
        <f t="shared" si="891"/>
        <v>#NAME?</v>
      </c>
      <c r="AB996" s="58" t="str">
        <f t="shared" si="891"/>
        <v>#NAME?</v>
      </c>
      <c r="AC996" s="58" t="str">
        <f t="shared" si="891"/>
        <v>#NAME?</v>
      </c>
      <c r="AD996" s="57">
        <f t="shared" si="772"/>
        <v>1</v>
      </c>
      <c r="AE996" s="57" t="str">
        <f t="shared" si="773"/>
        <v>2026-05</v>
      </c>
      <c r="AF996" s="57">
        <f t="shared" si="774"/>
        <v>1</v>
      </c>
      <c r="AG996" s="59">
        <f t="shared" si="775"/>
        <v>0</v>
      </c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</row>
    <row r="997" ht="24.0" customHeight="1">
      <c r="A997" s="85">
        <v>42.0</v>
      </c>
      <c r="B997" s="54" t="s">
        <v>195</v>
      </c>
      <c r="C997" s="55" t="s">
        <v>2615</v>
      </c>
      <c r="D997" s="60">
        <v>46138.0</v>
      </c>
      <c r="E997" s="55" t="s">
        <v>196</v>
      </c>
      <c r="F997" s="55" t="s">
        <v>2747</v>
      </c>
      <c r="G997" s="55">
        <v>25.0</v>
      </c>
      <c r="H997" s="55" t="s">
        <v>85</v>
      </c>
      <c r="I997" s="55" t="s">
        <v>86</v>
      </c>
      <c r="J997" s="55" t="s">
        <v>87</v>
      </c>
      <c r="K997" s="55" t="s">
        <v>198</v>
      </c>
      <c r="L997" s="55" t="s">
        <v>34</v>
      </c>
      <c r="M997" s="55" t="s">
        <v>89</v>
      </c>
      <c r="N997" s="55" t="s">
        <v>90</v>
      </c>
      <c r="O997" s="55"/>
      <c r="P997" s="55" t="s">
        <v>91</v>
      </c>
      <c r="Q997" s="55"/>
      <c r="R997" s="55" t="s">
        <v>5</v>
      </c>
      <c r="S997" s="55"/>
      <c r="T997" s="55"/>
      <c r="U997" s="55" t="s">
        <v>7</v>
      </c>
      <c r="V997" s="55"/>
      <c r="W997" s="55"/>
      <c r="X997" s="57" t="str">
        <f t="shared" si="781"/>
        <v>--990-13-05</v>
      </c>
      <c r="Y997" s="58" t="str">
        <f t="shared" ref="Y997:AC997" si="892">TRIM(SUBSTITUTE(SUBSTITUTE(OFFSET($Q997,0,COLUMN()-COLUMN($AL$1)),CHAR(160)," "),_xludf.UNICHAR(8239)," "))</f>
        <v>#NAME?</v>
      </c>
      <c r="Z997" s="58" t="str">
        <f t="shared" si="892"/>
        <v>#NAME?</v>
      </c>
      <c r="AA997" s="58" t="str">
        <f t="shared" si="892"/>
        <v>#NAME?</v>
      </c>
      <c r="AB997" s="58" t="str">
        <f t="shared" si="892"/>
        <v>#NAME?</v>
      </c>
      <c r="AC997" s="58" t="str">
        <f t="shared" si="892"/>
        <v>#NAME?</v>
      </c>
      <c r="AD997" s="57">
        <f t="shared" si="772"/>
        <v>1</v>
      </c>
      <c r="AE997" s="57" t="str">
        <f t="shared" si="773"/>
        <v>2026-05</v>
      </c>
      <c r="AF997" s="57">
        <f t="shared" si="774"/>
        <v>1</v>
      </c>
      <c r="AG997" s="59">
        <f t="shared" si="775"/>
        <v>0</v>
      </c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</row>
    <row r="998" ht="24.0" customHeight="1">
      <c r="A998" s="85">
        <v>43.0</v>
      </c>
      <c r="B998" s="54" t="s">
        <v>2748</v>
      </c>
      <c r="C998" s="55" t="s">
        <v>2615</v>
      </c>
      <c r="D998" s="55"/>
      <c r="E998" s="55" t="s">
        <v>2749</v>
      </c>
      <c r="F998" s="55" t="s">
        <v>2750</v>
      </c>
      <c r="G998" s="55">
        <v>33.0</v>
      </c>
      <c r="H998" s="55" t="s">
        <v>85</v>
      </c>
      <c r="I998" s="55" t="s">
        <v>86</v>
      </c>
      <c r="J998" s="55" t="s">
        <v>87</v>
      </c>
      <c r="K998" s="55" t="s">
        <v>2751</v>
      </c>
      <c r="L998" s="55" t="s">
        <v>34</v>
      </c>
      <c r="M998" s="55" t="s">
        <v>89</v>
      </c>
      <c r="N998" s="55" t="s">
        <v>90</v>
      </c>
      <c r="O998" s="55"/>
      <c r="P998" s="55" t="s">
        <v>91</v>
      </c>
      <c r="Q998" s="55"/>
      <c r="R998" s="55" t="s">
        <v>5</v>
      </c>
      <c r="S998" s="55"/>
      <c r="T998" s="55"/>
      <c r="U998" s="55" t="s">
        <v>7</v>
      </c>
      <c r="V998" s="55"/>
      <c r="W998" s="55"/>
      <c r="X998" s="57" t="str">
        <f t="shared" si="781"/>
        <v>--991-13-05</v>
      </c>
      <c r="Y998" s="58" t="str">
        <f t="shared" ref="Y998:AC998" si="893">TRIM(SUBSTITUTE(SUBSTITUTE(OFFSET($Q998,0,COLUMN()-COLUMN($AL$1)),CHAR(160)," "),_xludf.UNICHAR(8239)," "))</f>
        <v>#NAME?</v>
      </c>
      <c r="Z998" s="58" t="str">
        <f t="shared" si="893"/>
        <v>#NAME?</v>
      </c>
      <c r="AA998" s="58" t="str">
        <f t="shared" si="893"/>
        <v>#NAME?</v>
      </c>
      <c r="AB998" s="58" t="str">
        <f t="shared" si="893"/>
        <v>#NAME?</v>
      </c>
      <c r="AC998" s="58" t="str">
        <f t="shared" si="893"/>
        <v>#NAME?</v>
      </c>
      <c r="AD998" s="57">
        <f t="shared" si="772"/>
        <v>1</v>
      </c>
      <c r="AE998" s="57" t="str">
        <f t="shared" si="773"/>
        <v>2026-05</v>
      </c>
      <c r="AF998" s="57">
        <f t="shared" si="774"/>
        <v>1</v>
      </c>
      <c r="AG998" s="59">
        <f t="shared" si="775"/>
        <v>1</v>
      </c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</row>
    <row r="999" ht="24.0" customHeight="1">
      <c r="A999" s="85">
        <v>44.0</v>
      </c>
      <c r="B999" s="54" t="s">
        <v>2752</v>
      </c>
      <c r="C999" s="55" t="s">
        <v>2615</v>
      </c>
      <c r="D999" s="55"/>
      <c r="E999" s="55" t="s">
        <v>2753</v>
      </c>
      <c r="F999" s="55" t="s">
        <v>2754</v>
      </c>
      <c r="G999" s="55">
        <v>15.0</v>
      </c>
      <c r="H999" s="55" t="s">
        <v>111</v>
      </c>
      <c r="I999" s="55" t="s">
        <v>86</v>
      </c>
      <c r="J999" s="55" t="s">
        <v>87</v>
      </c>
      <c r="K999" s="55" t="s">
        <v>2755</v>
      </c>
      <c r="L999" s="55"/>
      <c r="M999" s="55" t="s">
        <v>133</v>
      </c>
      <c r="N999" s="55" t="s">
        <v>90</v>
      </c>
      <c r="O999" s="55"/>
      <c r="P999" s="55" t="s">
        <v>91</v>
      </c>
      <c r="Q999" s="55" t="s">
        <v>4</v>
      </c>
      <c r="R999" s="55"/>
      <c r="S999" s="55"/>
      <c r="T999" s="55"/>
      <c r="U999" s="55"/>
      <c r="V999" s="55"/>
      <c r="W999" s="55"/>
      <c r="X999" s="57" t="str">
        <f t="shared" si="781"/>
        <v>--992-13-05</v>
      </c>
      <c r="Y999" s="58" t="str">
        <f t="shared" ref="Y999:AC999" si="894">TRIM(SUBSTITUTE(SUBSTITUTE(OFFSET($Q999,0,COLUMN()-COLUMN($AL$1)),CHAR(160)," "),_xludf.UNICHAR(8239)," "))</f>
        <v>#NAME?</v>
      </c>
      <c r="Z999" s="58" t="str">
        <f t="shared" si="894"/>
        <v>#NAME?</v>
      </c>
      <c r="AA999" s="58" t="str">
        <f t="shared" si="894"/>
        <v>#NAME?</v>
      </c>
      <c r="AB999" s="58" t="str">
        <f t="shared" si="894"/>
        <v>#NAME?</v>
      </c>
      <c r="AC999" s="58" t="str">
        <f t="shared" si="894"/>
        <v>#NAME?</v>
      </c>
      <c r="AD999" s="57">
        <f t="shared" si="772"/>
        <v>1</v>
      </c>
      <c r="AE999" s="57" t="str">
        <f t="shared" si="773"/>
        <v>2026-05</v>
      </c>
      <c r="AF999" s="57">
        <f t="shared" si="774"/>
        <v>1</v>
      </c>
      <c r="AG999" s="59">
        <f t="shared" si="775"/>
        <v>1</v>
      </c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</row>
    <row r="1000" ht="24.0" customHeight="1">
      <c r="A1000" s="85">
        <v>45.0</v>
      </c>
      <c r="B1000" s="54" t="s">
        <v>2756</v>
      </c>
      <c r="C1000" s="55" t="s">
        <v>2615</v>
      </c>
      <c r="D1000" s="55"/>
      <c r="E1000" s="55" t="s">
        <v>2757</v>
      </c>
      <c r="F1000" s="55" t="s">
        <v>2758</v>
      </c>
      <c r="G1000" s="55">
        <v>41.0</v>
      </c>
      <c r="H1000" s="55" t="s">
        <v>85</v>
      </c>
      <c r="I1000" s="55" t="s">
        <v>86</v>
      </c>
      <c r="J1000" s="55" t="s">
        <v>87</v>
      </c>
      <c r="K1000" s="55" t="s">
        <v>2759</v>
      </c>
      <c r="L1000" s="55" t="s">
        <v>34</v>
      </c>
      <c r="M1000" s="55" t="s">
        <v>89</v>
      </c>
      <c r="N1000" s="55" t="s">
        <v>90</v>
      </c>
      <c r="O1000" s="55"/>
      <c r="P1000" s="55" t="s">
        <v>91</v>
      </c>
      <c r="Q1000" s="55" t="s">
        <v>4</v>
      </c>
      <c r="R1000" s="55"/>
      <c r="S1000" s="55"/>
      <c r="T1000" s="55"/>
      <c r="U1000" s="55"/>
      <c r="V1000" s="55"/>
      <c r="W1000" s="55"/>
      <c r="X1000" s="57" t="str">
        <f t="shared" si="781"/>
        <v>--993-13-05</v>
      </c>
      <c r="Y1000" s="58" t="str">
        <f t="shared" ref="Y1000:AC1000" si="895">TRIM(SUBSTITUTE(SUBSTITUTE(OFFSET($Q1000,0,COLUMN()-COLUMN($AL$1)),CHAR(160)," "),_xludf.UNICHAR(8239)," "))</f>
        <v>#NAME?</v>
      </c>
      <c r="Z1000" s="58" t="str">
        <f t="shared" si="895"/>
        <v>#NAME?</v>
      </c>
      <c r="AA1000" s="58" t="str">
        <f t="shared" si="895"/>
        <v>#NAME?</v>
      </c>
      <c r="AB1000" s="58" t="str">
        <f t="shared" si="895"/>
        <v>#NAME?</v>
      </c>
      <c r="AC1000" s="58" t="str">
        <f t="shared" si="895"/>
        <v>#NAME?</v>
      </c>
      <c r="AD1000" s="57">
        <f t="shared" si="772"/>
        <v>1</v>
      </c>
      <c r="AE1000" s="57" t="str">
        <f t="shared" si="773"/>
        <v>2026-05</v>
      </c>
      <c r="AF1000" s="57">
        <f t="shared" si="774"/>
        <v>1</v>
      </c>
      <c r="AG1000" s="59">
        <f t="shared" si="775"/>
        <v>1</v>
      </c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</row>
    <row r="1001" ht="24.0" customHeight="1">
      <c r="A1001" s="85">
        <v>46.0</v>
      </c>
      <c r="B1001" s="54" t="s">
        <v>2760</v>
      </c>
      <c r="C1001" s="55" t="s">
        <v>2615</v>
      </c>
      <c r="D1001" s="55"/>
      <c r="E1001" s="55" t="s">
        <v>2761</v>
      </c>
      <c r="F1001" s="55" t="s">
        <v>2762</v>
      </c>
      <c r="G1001" s="55">
        <v>36.0</v>
      </c>
      <c r="H1001" s="55" t="s">
        <v>85</v>
      </c>
      <c r="I1001" s="55" t="s">
        <v>86</v>
      </c>
      <c r="J1001" s="55" t="s">
        <v>87</v>
      </c>
      <c r="K1001" s="55" t="s">
        <v>2763</v>
      </c>
      <c r="L1001" s="55" t="s">
        <v>24</v>
      </c>
      <c r="M1001" s="55" t="s">
        <v>89</v>
      </c>
      <c r="N1001" s="55" t="s">
        <v>90</v>
      </c>
      <c r="O1001" s="55"/>
      <c r="P1001" s="55" t="s">
        <v>91</v>
      </c>
      <c r="Q1001" s="55"/>
      <c r="R1001" s="55" t="s">
        <v>36</v>
      </c>
      <c r="S1001" s="55"/>
      <c r="T1001" s="55"/>
      <c r="U1001" s="55"/>
      <c r="V1001" s="55"/>
      <c r="W1001" s="55"/>
      <c r="X1001" s="57" t="str">
        <f t="shared" si="781"/>
        <v>--994-13-05</v>
      </c>
      <c r="Y1001" s="58" t="str">
        <f t="shared" ref="Y1001:AC1001" si="896">TRIM(SUBSTITUTE(SUBSTITUTE(OFFSET($Q1001,0,COLUMN()-COLUMN($AL$1)),CHAR(160)," "),_xludf.UNICHAR(8239)," "))</f>
        <v>#NAME?</v>
      </c>
      <c r="Z1001" s="58" t="str">
        <f t="shared" si="896"/>
        <v>#NAME?</v>
      </c>
      <c r="AA1001" s="58" t="str">
        <f t="shared" si="896"/>
        <v>#NAME?</v>
      </c>
      <c r="AB1001" s="58" t="str">
        <f t="shared" si="896"/>
        <v>#NAME?</v>
      </c>
      <c r="AC1001" s="58" t="str">
        <f t="shared" si="896"/>
        <v>#NAME?</v>
      </c>
      <c r="AD1001" s="57">
        <f t="shared" si="772"/>
        <v>1</v>
      </c>
      <c r="AE1001" s="57" t="str">
        <f t="shared" si="773"/>
        <v>2026-05</v>
      </c>
      <c r="AF1001" s="57">
        <f t="shared" si="774"/>
        <v>1</v>
      </c>
      <c r="AG1001" s="59">
        <f t="shared" si="775"/>
        <v>1</v>
      </c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</row>
    <row r="1002" ht="24.0" customHeight="1">
      <c r="A1002" s="85">
        <v>47.0</v>
      </c>
      <c r="B1002" s="54" t="s">
        <v>2764</v>
      </c>
      <c r="C1002" s="55" t="s">
        <v>2615</v>
      </c>
      <c r="D1002" s="55"/>
      <c r="E1002" s="55" t="s">
        <v>2765</v>
      </c>
      <c r="F1002" s="55" t="s">
        <v>2766</v>
      </c>
      <c r="G1002" s="55">
        <v>27.0</v>
      </c>
      <c r="H1002" s="55" t="s">
        <v>85</v>
      </c>
      <c r="I1002" s="55" t="s">
        <v>86</v>
      </c>
      <c r="J1002" s="55" t="s">
        <v>87</v>
      </c>
      <c r="K1002" s="55" t="s">
        <v>2767</v>
      </c>
      <c r="L1002" s="55"/>
      <c r="M1002" s="55" t="s">
        <v>89</v>
      </c>
      <c r="N1002" s="55" t="s">
        <v>90</v>
      </c>
      <c r="O1002" s="55"/>
      <c r="P1002" s="55" t="s">
        <v>91</v>
      </c>
      <c r="Q1002" s="55" t="s">
        <v>16</v>
      </c>
      <c r="R1002" s="55"/>
      <c r="S1002" s="55"/>
      <c r="T1002" s="55"/>
      <c r="U1002" s="55"/>
      <c r="V1002" s="55"/>
      <c r="W1002" s="55"/>
      <c r="X1002" s="57" t="str">
        <f t="shared" si="781"/>
        <v>--995-13-05</v>
      </c>
      <c r="Y1002" s="58" t="str">
        <f t="shared" ref="Y1002:AC1002" si="897">TRIM(SUBSTITUTE(SUBSTITUTE(OFFSET($Q1002,0,COLUMN()-COLUMN($AL$1)),CHAR(160)," "),_xludf.UNICHAR(8239)," "))</f>
        <v>#NAME?</v>
      </c>
      <c r="Z1002" s="58" t="str">
        <f t="shared" si="897"/>
        <v>#NAME?</v>
      </c>
      <c r="AA1002" s="58" t="str">
        <f t="shared" si="897"/>
        <v>#NAME?</v>
      </c>
      <c r="AB1002" s="58" t="str">
        <f t="shared" si="897"/>
        <v>#NAME?</v>
      </c>
      <c r="AC1002" s="58" t="str">
        <f t="shared" si="897"/>
        <v>#NAME?</v>
      </c>
      <c r="AD1002" s="57">
        <f t="shared" si="772"/>
        <v>1</v>
      </c>
      <c r="AE1002" s="57" t="str">
        <f t="shared" si="773"/>
        <v>2026-05</v>
      </c>
      <c r="AF1002" s="57">
        <f t="shared" si="774"/>
        <v>1</v>
      </c>
      <c r="AG1002" s="59">
        <f t="shared" si="775"/>
        <v>1</v>
      </c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</row>
    <row r="1003" ht="24.0" customHeight="1">
      <c r="A1003" s="85">
        <v>48.0</v>
      </c>
      <c r="B1003" s="54" t="s">
        <v>2768</v>
      </c>
      <c r="C1003" s="55" t="s">
        <v>2615</v>
      </c>
      <c r="D1003" s="55"/>
      <c r="E1003" s="55" t="s">
        <v>2769</v>
      </c>
      <c r="F1003" s="55" t="s">
        <v>2770</v>
      </c>
      <c r="G1003" s="55">
        <v>63.0</v>
      </c>
      <c r="H1003" s="55" t="s">
        <v>260</v>
      </c>
      <c r="I1003" s="55" t="s">
        <v>112</v>
      </c>
      <c r="J1003" s="55" t="s">
        <v>113</v>
      </c>
      <c r="K1003" s="55" t="s">
        <v>2771</v>
      </c>
      <c r="L1003" s="55" t="s">
        <v>34</v>
      </c>
      <c r="M1003" s="55" t="s">
        <v>89</v>
      </c>
      <c r="N1003" s="55" t="s">
        <v>90</v>
      </c>
      <c r="O1003" s="55"/>
      <c r="P1003" s="55" t="s">
        <v>91</v>
      </c>
      <c r="Q1003" s="55" t="s">
        <v>4</v>
      </c>
      <c r="R1003" s="55"/>
      <c r="S1003" s="55"/>
      <c r="T1003" s="55"/>
      <c r="U1003" s="55"/>
      <c r="V1003" s="55"/>
      <c r="W1003" s="55"/>
      <c r="X1003" s="57" t="str">
        <f t="shared" si="781"/>
        <v>--996-13-05</v>
      </c>
      <c r="Y1003" s="58" t="str">
        <f t="shared" ref="Y1003:AC1003" si="898">TRIM(SUBSTITUTE(SUBSTITUTE(OFFSET($Q1003,0,COLUMN()-COLUMN($AL$1)),CHAR(160)," "),_xludf.UNICHAR(8239)," "))</f>
        <v>#NAME?</v>
      </c>
      <c r="Z1003" s="58" t="str">
        <f t="shared" si="898"/>
        <v>#NAME?</v>
      </c>
      <c r="AA1003" s="58" t="str">
        <f t="shared" si="898"/>
        <v>#NAME?</v>
      </c>
      <c r="AB1003" s="58" t="str">
        <f t="shared" si="898"/>
        <v>#NAME?</v>
      </c>
      <c r="AC1003" s="58" t="str">
        <f t="shared" si="898"/>
        <v>#NAME?</v>
      </c>
      <c r="AD1003" s="57">
        <f t="shared" si="772"/>
        <v>1</v>
      </c>
      <c r="AE1003" s="57" t="str">
        <f t="shared" si="773"/>
        <v>2026-05</v>
      </c>
      <c r="AF1003" s="57">
        <f t="shared" si="774"/>
        <v>1</v>
      </c>
      <c r="AG1003" s="59">
        <f t="shared" si="775"/>
        <v>1</v>
      </c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</row>
    <row r="1004" ht="24.0" customHeight="1">
      <c r="A1004" s="85">
        <v>49.0</v>
      </c>
      <c r="B1004" s="54" t="s">
        <v>2772</v>
      </c>
      <c r="C1004" s="55" t="s">
        <v>2615</v>
      </c>
      <c r="D1004" s="55"/>
      <c r="E1004" s="55" t="s">
        <v>2773</v>
      </c>
      <c r="F1004" s="55" t="s">
        <v>2774</v>
      </c>
      <c r="G1004" s="55">
        <v>25.0</v>
      </c>
      <c r="H1004" s="55" t="s">
        <v>85</v>
      </c>
      <c r="I1004" s="55" t="s">
        <v>112</v>
      </c>
      <c r="J1004" s="55" t="s">
        <v>113</v>
      </c>
      <c r="K1004" s="55" t="s">
        <v>2775</v>
      </c>
      <c r="L1004" s="55" t="s">
        <v>34</v>
      </c>
      <c r="M1004" s="55" t="s">
        <v>133</v>
      </c>
      <c r="N1004" s="55" t="s">
        <v>90</v>
      </c>
      <c r="O1004" s="55"/>
      <c r="P1004" s="55" t="s">
        <v>91</v>
      </c>
      <c r="Q1004" s="55" t="s">
        <v>16</v>
      </c>
      <c r="R1004" s="55"/>
      <c r="S1004" s="55"/>
      <c r="T1004" s="55"/>
      <c r="U1004" s="55"/>
      <c r="V1004" s="55"/>
      <c r="W1004" s="55"/>
      <c r="X1004" s="57" t="str">
        <f t="shared" si="781"/>
        <v>--997-13-05</v>
      </c>
      <c r="Y1004" s="58" t="str">
        <f t="shared" ref="Y1004:AC1004" si="899">TRIM(SUBSTITUTE(SUBSTITUTE(OFFSET($Q1004,0,COLUMN()-COLUMN($AL$1)),CHAR(160)," "),_xludf.UNICHAR(8239)," "))</f>
        <v>#NAME?</v>
      </c>
      <c r="Z1004" s="58" t="str">
        <f t="shared" si="899"/>
        <v>#NAME?</v>
      </c>
      <c r="AA1004" s="58" t="str">
        <f t="shared" si="899"/>
        <v>#NAME?</v>
      </c>
      <c r="AB1004" s="58" t="str">
        <f t="shared" si="899"/>
        <v>#NAME?</v>
      </c>
      <c r="AC1004" s="58" t="str">
        <f t="shared" si="899"/>
        <v>#NAME?</v>
      </c>
      <c r="AD1004" s="57">
        <f t="shared" si="772"/>
        <v>1</v>
      </c>
      <c r="AE1004" s="57" t="str">
        <f t="shared" si="773"/>
        <v>2026-05</v>
      </c>
      <c r="AF1004" s="57">
        <f t="shared" si="774"/>
        <v>1</v>
      </c>
      <c r="AG1004" s="59">
        <f t="shared" si="775"/>
        <v>1</v>
      </c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</row>
    <row r="1005" ht="24.0" customHeight="1">
      <c r="A1005" s="85">
        <v>1.0</v>
      </c>
      <c r="B1005" s="54" t="s">
        <v>2776</v>
      </c>
      <c r="C1005" s="55" t="s">
        <v>2777</v>
      </c>
      <c r="D1005" s="55" t="s">
        <v>1883</v>
      </c>
      <c r="E1005" s="55" t="s">
        <v>2778</v>
      </c>
      <c r="F1005" s="55" t="s">
        <v>2779</v>
      </c>
      <c r="G1005" s="55">
        <v>23.0</v>
      </c>
      <c r="H1005" s="55" t="s">
        <v>85</v>
      </c>
      <c r="I1005" s="55" t="s">
        <v>86</v>
      </c>
      <c r="J1005" s="55" t="s">
        <v>87</v>
      </c>
      <c r="K1005" s="55" t="s">
        <v>1883</v>
      </c>
      <c r="L1005" s="55" t="s">
        <v>1883</v>
      </c>
      <c r="M1005" s="55" t="s">
        <v>133</v>
      </c>
      <c r="N1005" s="55" t="s">
        <v>90</v>
      </c>
      <c r="O1005" s="55" t="s">
        <v>1883</v>
      </c>
      <c r="P1005" s="55" t="s">
        <v>91</v>
      </c>
      <c r="Q1005" s="55" t="s">
        <v>1883</v>
      </c>
      <c r="R1005" s="55" t="s">
        <v>5</v>
      </c>
      <c r="S1005" s="55" t="s">
        <v>1883</v>
      </c>
      <c r="T1005" s="55" t="s">
        <v>1883</v>
      </c>
      <c r="U1005" s="55" t="s">
        <v>7</v>
      </c>
      <c r="V1005" s="55" t="s">
        <v>1883</v>
      </c>
      <c r="W1005" s="55" t="s">
        <v>1883</v>
      </c>
      <c r="X1005" s="57" t="str">
        <f t="shared" si="781"/>
        <v>--998-14-05</v>
      </c>
      <c r="Y1005" s="58"/>
      <c r="Z1005" s="58"/>
      <c r="AA1005" s="58"/>
      <c r="AB1005" s="58"/>
      <c r="AC1005" s="58"/>
      <c r="AD1005" s="57"/>
      <c r="AE1005" s="57"/>
      <c r="AF1005" s="57"/>
      <c r="AG1005" s="59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</row>
    <row r="1006" ht="24.0" customHeight="1">
      <c r="A1006" s="85">
        <v>2.0</v>
      </c>
      <c r="B1006" s="54" t="s">
        <v>1510</v>
      </c>
      <c r="C1006" s="55" t="s">
        <v>2777</v>
      </c>
      <c r="D1006" s="55" t="s">
        <v>1883</v>
      </c>
      <c r="E1006" s="55" t="s">
        <v>1511</v>
      </c>
      <c r="F1006" s="55" t="s">
        <v>2780</v>
      </c>
      <c r="G1006" s="55">
        <v>27.0</v>
      </c>
      <c r="H1006" s="55" t="s">
        <v>85</v>
      </c>
      <c r="I1006" s="55" t="s">
        <v>86</v>
      </c>
      <c r="J1006" s="55" t="s">
        <v>87</v>
      </c>
      <c r="K1006" s="55" t="s">
        <v>1513</v>
      </c>
      <c r="L1006" s="55" t="s">
        <v>34</v>
      </c>
      <c r="M1006" s="55" t="s">
        <v>89</v>
      </c>
      <c r="N1006" s="55" t="s">
        <v>90</v>
      </c>
      <c r="O1006" s="55" t="s">
        <v>1883</v>
      </c>
      <c r="P1006" s="55" t="s">
        <v>91</v>
      </c>
      <c r="Q1006" s="55" t="s">
        <v>1883</v>
      </c>
      <c r="R1006" s="55" t="s">
        <v>5</v>
      </c>
      <c r="S1006" s="55" t="s">
        <v>1883</v>
      </c>
      <c r="T1006" s="55" t="s">
        <v>1883</v>
      </c>
      <c r="U1006" s="55" t="s">
        <v>7</v>
      </c>
      <c r="V1006" s="55" t="s">
        <v>1883</v>
      </c>
      <c r="W1006" s="55" t="s">
        <v>1883</v>
      </c>
      <c r="X1006" s="57" t="str">
        <f t="shared" si="781"/>
        <v>--999-14-05</v>
      </c>
      <c r="Y1006" s="58"/>
      <c r="Z1006" s="58"/>
      <c r="AA1006" s="58"/>
      <c r="AB1006" s="58"/>
      <c r="AC1006" s="58"/>
      <c r="AD1006" s="57"/>
      <c r="AE1006" s="57"/>
      <c r="AF1006" s="57"/>
      <c r="AG1006" s="59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</row>
    <row r="1007" ht="24.0" customHeight="1">
      <c r="A1007" s="85">
        <v>3.0</v>
      </c>
      <c r="B1007" s="54" t="s">
        <v>2781</v>
      </c>
      <c r="C1007" s="55" t="s">
        <v>2777</v>
      </c>
      <c r="D1007" s="55" t="s">
        <v>1883</v>
      </c>
      <c r="E1007" s="55" t="s">
        <v>2782</v>
      </c>
      <c r="F1007" s="55" t="s">
        <v>2783</v>
      </c>
      <c r="G1007" s="55">
        <v>30.0</v>
      </c>
      <c r="H1007" s="55" t="s">
        <v>85</v>
      </c>
      <c r="I1007" s="55" t="s">
        <v>86</v>
      </c>
      <c r="J1007" s="55" t="s">
        <v>87</v>
      </c>
      <c r="K1007" s="55" t="s">
        <v>1883</v>
      </c>
      <c r="L1007" s="55" t="s">
        <v>1883</v>
      </c>
      <c r="M1007" s="55" t="s">
        <v>89</v>
      </c>
      <c r="N1007" s="55" t="s">
        <v>90</v>
      </c>
      <c r="O1007" s="55" t="s">
        <v>1883</v>
      </c>
      <c r="P1007" s="86" t="s">
        <v>2784</v>
      </c>
      <c r="Q1007" s="55" t="s">
        <v>1883</v>
      </c>
      <c r="R1007" s="55" t="s">
        <v>5</v>
      </c>
      <c r="S1007" s="55" t="s">
        <v>1883</v>
      </c>
      <c r="T1007" s="55" t="s">
        <v>1883</v>
      </c>
      <c r="U1007" s="55" t="s">
        <v>7</v>
      </c>
      <c r="V1007" s="55" t="s">
        <v>1883</v>
      </c>
      <c r="W1007" s="55" t="s">
        <v>1883</v>
      </c>
      <c r="X1007" s="57" t="str">
        <f t="shared" si="781"/>
        <v>--1000-14-05</v>
      </c>
      <c r="Y1007" s="58"/>
      <c r="Z1007" s="58"/>
      <c r="AA1007" s="58"/>
      <c r="AB1007" s="58"/>
      <c r="AC1007" s="58"/>
      <c r="AD1007" s="57"/>
      <c r="AE1007" s="57"/>
      <c r="AF1007" s="57"/>
      <c r="AG1007" s="59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</row>
    <row r="1008" ht="24.0" customHeight="1">
      <c r="A1008" s="85">
        <v>4.0</v>
      </c>
      <c r="B1008" s="54" t="s">
        <v>81</v>
      </c>
      <c r="C1008" s="55" t="s">
        <v>2777</v>
      </c>
      <c r="D1008" s="55" t="s">
        <v>1883</v>
      </c>
      <c r="E1008" s="55" t="s">
        <v>83</v>
      </c>
      <c r="F1008" s="55" t="s">
        <v>1551</v>
      </c>
      <c r="G1008" s="55">
        <v>37.0</v>
      </c>
      <c r="H1008" s="55" t="s">
        <v>85</v>
      </c>
      <c r="I1008" s="55" t="s">
        <v>86</v>
      </c>
      <c r="J1008" s="55" t="s">
        <v>87</v>
      </c>
      <c r="K1008" s="55" t="s">
        <v>88</v>
      </c>
      <c r="L1008" s="55" t="s">
        <v>44</v>
      </c>
      <c r="M1008" s="55" t="s">
        <v>89</v>
      </c>
      <c r="N1008" s="55" t="s">
        <v>90</v>
      </c>
      <c r="O1008" s="55" t="s">
        <v>1883</v>
      </c>
      <c r="P1008" s="55" t="s">
        <v>91</v>
      </c>
      <c r="Q1008" s="55" t="s">
        <v>1883</v>
      </c>
      <c r="R1008" s="55" t="s">
        <v>36</v>
      </c>
      <c r="S1008" s="55" t="s">
        <v>1883</v>
      </c>
      <c r="T1008" s="55" t="s">
        <v>1883</v>
      </c>
      <c r="U1008" s="55" t="s">
        <v>1883</v>
      </c>
      <c r="V1008" s="55" t="s">
        <v>1883</v>
      </c>
      <c r="W1008" s="55" t="s">
        <v>1883</v>
      </c>
      <c r="X1008" s="57" t="str">
        <f t="shared" si="781"/>
        <v>--1001-14-05</v>
      </c>
      <c r="Y1008" s="58"/>
      <c r="Z1008" s="58"/>
      <c r="AA1008" s="58"/>
      <c r="AB1008" s="58"/>
      <c r="AC1008" s="58"/>
      <c r="AD1008" s="57"/>
      <c r="AE1008" s="57"/>
      <c r="AF1008" s="57"/>
      <c r="AG1008" s="59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</row>
    <row r="1009" ht="24.0" customHeight="1">
      <c r="A1009" s="85">
        <v>5.0</v>
      </c>
      <c r="B1009" s="54" t="s">
        <v>1457</v>
      </c>
      <c r="C1009" s="55" t="s">
        <v>2777</v>
      </c>
      <c r="D1009" s="55" t="s">
        <v>1883</v>
      </c>
      <c r="E1009" s="55" t="s">
        <v>1458</v>
      </c>
      <c r="F1009" s="55" t="s">
        <v>2785</v>
      </c>
      <c r="G1009" s="55">
        <v>29.0</v>
      </c>
      <c r="H1009" s="55" t="s">
        <v>85</v>
      </c>
      <c r="I1009" s="55" t="s">
        <v>112</v>
      </c>
      <c r="J1009" s="55" t="s">
        <v>113</v>
      </c>
      <c r="K1009" s="55" t="s">
        <v>1460</v>
      </c>
      <c r="L1009" s="55" t="s">
        <v>34</v>
      </c>
      <c r="M1009" s="55" t="s">
        <v>89</v>
      </c>
      <c r="N1009" s="55" t="s">
        <v>90</v>
      </c>
      <c r="O1009" s="55" t="s">
        <v>1883</v>
      </c>
      <c r="P1009" s="55" t="s">
        <v>91</v>
      </c>
      <c r="Q1009" s="55" t="s">
        <v>1883</v>
      </c>
      <c r="R1009" s="55" t="s">
        <v>5</v>
      </c>
      <c r="S1009" s="55" t="s">
        <v>1883</v>
      </c>
      <c r="T1009" s="55" t="s">
        <v>1883</v>
      </c>
      <c r="U1009" s="55" t="s">
        <v>7</v>
      </c>
      <c r="V1009" s="55" t="s">
        <v>1883</v>
      </c>
      <c r="W1009" s="55" t="s">
        <v>1883</v>
      </c>
      <c r="X1009" s="57" t="str">
        <f t="shared" si="781"/>
        <v>--1002-14-05</v>
      </c>
      <c r="Y1009" s="58"/>
      <c r="Z1009" s="58"/>
      <c r="AA1009" s="58"/>
      <c r="AB1009" s="58"/>
      <c r="AC1009" s="58"/>
      <c r="AD1009" s="57"/>
      <c r="AE1009" s="57"/>
      <c r="AF1009" s="57"/>
      <c r="AG1009" s="59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</row>
    <row r="1010" ht="24.0" customHeight="1">
      <c r="A1010" s="85">
        <v>6.0</v>
      </c>
      <c r="B1010" s="54" t="s">
        <v>2786</v>
      </c>
      <c r="C1010" s="55" t="s">
        <v>2777</v>
      </c>
      <c r="D1010" s="55" t="s">
        <v>1883</v>
      </c>
      <c r="E1010" s="55" t="s">
        <v>2787</v>
      </c>
      <c r="F1010" s="55" t="s">
        <v>2788</v>
      </c>
      <c r="G1010" s="55">
        <v>21.0</v>
      </c>
      <c r="H1010" s="55" t="s">
        <v>85</v>
      </c>
      <c r="I1010" s="55" t="s">
        <v>86</v>
      </c>
      <c r="J1010" s="55" t="s">
        <v>87</v>
      </c>
      <c r="K1010" s="55" t="s">
        <v>2789</v>
      </c>
      <c r="L1010" s="55" t="s">
        <v>41</v>
      </c>
      <c r="M1010" s="55" t="s">
        <v>89</v>
      </c>
      <c r="N1010" s="55" t="s">
        <v>90</v>
      </c>
      <c r="O1010" s="55" t="s">
        <v>1883</v>
      </c>
      <c r="P1010" s="55" t="s">
        <v>91</v>
      </c>
      <c r="Q1010" s="55" t="s">
        <v>1883</v>
      </c>
      <c r="R1010" s="55" t="s">
        <v>5</v>
      </c>
      <c r="S1010" s="55" t="s">
        <v>1883</v>
      </c>
      <c r="T1010" s="55" t="s">
        <v>1883</v>
      </c>
      <c r="U1010" s="55" t="s">
        <v>7</v>
      </c>
      <c r="V1010" s="55" t="s">
        <v>1883</v>
      </c>
      <c r="W1010" s="55" t="s">
        <v>1883</v>
      </c>
      <c r="X1010" s="57" t="str">
        <f t="shared" si="781"/>
        <v>--1003-14-05</v>
      </c>
      <c r="Y1010" s="58"/>
      <c r="Z1010" s="58"/>
      <c r="AA1010" s="58"/>
      <c r="AB1010" s="58"/>
      <c r="AC1010" s="58"/>
      <c r="AD1010" s="57"/>
      <c r="AE1010" s="57"/>
      <c r="AF1010" s="57"/>
      <c r="AG1010" s="59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</row>
    <row r="1011" ht="24.0" customHeight="1">
      <c r="A1011" s="85">
        <v>7.0</v>
      </c>
      <c r="B1011" s="54" t="s">
        <v>2790</v>
      </c>
      <c r="C1011" s="55" t="s">
        <v>2777</v>
      </c>
      <c r="D1011" s="55" t="s">
        <v>1883</v>
      </c>
      <c r="E1011" s="55" t="s">
        <v>2791</v>
      </c>
      <c r="F1011" s="55" t="s">
        <v>2792</v>
      </c>
      <c r="G1011" s="55">
        <v>53.0</v>
      </c>
      <c r="H1011" s="55" t="s">
        <v>85</v>
      </c>
      <c r="I1011" s="55" t="s">
        <v>86</v>
      </c>
      <c r="J1011" s="55" t="s">
        <v>87</v>
      </c>
      <c r="K1011" s="55" t="s">
        <v>2793</v>
      </c>
      <c r="L1011" s="55" t="s">
        <v>24</v>
      </c>
      <c r="M1011" s="55" t="s">
        <v>89</v>
      </c>
      <c r="N1011" s="55" t="s">
        <v>90</v>
      </c>
      <c r="O1011" s="55" t="s">
        <v>1883</v>
      </c>
      <c r="P1011" s="55" t="s">
        <v>91</v>
      </c>
      <c r="Q1011" s="55" t="s">
        <v>1883</v>
      </c>
      <c r="R1011" s="55" t="s">
        <v>36</v>
      </c>
      <c r="S1011" s="55" t="s">
        <v>1883</v>
      </c>
      <c r="T1011" s="55" t="s">
        <v>1883</v>
      </c>
      <c r="U1011" s="55" t="s">
        <v>1883</v>
      </c>
      <c r="V1011" s="55" t="s">
        <v>1883</v>
      </c>
      <c r="W1011" s="55" t="s">
        <v>1883</v>
      </c>
      <c r="X1011" s="57" t="str">
        <f t="shared" si="781"/>
        <v>--1004-14-05</v>
      </c>
      <c r="Y1011" s="58"/>
      <c r="Z1011" s="58"/>
      <c r="AA1011" s="58"/>
      <c r="AB1011" s="58"/>
      <c r="AC1011" s="58"/>
      <c r="AD1011" s="57"/>
      <c r="AE1011" s="57"/>
      <c r="AF1011" s="57"/>
      <c r="AG1011" s="59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</row>
    <row r="1012" ht="24.0" customHeight="1">
      <c r="A1012" s="85">
        <v>8.0</v>
      </c>
      <c r="B1012" s="54" t="s">
        <v>2794</v>
      </c>
      <c r="C1012" s="55" t="s">
        <v>2777</v>
      </c>
      <c r="D1012" s="55" t="s">
        <v>1883</v>
      </c>
      <c r="E1012" s="55" t="s">
        <v>2795</v>
      </c>
      <c r="F1012" s="55" t="s">
        <v>2796</v>
      </c>
      <c r="G1012" s="55">
        <v>60.0</v>
      </c>
      <c r="H1012" s="55" t="s">
        <v>85</v>
      </c>
      <c r="I1012" s="55" t="s">
        <v>112</v>
      </c>
      <c r="J1012" s="55" t="s">
        <v>113</v>
      </c>
      <c r="K1012" s="55" t="s">
        <v>2797</v>
      </c>
      <c r="L1012" s="55" t="s">
        <v>13</v>
      </c>
      <c r="M1012" s="55" t="s">
        <v>89</v>
      </c>
      <c r="N1012" s="55" t="s">
        <v>90</v>
      </c>
      <c r="O1012" s="55" t="s">
        <v>1883</v>
      </c>
      <c r="P1012" s="55" t="s">
        <v>91</v>
      </c>
      <c r="Q1012" s="55" t="s">
        <v>16</v>
      </c>
      <c r="R1012" s="55" t="s">
        <v>1883</v>
      </c>
      <c r="S1012" s="55" t="s">
        <v>18</v>
      </c>
      <c r="T1012" s="55" t="s">
        <v>1883</v>
      </c>
      <c r="U1012" s="55" t="s">
        <v>1883</v>
      </c>
      <c r="V1012" s="55" t="s">
        <v>1883</v>
      </c>
      <c r="W1012" s="55" t="s">
        <v>1883</v>
      </c>
      <c r="X1012" s="57" t="str">
        <f t="shared" si="781"/>
        <v>--1005-14-05</v>
      </c>
      <c r="Y1012" s="58"/>
      <c r="Z1012" s="58"/>
      <c r="AA1012" s="58"/>
      <c r="AB1012" s="58"/>
      <c r="AC1012" s="58"/>
      <c r="AD1012" s="57"/>
      <c r="AE1012" s="57"/>
      <c r="AF1012" s="57"/>
      <c r="AG1012" s="59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</row>
    <row r="1013" ht="24.0" customHeight="1">
      <c r="A1013" s="85">
        <v>9.0</v>
      </c>
      <c r="B1013" s="54" t="s">
        <v>2798</v>
      </c>
      <c r="C1013" s="55" t="s">
        <v>2777</v>
      </c>
      <c r="D1013" s="55" t="s">
        <v>1883</v>
      </c>
      <c r="E1013" s="55" t="s">
        <v>2799</v>
      </c>
      <c r="F1013" s="55" t="s">
        <v>1547</v>
      </c>
      <c r="G1013" s="55">
        <v>0.0</v>
      </c>
      <c r="H1013" s="55" t="s">
        <v>119</v>
      </c>
      <c r="I1013" s="55" t="s">
        <v>112</v>
      </c>
      <c r="J1013" s="55" t="s">
        <v>113</v>
      </c>
      <c r="K1013" s="55" t="s">
        <v>2800</v>
      </c>
      <c r="L1013" s="55" t="s">
        <v>34</v>
      </c>
      <c r="M1013" s="55" t="s">
        <v>133</v>
      </c>
      <c r="N1013" s="55" t="s">
        <v>90</v>
      </c>
      <c r="O1013" s="55" t="s">
        <v>1883</v>
      </c>
      <c r="P1013" s="55" t="s">
        <v>91</v>
      </c>
      <c r="Q1013" s="55" t="s">
        <v>16</v>
      </c>
      <c r="R1013" s="55" t="s">
        <v>1883</v>
      </c>
      <c r="S1013" s="55" t="s">
        <v>1883</v>
      </c>
      <c r="T1013" s="55" t="s">
        <v>1883</v>
      </c>
      <c r="U1013" s="55" t="s">
        <v>1883</v>
      </c>
      <c r="V1013" s="55" t="s">
        <v>1883</v>
      </c>
      <c r="W1013" s="55" t="s">
        <v>1883</v>
      </c>
      <c r="X1013" s="57" t="str">
        <f t="shared" si="781"/>
        <v>--1006-14-05</v>
      </c>
      <c r="Y1013" s="58"/>
      <c r="Z1013" s="58"/>
      <c r="AA1013" s="58"/>
      <c r="AB1013" s="58"/>
      <c r="AC1013" s="58"/>
      <c r="AD1013" s="57"/>
      <c r="AE1013" s="57"/>
      <c r="AF1013" s="57"/>
      <c r="AG1013" s="59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</row>
    <row r="1014" ht="24.0" customHeight="1">
      <c r="A1014" s="85">
        <v>10.0</v>
      </c>
      <c r="B1014" s="54" t="s">
        <v>2801</v>
      </c>
      <c r="C1014" s="55" t="s">
        <v>2777</v>
      </c>
      <c r="D1014" s="55" t="s">
        <v>1883</v>
      </c>
      <c r="E1014" s="55" t="s">
        <v>2802</v>
      </c>
      <c r="F1014" s="55" t="s">
        <v>2803</v>
      </c>
      <c r="G1014" s="55">
        <v>0.0</v>
      </c>
      <c r="H1014" s="55" t="s">
        <v>119</v>
      </c>
      <c r="I1014" s="55" t="s">
        <v>86</v>
      </c>
      <c r="J1014" s="55" t="s">
        <v>87</v>
      </c>
      <c r="K1014" s="55" t="s">
        <v>277</v>
      </c>
      <c r="L1014" s="55" t="s">
        <v>34</v>
      </c>
      <c r="M1014" s="55" t="s">
        <v>133</v>
      </c>
      <c r="N1014" s="55" t="s">
        <v>90</v>
      </c>
      <c r="O1014" s="55" t="s">
        <v>1883</v>
      </c>
      <c r="P1014" s="55" t="s">
        <v>91</v>
      </c>
      <c r="Q1014" s="55" t="s">
        <v>16</v>
      </c>
      <c r="R1014" s="55" t="s">
        <v>1883</v>
      </c>
      <c r="S1014" s="55" t="s">
        <v>1883</v>
      </c>
      <c r="T1014" s="55" t="s">
        <v>1883</v>
      </c>
      <c r="U1014" s="55" t="s">
        <v>1883</v>
      </c>
      <c r="V1014" s="55" t="s">
        <v>1883</v>
      </c>
      <c r="W1014" s="55" t="s">
        <v>1883</v>
      </c>
      <c r="X1014" s="57" t="str">
        <f t="shared" si="781"/>
        <v>--1007-14-05</v>
      </c>
      <c r="Y1014" s="58"/>
      <c r="Z1014" s="58"/>
      <c r="AA1014" s="58"/>
      <c r="AB1014" s="58"/>
      <c r="AC1014" s="58"/>
      <c r="AD1014" s="57"/>
      <c r="AE1014" s="57"/>
      <c r="AF1014" s="57"/>
      <c r="AG1014" s="59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</row>
    <row r="1015" ht="24.0" customHeight="1">
      <c r="A1015" s="85">
        <v>11.0</v>
      </c>
      <c r="B1015" s="54" t="s">
        <v>274</v>
      </c>
      <c r="C1015" s="55" t="s">
        <v>2777</v>
      </c>
      <c r="D1015" s="55" t="s">
        <v>1883</v>
      </c>
      <c r="E1015" s="55" t="s">
        <v>275</v>
      </c>
      <c r="F1015" s="55" t="s">
        <v>2804</v>
      </c>
      <c r="G1015" s="55">
        <v>19.0</v>
      </c>
      <c r="H1015" s="55" t="s">
        <v>85</v>
      </c>
      <c r="I1015" s="55" t="s">
        <v>86</v>
      </c>
      <c r="J1015" s="55" t="s">
        <v>87</v>
      </c>
      <c r="K1015" s="55" t="s">
        <v>277</v>
      </c>
      <c r="L1015" s="55" t="s">
        <v>34</v>
      </c>
      <c r="M1015" s="55" t="s">
        <v>89</v>
      </c>
      <c r="N1015" s="55" t="s">
        <v>90</v>
      </c>
      <c r="O1015" s="55" t="s">
        <v>1883</v>
      </c>
      <c r="P1015" s="55" t="s">
        <v>91</v>
      </c>
      <c r="Q1015" s="55" t="s">
        <v>1883</v>
      </c>
      <c r="R1015" s="55" t="s">
        <v>27</v>
      </c>
      <c r="S1015" s="55" t="s">
        <v>1883</v>
      </c>
      <c r="T1015" s="55" t="s">
        <v>1883</v>
      </c>
      <c r="U1015" s="55" t="s">
        <v>1883</v>
      </c>
      <c r="V1015" s="55" t="s">
        <v>1883</v>
      </c>
      <c r="W1015" s="55" t="s">
        <v>1883</v>
      </c>
      <c r="X1015" s="57" t="str">
        <f t="shared" si="781"/>
        <v>--1008-14-05</v>
      </c>
      <c r="Y1015" s="58"/>
      <c r="Z1015" s="58"/>
      <c r="AA1015" s="58"/>
      <c r="AB1015" s="58"/>
      <c r="AC1015" s="58"/>
      <c r="AD1015" s="57"/>
      <c r="AE1015" s="57"/>
      <c r="AF1015" s="57"/>
      <c r="AG1015" s="59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</row>
    <row r="1016" ht="24.0" customHeight="1">
      <c r="A1016" s="85">
        <v>12.0</v>
      </c>
      <c r="B1016" s="54" t="s">
        <v>2805</v>
      </c>
      <c r="C1016" s="55" t="s">
        <v>2777</v>
      </c>
      <c r="D1016" s="55" t="s">
        <v>1883</v>
      </c>
      <c r="E1016" s="55" t="s">
        <v>2806</v>
      </c>
      <c r="F1016" s="55" t="s">
        <v>2807</v>
      </c>
      <c r="G1016" s="55">
        <v>13.0</v>
      </c>
      <c r="H1016" s="55" t="s">
        <v>111</v>
      </c>
      <c r="I1016" s="55" t="s">
        <v>86</v>
      </c>
      <c r="J1016" s="55" t="s">
        <v>87</v>
      </c>
      <c r="K1016" s="55" t="s">
        <v>2808</v>
      </c>
      <c r="L1016" s="55" t="s">
        <v>24</v>
      </c>
      <c r="M1016" s="55" t="s">
        <v>133</v>
      </c>
      <c r="N1016" s="55" t="s">
        <v>90</v>
      </c>
      <c r="O1016" s="55" t="s">
        <v>1883</v>
      </c>
      <c r="P1016" s="55" t="s">
        <v>91</v>
      </c>
      <c r="Q1016" s="55" t="s">
        <v>16</v>
      </c>
      <c r="R1016" s="55" t="s">
        <v>1883</v>
      </c>
      <c r="S1016" s="55" t="s">
        <v>1883</v>
      </c>
      <c r="T1016" s="55" t="s">
        <v>1883</v>
      </c>
      <c r="U1016" s="55" t="s">
        <v>1883</v>
      </c>
      <c r="V1016" s="55" t="s">
        <v>1883</v>
      </c>
      <c r="W1016" s="55" t="s">
        <v>1883</v>
      </c>
      <c r="X1016" s="57" t="str">
        <f t="shared" si="781"/>
        <v>--1009-14-05</v>
      </c>
      <c r="Y1016" s="58"/>
      <c r="Z1016" s="58"/>
      <c r="AA1016" s="58"/>
      <c r="AB1016" s="58"/>
      <c r="AC1016" s="58"/>
      <c r="AD1016" s="57"/>
      <c r="AE1016" s="57"/>
      <c r="AF1016" s="57"/>
      <c r="AG1016" s="59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</row>
    <row r="1017" ht="24.0" customHeight="1">
      <c r="A1017" s="85">
        <v>13.0</v>
      </c>
      <c r="B1017" s="54" t="s">
        <v>2809</v>
      </c>
      <c r="C1017" s="55" t="s">
        <v>2777</v>
      </c>
      <c r="D1017" s="55" t="s">
        <v>1883</v>
      </c>
      <c r="E1017" s="55" t="s">
        <v>2810</v>
      </c>
      <c r="F1017" s="55" t="s">
        <v>2811</v>
      </c>
      <c r="G1017" s="55">
        <v>3.0</v>
      </c>
      <c r="H1017" s="55" t="s">
        <v>119</v>
      </c>
      <c r="I1017" s="55" t="s">
        <v>86</v>
      </c>
      <c r="J1017" s="55" t="s">
        <v>87</v>
      </c>
      <c r="K1017" s="55" t="s">
        <v>2812</v>
      </c>
      <c r="L1017" s="55" t="s">
        <v>34</v>
      </c>
      <c r="M1017" s="55" t="s">
        <v>133</v>
      </c>
      <c r="N1017" s="55" t="s">
        <v>90</v>
      </c>
      <c r="O1017" s="55" t="s">
        <v>1883</v>
      </c>
      <c r="P1017" s="55" t="s">
        <v>91</v>
      </c>
      <c r="Q1017" s="55" t="s">
        <v>16</v>
      </c>
      <c r="R1017" s="55" t="s">
        <v>1883</v>
      </c>
      <c r="S1017" s="55" t="s">
        <v>1883</v>
      </c>
      <c r="T1017" s="55" t="s">
        <v>1883</v>
      </c>
      <c r="U1017" s="55" t="s">
        <v>1883</v>
      </c>
      <c r="V1017" s="55" t="s">
        <v>1883</v>
      </c>
      <c r="W1017" s="55" t="s">
        <v>1883</v>
      </c>
      <c r="X1017" s="57" t="str">
        <f t="shared" si="781"/>
        <v>--1010-14-05</v>
      </c>
      <c r="Y1017" s="58"/>
      <c r="Z1017" s="58"/>
      <c r="AA1017" s="58"/>
      <c r="AB1017" s="58"/>
      <c r="AC1017" s="58"/>
      <c r="AD1017" s="57"/>
      <c r="AE1017" s="57"/>
      <c r="AF1017" s="57"/>
      <c r="AG1017" s="59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</row>
    <row r="1018" ht="24.0" customHeight="1">
      <c r="A1018" s="85">
        <v>14.0</v>
      </c>
      <c r="B1018" s="54" t="s">
        <v>2813</v>
      </c>
      <c r="C1018" s="55" t="s">
        <v>2777</v>
      </c>
      <c r="D1018" s="55" t="s">
        <v>1883</v>
      </c>
      <c r="E1018" s="55" t="s">
        <v>2814</v>
      </c>
      <c r="F1018" s="55" t="s">
        <v>2815</v>
      </c>
      <c r="G1018" s="55">
        <v>5.0</v>
      </c>
      <c r="H1018" s="55" t="s">
        <v>119</v>
      </c>
      <c r="I1018" s="55" t="s">
        <v>86</v>
      </c>
      <c r="J1018" s="55" t="s">
        <v>87</v>
      </c>
      <c r="K1018" s="55" t="s">
        <v>2816</v>
      </c>
      <c r="L1018" s="55" t="s">
        <v>34</v>
      </c>
      <c r="M1018" s="55" t="s">
        <v>133</v>
      </c>
      <c r="N1018" s="55" t="s">
        <v>90</v>
      </c>
      <c r="O1018" s="55" t="s">
        <v>1883</v>
      </c>
      <c r="P1018" s="55" t="s">
        <v>91</v>
      </c>
      <c r="Q1018" s="55" t="s">
        <v>4</v>
      </c>
      <c r="R1018" s="55" t="s">
        <v>1883</v>
      </c>
      <c r="S1018" s="55" t="s">
        <v>1883</v>
      </c>
      <c r="T1018" s="55" t="s">
        <v>1883</v>
      </c>
      <c r="U1018" s="55" t="s">
        <v>1883</v>
      </c>
      <c r="V1018" s="55" t="s">
        <v>1883</v>
      </c>
      <c r="W1018" s="55" t="s">
        <v>1883</v>
      </c>
      <c r="X1018" s="57" t="str">
        <f t="shared" si="781"/>
        <v>--1011-14-05</v>
      </c>
      <c r="Y1018" s="58"/>
      <c r="Z1018" s="58"/>
      <c r="AA1018" s="58"/>
      <c r="AB1018" s="58"/>
      <c r="AC1018" s="58"/>
      <c r="AD1018" s="57"/>
      <c r="AE1018" s="57"/>
      <c r="AF1018" s="57"/>
      <c r="AG1018" s="59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</row>
    <row r="1019" ht="24.0" customHeight="1">
      <c r="A1019" s="85">
        <v>15.0</v>
      </c>
      <c r="B1019" s="54" t="s">
        <v>2817</v>
      </c>
      <c r="C1019" s="55" t="s">
        <v>2777</v>
      </c>
      <c r="D1019" s="55" t="s">
        <v>1883</v>
      </c>
      <c r="E1019" s="55" t="s">
        <v>2818</v>
      </c>
      <c r="F1019" s="55" t="s">
        <v>2819</v>
      </c>
      <c r="G1019" s="55">
        <v>65.0</v>
      </c>
      <c r="H1019" s="55" t="s">
        <v>260</v>
      </c>
      <c r="I1019" s="55" t="s">
        <v>86</v>
      </c>
      <c r="J1019" s="55" t="s">
        <v>87</v>
      </c>
      <c r="K1019" s="55" t="s">
        <v>2820</v>
      </c>
      <c r="L1019" s="55" t="s">
        <v>34</v>
      </c>
      <c r="M1019" s="55" t="s">
        <v>89</v>
      </c>
      <c r="N1019" s="55" t="s">
        <v>90</v>
      </c>
      <c r="O1019" s="55" t="s">
        <v>1883</v>
      </c>
      <c r="P1019" s="55" t="s">
        <v>91</v>
      </c>
      <c r="Q1019" s="55" t="s">
        <v>4</v>
      </c>
      <c r="R1019" s="55" t="s">
        <v>1883</v>
      </c>
      <c r="S1019" s="55" t="s">
        <v>1883</v>
      </c>
      <c r="T1019" s="55" t="s">
        <v>1883</v>
      </c>
      <c r="U1019" s="55" t="s">
        <v>1883</v>
      </c>
      <c r="V1019" s="55" t="s">
        <v>1883</v>
      </c>
      <c r="W1019" s="55" t="s">
        <v>1883</v>
      </c>
      <c r="X1019" s="57" t="str">
        <f t="shared" si="781"/>
        <v>--1012-14-05</v>
      </c>
      <c r="Y1019" s="58"/>
      <c r="Z1019" s="58"/>
      <c r="AA1019" s="58"/>
      <c r="AB1019" s="58"/>
      <c r="AC1019" s="58"/>
      <c r="AD1019" s="57"/>
      <c r="AE1019" s="57"/>
      <c r="AF1019" s="57"/>
      <c r="AG1019" s="59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</row>
    <row r="1020" ht="24.0" customHeight="1">
      <c r="A1020" s="85">
        <v>16.0</v>
      </c>
      <c r="B1020" s="54" t="s">
        <v>2821</v>
      </c>
      <c r="C1020" s="55" t="s">
        <v>2777</v>
      </c>
      <c r="D1020" s="55" t="s">
        <v>1883</v>
      </c>
      <c r="E1020" s="55" t="s">
        <v>2822</v>
      </c>
      <c r="F1020" s="55" t="s">
        <v>2823</v>
      </c>
      <c r="G1020" s="55">
        <v>0.0</v>
      </c>
      <c r="H1020" s="55" t="s">
        <v>119</v>
      </c>
      <c r="I1020" s="55" t="s">
        <v>86</v>
      </c>
      <c r="J1020" s="55" t="s">
        <v>87</v>
      </c>
      <c r="K1020" s="55" t="s">
        <v>2824</v>
      </c>
      <c r="L1020" s="55" t="s">
        <v>34</v>
      </c>
      <c r="M1020" s="55" t="s">
        <v>133</v>
      </c>
      <c r="N1020" s="55" t="s">
        <v>90</v>
      </c>
      <c r="O1020" s="55" t="s">
        <v>1883</v>
      </c>
      <c r="P1020" s="55" t="s">
        <v>91</v>
      </c>
      <c r="Q1020" s="55" t="s">
        <v>16</v>
      </c>
      <c r="R1020" s="55" t="s">
        <v>1883</v>
      </c>
      <c r="S1020" s="55" t="s">
        <v>1883</v>
      </c>
      <c r="T1020" s="55" t="s">
        <v>1883</v>
      </c>
      <c r="U1020" s="55" t="s">
        <v>1883</v>
      </c>
      <c r="V1020" s="55" t="s">
        <v>1883</v>
      </c>
      <c r="W1020" s="55" t="s">
        <v>1883</v>
      </c>
      <c r="X1020" s="57" t="str">
        <f t="shared" si="781"/>
        <v>--1013-14-05</v>
      </c>
      <c r="Y1020" s="58"/>
      <c r="Z1020" s="58"/>
      <c r="AA1020" s="58"/>
      <c r="AB1020" s="58"/>
      <c r="AC1020" s="58"/>
      <c r="AD1020" s="57"/>
      <c r="AE1020" s="57"/>
      <c r="AF1020" s="57"/>
      <c r="AG1020" s="59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</row>
    <row r="1021" ht="24.0" customHeight="1">
      <c r="A1021" s="85">
        <v>17.0</v>
      </c>
      <c r="B1021" s="54" t="s">
        <v>2825</v>
      </c>
      <c r="C1021" s="55" t="s">
        <v>2777</v>
      </c>
      <c r="D1021" s="55" t="s">
        <v>1883</v>
      </c>
      <c r="E1021" s="55" t="s">
        <v>2826</v>
      </c>
      <c r="F1021" s="55" t="s">
        <v>2827</v>
      </c>
      <c r="G1021" s="55">
        <v>35.0</v>
      </c>
      <c r="H1021" s="55" t="s">
        <v>85</v>
      </c>
      <c r="I1021" s="55" t="s">
        <v>86</v>
      </c>
      <c r="J1021" s="55" t="s">
        <v>87</v>
      </c>
      <c r="K1021" s="55" t="s">
        <v>2824</v>
      </c>
      <c r="L1021" s="55" t="s">
        <v>24</v>
      </c>
      <c r="M1021" s="55" t="s">
        <v>89</v>
      </c>
      <c r="N1021" s="55" t="s">
        <v>90</v>
      </c>
      <c r="O1021" s="55" t="s">
        <v>1883</v>
      </c>
      <c r="P1021" s="55" t="s">
        <v>91</v>
      </c>
      <c r="Q1021" s="55" t="s">
        <v>16</v>
      </c>
      <c r="R1021" s="55" t="s">
        <v>1883</v>
      </c>
      <c r="S1021" s="55" t="s">
        <v>1883</v>
      </c>
      <c r="T1021" s="55" t="s">
        <v>1883</v>
      </c>
      <c r="U1021" s="55" t="s">
        <v>1883</v>
      </c>
      <c r="V1021" s="55" t="s">
        <v>1883</v>
      </c>
      <c r="W1021" s="55" t="s">
        <v>1883</v>
      </c>
      <c r="X1021" s="57" t="str">
        <f t="shared" si="781"/>
        <v>--1014-14-05</v>
      </c>
      <c r="Y1021" s="58"/>
      <c r="Z1021" s="58"/>
      <c r="AA1021" s="58"/>
      <c r="AB1021" s="58"/>
      <c r="AC1021" s="58"/>
      <c r="AD1021" s="57"/>
      <c r="AE1021" s="57"/>
      <c r="AF1021" s="57"/>
      <c r="AG1021" s="59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</row>
    <row r="1022" ht="24.0" customHeight="1">
      <c r="A1022" s="85">
        <v>18.0</v>
      </c>
      <c r="B1022" s="54" t="s">
        <v>2828</v>
      </c>
      <c r="C1022" s="55" t="s">
        <v>2777</v>
      </c>
      <c r="D1022" s="55" t="s">
        <v>1883</v>
      </c>
      <c r="E1022" s="55" t="s">
        <v>2829</v>
      </c>
      <c r="F1022" s="55" t="s">
        <v>2830</v>
      </c>
      <c r="G1022" s="55">
        <v>6.0</v>
      </c>
      <c r="H1022" s="55" t="s">
        <v>111</v>
      </c>
      <c r="I1022" s="55" t="s">
        <v>86</v>
      </c>
      <c r="J1022" s="55" t="s">
        <v>87</v>
      </c>
      <c r="K1022" s="55" t="s">
        <v>2831</v>
      </c>
      <c r="L1022" s="55" t="s">
        <v>34</v>
      </c>
      <c r="M1022" s="55" t="s">
        <v>133</v>
      </c>
      <c r="N1022" s="55" t="s">
        <v>90</v>
      </c>
      <c r="O1022" s="55" t="s">
        <v>1883</v>
      </c>
      <c r="P1022" s="55" t="s">
        <v>91</v>
      </c>
      <c r="Q1022" s="55" t="s">
        <v>16</v>
      </c>
      <c r="R1022" s="55" t="s">
        <v>1883</v>
      </c>
      <c r="S1022" s="55" t="s">
        <v>1883</v>
      </c>
      <c r="T1022" s="55" t="s">
        <v>1883</v>
      </c>
      <c r="U1022" s="55" t="s">
        <v>1883</v>
      </c>
      <c r="V1022" s="55" t="s">
        <v>1883</v>
      </c>
      <c r="W1022" s="55" t="s">
        <v>1883</v>
      </c>
      <c r="X1022" s="57" t="str">
        <f t="shared" si="781"/>
        <v>--1015-14-05</v>
      </c>
      <c r="Y1022" s="58"/>
      <c r="Z1022" s="58"/>
      <c r="AA1022" s="58"/>
      <c r="AB1022" s="58"/>
      <c r="AC1022" s="58"/>
      <c r="AD1022" s="57"/>
      <c r="AE1022" s="57"/>
      <c r="AF1022" s="57"/>
      <c r="AG1022" s="59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</row>
    <row r="1023" ht="24.0" customHeight="1">
      <c r="A1023" s="85">
        <v>19.0</v>
      </c>
      <c r="B1023" s="54" t="s">
        <v>2832</v>
      </c>
      <c r="C1023" s="55" t="s">
        <v>2777</v>
      </c>
      <c r="D1023" s="55" t="s">
        <v>1883</v>
      </c>
      <c r="E1023" s="55" t="s">
        <v>2833</v>
      </c>
      <c r="F1023" s="55" t="s">
        <v>2834</v>
      </c>
      <c r="G1023" s="55">
        <v>26.0</v>
      </c>
      <c r="H1023" s="55" t="s">
        <v>85</v>
      </c>
      <c r="I1023" s="55" t="s">
        <v>86</v>
      </c>
      <c r="J1023" s="55" t="s">
        <v>87</v>
      </c>
      <c r="K1023" s="55" t="s">
        <v>2835</v>
      </c>
      <c r="L1023" s="55" t="s">
        <v>41</v>
      </c>
      <c r="M1023" s="55" t="s">
        <v>89</v>
      </c>
      <c r="N1023" s="55" t="s">
        <v>2836</v>
      </c>
      <c r="O1023" s="55" t="s">
        <v>1883</v>
      </c>
      <c r="P1023" s="55" t="s">
        <v>91</v>
      </c>
      <c r="Q1023" s="55" t="s">
        <v>1883</v>
      </c>
      <c r="R1023" s="55" t="s">
        <v>36</v>
      </c>
      <c r="S1023" s="55" t="s">
        <v>1883</v>
      </c>
      <c r="T1023" s="55" t="s">
        <v>1883</v>
      </c>
      <c r="U1023" s="55" t="s">
        <v>1883</v>
      </c>
      <c r="V1023" s="55" t="s">
        <v>1883</v>
      </c>
      <c r="W1023" s="55" t="s">
        <v>1883</v>
      </c>
      <c r="X1023" s="57" t="str">
        <f t="shared" si="781"/>
        <v>--1016-14-05</v>
      </c>
      <c r="Y1023" s="58"/>
      <c r="Z1023" s="58"/>
      <c r="AA1023" s="58"/>
      <c r="AB1023" s="58"/>
      <c r="AC1023" s="58"/>
      <c r="AD1023" s="57"/>
      <c r="AE1023" s="57"/>
      <c r="AF1023" s="57"/>
      <c r="AG1023" s="59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</row>
    <row r="1024" ht="24.0" customHeight="1">
      <c r="A1024" s="85">
        <v>20.0</v>
      </c>
      <c r="B1024" s="54" t="s">
        <v>2837</v>
      </c>
      <c r="C1024" s="55" t="s">
        <v>2777</v>
      </c>
      <c r="D1024" s="55" t="s">
        <v>1883</v>
      </c>
      <c r="E1024" s="55" t="s">
        <v>1252</v>
      </c>
      <c r="F1024" s="55" t="s">
        <v>2838</v>
      </c>
      <c r="G1024" s="55">
        <v>48.0</v>
      </c>
      <c r="H1024" s="55" t="s">
        <v>85</v>
      </c>
      <c r="I1024" s="55" t="s">
        <v>86</v>
      </c>
      <c r="J1024" s="55" t="s">
        <v>87</v>
      </c>
      <c r="K1024" s="55" t="s">
        <v>2839</v>
      </c>
      <c r="L1024" s="55" t="s">
        <v>24</v>
      </c>
      <c r="M1024" s="55" t="s">
        <v>89</v>
      </c>
      <c r="N1024" s="55" t="s">
        <v>90</v>
      </c>
      <c r="O1024" s="55" t="s">
        <v>1883</v>
      </c>
      <c r="P1024" s="86" t="s">
        <v>2784</v>
      </c>
      <c r="Q1024" s="55" t="s">
        <v>1883</v>
      </c>
      <c r="R1024" s="55" t="s">
        <v>36</v>
      </c>
      <c r="S1024" s="55" t="s">
        <v>1883</v>
      </c>
      <c r="T1024" s="55" t="s">
        <v>1883</v>
      </c>
      <c r="U1024" s="55" t="s">
        <v>1883</v>
      </c>
      <c r="V1024" s="55" t="s">
        <v>1883</v>
      </c>
      <c r="W1024" s="55" t="s">
        <v>1883</v>
      </c>
      <c r="X1024" s="57" t="str">
        <f t="shared" si="781"/>
        <v>--1017-14-05</v>
      </c>
      <c r="Y1024" s="58"/>
      <c r="Z1024" s="58"/>
      <c r="AA1024" s="58"/>
      <c r="AB1024" s="58"/>
      <c r="AC1024" s="58"/>
      <c r="AD1024" s="57"/>
      <c r="AE1024" s="57"/>
      <c r="AF1024" s="57"/>
      <c r="AG1024" s="59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</row>
    <row r="1025" ht="24.0" customHeight="1">
      <c r="A1025" s="85">
        <v>21.0</v>
      </c>
      <c r="B1025" s="54" t="s">
        <v>2840</v>
      </c>
      <c r="C1025" s="55" t="s">
        <v>2777</v>
      </c>
      <c r="D1025" s="55" t="s">
        <v>1883</v>
      </c>
      <c r="E1025" s="55" t="s">
        <v>2841</v>
      </c>
      <c r="F1025" s="55" t="s">
        <v>1547</v>
      </c>
      <c r="G1025" s="55">
        <v>0.0</v>
      </c>
      <c r="H1025" s="55" t="s">
        <v>119</v>
      </c>
      <c r="I1025" s="55" t="s">
        <v>86</v>
      </c>
      <c r="J1025" s="55" t="s">
        <v>87</v>
      </c>
      <c r="K1025" s="55" t="s">
        <v>2842</v>
      </c>
      <c r="L1025" s="55" t="s">
        <v>34</v>
      </c>
      <c r="M1025" s="55" t="s">
        <v>133</v>
      </c>
      <c r="N1025" s="55" t="s">
        <v>90</v>
      </c>
      <c r="O1025" s="55" t="s">
        <v>1883</v>
      </c>
      <c r="P1025" s="55" t="s">
        <v>91</v>
      </c>
      <c r="Q1025" s="55" t="s">
        <v>16</v>
      </c>
      <c r="R1025" s="55" t="s">
        <v>1883</v>
      </c>
      <c r="S1025" s="55" t="s">
        <v>1883</v>
      </c>
      <c r="T1025" s="55" t="s">
        <v>1883</v>
      </c>
      <c r="U1025" s="55" t="s">
        <v>1883</v>
      </c>
      <c r="V1025" s="55" t="s">
        <v>1883</v>
      </c>
      <c r="W1025" s="55" t="s">
        <v>1883</v>
      </c>
      <c r="X1025" s="57" t="str">
        <f t="shared" si="781"/>
        <v>--1018-14-05</v>
      </c>
      <c r="Y1025" s="58"/>
      <c r="Z1025" s="58"/>
      <c r="AA1025" s="58"/>
      <c r="AB1025" s="58"/>
      <c r="AC1025" s="58"/>
      <c r="AD1025" s="57"/>
      <c r="AE1025" s="57"/>
      <c r="AF1025" s="57"/>
      <c r="AG1025" s="59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</row>
    <row r="1026" ht="24.0" customHeight="1">
      <c r="A1026" s="85">
        <v>22.0</v>
      </c>
      <c r="B1026" s="54" t="s">
        <v>2843</v>
      </c>
      <c r="C1026" s="55" t="s">
        <v>2777</v>
      </c>
      <c r="D1026" s="55" t="s">
        <v>1883</v>
      </c>
      <c r="E1026" s="55" t="s">
        <v>2844</v>
      </c>
      <c r="F1026" s="55" t="s">
        <v>2845</v>
      </c>
      <c r="G1026" s="55">
        <v>42.0</v>
      </c>
      <c r="H1026" s="55" t="s">
        <v>85</v>
      </c>
      <c r="I1026" s="55" t="s">
        <v>86</v>
      </c>
      <c r="J1026" s="55" t="s">
        <v>87</v>
      </c>
      <c r="K1026" s="55" t="s">
        <v>2846</v>
      </c>
      <c r="L1026" s="55" t="s">
        <v>13</v>
      </c>
      <c r="M1026" s="55" t="s">
        <v>89</v>
      </c>
      <c r="N1026" s="55" t="s">
        <v>90</v>
      </c>
      <c r="O1026" s="55" t="s">
        <v>1883</v>
      </c>
      <c r="P1026" s="55" t="s">
        <v>91</v>
      </c>
      <c r="Q1026" s="55" t="s">
        <v>16</v>
      </c>
      <c r="R1026" s="55" t="s">
        <v>1883</v>
      </c>
      <c r="S1026" s="55" t="s">
        <v>1883</v>
      </c>
      <c r="T1026" s="55" t="s">
        <v>1883</v>
      </c>
      <c r="U1026" s="55" t="s">
        <v>1883</v>
      </c>
      <c r="V1026" s="55" t="s">
        <v>1883</v>
      </c>
      <c r="W1026" s="55" t="s">
        <v>1883</v>
      </c>
      <c r="X1026" s="57" t="str">
        <f t="shared" si="781"/>
        <v>--1019-14-05</v>
      </c>
      <c r="Y1026" s="58"/>
      <c r="Z1026" s="58"/>
      <c r="AA1026" s="58"/>
      <c r="AB1026" s="58"/>
      <c r="AC1026" s="58"/>
      <c r="AD1026" s="57"/>
      <c r="AE1026" s="57"/>
      <c r="AF1026" s="57"/>
      <c r="AG1026" s="59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</row>
    <row r="1027" ht="24.0" customHeight="1">
      <c r="A1027" s="85">
        <v>23.0</v>
      </c>
      <c r="B1027" s="54" t="s">
        <v>2847</v>
      </c>
      <c r="C1027" s="55" t="s">
        <v>2777</v>
      </c>
      <c r="D1027" s="55" t="s">
        <v>1883</v>
      </c>
      <c r="E1027" s="55" t="s">
        <v>2848</v>
      </c>
      <c r="F1027" s="55" t="s">
        <v>2849</v>
      </c>
      <c r="G1027" s="55">
        <v>80.0</v>
      </c>
      <c r="H1027" s="55" t="s">
        <v>260</v>
      </c>
      <c r="I1027" s="55" t="s">
        <v>112</v>
      </c>
      <c r="J1027" s="55" t="s">
        <v>113</v>
      </c>
      <c r="K1027" s="55" t="s">
        <v>2846</v>
      </c>
      <c r="L1027" s="55" t="s">
        <v>13</v>
      </c>
      <c r="M1027" s="55" t="s">
        <v>89</v>
      </c>
      <c r="N1027" s="55" t="s">
        <v>90</v>
      </c>
      <c r="O1027" s="55" t="s">
        <v>1883</v>
      </c>
      <c r="P1027" s="55" t="s">
        <v>91</v>
      </c>
      <c r="Q1027" s="55" t="s">
        <v>16</v>
      </c>
      <c r="R1027" s="55" t="s">
        <v>1883</v>
      </c>
      <c r="S1027" s="55" t="s">
        <v>1883</v>
      </c>
      <c r="T1027" s="55" t="s">
        <v>1883</v>
      </c>
      <c r="U1027" s="55" t="s">
        <v>1883</v>
      </c>
      <c r="V1027" s="55" t="s">
        <v>1883</v>
      </c>
      <c r="W1027" s="55" t="s">
        <v>1883</v>
      </c>
      <c r="X1027" s="57" t="str">
        <f t="shared" si="781"/>
        <v>--1020-14-05</v>
      </c>
      <c r="Y1027" s="58"/>
      <c r="Z1027" s="58"/>
      <c r="AA1027" s="58"/>
      <c r="AB1027" s="58"/>
      <c r="AC1027" s="58"/>
      <c r="AD1027" s="57"/>
      <c r="AE1027" s="57"/>
      <c r="AF1027" s="57"/>
      <c r="AG1027" s="59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</row>
    <row r="1028" ht="24.0" customHeight="1">
      <c r="A1028" s="85">
        <v>24.0</v>
      </c>
      <c r="B1028" s="54" t="s">
        <v>585</v>
      </c>
      <c r="C1028" s="55" t="s">
        <v>2777</v>
      </c>
      <c r="D1028" s="55" t="s">
        <v>1883</v>
      </c>
      <c r="E1028" s="55" t="s">
        <v>586</v>
      </c>
      <c r="F1028" s="55" t="s">
        <v>2850</v>
      </c>
      <c r="G1028" s="55">
        <v>29.0</v>
      </c>
      <c r="H1028" s="55" t="s">
        <v>85</v>
      </c>
      <c r="I1028" s="55" t="s">
        <v>86</v>
      </c>
      <c r="J1028" s="55" t="s">
        <v>87</v>
      </c>
      <c r="K1028" s="55" t="s">
        <v>588</v>
      </c>
      <c r="L1028" s="55" t="s">
        <v>34</v>
      </c>
      <c r="M1028" s="55" t="s">
        <v>89</v>
      </c>
      <c r="N1028" s="55" t="s">
        <v>90</v>
      </c>
      <c r="O1028" s="55" t="s">
        <v>1883</v>
      </c>
      <c r="P1028" s="55" t="s">
        <v>91</v>
      </c>
      <c r="Q1028" s="55" t="s">
        <v>16</v>
      </c>
      <c r="R1028" s="55" t="s">
        <v>1883</v>
      </c>
      <c r="S1028" s="55" t="s">
        <v>1883</v>
      </c>
      <c r="T1028" s="55" t="s">
        <v>1883</v>
      </c>
      <c r="U1028" s="55" t="s">
        <v>1883</v>
      </c>
      <c r="V1028" s="55" t="s">
        <v>1883</v>
      </c>
      <c r="W1028" s="55" t="s">
        <v>1883</v>
      </c>
      <c r="X1028" s="57" t="str">
        <f t="shared" si="781"/>
        <v>--1021-14-05</v>
      </c>
      <c r="Y1028" s="58"/>
      <c r="Z1028" s="58"/>
      <c r="AA1028" s="58"/>
      <c r="AB1028" s="58"/>
      <c r="AC1028" s="58"/>
      <c r="AD1028" s="57"/>
      <c r="AE1028" s="57"/>
      <c r="AF1028" s="57"/>
      <c r="AG1028" s="59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</row>
    <row r="1029" ht="24.0" customHeight="1">
      <c r="A1029" s="85">
        <v>25.0</v>
      </c>
      <c r="B1029" s="54" t="s">
        <v>2851</v>
      </c>
      <c r="C1029" s="55" t="s">
        <v>2777</v>
      </c>
      <c r="D1029" s="55" t="s">
        <v>1883</v>
      </c>
      <c r="E1029" s="55" t="s">
        <v>2852</v>
      </c>
      <c r="F1029" s="55" t="s">
        <v>2853</v>
      </c>
      <c r="G1029" s="55">
        <v>4.0</v>
      </c>
      <c r="H1029" s="55" t="s">
        <v>119</v>
      </c>
      <c r="I1029" s="55" t="s">
        <v>86</v>
      </c>
      <c r="J1029" s="55" t="s">
        <v>87</v>
      </c>
      <c r="K1029" s="55" t="s">
        <v>2854</v>
      </c>
      <c r="L1029" s="55" t="s">
        <v>34</v>
      </c>
      <c r="M1029" s="55" t="s">
        <v>133</v>
      </c>
      <c r="N1029" s="55" t="s">
        <v>90</v>
      </c>
      <c r="O1029" s="55" t="s">
        <v>1883</v>
      </c>
      <c r="P1029" s="55" t="s">
        <v>91</v>
      </c>
      <c r="Q1029" s="55" t="s">
        <v>16</v>
      </c>
      <c r="R1029" s="55" t="s">
        <v>1883</v>
      </c>
      <c r="S1029" s="55" t="s">
        <v>1883</v>
      </c>
      <c r="T1029" s="55" t="s">
        <v>1883</v>
      </c>
      <c r="U1029" s="55" t="s">
        <v>1883</v>
      </c>
      <c r="V1029" s="55" t="s">
        <v>1883</v>
      </c>
      <c r="W1029" s="55" t="s">
        <v>1883</v>
      </c>
      <c r="X1029" s="57" t="str">
        <f t="shared" si="781"/>
        <v>--1022-14-05</v>
      </c>
      <c r="Y1029" s="58"/>
      <c r="Z1029" s="58"/>
      <c r="AA1029" s="58"/>
      <c r="AB1029" s="58"/>
      <c r="AC1029" s="58"/>
      <c r="AD1029" s="57"/>
      <c r="AE1029" s="57"/>
      <c r="AF1029" s="57"/>
      <c r="AG1029" s="59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</row>
    <row r="1030" ht="24.0" customHeight="1">
      <c r="A1030" s="85">
        <v>26.0</v>
      </c>
      <c r="B1030" s="54" t="s">
        <v>2855</v>
      </c>
      <c r="C1030" s="55" t="s">
        <v>2777</v>
      </c>
      <c r="D1030" s="55" t="s">
        <v>1883</v>
      </c>
      <c r="E1030" s="55" t="s">
        <v>2856</v>
      </c>
      <c r="F1030" s="55" t="s">
        <v>2857</v>
      </c>
      <c r="G1030" s="55">
        <v>28.0</v>
      </c>
      <c r="H1030" s="55" t="s">
        <v>85</v>
      </c>
      <c r="I1030" s="55" t="s">
        <v>86</v>
      </c>
      <c r="J1030" s="55" t="s">
        <v>87</v>
      </c>
      <c r="K1030" s="55" t="s">
        <v>2858</v>
      </c>
      <c r="L1030" s="55" t="s">
        <v>44</v>
      </c>
      <c r="M1030" s="55" t="s">
        <v>89</v>
      </c>
      <c r="N1030" s="55" t="s">
        <v>90</v>
      </c>
      <c r="O1030" s="55" t="s">
        <v>1883</v>
      </c>
      <c r="P1030" s="55" t="s">
        <v>91</v>
      </c>
      <c r="Q1030" s="55" t="s">
        <v>1883</v>
      </c>
      <c r="R1030" s="55" t="s">
        <v>5</v>
      </c>
      <c r="S1030" s="55" t="s">
        <v>1883</v>
      </c>
      <c r="T1030" s="55" t="s">
        <v>1883</v>
      </c>
      <c r="U1030" s="55" t="s">
        <v>7</v>
      </c>
      <c r="V1030" s="55" t="s">
        <v>1883</v>
      </c>
      <c r="W1030" s="55" t="s">
        <v>1883</v>
      </c>
      <c r="X1030" s="57" t="str">
        <f t="shared" si="781"/>
        <v>--1023-14-05</v>
      </c>
      <c r="Y1030" s="58"/>
      <c r="Z1030" s="58"/>
      <c r="AA1030" s="58"/>
      <c r="AB1030" s="58"/>
      <c r="AC1030" s="58"/>
      <c r="AD1030" s="57"/>
      <c r="AE1030" s="57"/>
      <c r="AF1030" s="57"/>
      <c r="AG1030" s="59"/>
      <c r="AH1030" s="15"/>
      <c r="AI1030" s="15"/>
      <c r="AJ1030" s="15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</row>
    <row r="1031" ht="24.0" customHeight="1">
      <c r="A1031" s="85">
        <v>27.0</v>
      </c>
      <c r="B1031" s="54" t="s">
        <v>2859</v>
      </c>
      <c r="C1031" s="55" t="s">
        <v>2777</v>
      </c>
      <c r="D1031" s="55" t="s">
        <v>1883</v>
      </c>
      <c r="E1031" s="55" t="s">
        <v>2860</v>
      </c>
      <c r="F1031" s="55" t="s">
        <v>2861</v>
      </c>
      <c r="G1031" s="55">
        <v>31.0</v>
      </c>
      <c r="H1031" s="55" t="s">
        <v>85</v>
      </c>
      <c r="I1031" s="55" t="s">
        <v>86</v>
      </c>
      <c r="J1031" s="55" t="s">
        <v>87</v>
      </c>
      <c r="K1031" s="55" t="s">
        <v>2862</v>
      </c>
      <c r="L1031" s="55" t="s">
        <v>34</v>
      </c>
      <c r="M1031" s="55" t="s">
        <v>89</v>
      </c>
      <c r="N1031" s="55" t="s">
        <v>90</v>
      </c>
      <c r="O1031" s="55" t="s">
        <v>1883</v>
      </c>
      <c r="P1031" s="55" t="s">
        <v>91</v>
      </c>
      <c r="Q1031" s="55" t="s">
        <v>1883</v>
      </c>
      <c r="R1031" s="55" t="s">
        <v>27</v>
      </c>
      <c r="S1031" s="55" t="s">
        <v>1883</v>
      </c>
      <c r="T1031" s="55" t="s">
        <v>1883</v>
      </c>
      <c r="U1031" s="55" t="s">
        <v>1883</v>
      </c>
      <c r="V1031" s="55" t="s">
        <v>1883</v>
      </c>
      <c r="W1031" s="55" t="s">
        <v>1883</v>
      </c>
      <c r="X1031" s="57" t="str">
        <f t="shared" si="781"/>
        <v>--1024-14-05</v>
      </c>
      <c r="Y1031" s="58"/>
      <c r="Z1031" s="58"/>
      <c r="AA1031" s="58"/>
      <c r="AB1031" s="58"/>
      <c r="AC1031" s="58"/>
      <c r="AD1031" s="57"/>
      <c r="AE1031" s="57"/>
      <c r="AF1031" s="57"/>
      <c r="AG1031" s="59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</row>
    <row r="1032" ht="24.0" customHeight="1">
      <c r="A1032" s="85">
        <v>28.0</v>
      </c>
      <c r="B1032" s="54" t="s">
        <v>2863</v>
      </c>
      <c r="C1032" s="55" t="s">
        <v>2777</v>
      </c>
      <c r="D1032" s="55" t="s">
        <v>1883</v>
      </c>
      <c r="E1032" s="55" t="s">
        <v>540</v>
      </c>
      <c r="F1032" s="55" t="s">
        <v>2864</v>
      </c>
      <c r="G1032" s="55">
        <v>50.0</v>
      </c>
      <c r="H1032" s="55" t="s">
        <v>85</v>
      </c>
      <c r="I1032" s="55" t="s">
        <v>86</v>
      </c>
      <c r="J1032" s="55" t="s">
        <v>87</v>
      </c>
      <c r="K1032" s="55" t="s">
        <v>2865</v>
      </c>
      <c r="L1032" s="55" t="s">
        <v>13</v>
      </c>
      <c r="M1032" s="55" t="s">
        <v>89</v>
      </c>
      <c r="N1032" s="55" t="s">
        <v>90</v>
      </c>
      <c r="O1032" s="55" t="s">
        <v>1883</v>
      </c>
      <c r="P1032" s="55" t="s">
        <v>91</v>
      </c>
      <c r="Q1032" s="55" t="s">
        <v>4</v>
      </c>
      <c r="R1032" s="55" t="s">
        <v>1883</v>
      </c>
      <c r="S1032" s="55" t="s">
        <v>1883</v>
      </c>
      <c r="T1032" s="55" t="s">
        <v>1883</v>
      </c>
      <c r="U1032" s="55" t="s">
        <v>1883</v>
      </c>
      <c r="V1032" s="55" t="s">
        <v>1883</v>
      </c>
      <c r="W1032" s="55" t="s">
        <v>1883</v>
      </c>
      <c r="X1032" s="57" t="str">
        <f t="shared" si="781"/>
        <v>--1025-14-05</v>
      </c>
      <c r="Y1032" s="58"/>
      <c r="Z1032" s="58"/>
      <c r="AA1032" s="58"/>
      <c r="AB1032" s="58"/>
      <c r="AC1032" s="58"/>
      <c r="AD1032" s="57"/>
      <c r="AE1032" s="57"/>
      <c r="AF1032" s="57"/>
      <c r="AG1032" s="59"/>
      <c r="AH1032" s="15"/>
      <c r="AI1032" s="15"/>
      <c r="AJ1032" s="15"/>
      <c r="AK1032" s="15"/>
      <c r="AL1032" s="15"/>
      <c r="AM1032" s="15"/>
      <c r="AN1032" s="15"/>
      <c r="AO1032" s="15"/>
      <c r="AP1032" s="15"/>
      <c r="AQ1032" s="15"/>
      <c r="AR1032" s="15"/>
      <c r="AS1032" s="15"/>
      <c r="AT1032" s="15"/>
      <c r="AU1032" s="15"/>
    </row>
    <row r="1033" ht="24.0" customHeight="1">
      <c r="A1033" s="85">
        <v>29.0</v>
      </c>
      <c r="B1033" s="54" t="s">
        <v>1855</v>
      </c>
      <c r="C1033" s="55" t="s">
        <v>2777</v>
      </c>
      <c r="D1033" s="55" t="s">
        <v>1883</v>
      </c>
      <c r="E1033" s="55" t="s">
        <v>1856</v>
      </c>
      <c r="F1033" s="55" t="s">
        <v>2866</v>
      </c>
      <c r="G1033" s="55">
        <v>24.0</v>
      </c>
      <c r="H1033" s="55" t="s">
        <v>85</v>
      </c>
      <c r="I1033" s="55" t="s">
        <v>86</v>
      </c>
      <c r="J1033" s="55" t="s">
        <v>87</v>
      </c>
      <c r="K1033" s="55" t="s">
        <v>1858</v>
      </c>
      <c r="L1033" s="55" t="s">
        <v>34</v>
      </c>
      <c r="M1033" s="55" t="s">
        <v>89</v>
      </c>
      <c r="N1033" s="55" t="s">
        <v>90</v>
      </c>
      <c r="O1033" s="55" t="s">
        <v>1883</v>
      </c>
      <c r="P1033" s="55" t="s">
        <v>91</v>
      </c>
      <c r="Q1033" s="55" t="s">
        <v>1883</v>
      </c>
      <c r="R1033" s="55" t="s">
        <v>5</v>
      </c>
      <c r="S1033" s="55" t="s">
        <v>1883</v>
      </c>
      <c r="T1033" s="55" t="s">
        <v>1883</v>
      </c>
      <c r="U1033" s="55" t="s">
        <v>7</v>
      </c>
      <c r="V1033" s="55" t="s">
        <v>1883</v>
      </c>
      <c r="W1033" s="55" t="s">
        <v>1883</v>
      </c>
      <c r="X1033" s="57" t="str">
        <f t="shared" si="781"/>
        <v>--1026-14-05</v>
      </c>
      <c r="Y1033" s="58"/>
      <c r="Z1033" s="58"/>
      <c r="AA1033" s="58"/>
      <c r="AB1033" s="58"/>
      <c r="AC1033" s="58"/>
      <c r="AD1033" s="57"/>
      <c r="AE1033" s="57"/>
      <c r="AF1033" s="57"/>
      <c r="AG1033" s="59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</row>
    <row r="1034" ht="24.0" customHeight="1">
      <c r="A1034" s="85">
        <v>30.0</v>
      </c>
      <c r="B1034" s="54" t="s">
        <v>2697</v>
      </c>
      <c r="C1034" s="55" t="s">
        <v>2777</v>
      </c>
      <c r="D1034" s="55" t="s">
        <v>1883</v>
      </c>
      <c r="E1034" s="55" t="s">
        <v>2698</v>
      </c>
      <c r="F1034" s="55" t="s">
        <v>2699</v>
      </c>
      <c r="G1034" s="55">
        <v>46.0</v>
      </c>
      <c r="H1034" s="55" t="s">
        <v>85</v>
      </c>
      <c r="I1034" s="55" t="s">
        <v>86</v>
      </c>
      <c r="J1034" s="55" t="s">
        <v>87</v>
      </c>
      <c r="K1034" s="55" t="s">
        <v>2867</v>
      </c>
      <c r="L1034" s="55" t="s">
        <v>34</v>
      </c>
      <c r="M1034" s="55" t="s">
        <v>89</v>
      </c>
      <c r="N1034" s="55" t="s">
        <v>90</v>
      </c>
      <c r="O1034" s="55" t="s">
        <v>1883</v>
      </c>
      <c r="P1034" s="55" t="s">
        <v>91</v>
      </c>
      <c r="Q1034" s="55" t="s">
        <v>4</v>
      </c>
      <c r="R1034" s="55" t="s">
        <v>1883</v>
      </c>
      <c r="S1034" s="55" t="s">
        <v>18</v>
      </c>
      <c r="T1034" s="55" t="s">
        <v>1883</v>
      </c>
      <c r="U1034" s="55" t="s">
        <v>1883</v>
      </c>
      <c r="V1034" s="55" t="s">
        <v>1883</v>
      </c>
      <c r="W1034" s="55" t="s">
        <v>1883</v>
      </c>
      <c r="X1034" s="57" t="str">
        <f t="shared" si="781"/>
        <v>--1027-14-05</v>
      </c>
      <c r="Y1034" s="58"/>
      <c r="Z1034" s="58"/>
      <c r="AA1034" s="58"/>
      <c r="AB1034" s="58"/>
      <c r="AC1034" s="58"/>
      <c r="AD1034" s="57"/>
      <c r="AE1034" s="57"/>
      <c r="AF1034" s="57"/>
      <c r="AG1034" s="59"/>
      <c r="AH1034" s="15"/>
      <c r="AI1034" s="15"/>
      <c r="AJ1034" s="15"/>
      <c r="AK1034" s="15"/>
      <c r="AL1034" s="15"/>
      <c r="AM1034" s="15"/>
      <c r="AN1034" s="15"/>
      <c r="AO1034" s="15"/>
      <c r="AP1034" s="15"/>
      <c r="AQ1034" s="15"/>
      <c r="AR1034" s="15"/>
      <c r="AS1034" s="15"/>
      <c r="AT1034" s="15"/>
      <c r="AU1034" s="15"/>
    </row>
    <row r="1035" ht="24.0" customHeight="1">
      <c r="A1035" s="85">
        <v>31.0</v>
      </c>
      <c r="B1035" s="54" t="s">
        <v>1461</v>
      </c>
      <c r="C1035" s="55" t="s">
        <v>2777</v>
      </c>
      <c r="D1035" s="55" t="s">
        <v>1883</v>
      </c>
      <c r="E1035" s="55" t="s">
        <v>1462</v>
      </c>
      <c r="F1035" s="55" t="s">
        <v>2868</v>
      </c>
      <c r="G1035" s="55">
        <v>30.0</v>
      </c>
      <c r="H1035" s="55" t="s">
        <v>85</v>
      </c>
      <c r="I1035" s="55" t="s">
        <v>86</v>
      </c>
      <c r="J1035" s="55" t="s">
        <v>87</v>
      </c>
      <c r="K1035" s="55" t="s">
        <v>2869</v>
      </c>
      <c r="L1035" s="55" t="s">
        <v>34</v>
      </c>
      <c r="M1035" s="55" t="s">
        <v>89</v>
      </c>
      <c r="N1035" s="55" t="s">
        <v>90</v>
      </c>
      <c r="O1035" s="55" t="s">
        <v>1883</v>
      </c>
      <c r="P1035" s="55" t="s">
        <v>91</v>
      </c>
      <c r="Q1035" s="55" t="s">
        <v>16</v>
      </c>
      <c r="R1035" s="55" t="s">
        <v>1883</v>
      </c>
      <c r="S1035" s="55" t="s">
        <v>1883</v>
      </c>
      <c r="T1035" s="55" t="s">
        <v>1883</v>
      </c>
      <c r="U1035" s="55" t="s">
        <v>1883</v>
      </c>
      <c r="V1035" s="55" t="s">
        <v>1883</v>
      </c>
      <c r="W1035" s="55" t="s">
        <v>1883</v>
      </c>
      <c r="X1035" s="57" t="str">
        <f t="shared" si="781"/>
        <v>--1028-14-05</v>
      </c>
      <c r="Y1035" s="58"/>
      <c r="Z1035" s="58"/>
      <c r="AA1035" s="58"/>
      <c r="AB1035" s="58"/>
      <c r="AC1035" s="58"/>
      <c r="AD1035" s="57"/>
      <c r="AE1035" s="57"/>
      <c r="AF1035" s="57"/>
      <c r="AG1035" s="59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</row>
    <row r="1036" ht="24.0" customHeight="1">
      <c r="A1036" s="85">
        <v>32.0</v>
      </c>
      <c r="B1036" s="54" t="s">
        <v>2870</v>
      </c>
      <c r="C1036" s="55" t="s">
        <v>2777</v>
      </c>
      <c r="D1036" s="55" t="s">
        <v>1883</v>
      </c>
      <c r="E1036" s="55" t="s">
        <v>2871</v>
      </c>
      <c r="F1036" s="55" t="s">
        <v>2872</v>
      </c>
      <c r="G1036" s="55">
        <v>34.0</v>
      </c>
      <c r="H1036" s="55" t="s">
        <v>85</v>
      </c>
      <c r="I1036" s="55" t="s">
        <v>86</v>
      </c>
      <c r="J1036" s="55" t="s">
        <v>87</v>
      </c>
      <c r="K1036" s="55" t="s">
        <v>2873</v>
      </c>
      <c r="L1036" s="55" t="s">
        <v>24</v>
      </c>
      <c r="M1036" s="55" t="s">
        <v>89</v>
      </c>
      <c r="N1036" s="55" t="s">
        <v>90</v>
      </c>
      <c r="O1036" s="55" t="s">
        <v>1883</v>
      </c>
      <c r="P1036" s="55" t="s">
        <v>91</v>
      </c>
      <c r="Q1036" s="55" t="s">
        <v>16</v>
      </c>
      <c r="R1036" s="55" t="s">
        <v>1883</v>
      </c>
      <c r="S1036" s="55" t="s">
        <v>1883</v>
      </c>
      <c r="T1036" s="55" t="s">
        <v>1883</v>
      </c>
      <c r="U1036" s="55" t="s">
        <v>1883</v>
      </c>
      <c r="V1036" s="55" t="s">
        <v>1883</v>
      </c>
      <c r="W1036" s="55" t="s">
        <v>1883</v>
      </c>
      <c r="X1036" s="57" t="str">
        <f t="shared" si="781"/>
        <v>--1029-14-05</v>
      </c>
      <c r="Y1036" s="58"/>
      <c r="Z1036" s="58"/>
      <c r="AA1036" s="58"/>
      <c r="AB1036" s="58"/>
      <c r="AC1036" s="58"/>
      <c r="AD1036" s="57"/>
      <c r="AE1036" s="57"/>
      <c r="AF1036" s="57"/>
      <c r="AG1036" s="59"/>
      <c r="AH1036" s="15"/>
      <c r="AI1036" s="15"/>
      <c r="AJ1036" s="15"/>
      <c r="AK1036" s="15"/>
      <c r="AL1036" s="15"/>
      <c r="AM1036" s="15"/>
      <c r="AN1036" s="15"/>
      <c r="AO1036" s="15"/>
      <c r="AP1036" s="15"/>
      <c r="AQ1036" s="15"/>
      <c r="AR1036" s="15"/>
      <c r="AS1036" s="15"/>
      <c r="AT1036" s="15"/>
      <c r="AU1036" s="15"/>
    </row>
    <row r="1037" ht="24.0" customHeight="1">
      <c r="A1037" s="85">
        <v>33.0</v>
      </c>
      <c r="B1037" s="54" t="s">
        <v>2874</v>
      </c>
      <c r="C1037" s="55" t="s">
        <v>2777</v>
      </c>
      <c r="D1037" s="55" t="s">
        <v>1883</v>
      </c>
      <c r="E1037" s="55" t="s">
        <v>2498</v>
      </c>
      <c r="F1037" s="55" t="s">
        <v>2875</v>
      </c>
      <c r="G1037" s="55">
        <v>11.0</v>
      </c>
      <c r="H1037" s="55" t="s">
        <v>111</v>
      </c>
      <c r="I1037" s="55" t="s">
        <v>112</v>
      </c>
      <c r="J1037" s="55" t="s">
        <v>113</v>
      </c>
      <c r="K1037" s="55" t="s">
        <v>2876</v>
      </c>
      <c r="L1037" s="55" t="s">
        <v>34</v>
      </c>
      <c r="M1037" s="55" t="s">
        <v>133</v>
      </c>
      <c r="N1037" s="55" t="s">
        <v>90</v>
      </c>
      <c r="O1037" s="55" t="s">
        <v>1883</v>
      </c>
      <c r="P1037" s="55" t="s">
        <v>91</v>
      </c>
      <c r="Q1037" s="55" t="s">
        <v>16</v>
      </c>
      <c r="R1037" s="55" t="s">
        <v>1883</v>
      </c>
      <c r="S1037" s="55" t="s">
        <v>1883</v>
      </c>
      <c r="T1037" s="55" t="s">
        <v>1883</v>
      </c>
      <c r="U1037" s="55" t="s">
        <v>1883</v>
      </c>
      <c r="V1037" s="55" t="s">
        <v>1883</v>
      </c>
      <c r="W1037" s="55" t="s">
        <v>1883</v>
      </c>
      <c r="X1037" s="57" t="str">
        <f t="shared" si="781"/>
        <v>--1030-14-05</v>
      </c>
      <c r="Y1037" s="58"/>
      <c r="Z1037" s="58"/>
      <c r="AA1037" s="58"/>
      <c r="AB1037" s="58"/>
      <c r="AC1037" s="58"/>
      <c r="AD1037" s="57"/>
      <c r="AE1037" s="57"/>
      <c r="AF1037" s="57"/>
      <c r="AG1037" s="59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</row>
    <row r="1038" ht="24.0" customHeight="1">
      <c r="A1038" s="85">
        <v>34.0</v>
      </c>
      <c r="B1038" s="54" t="s">
        <v>2458</v>
      </c>
      <c r="C1038" s="55" t="s">
        <v>2777</v>
      </c>
      <c r="D1038" s="55" t="s">
        <v>1883</v>
      </c>
      <c r="E1038" s="55" t="s">
        <v>2459</v>
      </c>
      <c r="F1038" s="55" t="s">
        <v>2460</v>
      </c>
      <c r="G1038" s="55">
        <v>42.0</v>
      </c>
      <c r="H1038" s="55" t="s">
        <v>85</v>
      </c>
      <c r="I1038" s="55" t="s">
        <v>112</v>
      </c>
      <c r="J1038" s="55" t="s">
        <v>113</v>
      </c>
      <c r="K1038" s="55" t="s">
        <v>2461</v>
      </c>
      <c r="L1038" s="55" t="s">
        <v>41</v>
      </c>
      <c r="M1038" s="55" t="s">
        <v>89</v>
      </c>
      <c r="N1038" s="55" t="s">
        <v>90</v>
      </c>
      <c r="O1038" s="55" t="s">
        <v>1883</v>
      </c>
      <c r="P1038" s="55" t="s">
        <v>91</v>
      </c>
      <c r="Q1038" s="55" t="s">
        <v>4</v>
      </c>
      <c r="R1038" s="55" t="s">
        <v>1883</v>
      </c>
      <c r="S1038" s="55" t="s">
        <v>1883</v>
      </c>
      <c r="T1038" s="55" t="s">
        <v>1883</v>
      </c>
      <c r="U1038" s="55" t="s">
        <v>1883</v>
      </c>
      <c r="V1038" s="55" t="s">
        <v>1883</v>
      </c>
      <c r="W1038" s="55" t="s">
        <v>1883</v>
      </c>
      <c r="X1038" s="57" t="str">
        <f t="shared" si="781"/>
        <v>--1031-14-05</v>
      </c>
      <c r="Y1038" s="58"/>
      <c r="Z1038" s="58"/>
      <c r="AA1038" s="58"/>
      <c r="AB1038" s="58"/>
      <c r="AC1038" s="58"/>
      <c r="AD1038" s="57"/>
      <c r="AE1038" s="57"/>
      <c r="AF1038" s="57"/>
      <c r="AG1038" s="59"/>
      <c r="AH1038" s="15"/>
      <c r="AI1038" s="15"/>
      <c r="AJ1038" s="15"/>
      <c r="AK1038" s="15"/>
      <c r="AL1038" s="15"/>
      <c r="AM1038" s="15"/>
      <c r="AN1038" s="15"/>
      <c r="AO1038" s="15"/>
      <c r="AP1038" s="15"/>
      <c r="AQ1038" s="15"/>
      <c r="AR1038" s="15"/>
      <c r="AS1038" s="15"/>
      <c r="AT1038" s="15"/>
      <c r="AU1038" s="15"/>
    </row>
    <row r="1039" ht="24.0" customHeight="1">
      <c r="A1039" s="85">
        <v>35.0</v>
      </c>
      <c r="B1039" s="54" t="s">
        <v>2877</v>
      </c>
      <c r="C1039" s="55" t="s">
        <v>2777</v>
      </c>
      <c r="D1039" s="55" t="s">
        <v>1883</v>
      </c>
      <c r="E1039" s="55" t="s">
        <v>2878</v>
      </c>
      <c r="F1039" s="55" t="s">
        <v>2879</v>
      </c>
      <c r="G1039" s="55">
        <v>29.0</v>
      </c>
      <c r="H1039" s="55" t="s">
        <v>85</v>
      </c>
      <c r="I1039" s="55" t="s">
        <v>86</v>
      </c>
      <c r="J1039" s="55" t="s">
        <v>87</v>
      </c>
      <c r="K1039" s="55" t="s">
        <v>2880</v>
      </c>
      <c r="L1039" s="55" t="s">
        <v>13</v>
      </c>
      <c r="M1039" s="55" t="s">
        <v>89</v>
      </c>
      <c r="N1039" s="55" t="s">
        <v>90</v>
      </c>
      <c r="O1039" s="55" t="s">
        <v>1883</v>
      </c>
      <c r="P1039" s="55" t="s">
        <v>91</v>
      </c>
      <c r="Q1039" s="55" t="s">
        <v>16</v>
      </c>
      <c r="R1039" s="55" t="s">
        <v>1883</v>
      </c>
      <c r="S1039" s="55" t="s">
        <v>1883</v>
      </c>
      <c r="T1039" s="55" t="s">
        <v>1883</v>
      </c>
      <c r="U1039" s="55" t="s">
        <v>1883</v>
      </c>
      <c r="V1039" s="55" t="s">
        <v>1883</v>
      </c>
      <c r="W1039" s="55" t="s">
        <v>1883</v>
      </c>
      <c r="X1039" s="57" t="str">
        <f t="shared" si="781"/>
        <v>--1032-14-05</v>
      </c>
      <c r="Y1039" s="58"/>
      <c r="Z1039" s="58"/>
      <c r="AA1039" s="58"/>
      <c r="AB1039" s="58"/>
      <c r="AC1039" s="58"/>
      <c r="AD1039" s="57"/>
      <c r="AE1039" s="57"/>
      <c r="AF1039" s="57"/>
      <c r="AG1039" s="59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</row>
    <row r="1040" ht="24.0" customHeight="1">
      <c r="A1040" s="85">
        <v>36.0</v>
      </c>
      <c r="B1040" s="54" t="s">
        <v>2881</v>
      </c>
      <c r="C1040" s="55" t="s">
        <v>2777</v>
      </c>
      <c r="D1040" s="55" t="s">
        <v>1883</v>
      </c>
      <c r="E1040" s="55" t="s">
        <v>2882</v>
      </c>
      <c r="F1040" s="55" t="s">
        <v>2853</v>
      </c>
      <c r="G1040" s="55">
        <v>4.0</v>
      </c>
      <c r="H1040" s="55" t="s">
        <v>119</v>
      </c>
      <c r="I1040" s="55" t="s">
        <v>112</v>
      </c>
      <c r="J1040" s="55" t="s">
        <v>113</v>
      </c>
      <c r="K1040" s="55" t="s">
        <v>2880</v>
      </c>
      <c r="L1040" s="55" t="s">
        <v>34</v>
      </c>
      <c r="M1040" s="55" t="s">
        <v>133</v>
      </c>
      <c r="N1040" s="55" t="s">
        <v>90</v>
      </c>
      <c r="O1040" s="55" t="s">
        <v>1883</v>
      </c>
      <c r="P1040" s="55" t="s">
        <v>91</v>
      </c>
      <c r="Q1040" s="55" t="s">
        <v>4</v>
      </c>
      <c r="R1040" s="55" t="s">
        <v>1883</v>
      </c>
      <c r="S1040" s="55" t="s">
        <v>18</v>
      </c>
      <c r="T1040" s="55" t="s">
        <v>1883</v>
      </c>
      <c r="U1040" s="55" t="s">
        <v>1883</v>
      </c>
      <c r="V1040" s="55" t="s">
        <v>1883</v>
      </c>
      <c r="W1040" s="55" t="s">
        <v>1883</v>
      </c>
      <c r="X1040" s="57" t="str">
        <f t="shared" si="781"/>
        <v>--1033-14-05</v>
      </c>
      <c r="Y1040" s="58"/>
      <c r="Z1040" s="58"/>
      <c r="AA1040" s="58"/>
      <c r="AB1040" s="58"/>
      <c r="AC1040" s="58"/>
      <c r="AD1040" s="57"/>
      <c r="AE1040" s="57"/>
      <c r="AF1040" s="57"/>
      <c r="AG1040" s="59"/>
      <c r="AH1040" s="15"/>
      <c r="AI1040" s="15"/>
      <c r="AJ1040" s="15"/>
      <c r="AK1040" s="15"/>
      <c r="AL1040" s="15"/>
      <c r="AM1040" s="15"/>
      <c r="AN1040" s="15"/>
      <c r="AO1040" s="15"/>
      <c r="AP1040" s="15"/>
      <c r="AQ1040" s="15"/>
      <c r="AR1040" s="15"/>
      <c r="AS1040" s="15"/>
      <c r="AT1040" s="15"/>
      <c r="AU1040" s="15"/>
    </row>
    <row r="1041" ht="24.0" customHeight="1">
      <c r="A1041" s="85">
        <v>37.0</v>
      </c>
      <c r="B1041" s="54" t="s">
        <v>2883</v>
      </c>
      <c r="C1041" s="55" t="s">
        <v>2777</v>
      </c>
      <c r="D1041" s="55" t="s">
        <v>1883</v>
      </c>
      <c r="E1041" s="55" t="s">
        <v>2884</v>
      </c>
      <c r="F1041" s="55" t="s">
        <v>2885</v>
      </c>
      <c r="G1041" s="55">
        <v>31.0</v>
      </c>
      <c r="H1041" s="55" t="s">
        <v>85</v>
      </c>
      <c r="I1041" s="55" t="s">
        <v>86</v>
      </c>
      <c r="J1041" s="55" t="s">
        <v>87</v>
      </c>
      <c r="K1041" s="55" t="s">
        <v>2886</v>
      </c>
      <c r="L1041" s="55" t="s">
        <v>24</v>
      </c>
      <c r="M1041" s="55" t="s">
        <v>89</v>
      </c>
      <c r="N1041" s="55" t="s">
        <v>90</v>
      </c>
      <c r="O1041" s="55" t="s">
        <v>1883</v>
      </c>
      <c r="P1041" s="55" t="s">
        <v>91</v>
      </c>
      <c r="Q1041" s="55" t="s">
        <v>1883</v>
      </c>
      <c r="R1041" s="55" t="s">
        <v>5</v>
      </c>
      <c r="S1041" s="55" t="s">
        <v>1883</v>
      </c>
      <c r="T1041" s="55" t="s">
        <v>1883</v>
      </c>
      <c r="U1041" s="55" t="s">
        <v>7</v>
      </c>
      <c r="V1041" s="55" t="s">
        <v>1883</v>
      </c>
      <c r="W1041" s="55" t="s">
        <v>1883</v>
      </c>
      <c r="X1041" s="57" t="str">
        <f t="shared" si="781"/>
        <v>--1034-14-05</v>
      </c>
      <c r="Y1041" s="58"/>
      <c r="Z1041" s="58"/>
      <c r="AA1041" s="58"/>
      <c r="AB1041" s="58"/>
      <c r="AC1041" s="58"/>
      <c r="AD1041" s="57"/>
      <c r="AE1041" s="57"/>
      <c r="AF1041" s="57"/>
      <c r="AG1041" s="59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</row>
    <row r="1042" ht="24.0" customHeight="1">
      <c r="A1042" s="85">
        <v>38.0</v>
      </c>
      <c r="B1042" s="54" t="s">
        <v>2887</v>
      </c>
      <c r="C1042" s="55" t="s">
        <v>2777</v>
      </c>
      <c r="D1042" s="55" t="s">
        <v>1883</v>
      </c>
      <c r="E1042" s="55" t="s">
        <v>2888</v>
      </c>
      <c r="F1042" s="55" t="s">
        <v>2889</v>
      </c>
      <c r="G1042" s="55">
        <v>19.0</v>
      </c>
      <c r="H1042" s="55" t="s">
        <v>85</v>
      </c>
      <c r="I1042" s="55" t="s">
        <v>86</v>
      </c>
      <c r="J1042" s="55" t="s">
        <v>87</v>
      </c>
      <c r="K1042" s="55" t="s">
        <v>2890</v>
      </c>
      <c r="L1042" s="55" t="s">
        <v>34</v>
      </c>
      <c r="M1042" s="55" t="s">
        <v>89</v>
      </c>
      <c r="N1042" s="55" t="s">
        <v>2836</v>
      </c>
      <c r="O1042" s="55" t="s">
        <v>1883</v>
      </c>
      <c r="P1042" s="55" t="s">
        <v>2007</v>
      </c>
      <c r="Q1042" s="55" t="s">
        <v>1883</v>
      </c>
      <c r="R1042" s="55" t="s">
        <v>5</v>
      </c>
      <c r="S1042" s="55" t="s">
        <v>1883</v>
      </c>
      <c r="T1042" s="55" t="s">
        <v>1883</v>
      </c>
      <c r="U1042" s="55" t="s">
        <v>7</v>
      </c>
      <c r="V1042" s="55" t="s">
        <v>1883</v>
      </c>
      <c r="W1042" s="55" t="s">
        <v>1883</v>
      </c>
      <c r="X1042" s="57" t="str">
        <f t="shared" si="781"/>
        <v>--1035-14-05</v>
      </c>
      <c r="Y1042" s="58"/>
      <c r="Z1042" s="58"/>
      <c r="AA1042" s="58"/>
      <c r="AB1042" s="58"/>
      <c r="AC1042" s="58"/>
      <c r="AD1042" s="57"/>
      <c r="AE1042" s="57"/>
      <c r="AF1042" s="57"/>
      <c r="AG1042" s="59"/>
      <c r="AH1042" s="15"/>
      <c r="AI1042" s="15"/>
      <c r="AJ1042" s="15"/>
      <c r="AK1042" s="15"/>
      <c r="AL1042" s="15"/>
      <c r="AM1042" s="15"/>
      <c r="AN1042" s="15"/>
      <c r="AO1042" s="15"/>
      <c r="AP1042" s="15"/>
      <c r="AQ1042" s="15"/>
      <c r="AR1042" s="15"/>
      <c r="AS1042" s="15"/>
      <c r="AT1042" s="15"/>
      <c r="AU1042" s="15"/>
    </row>
    <row r="1043" ht="24.0" customHeight="1">
      <c r="A1043" s="85">
        <v>39.0</v>
      </c>
      <c r="B1043" s="54" t="s">
        <v>2891</v>
      </c>
      <c r="C1043" s="55" t="s">
        <v>2777</v>
      </c>
      <c r="D1043" s="55" t="s">
        <v>1883</v>
      </c>
      <c r="E1043" s="55" t="s">
        <v>2892</v>
      </c>
      <c r="F1043" s="55" t="s">
        <v>2893</v>
      </c>
      <c r="G1043" s="55">
        <v>24.0</v>
      </c>
      <c r="H1043" s="55" t="s">
        <v>85</v>
      </c>
      <c r="I1043" s="55" t="s">
        <v>86</v>
      </c>
      <c r="J1043" s="55" t="s">
        <v>87</v>
      </c>
      <c r="K1043" s="55" t="s">
        <v>2894</v>
      </c>
      <c r="L1043" s="55" t="s">
        <v>34</v>
      </c>
      <c r="M1043" s="55" t="s">
        <v>89</v>
      </c>
      <c r="N1043" s="55" t="s">
        <v>90</v>
      </c>
      <c r="O1043" s="55" t="s">
        <v>1883</v>
      </c>
      <c r="P1043" s="55" t="s">
        <v>91</v>
      </c>
      <c r="Q1043" s="55" t="s">
        <v>1883</v>
      </c>
      <c r="R1043" s="55" t="s">
        <v>5</v>
      </c>
      <c r="S1043" s="55" t="s">
        <v>1883</v>
      </c>
      <c r="T1043" s="55" t="s">
        <v>1883</v>
      </c>
      <c r="U1043" s="55" t="s">
        <v>7</v>
      </c>
      <c r="V1043" s="55" t="s">
        <v>1883</v>
      </c>
      <c r="W1043" s="55" t="s">
        <v>1883</v>
      </c>
      <c r="X1043" s="57" t="str">
        <f t="shared" si="781"/>
        <v>--1036-14-05</v>
      </c>
      <c r="Y1043" s="58"/>
      <c r="Z1043" s="58"/>
      <c r="AA1043" s="58"/>
      <c r="AB1043" s="58"/>
      <c r="AC1043" s="58"/>
      <c r="AD1043" s="57"/>
      <c r="AE1043" s="57"/>
      <c r="AF1043" s="57"/>
      <c r="AG1043" s="59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</row>
    <row r="1044" ht="24.0" customHeight="1">
      <c r="A1044" s="85">
        <v>40.0</v>
      </c>
      <c r="B1044" s="54" t="s">
        <v>2895</v>
      </c>
      <c r="C1044" s="55" t="s">
        <v>2777</v>
      </c>
      <c r="D1044" s="55" t="s">
        <v>1883</v>
      </c>
      <c r="E1044" s="55" t="s">
        <v>2896</v>
      </c>
      <c r="F1044" s="55" t="s">
        <v>2897</v>
      </c>
      <c r="G1044" s="55">
        <v>13.0</v>
      </c>
      <c r="H1044" s="55" t="s">
        <v>111</v>
      </c>
      <c r="I1044" s="55" t="s">
        <v>112</v>
      </c>
      <c r="J1044" s="55" t="s">
        <v>113</v>
      </c>
      <c r="K1044" s="55" t="s">
        <v>2898</v>
      </c>
      <c r="L1044" s="55" t="s">
        <v>13</v>
      </c>
      <c r="M1044" s="55" t="s">
        <v>133</v>
      </c>
      <c r="N1044" s="55" t="s">
        <v>90</v>
      </c>
      <c r="O1044" s="55" t="s">
        <v>1883</v>
      </c>
      <c r="P1044" s="55" t="s">
        <v>91</v>
      </c>
      <c r="Q1044" s="55" t="s">
        <v>16</v>
      </c>
      <c r="R1044" s="55" t="s">
        <v>1883</v>
      </c>
      <c r="S1044" s="55" t="s">
        <v>1883</v>
      </c>
      <c r="T1044" s="55" t="s">
        <v>1883</v>
      </c>
      <c r="U1044" s="55" t="s">
        <v>1883</v>
      </c>
      <c r="V1044" s="55" t="s">
        <v>1883</v>
      </c>
      <c r="W1044" s="55" t="s">
        <v>1883</v>
      </c>
      <c r="X1044" s="57" t="str">
        <f t="shared" si="781"/>
        <v>--1037-14-05</v>
      </c>
      <c r="Y1044" s="58"/>
      <c r="Z1044" s="58"/>
      <c r="AA1044" s="58"/>
      <c r="AB1044" s="58"/>
      <c r="AC1044" s="58"/>
      <c r="AD1044" s="57"/>
      <c r="AE1044" s="57"/>
      <c r="AF1044" s="57"/>
      <c r="AG1044" s="59"/>
      <c r="AH1044" s="15"/>
      <c r="AI1044" s="15"/>
      <c r="AJ1044" s="15"/>
      <c r="AK1044" s="15"/>
      <c r="AL1044" s="15"/>
      <c r="AM1044" s="15"/>
      <c r="AN1044" s="15"/>
      <c r="AO1044" s="15"/>
      <c r="AP1044" s="15"/>
      <c r="AQ1044" s="15"/>
      <c r="AR1044" s="15"/>
      <c r="AS1044" s="15"/>
      <c r="AT1044" s="15"/>
      <c r="AU1044" s="15"/>
    </row>
    <row r="1045" ht="24.0" customHeight="1">
      <c r="A1045" s="85">
        <v>41.0</v>
      </c>
      <c r="B1045" s="54" t="s">
        <v>2899</v>
      </c>
      <c r="C1045" s="55" t="s">
        <v>2777</v>
      </c>
      <c r="D1045" s="55" t="s">
        <v>1883</v>
      </c>
      <c r="E1045" s="55" t="s">
        <v>2900</v>
      </c>
      <c r="F1045" s="55" t="s">
        <v>2901</v>
      </c>
      <c r="G1045" s="55">
        <v>35.0</v>
      </c>
      <c r="H1045" s="55" t="s">
        <v>85</v>
      </c>
      <c r="I1045" s="55" t="s">
        <v>86</v>
      </c>
      <c r="J1045" s="55" t="s">
        <v>87</v>
      </c>
      <c r="K1045" s="55" t="s">
        <v>1883</v>
      </c>
      <c r="L1045" s="55" t="s">
        <v>13</v>
      </c>
      <c r="M1045" s="55" t="s">
        <v>89</v>
      </c>
      <c r="N1045" s="55" t="s">
        <v>90</v>
      </c>
      <c r="O1045" s="55" t="s">
        <v>1883</v>
      </c>
      <c r="P1045" s="55" t="s">
        <v>91</v>
      </c>
      <c r="Q1045" s="55" t="s">
        <v>1883</v>
      </c>
      <c r="R1045" s="55" t="s">
        <v>5</v>
      </c>
      <c r="S1045" s="55" t="s">
        <v>1883</v>
      </c>
      <c r="T1045" s="55" t="s">
        <v>1883</v>
      </c>
      <c r="U1045" s="55" t="s">
        <v>7</v>
      </c>
      <c r="V1045" s="55" t="s">
        <v>1883</v>
      </c>
      <c r="W1045" s="55" t="s">
        <v>1883</v>
      </c>
      <c r="X1045" s="57" t="str">
        <f t="shared" si="781"/>
        <v>--1038-14-05</v>
      </c>
      <c r="Y1045" s="58"/>
      <c r="Z1045" s="58"/>
      <c r="AA1045" s="58"/>
      <c r="AB1045" s="58"/>
      <c r="AC1045" s="58"/>
      <c r="AD1045" s="57"/>
      <c r="AE1045" s="57"/>
      <c r="AF1045" s="57"/>
      <c r="AG1045" s="59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</row>
    <row r="1046" ht="24.0" customHeight="1">
      <c r="A1046" s="85">
        <v>42.0</v>
      </c>
      <c r="B1046" s="54" t="s">
        <v>2902</v>
      </c>
      <c r="C1046" s="55" t="s">
        <v>2777</v>
      </c>
      <c r="D1046" s="55" t="s">
        <v>1883</v>
      </c>
      <c r="E1046" s="55" t="s">
        <v>2903</v>
      </c>
      <c r="F1046" s="55" t="s">
        <v>2904</v>
      </c>
      <c r="G1046" s="55">
        <v>12.0</v>
      </c>
      <c r="H1046" s="55" t="s">
        <v>111</v>
      </c>
      <c r="I1046" s="55" t="s">
        <v>112</v>
      </c>
      <c r="J1046" s="55" t="s">
        <v>113</v>
      </c>
      <c r="K1046" s="55" t="s">
        <v>2905</v>
      </c>
      <c r="L1046" s="55" t="s">
        <v>13</v>
      </c>
      <c r="M1046" s="55" t="s">
        <v>133</v>
      </c>
      <c r="N1046" s="55" t="s">
        <v>90</v>
      </c>
      <c r="O1046" s="55" t="s">
        <v>1883</v>
      </c>
      <c r="P1046" s="55" t="s">
        <v>91</v>
      </c>
      <c r="Q1046" s="55" t="s">
        <v>4</v>
      </c>
      <c r="R1046" s="55" t="s">
        <v>1883</v>
      </c>
      <c r="S1046" s="55" t="s">
        <v>18</v>
      </c>
      <c r="T1046" s="55" t="s">
        <v>1883</v>
      </c>
      <c r="U1046" s="55" t="s">
        <v>1883</v>
      </c>
      <c r="V1046" s="55" t="s">
        <v>1883</v>
      </c>
      <c r="W1046" s="55" t="s">
        <v>1883</v>
      </c>
      <c r="X1046" s="57" t="str">
        <f t="shared" si="781"/>
        <v>--1039-14-05</v>
      </c>
      <c r="Y1046" s="58"/>
      <c r="Z1046" s="58"/>
      <c r="AA1046" s="58"/>
      <c r="AB1046" s="58"/>
      <c r="AC1046" s="58"/>
      <c r="AD1046" s="57"/>
      <c r="AE1046" s="57"/>
      <c r="AF1046" s="57"/>
      <c r="AG1046" s="59"/>
      <c r="AH1046" s="15"/>
      <c r="AI1046" s="15"/>
      <c r="AJ1046" s="15"/>
      <c r="AK1046" s="15"/>
      <c r="AL1046" s="15"/>
      <c r="AM1046" s="15"/>
      <c r="AN1046" s="15"/>
      <c r="AO1046" s="15"/>
      <c r="AP1046" s="15"/>
      <c r="AQ1046" s="15"/>
      <c r="AR1046" s="15"/>
      <c r="AS1046" s="15"/>
      <c r="AT1046" s="15"/>
      <c r="AU1046" s="15"/>
    </row>
    <row r="1047" ht="24.0" customHeight="1">
      <c r="A1047" s="85">
        <v>43.0</v>
      </c>
      <c r="B1047" s="54" t="s">
        <v>2906</v>
      </c>
      <c r="C1047" s="55" t="s">
        <v>2777</v>
      </c>
      <c r="D1047" s="55" t="s">
        <v>1883</v>
      </c>
      <c r="E1047" s="55" t="s">
        <v>2907</v>
      </c>
      <c r="F1047" s="55" t="s">
        <v>2908</v>
      </c>
      <c r="G1047" s="55">
        <v>35.0</v>
      </c>
      <c r="H1047" s="55" t="s">
        <v>85</v>
      </c>
      <c r="I1047" s="55" t="s">
        <v>86</v>
      </c>
      <c r="J1047" s="55" t="s">
        <v>87</v>
      </c>
      <c r="K1047" s="55" t="s">
        <v>2909</v>
      </c>
      <c r="L1047" s="55" t="s">
        <v>41</v>
      </c>
      <c r="M1047" s="55" t="s">
        <v>89</v>
      </c>
      <c r="N1047" s="55" t="s">
        <v>90</v>
      </c>
      <c r="O1047" s="55" t="s">
        <v>1883</v>
      </c>
      <c r="P1047" s="55" t="s">
        <v>91</v>
      </c>
      <c r="Q1047" s="55" t="s">
        <v>1883</v>
      </c>
      <c r="R1047" s="55" t="s">
        <v>5</v>
      </c>
      <c r="S1047" s="55" t="s">
        <v>1883</v>
      </c>
      <c r="T1047" s="55" t="s">
        <v>1883</v>
      </c>
      <c r="U1047" s="55" t="s">
        <v>7</v>
      </c>
      <c r="V1047" s="55" t="s">
        <v>1883</v>
      </c>
      <c r="W1047" s="55" t="s">
        <v>1883</v>
      </c>
      <c r="X1047" s="57" t="str">
        <f t="shared" si="781"/>
        <v>--1040-14-05</v>
      </c>
      <c r="Y1047" s="58"/>
      <c r="Z1047" s="58"/>
      <c r="AA1047" s="58"/>
      <c r="AB1047" s="58"/>
      <c r="AC1047" s="58"/>
      <c r="AD1047" s="57"/>
      <c r="AE1047" s="57"/>
      <c r="AF1047" s="57"/>
      <c r="AG1047" s="59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</row>
    <row r="1048" ht="24.0" customHeight="1">
      <c r="A1048" s="85">
        <v>44.0</v>
      </c>
      <c r="B1048" s="54" t="s">
        <v>2910</v>
      </c>
      <c r="C1048" s="55" t="s">
        <v>2777</v>
      </c>
      <c r="D1048" s="55" t="s">
        <v>1883</v>
      </c>
      <c r="E1048" s="55" t="s">
        <v>2911</v>
      </c>
      <c r="F1048" s="55" t="s">
        <v>2912</v>
      </c>
      <c r="G1048" s="55">
        <v>17.0</v>
      </c>
      <c r="H1048" s="55" t="s">
        <v>111</v>
      </c>
      <c r="I1048" s="55" t="s">
        <v>86</v>
      </c>
      <c r="J1048" s="55" t="s">
        <v>87</v>
      </c>
      <c r="K1048" s="55" t="s">
        <v>2913</v>
      </c>
      <c r="L1048" s="55" t="s">
        <v>34</v>
      </c>
      <c r="M1048" s="55" t="s">
        <v>133</v>
      </c>
      <c r="N1048" s="55" t="s">
        <v>90</v>
      </c>
      <c r="O1048" s="55" t="s">
        <v>1883</v>
      </c>
      <c r="P1048" s="55" t="s">
        <v>91</v>
      </c>
      <c r="Q1048" s="55" t="s">
        <v>16</v>
      </c>
      <c r="R1048" s="55" t="s">
        <v>1883</v>
      </c>
      <c r="S1048" s="55" t="s">
        <v>1883</v>
      </c>
      <c r="T1048" s="55" t="s">
        <v>1883</v>
      </c>
      <c r="U1048" s="55" t="s">
        <v>1883</v>
      </c>
      <c r="V1048" s="55" t="s">
        <v>1883</v>
      </c>
      <c r="W1048" s="55" t="s">
        <v>1883</v>
      </c>
      <c r="X1048" s="57" t="str">
        <f t="shared" si="781"/>
        <v>--1041-14-05</v>
      </c>
      <c r="Y1048" s="58"/>
      <c r="Z1048" s="58"/>
      <c r="AA1048" s="58"/>
      <c r="AB1048" s="58"/>
      <c r="AC1048" s="58"/>
      <c r="AD1048" s="57"/>
      <c r="AE1048" s="57"/>
      <c r="AF1048" s="57"/>
      <c r="AG1048" s="59"/>
      <c r="AH1048" s="15"/>
      <c r="AI1048" s="15"/>
      <c r="AJ1048" s="15"/>
      <c r="AK1048" s="15"/>
      <c r="AL1048" s="15"/>
      <c r="AM1048" s="15"/>
      <c r="AN1048" s="15"/>
      <c r="AO1048" s="15"/>
      <c r="AP1048" s="15"/>
      <c r="AQ1048" s="15"/>
      <c r="AR1048" s="15"/>
      <c r="AS1048" s="15"/>
      <c r="AT1048" s="15"/>
      <c r="AU1048" s="15"/>
    </row>
    <row r="1049" ht="24.0" customHeight="1">
      <c r="A1049" s="85">
        <v>45.0</v>
      </c>
      <c r="B1049" s="54" t="s">
        <v>2914</v>
      </c>
      <c r="C1049" s="55" t="s">
        <v>2777</v>
      </c>
      <c r="D1049" s="55" t="s">
        <v>1883</v>
      </c>
      <c r="E1049" s="55" t="s">
        <v>2915</v>
      </c>
      <c r="F1049" s="55" t="s">
        <v>2916</v>
      </c>
      <c r="G1049" s="55">
        <v>7.0</v>
      </c>
      <c r="H1049" s="55" t="s">
        <v>111</v>
      </c>
      <c r="I1049" s="55" t="s">
        <v>86</v>
      </c>
      <c r="J1049" s="55" t="s">
        <v>87</v>
      </c>
      <c r="K1049" s="55" t="s">
        <v>1883</v>
      </c>
      <c r="L1049" s="55" t="s">
        <v>34</v>
      </c>
      <c r="M1049" s="55" t="s">
        <v>133</v>
      </c>
      <c r="N1049" s="55" t="s">
        <v>90</v>
      </c>
      <c r="O1049" s="55" t="s">
        <v>1883</v>
      </c>
      <c r="P1049" s="55" t="s">
        <v>91</v>
      </c>
      <c r="Q1049" s="55" t="s">
        <v>16</v>
      </c>
      <c r="R1049" s="55" t="s">
        <v>1883</v>
      </c>
      <c r="S1049" s="55" t="s">
        <v>1883</v>
      </c>
      <c r="T1049" s="55" t="s">
        <v>1883</v>
      </c>
      <c r="U1049" s="55" t="s">
        <v>1883</v>
      </c>
      <c r="V1049" s="55" t="s">
        <v>1883</v>
      </c>
      <c r="W1049" s="55" t="s">
        <v>1883</v>
      </c>
      <c r="X1049" s="57" t="str">
        <f t="shared" si="781"/>
        <v>--1042-14-05</v>
      </c>
      <c r="Y1049" s="58"/>
      <c r="Z1049" s="58"/>
      <c r="AA1049" s="58"/>
      <c r="AB1049" s="58"/>
      <c r="AC1049" s="58"/>
      <c r="AD1049" s="57"/>
      <c r="AE1049" s="57"/>
      <c r="AF1049" s="57"/>
      <c r="AG1049" s="59"/>
      <c r="AH1049" s="15"/>
      <c r="AI1049" s="15"/>
      <c r="AJ1049" s="15"/>
      <c r="AK1049" s="15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</row>
    <row r="1050" ht="24.0" customHeight="1">
      <c r="A1050" s="85">
        <v>46.0</v>
      </c>
      <c r="B1050" s="54" t="s">
        <v>1590</v>
      </c>
      <c r="C1050" s="55" t="s">
        <v>2777</v>
      </c>
      <c r="D1050" s="55" t="s">
        <v>1883</v>
      </c>
      <c r="E1050" s="55" t="s">
        <v>1591</v>
      </c>
      <c r="F1050" s="55" t="s">
        <v>2917</v>
      </c>
      <c r="G1050" s="55">
        <v>30.0</v>
      </c>
      <c r="H1050" s="55" t="s">
        <v>85</v>
      </c>
      <c r="I1050" s="55" t="s">
        <v>86</v>
      </c>
      <c r="J1050" s="55" t="s">
        <v>87</v>
      </c>
      <c r="K1050" s="55" t="s">
        <v>1593</v>
      </c>
      <c r="L1050" s="55" t="s">
        <v>41</v>
      </c>
      <c r="M1050" s="55" t="s">
        <v>89</v>
      </c>
      <c r="N1050" s="55" t="s">
        <v>90</v>
      </c>
      <c r="O1050" s="55" t="s">
        <v>1883</v>
      </c>
      <c r="P1050" s="55" t="s">
        <v>91</v>
      </c>
      <c r="Q1050" s="55" t="s">
        <v>4</v>
      </c>
      <c r="R1050" s="55" t="s">
        <v>1883</v>
      </c>
      <c r="S1050" s="55" t="s">
        <v>1883</v>
      </c>
      <c r="T1050" s="55" t="s">
        <v>1883</v>
      </c>
      <c r="U1050" s="55" t="s">
        <v>1883</v>
      </c>
      <c r="V1050" s="55" t="s">
        <v>1883</v>
      </c>
      <c r="W1050" s="55" t="s">
        <v>1883</v>
      </c>
      <c r="X1050" s="57" t="str">
        <f t="shared" si="781"/>
        <v>--1043-14-05</v>
      </c>
      <c r="Y1050" s="58"/>
      <c r="Z1050" s="58"/>
      <c r="AA1050" s="58"/>
      <c r="AB1050" s="58"/>
      <c r="AC1050" s="58"/>
      <c r="AD1050" s="57"/>
      <c r="AE1050" s="57"/>
      <c r="AF1050" s="57"/>
      <c r="AG1050" s="59"/>
      <c r="AH1050" s="15"/>
      <c r="AI1050" s="15"/>
      <c r="AJ1050" s="15"/>
      <c r="AK1050" s="15"/>
      <c r="AL1050" s="15"/>
      <c r="AM1050" s="15"/>
      <c r="AN1050" s="15"/>
      <c r="AO1050" s="15"/>
      <c r="AP1050" s="15"/>
      <c r="AQ1050" s="15"/>
      <c r="AR1050" s="15"/>
      <c r="AS1050" s="15"/>
      <c r="AT1050" s="15"/>
      <c r="AU1050" s="15"/>
    </row>
    <row r="1051" ht="24.0" customHeight="1">
      <c r="A1051" s="85">
        <v>47.0</v>
      </c>
      <c r="B1051" s="54" t="s">
        <v>2918</v>
      </c>
      <c r="C1051" s="55" t="s">
        <v>2777</v>
      </c>
      <c r="D1051" s="55" t="s">
        <v>1883</v>
      </c>
      <c r="E1051" s="55" t="s">
        <v>2919</v>
      </c>
      <c r="F1051" s="55" t="s">
        <v>2920</v>
      </c>
      <c r="G1051" s="55">
        <v>34.0</v>
      </c>
      <c r="H1051" s="55" t="s">
        <v>85</v>
      </c>
      <c r="I1051" s="55" t="s">
        <v>112</v>
      </c>
      <c r="J1051" s="55" t="s">
        <v>113</v>
      </c>
      <c r="K1051" s="55" t="s">
        <v>2905</v>
      </c>
      <c r="L1051" s="55" t="s">
        <v>13</v>
      </c>
      <c r="M1051" s="55" t="s">
        <v>89</v>
      </c>
      <c r="N1051" s="55" t="s">
        <v>90</v>
      </c>
      <c r="O1051" s="55" t="s">
        <v>1883</v>
      </c>
      <c r="P1051" s="55" t="s">
        <v>91</v>
      </c>
      <c r="Q1051" s="55" t="s">
        <v>4</v>
      </c>
      <c r="R1051" s="55" t="s">
        <v>1883</v>
      </c>
      <c r="S1051" s="55" t="s">
        <v>6</v>
      </c>
      <c r="T1051" s="55" t="s">
        <v>1883</v>
      </c>
      <c r="U1051" s="55" t="s">
        <v>1883</v>
      </c>
      <c r="V1051" s="55" t="s">
        <v>1883</v>
      </c>
      <c r="W1051" s="55" t="s">
        <v>1883</v>
      </c>
      <c r="X1051" s="57" t="str">
        <f t="shared" si="781"/>
        <v>--1044-14-05</v>
      </c>
      <c r="Y1051" s="58"/>
      <c r="Z1051" s="58"/>
      <c r="AA1051" s="58"/>
      <c r="AB1051" s="58"/>
      <c r="AC1051" s="58"/>
      <c r="AD1051" s="57"/>
      <c r="AE1051" s="57"/>
      <c r="AF1051" s="57"/>
      <c r="AG1051" s="59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  <c r="AR1051" s="15"/>
      <c r="AS1051" s="15"/>
      <c r="AT1051" s="15"/>
      <c r="AU1051" s="15"/>
    </row>
    <row r="1052" ht="24.0" customHeight="1">
      <c r="A1052" s="85">
        <v>48.0</v>
      </c>
      <c r="B1052" s="54" t="s">
        <v>2921</v>
      </c>
      <c r="C1052" s="55" t="s">
        <v>2777</v>
      </c>
      <c r="D1052" s="55" t="s">
        <v>1883</v>
      </c>
      <c r="E1052" s="55" t="s">
        <v>2922</v>
      </c>
      <c r="F1052" s="55" t="s">
        <v>2923</v>
      </c>
      <c r="G1052" s="55">
        <v>34.0</v>
      </c>
      <c r="H1052" s="55" t="s">
        <v>85</v>
      </c>
      <c r="I1052" s="55" t="s">
        <v>86</v>
      </c>
      <c r="J1052" s="55" t="s">
        <v>87</v>
      </c>
      <c r="K1052" s="55" t="s">
        <v>2924</v>
      </c>
      <c r="L1052" s="55" t="s">
        <v>34</v>
      </c>
      <c r="M1052" s="55" t="s">
        <v>89</v>
      </c>
      <c r="N1052" s="55" t="s">
        <v>90</v>
      </c>
      <c r="O1052" s="55" t="s">
        <v>1883</v>
      </c>
      <c r="P1052" s="55" t="s">
        <v>91</v>
      </c>
      <c r="Q1052" s="55" t="s">
        <v>16</v>
      </c>
      <c r="R1052" s="55" t="s">
        <v>1883</v>
      </c>
      <c r="S1052" s="55" t="s">
        <v>1883</v>
      </c>
      <c r="T1052" s="55" t="s">
        <v>1883</v>
      </c>
      <c r="U1052" s="55" t="s">
        <v>1883</v>
      </c>
      <c r="V1052" s="55" t="s">
        <v>1883</v>
      </c>
      <c r="W1052" s="55" t="s">
        <v>1883</v>
      </c>
      <c r="X1052" s="57" t="str">
        <f t="shared" si="781"/>
        <v>--1045-14-05</v>
      </c>
      <c r="Y1052" s="58"/>
      <c r="Z1052" s="58"/>
      <c r="AA1052" s="58"/>
      <c r="AB1052" s="58"/>
      <c r="AC1052" s="58"/>
      <c r="AD1052" s="57"/>
      <c r="AE1052" s="57"/>
      <c r="AF1052" s="57"/>
      <c r="AG1052" s="59"/>
      <c r="AH1052" s="15"/>
      <c r="AI1052" s="15"/>
      <c r="AJ1052" s="15"/>
      <c r="AK1052" s="15"/>
      <c r="AL1052" s="15"/>
      <c r="AM1052" s="15"/>
      <c r="AN1052" s="15"/>
      <c r="AO1052" s="15"/>
      <c r="AP1052" s="15"/>
      <c r="AQ1052" s="15"/>
      <c r="AR1052" s="15"/>
      <c r="AS1052" s="15"/>
      <c r="AT1052" s="15"/>
      <c r="AU1052" s="15"/>
    </row>
    <row r="1053" ht="24.0" customHeight="1">
      <c r="A1053" s="85">
        <v>49.0</v>
      </c>
      <c r="B1053" s="54" t="s">
        <v>2925</v>
      </c>
      <c r="C1053" s="55" t="s">
        <v>2777</v>
      </c>
      <c r="D1053" s="55" t="s">
        <v>1883</v>
      </c>
      <c r="E1053" s="55" t="s">
        <v>2926</v>
      </c>
      <c r="F1053" s="55" t="s">
        <v>2927</v>
      </c>
      <c r="G1053" s="55">
        <v>45.0</v>
      </c>
      <c r="H1053" s="55" t="s">
        <v>85</v>
      </c>
      <c r="I1053" s="55" t="s">
        <v>112</v>
      </c>
      <c r="J1053" s="55" t="s">
        <v>113</v>
      </c>
      <c r="K1053" s="55" t="s">
        <v>2928</v>
      </c>
      <c r="L1053" s="55" t="s">
        <v>13</v>
      </c>
      <c r="M1053" s="55" t="s">
        <v>89</v>
      </c>
      <c r="N1053" s="55" t="s">
        <v>90</v>
      </c>
      <c r="O1053" s="55" t="s">
        <v>1883</v>
      </c>
      <c r="P1053" s="55" t="s">
        <v>91</v>
      </c>
      <c r="Q1053" s="55" t="s">
        <v>4</v>
      </c>
      <c r="R1053" s="55" t="s">
        <v>1883</v>
      </c>
      <c r="S1053" s="55" t="s">
        <v>1883</v>
      </c>
      <c r="T1053" s="55" t="s">
        <v>1883</v>
      </c>
      <c r="U1053" s="55" t="s">
        <v>1883</v>
      </c>
      <c r="V1053" s="55" t="s">
        <v>1883</v>
      </c>
      <c r="W1053" s="55" t="s">
        <v>1883</v>
      </c>
      <c r="X1053" s="57" t="str">
        <f t="shared" si="781"/>
        <v>--1046-14-05</v>
      </c>
      <c r="Y1053" s="58"/>
      <c r="Z1053" s="58"/>
      <c r="AA1053" s="58"/>
      <c r="AB1053" s="58"/>
      <c r="AC1053" s="58"/>
      <c r="AD1053" s="57"/>
      <c r="AE1053" s="57"/>
      <c r="AF1053" s="57"/>
      <c r="AG1053" s="59"/>
      <c r="AH1053" s="15"/>
      <c r="AI1053" s="15"/>
      <c r="AJ1053" s="15"/>
      <c r="AK1053" s="15"/>
      <c r="AL1053" s="15"/>
      <c r="AM1053" s="15"/>
      <c r="AN1053" s="15"/>
      <c r="AO1053" s="15"/>
      <c r="AP1053" s="15"/>
      <c r="AQ1053" s="15"/>
      <c r="AR1053" s="15"/>
      <c r="AS1053" s="15"/>
      <c r="AT1053" s="15"/>
      <c r="AU1053" s="15"/>
    </row>
    <row r="1054" ht="24.0" customHeight="1">
      <c r="A1054" s="85">
        <v>50.0</v>
      </c>
      <c r="B1054" s="54" t="s">
        <v>2929</v>
      </c>
      <c r="C1054" s="55" t="s">
        <v>2777</v>
      </c>
      <c r="D1054" s="55" t="s">
        <v>1883</v>
      </c>
      <c r="E1054" s="55" t="s">
        <v>2930</v>
      </c>
      <c r="F1054" s="55" t="s">
        <v>2931</v>
      </c>
      <c r="G1054" s="55">
        <v>22.0</v>
      </c>
      <c r="H1054" s="55" t="s">
        <v>85</v>
      </c>
      <c r="I1054" s="55" t="s">
        <v>86</v>
      </c>
      <c r="J1054" s="55" t="s">
        <v>87</v>
      </c>
      <c r="K1054" s="55" t="s">
        <v>2932</v>
      </c>
      <c r="L1054" s="55" t="s">
        <v>13</v>
      </c>
      <c r="M1054" s="55" t="s">
        <v>133</v>
      </c>
      <c r="N1054" s="55" t="s">
        <v>90</v>
      </c>
      <c r="O1054" s="55" t="s">
        <v>1883</v>
      </c>
      <c r="P1054" s="55" t="s">
        <v>91</v>
      </c>
      <c r="Q1054" s="55" t="s">
        <v>1883</v>
      </c>
      <c r="R1054" s="55" t="s">
        <v>5</v>
      </c>
      <c r="S1054" s="55" t="s">
        <v>1883</v>
      </c>
      <c r="T1054" s="55" t="s">
        <v>1883</v>
      </c>
      <c r="U1054" s="55" t="s">
        <v>7</v>
      </c>
      <c r="V1054" s="55" t="s">
        <v>1883</v>
      </c>
      <c r="W1054" s="55" t="s">
        <v>1883</v>
      </c>
      <c r="X1054" s="57" t="str">
        <f t="shared" si="781"/>
        <v>--1047-14-05</v>
      </c>
      <c r="Y1054" s="58"/>
      <c r="Z1054" s="58"/>
      <c r="AA1054" s="58"/>
      <c r="AB1054" s="58"/>
      <c r="AC1054" s="58"/>
      <c r="AD1054" s="57"/>
      <c r="AE1054" s="57"/>
      <c r="AF1054" s="57"/>
      <c r="AG1054" s="59"/>
      <c r="AH1054" s="15"/>
      <c r="AI1054" s="15"/>
      <c r="AJ1054" s="15"/>
      <c r="AK1054" s="15"/>
      <c r="AL1054" s="15"/>
      <c r="AM1054" s="15"/>
      <c r="AN1054" s="15"/>
      <c r="AO1054" s="15"/>
      <c r="AP1054" s="15"/>
      <c r="AQ1054" s="15"/>
      <c r="AR1054" s="15"/>
      <c r="AS1054" s="15"/>
      <c r="AT1054" s="15"/>
      <c r="AU1054" s="15"/>
    </row>
    <row r="1055" ht="24.0" customHeight="1">
      <c r="A1055" s="85">
        <v>51.0</v>
      </c>
      <c r="B1055" s="54" t="s">
        <v>2933</v>
      </c>
      <c r="C1055" s="55" t="s">
        <v>2777</v>
      </c>
      <c r="D1055" s="55" t="s">
        <v>1883</v>
      </c>
      <c r="E1055" s="55" t="s">
        <v>2934</v>
      </c>
      <c r="F1055" s="55" t="s">
        <v>2935</v>
      </c>
      <c r="G1055" s="55">
        <v>3.0</v>
      </c>
      <c r="H1055" s="55" t="s">
        <v>119</v>
      </c>
      <c r="I1055" s="55" t="s">
        <v>86</v>
      </c>
      <c r="J1055" s="55" t="s">
        <v>87</v>
      </c>
      <c r="K1055" s="55" t="s">
        <v>1883</v>
      </c>
      <c r="L1055" s="55" t="s">
        <v>34</v>
      </c>
      <c r="M1055" s="55" t="s">
        <v>133</v>
      </c>
      <c r="N1055" s="55" t="s">
        <v>90</v>
      </c>
      <c r="O1055" s="55" t="s">
        <v>1883</v>
      </c>
      <c r="P1055" s="55" t="s">
        <v>91</v>
      </c>
      <c r="Q1055" s="55" t="s">
        <v>16</v>
      </c>
      <c r="R1055" s="55" t="s">
        <v>1883</v>
      </c>
      <c r="S1055" s="55" t="s">
        <v>1883</v>
      </c>
      <c r="T1055" s="55" t="s">
        <v>1883</v>
      </c>
      <c r="U1055" s="55" t="s">
        <v>1883</v>
      </c>
      <c r="V1055" s="55" t="s">
        <v>1883</v>
      </c>
      <c r="W1055" s="55" t="s">
        <v>1883</v>
      </c>
      <c r="X1055" s="57" t="str">
        <f t="shared" si="781"/>
        <v>--1048-14-05</v>
      </c>
      <c r="Y1055" s="58"/>
      <c r="Z1055" s="58"/>
      <c r="AA1055" s="58"/>
      <c r="AB1055" s="58"/>
      <c r="AC1055" s="58"/>
      <c r="AD1055" s="57"/>
      <c r="AE1055" s="57"/>
      <c r="AF1055" s="57"/>
      <c r="AG1055" s="59"/>
      <c r="AH1055" s="15"/>
      <c r="AI1055" s="15"/>
      <c r="AJ1055" s="15"/>
      <c r="AK1055" s="15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</row>
    <row r="1056" ht="24.0" customHeight="1">
      <c r="A1056" s="85">
        <v>52.0</v>
      </c>
      <c r="B1056" s="54" t="s">
        <v>2936</v>
      </c>
      <c r="C1056" s="55" t="s">
        <v>2777</v>
      </c>
      <c r="D1056" s="55" t="s">
        <v>1883</v>
      </c>
      <c r="E1056" s="55" t="s">
        <v>2937</v>
      </c>
      <c r="F1056" s="55" t="s">
        <v>2938</v>
      </c>
      <c r="G1056" s="55">
        <v>29.0</v>
      </c>
      <c r="H1056" s="55" t="s">
        <v>85</v>
      </c>
      <c r="I1056" s="55" t="s">
        <v>86</v>
      </c>
      <c r="J1056" s="55" t="s">
        <v>87</v>
      </c>
      <c r="K1056" s="55" t="s">
        <v>2939</v>
      </c>
      <c r="L1056" s="55" t="s">
        <v>34</v>
      </c>
      <c r="M1056" s="55" t="s">
        <v>89</v>
      </c>
      <c r="N1056" s="55" t="s">
        <v>90</v>
      </c>
      <c r="O1056" s="55" t="s">
        <v>1883</v>
      </c>
      <c r="P1056" s="55" t="s">
        <v>91</v>
      </c>
      <c r="Q1056" s="55" t="s">
        <v>1883</v>
      </c>
      <c r="R1056" s="55" t="s">
        <v>36</v>
      </c>
      <c r="S1056" s="55" t="s">
        <v>1883</v>
      </c>
      <c r="T1056" s="55" t="s">
        <v>1883</v>
      </c>
      <c r="U1056" s="55" t="s">
        <v>1883</v>
      </c>
      <c r="V1056" s="55" t="s">
        <v>1883</v>
      </c>
      <c r="W1056" s="55" t="s">
        <v>1883</v>
      </c>
      <c r="X1056" s="57" t="str">
        <f t="shared" si="781"/>
        <v>--1049-14-05</v>
      </c>
      <c r="Y1056" s="58"/>
      <c r="Z1056" s="58"/>
      <c r="AA1056" s="58"/>
      <c r="AB1056" s="58"/>
      <c r="AC1056" s="58"/>
      <c r="AD1056" s="57"/>
      <c r="AE1056" s="57"/>
      <c r="AF1056" s="57"/>
      <c r="AG1056" s="59"/>
      <c r="AH1056" s="15"/>
      <c r="AI1056" s="15"/>
      <c r="AJ1056" s="15"/>
      <c r="AK1056" s="15"/>
      <c r="AL1056" s="15"/>
      <c r="AM1056" s="15"/>
      <c r="AN1056" s="15"/>
      <c r="AO1056" s="15"/>
      <c r="AP1056" s="15"/>
      <c r="AQ1056" s="15"/>
      <c r="AR1056" s="15"/>
      <c r="AS1056" s="15"/>
      <c r="AT1056" s="15"/>
      <c r="AU1056" s="15"/>
    </row>
    <row r="1057" ht="24.0" customHeight="1">
      <c r="A1057" s="85">
        <v>53.0</v>
      </c>
      <c r="B1057" s="54" t="s">
        <v>2940</v>
      </c>
      <c r="C1057" s="55" t="s">
        <v>2777</v>
      </c>
      <c r="D1057" s="55" t="s">
        <v>1883</v>
      </c>
      <c r="E1057" s="55" t="s">
        <v>2941</v>
      </c>
      <c r="F1057" s="55" t="s">
        <v>2942</v>
      </c>
      <c r="G1057" s="55">
        <v>32.0</v>
      </c>
      <c r="H1057" s="55" t="s">
        <v>85</v>
      </c>
      <c r="I1057" s="55" t="s">
        <v>86</v>
      </c>
      <c r="J1057" s="55" t="s">
        <v>87</v>
      </c>
      <c r="K1057" s="55" t="s">
        <v>2943</v>
      </c>
      <c r="L1057" s="55" t="s">
        <v>34</v>
      </c>
      <c r="M1057" s="55" t="s">
        <v>89</v>
      </c>
      <c r="N1057" s="55" t="s">
        <v>90</v>
      </c>
      <c r="O1057" s="55" t="s">
        <v>1883</v>
      </c>
      <c r="P1057" s="55" t="s">
        <v>91</v>
      </c>
      <c r="Q1057" s="55" t="s">
        <v>16</v>
      </c>
      <c r="R1057" s="55" t="s">
        <v>1883</v>
      </c>
      <c r="S1057" s="55" t="s">
        <v>1883</v>
      </c>
      <c r="T1057" s="55" t="s">
        <v>1883</v>
      </c>
      <c r="U1057" s="55" t="s">
        <v>1883</v>
      </c>
      <c r="V1057" s="55" t="s">
        <v>1883</v>
      </c>
      <c r="W1057" s="55" t="s">
        <v>1883</v>
      </c>
      <c r="X1057" s="57" t="str">
        <f t="shared" si="781"/>
        <v>--1050-14-05</v>
      </c>
      <c r="Y1057" s="58"/>
      <c r="Z1057" s="58"/>
      <c r="AA1057" s="58"/>
      <c r="AB1057" s="58"/>
      <c r="AC1057" s="58"/>
      <c r="AD1057" s="57"/>
      <c r="AE1057" s="57"/>
      <c r="AF1057" s="57"/>
      <c r="AG1057" s="59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</row>
    <row r="1058" ht="24.0" customHeight="1">
      <c r="A1058" s="85">
        <v>54.0</v>
      </c>
      <c r="B1058" s="54" t="s">
        <v>2944</v>
      </c>
      <c r="C1058" s="55" t="s">
        <v>2777</v>
      </c>
      <c r="D1058" s="55" t="s">
        <v>1883</v>
      </c>
      <c r="E1058" s="55" t="s">
        <v>2945</v>
      </c>
      <c r="F1058" s="55" t="s">
        <v>2946</v>
      </c>
      <c r="G1058" s="55">
        <v>25.0</v>
      </c>
      <c r="H1058" s="55" t="s">
        <v>85</v>
      </c>
      <c r="I1058" s="55" t="s">
        <v>86</v>
      </c>
      <c r="J1058" s="55" t="s">
        <v>87</v>
      </c>
      <c r="K1058" s="55" t="s">
        <v>2947</v>
      </c>
      <c r="L1058" s="55" t="s">
        <v>1883</v>
      </c>
      <c r="M1058" s="55" t="s">
        <v>89</v>
      </c>
      <c r="N1058" s="55" t="s">
        <v>90</v>
      </c>
      <c r="O1058" s="55" t="s">
        <v>1883</v>
      </c>
      <c r="P1058" s="55" t="s">
        <v>91</v>
      </c>
      <c r="Q1058" s="55" t="s">
        <v>1883</v>
      </c>
      <c r="R1058" s="55" t="s">
        <v>27</v>
      </c>
      <c r="S1058" s="55" t="s">
        <v>1883</v>
      </c>
      <c r="T1058" s="55" t="s">
        <v>1883</v>
      </c>
      <c r="U1058" s="55" t="s">
        <v>1883</v>
      </c>
      <c r="V1058" s="55" t="s">
        <v>1883</v>
      </c>
      <c r="W1058" s="55" t="s">
        <v>1883</v>
      </c>
      <c r="X1058" s="57" t="str">
        <f t="shared" si="781"/>
        <v>--1051-14-05</v>
      </c>
      <c r="Y1058" s="58"/>
      <c r="Z1058" s="58"/>
      <c r="AA1058" s="58"/>
      <c r="AB1058" s="58"/>
      <c r="AC1058" s="58"/>
      <c r="AD1058" s="57"/>
      <c r="AE1058" s="57"/>
      <c r="AF1058" s="57"/>
      <c r="AG1058" s="59"/>
      <c r="AH1058" s="15"/>
      <c r="AI1058" s="15"/>
      <c r="AJ1058" s="15"/>
      <c r="AK1058" s="15"/>
      <c r="AL1058" s="15"/>
      <c r="AM1058" s="15"/>
      <c r="AN1058" s="15"/>
      <c r="AO1058" s="15"/>
      <c r="AP1058" s="15"/>
      <c r="AQ1058" s="15"/>
      <c r="AR1058" s="15"/>
      <c r="AS1058" s="15"/>
      <c r="AT1058" s="15"/>
      <c r="AU1058" s="15"/>
    </row>
    <row r="1059" ht="24.0" customHeight="1">
      <c r="A1059" s="85">
        <v>55.0</v>
      </c>
      <c r="B1059" s="54" t="s">
        <v>2948</v>
      </c>
      <c r="C1059" s="55" t="s">
        <v>2777</v>
      </c>
      <c r="D1059" s="55" t="s">
        <v>1883</v>
      </c>
      <c r="E1059" s="55" t="s">
        <v>2949</v>
      </c>
      <c r="F1059" s="55" t="s">
        <v>2950</v>
      </c>
      <c r="G1059" s="55">
        <v>43.0</v>
      </c>
      <c r="H1059" s="55" t="s">
        <v>85</v>
      </c>
      <c r="I1059" s="55" t="s">
        <v>86</v>
      </c>
      <c r="J1059" s="55" t="s">
        <v>87</v>
      </c>
      <c r="K1059" s="55" t="s">
        <v>2951</v>
      </c>
      <c r="L1059" s="55" t="s">
        <v>24</v>
      </c>
      <c r="M1059" s="55" t="s">
        <v>89</v>
      </c>
      <c r="N1059" s="55" t="s">
        <v>90</v>
      </c>
      <c r="O1059" s="55" t="s">
        <v>1883</v>
      </c>
      <c r="P1059" s="55" t="s">
        <v>91</v>
      </c>
      <c r="Q1059" s="55" t="s">
        <v>16</v>
      </c>
      <c r="R1059" s="55" t="s">
        <v>1883</v>
      </c>
      <c r="S1059" s="55" t="s">
        <v>1883</v>
      </c>
      <c r="T1059" s="55" t="s">
        <v>1883</v>
      </c>
      <c r="U1059" s="55" t="s">
        <v>1883</v>
      </c>
      <c r="V1059" s="55" t="s">
        <v>1883</v>
      </c>
      <c r="W1059" s="55" t="s">
        <v>1883</v>
      </c>
      <c r="X1059" s="57" t="str">
        <f t="shared" si="781"/>
        <v>--1052-14-05</v>
      </c>
      <c r="Y1059" s="58"/>
      <c r="Z1059" s="58"/>
      <c r="AA1059" s="58"/>
      <c r="AB1059" s="58"/>
      <c r="AC1059" s="58"/>
      <c r="AD1059" s="57"/>
      <c r="AE1059" s="57"/>
      <c r="AF1059" s="57"/>
      <c r="AG1059" s="59"/>
      <c r="AH1059" s="15"/>
      <c r="AI1059" s="15"/>
      <c r="AJ1059" s="15"/>
      <c r="AK1059" s="15"/>
      <c r="AL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</row>
    <row r="1060" ht="24.0" customHeight="1">
      <c r="A1060" s="85">
        <v>56.0</v>
      </c>
      <c r="B1060" s="54" t="s">
        <v>2952</v>
      </c>
      <c r="C1060" s="55" t="s">
        <v>2777</v>
      </c>
      <c r="D1060" s="55" t="s">
        <v>1883</v>
      </c>
      <c r="E1060" s="55" t="s">
        <v>2953</v>
      </c>
      <c r="F1060" s="55" t="s">
        <v>2954</v>
      </c>
      <c r="G1060" s="55">
        <v>33.0</v>
      </c>
      <c r="H1060" s="55" t="s">
        <v>85</v>
      </c>
      <c r="I1060" s="55" t="s">
        <v>112</v>
      </c>
      <c r="J1060" s="55" t="s">
        <v>113</v>
      </c>
      <c r="K1060" s="55" t="s">
        <v>2955</v>
      </c>
      <c r="L1060" s="55" t="s">
        <v>24</v>
      </c>
      <c r="M1060" s="55" t="s">
        <v>89</v>
      </c>
      <c r="N1060" s="55" t="s">
        <v>90</v>
      </c>
      <c r="O1060" s="55" t="s">
        <v>1883</v>
      </c>
      <c r="P1060" s="55" t="s">
        <v>91</v>
      </c>
      <c r="Q1060" s="55" t="s">
        <v>4</v>
      </c>
      <c r="R1060" s="55" t="s">
        <v>1883</v>
      </c>
      <c r="S1060" s="55" t="s">
        <v>1883</v>
      </c>
      <c r="T1060" s="55" t="s">
        <v>1883</v>
      </c>
      <c r="U1060" s="55" t="s">
        <v>1883</v>
      </c>
      <c r="V1060" s="55" t="s">
        <v>1883</v>
      </c>
      <c r="W1060" s="55" t="s">
        <v>1883</v>
      </c>
      <c r="X1060" s="57" t="str">
        <f t="shared" si="781"/>
        <v>--1053-14-05</v>
      </c>
      <c r="Y1060" s="58"/>
      <c r="Z1060" s="58"/>
      <c r="AA1060" s="58"/>
      <c r="AB1060" s="58"/>
      <c r="AC1060" s="58"/>
      <c r="AD1060" s="57"/>
      <c r="AE1060" s="57"/>
      <c r="AF1060" s="57"/>
      <c r="AG1060" s="59"/>
      <c r="AH1060" s="15"/>
      <c r="AI1060" s="15"/>
      <c r="AJ1060" s="15"/>
      <c r="AK1060" s="15"/>
      <c r="AL1060" s="15"/>
      <c r="AM1060" s="15"/>
      <c r="AN1060" s="15"/>
      <c r="AO1060" s="15"/>
      <c r="AP1060" s="15"/>
      <c r="AQ1060" s="15"/>
      <c r="AR1060" s="15"/>
      <c r="AS1060" s="15"/>
      <c r="AT1060" s="15"/>
      <c r="AU1060" s="15"/>
    </row>
    <row r="1061" ht="24.0" customHeight="1">
      <c r="A1061" s="85">
        <v>57.0</v>
      </c>
      <c r="B1061" s="54" t="s">
        <v>2956</v>
      </c>
      <c r="C1061" s="55" t="s">
        <v>2777</v>
      </c>
      <c r="D1061" s="55" t="s">
        <v>1883</v>
      </c>
      <c r="E1061" s="55" t="s">
        <v>2957</v>
      </c>
      <c r="F1061" s="55" t="s">
        <v>2958</v>
      </c>
      <c r="G1061" s="55">
        <v>20.0</v>
      </c>
      <c r="H1061" s="55" t="s">
        <v>85</v>
      </c>
      <c r="I1061" s="55" t="s">
        <v>112</v>
      </c>
      <c r="J1061" s="55" t="s">
        <v>113</v>
      </c>
      <c r="K1061" s="55" t="s">
        <v>2959</v>
      </c>
      <c r="L1061" s="55" t="s">
        <v>34</v>
      </c>
      <c r="M1061" s="55" t="s">
        <v>133</v>
      </c>
      <c r="N1061" s="55" t="s">
        <v>90</v>
      </c>
      <c r="O1061" s="55" t="s">
        <v>1883</v>
      </c>
      <c r="P1061" s="55" t="s">
        <v>91</v>
      </c>
      <c r="Q1061" s="55" t="s">
        <v>16</v>
      </c>
      <c r="R1061" s="55" t="s">
        <v>1883</v>
      </c>
      <c r="S1061" s="55" t="s">
        <v>1883</v>
      </c>
      <c r="T1061" s="55" t="s">
        <v>1883</v>
      </c>
      <c r="U1061" s="55" t="s">
        <v>1883</v>
      </c>
      <c r="V1061" s="55" t="s">
        <v>1883</v>
      </c>
      <c r="W1061" s="55" t="s">
        <v>1883</v>
      </c>
      <c r="X1061" s="57" t="str">
        <f t="shared" si="781"/>
        <v>--1054-14-05</v>
      </c>
      <c r="Y1061" s="58"/>
      <c r="Z1061" s="58"/>
      <c r="AA1061" s="58"/>
      <c r="AB1061" s="58"/>
      <c r="AC1061" s="58"/>
      <c r="AD1061" s="57"/>
      <c r="AE1061" s="57"/>
      <c r="AF1061" s="57"/>
      <c r="AG1061" s="59"/>
      <c r="AH1061" s="15"/>
      <c r="AI1061" s="15"/>
      <c r="AJ1061" s="15"/>
      <c r="AK1061" s="15"/>
      <c r="AL1061" s="15"/>
      <c r="AM1061" s="15"/>
      <c r="AN1061" s="15"/>
      <c r="AO1061" s="15"/>
      <c r="AP1061" s="15"/>
      <c r="AQ1061" s="15"/>
      <c r="AR1061" s="15"/>
      <c r="AS1061" s="15"/>
      <c r="AT1061" s="15"/>
      <c r="AU1061" s="15"/>
    </row>
    <row r="1062" ht="24.0" customHeight="1">
      <c r="A1062" s="85">
        <v>58.0</v>
      </c>
      <c r="B1062" s="54" t="s">
        <v>2960</v>
      </c>
      <c r="C1062" s="55" t="s">
        <v>2777</v>
      </c>
      <c r="D1062" s="55" t="s">
        <v>1883</v>
      </c>
      <c r="E1062" s="55" t="s">
        <v>2961</v>
      </c>
      <c r="F1062" s="55" t="s">
        <v>2962</v>
      </c>
      <c r="G1062" s="55">
        <v>22.0</v>
      </c>
      <c r="H1062" s="55" t="s">
        <v>85</v>
      </c>
      <c r="I1062" s="55" t="s">
        <v>86</v>
      </c>
      <c r="J1062" s="55" t="s">
        <v>87</v>
      </c>
      <c r="K1062" s="55" t="s">
        <v>2959</v>
      </c>
      <c r="L1062" s="55" t="s">
        <v>34</v>
      </c>
      <c r="M1062" s="55" t="s">
        <v>133</v>
      </c>
      <c r="N1062" s="55" t="s">
        <v>90</v>
      </c>
      <c r="O1062" s="55" t="s">
        <v>1883</v>
      </c>
      <c r="P1062" s="55" t="s">
        <v>91</v>
      </c>
      <c r="Q1062" s="55" t="s">
        <v>16</v>
      </c>
      <c r="R1062" s="55" t="s">
        <v>1883</v>
      </c>
      <c r="S1062" s="55" t="s">
        <v>1883</v>
      </c>
      <c r="T1062" s="55" t="s">
        <v>1883</v>
      </c>
      <c r="U1062" s="55" t="s">
        <v>1883</v>
      </c>
      <c r="V1062" s="55" t="s">
        <v>1883</v>
      </c>
      <c r="W1062" s="55" t="s">
        <v>1883</v>
      </c>
      <c r="X1062" s="57" t="str">
        <f t="shared" si="781"/>
        <v>--1055-14-05</v>
      </c>
      <c r="Y1062" s="58"/>
      <c r="Z1062" s="58"/>
      <c r="AA1062" s="58"/>
      <c r="AB1062" s="58"/>
      <c r="AC1062" s="58"/>
      <c r="AD1062" s="57"/>
      <c r="AE1062" s="57"/>
      <c r="AF1062" s="57"/>
      <c r="AG1062" s="59"/>
      <c r="AH1062" s="15"/>
      <c r="AI1062" s="15"/>
      <c r="AJ1062" s="15"/>
      <c r="AK1062" s="15"/>
      <c r="AL1062" s="15"/>
      <c r="AM1062" s="15"/>
      <c r="AN1062" s="15"/>
      <c r="AO1062" s="15"/>
      <c r="AP1062" s="15"/>
      <c r="AQ1062" s="15"/>
      <c r="AR1062" s="15"/>
      <c r="AS1062" s="15"/>
      <c r="AT1062" s="15"/>
      <c r="AU1062" s="15"/>
    </row>
    <row r="1063" ht="24.0" customHeight="1">
      <c r="A1063" s="85">
        <v>59.0</v>
      </c>
      <c r="B1063" s="54" t="s">
        <v>2963</v>
      </c>
      <c r="C1063" s="55" t="s">
        <v>2777</v>
      </c>
      <c r="D1063" s="55" t="s">
        <v>1883</v>
      </c>
      <c r="E1063" s="55" t="s">
        <v>2964</v>
      </c>
      <c r="F1063" s="55" t="s">
        <v>2965</v>
      </c>
      <c r="G1063" s="55">
        <v>15.0</v>
      </c>
      <c r="H1063" s="55" t="s">
        <v>111</v>
      </c>
      <c r="I1063" s="55" t="s">
        <v>86</v>
      </c>
      <c r="J1063" s="55" t="s">
        <v>87</v>
      </c>
      <c r="K1063" s="55" t="s">
        <v>2966</v>
      </c>
      <c r="L1063" s="55" t="s">
        <v>24</v>
      </c>
      <c r="M1063" s="55" t="s">
        <v>133</v>
      </c>
      <c r="N1063" s="55" t="s">
        <v>90</v>
      </c>
      <c r="O1063" s="55" t="s">
        <v>1883</v>
      </c>
      <c r="P1063" s="55" t="s">
        <v>91</v>
      </c>
      <c r="Q1063" s="55" t="s">
        <v>16</v>
      </c>
      <c r="R1063" s="55" t="s">
        <v>1883</v>
      </c>
      <c r="S1063" s="55" t="s">
        <v>1883</v>
      </c>
      <c r="T1063" s="55" t="s">
        <v>1883</v>
      </c>
      <c r="U1063" s="55" t="s">
        <v>1883</v>
      </c>
      <c r="V1063" s="55" t="s">
        <v>1883</v>
      </c>
      <c r="W1063" s="55" t="s">
        <v>1883</v>
      </c>
      <c r="X1063" s="57" t="str">
        <f t="shared" si="781"/>
        <v>--1056-14-05</v>
      </c>
      <c r="Y1063" s="58"/>
      <c r="Z1063" s="58"/>
      <c r="AA1063" s="58"/>
      <c r="AB1063" s="58"/>
      <c r="AC1063" s="58"/>
      <c r="AD1063" s="57"/>
      <c r="AE1063" s="57"/>
      <c r="AF1063" s="57"/>
      <c r="AG1063" s="59"/>
      <c r="AH1063" s="15"/>
      <c r="AI1063" s="15"/>
      <c r="AJ1063" s="15"/>
      <c r="AK1063" s="15"/>
      <c r="AL1063" s="15"/>
      <c r="AM1063" s="15"/>
      <c r="AN1063" s="15"/>
      <c r="AO1063" s="15"/>
      <c r="AP1063" s="15"/>
      <c r="AQ1063" s="15"/>
      <c r="AR1063" s="15"/>
      <c r="AS1063" s="15"/>
      <c r="AT1063" s="15"/>
      <c r="AU1063" s="15"/>
    </row>
    <row r="1064" ht="24.0" customHeight="1">
      <c r="A1064" s="85">
        <v>60.0</v>
      </c>
      <c r="B1064" s="54" t="s">
        <v>2967</v>
      </c>
      <c r="C1064" s="55" t="s">
        <v>2777</v>
      </c>
      <c r="D1064" s="55" t="s">
        <v>1883</v>
      </c>
      <c r="E1064" s="55" t="s">
        <v>2968</v>
      </c>
      <c r="F1064" s="55" t="s">
        <v>2916</v>
      </c>
      <c r="G1064" s="55">
        <v>7.0</v>
      </c>
      <c r="H1064" s="55" t="s">
        <v>111</v>
      </c>
      <c r="I1064" s="55" t="s">
        <v>86</v>
      </c>
      <c r="J1064" s="55" t="s">
        <v>87</v>
      </c>
      <c r="K1064" s="55" t="s">
        <v>2969</v>
      </c>
      <c r="L1064" s="55" t="s">
        <v>34</v>
      </c>
      <c r="M1064" s="55" t="s">
        <v>133</v>
      </c>
      <c r="N1064" s="55" t="s">
        <v>90</v>
      </c>
      <c r="O1064" s="55" t="s">
        <v>1883</v>
      </c>
      <c r="P1064" s="55" t="s">
        <v>91</v>
      </c>
      <c r="Q1064" s="55" t="s">
        <v>16</v>
      </c>
      <c r="R1064" s="55" t="s">
        <v>1883</v>
      </c>
      <c r="S1064" s="55" t="s">
        <v>1883</v>
      </c>
      <c r="T1064" s="55" t="s">
        <v>1883</v>
      </c>
      <c r="U1064" s="55" t="s">
        <v>1883</v>
      </c>
      <c r="V1064" s="55" t="s">
        <v>1883</v>
      </c>
      <c r="W1064" s="55" t="s">
        <v>1883</v>
      </c>
      <c r="X1064" s="57" t="str">
        <f t="shared" si="781"/>
        <v>--1057-14-05</v>
      </c>
      <c r="Y1064" s="58"/>
      <c r="Z1064" s="58"/>
      <c r="AA1064" s="58"/>
      <c r="AB1064" s="58"/>
      <c r="AC1064" s="58"/>
      <c r="AD1064" s="57"/>
      <c r="AE1064" s="57"/>
      <c r="AF1064" s="57"/>
      <c r="AG1064" s="59"/>
      <c r="AH1064" s="15"/>
      <c r="AI1064" s="15"/>
      <c r="AJ1064" s="15"/>
      <c r="AK1064" s="15"/>
      <c r="AL1064" s="15"/>
      <c r="AM1064" s="15"/>
      <c r="AN1064" s="15"/>
      <c r="AO1064" s="15"/>
      <c r="AP1064" s="15"/>
      <c r="AQ1064" s="15"/>
      <c r="AR1064" s="15"/>
      <c r="AS1064" s="15"/>
      <c r="AT1064" s="15"/>
      <c r="AU1064" s="15"/>
    </row>
    <row r="1065" ht="24.0" customHeight="1">
      <c r="A1065" s="85">
        <v>61.0</v>
      </c>
      <c r="B1065" s="54" t="s">
        <v>2970</v>
      </c>
      <c r="C1065" s="55" t="s">
        <v>2777</v>
      </c>
      <c r="D1065" s="55" t="s">
        <v>1883</v>
      </c>
      <c r="E1065" s="55" t="s">
        <v>2971</v>
      </c>
      <c r="F1065" s="55" t="s">
        <v>2972</v>
      </c>
      <c r="G1065" s="55">
        <v>4.0</v>
      </c>
      <c r="H1065" s="55" t="s">
        <v>119</v>
      </c>
      <c r="I1065" s="55" t="s">
        <v>86</v>
      </c>
      <c r="J1065" s="55" t="s">
        <v>87</v>
      </c>
      <c r="K1065" s="55" t="s">
        <v>2973</v>
      </c>
      <c r="L1065" s="55" t="s">
        <v>34</v>
      </c>
      <c r="M1065" s="55" t="s">
        <v>89</v>
      </c>
      <c r="N1065" s="55" t="s">
        <v>90</v>
      </c>
      <c r="O1065" s="55" t="s">
        <v>1883</v>
      </c>
      <c r="P1065" s="55" t="s">
        <v>91</v>
      </c>
      <c r="Q1065" s="55" t="s">
        <v>16</v>
      </c>
      <c r="R1065" s="55" t="s">
        <v>1883</v>
      </c>
      <c r="S1065" s="55" t="s">
        <v>1883</v>
      </c>
      <c r="T1065" s="55" t="s">
        <v>1883</v>
      </c>
      <c r="U1065" s="55" t="s">
        <v>1883</v>
      </c>
      <c r="V1065" s="55" t="s">
        <v>1883</v>
      </c>
      <c r="W1065" s="55" t="s">
        <v>1883</v>
      </c>
      <c r="X1065" s="57" t="str">
        <f t="shared" si="781"/>
        <v>--1058-14-05</v>
      </c>
      <c r="Y1065" s="58"/>
      <c r="Z1065" s="58"/>
      <c r="AA1065" s="58"/>
      <c r="AB1065" s="58"/>
      <c r="AC1065" s="58"/>
      <c r="AD1065" s="57"/>
      <c r="AE1065" s="57"/>
      <c r="AF1065" s="57"/>
      <c r="AG1065" s="59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  <c r="AR1065" s="15"/>
      <c r="AS1065" s="15"/>
      <c r="AT1065" s="15"/>
      <c r="AU1065" s="15"/>
    </row>
    <row r="1066" ht="24.0" customHeight="1">
      <c r="A1066" s="85">
        <v>62.0</v>
      </c>
      <c r="B1066" s="54" t="s">
        <v>2974</v>
      </c>
      <c r="C1066" s="55" t="s">
        <v>2777</v>
      </c>
      <c r="D1066" s="55" t="s">
        <v>1883</v>
      </c>
      <c r="E1066" s="55" t="s">
        <v>2975</v>
      </c>
      <c r="F1066" s="55" t="s">
        <v>2976</v>
      </c>
      <c r="G1066" s="55">
        <v>45.0</v>
      </c>
      <c r="H1066" s="55" t="s">
        <v>85</v>
      </c>
      <c r="I1066" s="55" t="s">
        <v>86</v>
      </c>
      <c r="J1066" s="55" t="s">
        <v>87</v>
      </c>
      <c r="K1066" s="55" t="s">
        <v>2977</v>
      </c>
      <c r="L1066" s="55" t="s">
        <v>24</v>
      </c>
      <c r="M1066" s="55" t="s">
        <v>89</v>
      </c>
      <c r="N1066" s="55" t="s">
        <v>90</v>
      </c>
      <c r="O1066" s="55" t="s">
        <v>1883</v>
      </c>
      <c r="P1066" s="55" t="s">
        <v>91</v>
      </c>
      <c r="Q1066" s="55" t="s">
        <v>16</v>
      </c>
      <c r="R1066" s="55" t="s">
        <v>1883</v>
      </c>
      <c r="S1066" s="55" t="s">
        <v>1883</v>
      </c>
      <c r="T1066" s="55" t="s">
        <v>1883</v>
      </c>
      <c r="U1066" s="55" t="s">
        <v>1883</v>
      </c>
      <c r="V1066" s="55" t="s">
        <v>1883</v>
      </c>
      <c r="W1066" s="55" t="s">
        <v>1883</v>
      </c>
      <c r="X1066" s="57" t="str">
        <f t="shared" si="781"/>
        <v>--1059-14-05</v>
      </c>
      <c r="Y1066" s="58"/>
      <c r="Z1066" s="58"/>
      <c r="AA1066" s="58"/>
      <c r="AB1066" s="58"/>
      <c r="AC1066" s="58"/>
      <c r="AD1066" s="57"/>
      <c r="AE1066" s="57"/>
      <c r="AF1066" s="57"/>
      <c r="AG1066" s="59"/>
      <c r="AH1066" s="15"/>
      <c r="AI1066" s="15"/>
      <c r="AJ1066" s="15"/>
      <c r="AK1066" s="15"/>
      <c r="AL1066" s="15"/>
      <c r="AM1066" s="15"/>
      <c r="AN1066" s="15"/>
      <c r="AO1066" s="15"/>
      <c r="AP1066" s="15"/>
      <c r="AQ1066" s="15"/>
      <c r="AR1066" s="15"/>
      <c r="AS1066" s="15"/>
      <c r="AT1066" s="15"/>
      <c r="AU1066" s="15"/>
    </row>
    <row r="1067" ht="24.0" customHeight="1">
      <c r="A1067" s="85">
        <v>63.0</v>
      </c>
      <c r="B1067" s="54" t="s">
        <v>2978</v>
      </c>
      <c r="C1067" s="55" t="s">
        <v>2777</v>
      </c>
      <c r="D1067" s="55" t="s">
        <v>1883</v>
      </c>
      <c r="E1067" s="55" t="s">
        <v>2979</v>
      </c>
      <c r="F1067" s="55" t="s">
        <v>2980</v>
      </c>
      <c r="G1067" s="55">
        <v>5.0</v>
      </c>
      <c r="H1067" s="55" t="s">
        <v>119</v>
      </c>
      <c r="I1067" s="55" t="s">
        <v>86</v>
      </c>
      <c r="J1067" s="55" t="s">
        <v>87</v>
      </c>
      <c r="K1067" s="55" t="s">
        <v>2981</v>
      </c>
      <c r="L1067" s="55" t="s">
        <v>34</v>
      </c>
      <c r="M1067" s="55" t="s">
        <v>133</v>
      </c>
      <c r="N1067" s="55" t="s">
        <v>90</v>
      </c>
      <c r="O1067" s="55" t="s">
        <v>1883</v>
      </c>
      <c r="P1067" s="55" t="s">
        <v>91</v>
      </c>
      <c r="Q1067" s="55" t="s">
        <v>16</v>
      </c>
      <c r="R1067" s="55" t="s">
        <v>1883</v>
      </c>
      <c r="S1067" s="55" t="s">
        <v>1883</v>
      </c>
      <c r="T1067" s="55" t="s">
        <v>1883</v>
      </c>
      <c r="U1067" s="55" t="s">
        <v>1883</v>
      </c>
      <c r="V1067" s="55" t="s">
        <v>1883</v>
      </c>
      <c r="W1067" s="55" t="s">
        <v>1883</v>
      </c>
      <c r="X1067" s="57" t="str">
        <f t="shared" si="781"/>
        <v>--1060-14-05</v>
      </c>
      <c r="Y1067" s="58"/>
      <c r="Z1067" s="58"/>
      <c r="AA1067" s="58"/>
      <c r="AB1067" s="58"/>
      <c r="AC1067" s="58"/>
      <c r="AD1067" s="57"/>
      <c r="AE1067" s="57"/>
      <c r="AF1067" s="57"/>
      <c r="AG1067" s="59"/>
      <c r="AH1067" s="15"/>
      <c r="AI1067" s="15"/>
      <c r="AJ1067" s="15"/>
      <c r="AK1067" s="15"/>
      <c r="AL1067" s="15"/>
      <c r="AM1067" s="15"/>
      <c r="AN1067" s="15"/>
      <c r="AO1067" s="15"/>
      <c r="AP1067" s="15"/>
      <c r="AQ1067" s="15"/>
      <c r="AR1067" s="15"/>
      <c r="AS1067" s="15"/>
      <c r="AT1067" s="15"/>
      <c r="AU1067" s="15"/>
    </row>
    <row r="1068" ht="24.0" customHeight="1">
      <c r="A1068" s="85">
        <v>64.0</v>
      </c>
      <c r="B1068" s="54" t="s">
        <v>1707</v>
      </c>
      <c r="C1068" s="55" t="s">
        <v>2777</v>
      </c>
      <c r="D1068" s="55" t="s">
        <v>1883</v>
      </c>
      <c r="E1068" s="55" t="s">
        <v>1708</v>
      </c>
      <c r="F1068" s="55" t="s">
        <v>2982</v>
      </c>
      <c r="G1068" s="55">
        <v>42.0</v>
      </c>
      <c r="H1068" s="55" t="s">
        <v>85</v>
      </c>
      <c r="I1068" s="55" t="s">
        <v>86</v>
      </c>
      <c r="J1068" s="55" t="s">
        <v>87</v>
      </c>
      <c r="K1068" s="55" t="s">
        <v>2981</v>
      </c>
      <c r="L1068" s="55" t="s">
        <v>13</v>
      </c>
      <c r="M1068" s="55" t="s">
        <v>89</v>
      </c>
      <c r="N1068" s="55" t="s">
        <v>90</v>
      </c>
      <c r="O1068" s="55" t="s">
        <v>1883</v>
      </c>
      <c r="P1068" s="55" t="s">
        <v>91</v>
      </c>
      <c r="Q1068" s="55" t="s">
        <v>4</v>
      </c>
      <c r="R1068" s="55" t="s">
        <v>1883</v>
      </c>
      <c r="S1068" s="55" t="s">
        <v>1883</v>
      </c>
      <c r="T1068" s="55" t="s">
        <v>1883</v>
      </c>
      <c r="U1068" s="55" t="s">
        <v>1883</v>
      </c>
      <c r="V1068" s="55" t="s">
        <v>1883</v>
      </c>
      <c r="W1068" s="55" t="s">
        <v>1883</v>
      </c>
      <c r="X1068" s="57" t="str">
        <f t="shared" si="781"/>
        <v>--1061-14-05</v>
      </c>
      <c r="Y1068" s="58"/>
      <c r="Z1068" s="58"/>
      <c r="AA1068" s="58"/>
      <c r="AB1068" s="58"/>
      <c r="AC1068" s="58"/>
      <c r="AD1068" s="57"/>
      <c r="AE1068" s="57"/>
      <c r="AF1068" s="57"/>
      <c r="AG1068" s="59"/>
      <c r="AH1068" s="15"/>
      <c r="AI1068" s="15"/>
      <c r="AJ1068" s="15"/>
      <c r="AK1068" s="15"/>
      <c r="AL1068" s="15"/>
      <c r="AM1068" s="15"/>
      <c r="AN1068" s="15"/>
      <c r="AO1068" s="15"/>
      <c r="AP1068" s="15"/>
      <c r="AQ1068" s="15"/>
      <c r="AR1068" s="15"/>
      <c r="AS1068" s="15"/>
      <c r="AT1068" s="15"/>
      <c r="AU1068" s="15"/>
    </row>
    <row r="1069" ht="24.0" customHeight="1">
      <c r="A1069" s="85">
        <v>65.0</v>
      </c>
      <c r="B1069" s="54" t="s">
        <v>2983</v>
      </c>
      <c r="C1069" s="55" t="s">
        <v>2777</v>
      </c>
      <c r="D1069" s="55" t="s">
        <v>1883</v>
      </c>
      <c r="E1069" s="55" t="s">
        <v>2984</v>
      </c>
      <c r="F1069" s="55" t="s">
        <v>1694</v>
      </c>
      <c r="G1069" s="55">
        <v>12.0</v>
      </c>
      <c r="H1069" s="55" t="s">
        <v>111</v>
      </c>
      <c r="I1069" s="55" t="s">
        <v>86</v>
      </c>
      <c r="J1069" s="55" t="s">
        <v>87</v>
      </c>
      <c r="K1069" s="55" t="s">
        <v>2985</v>
      </c>
      <c r="L1069" s="55" t="s">
        <v>34</v>
      </c>
      <c r="M1069" s="55" t="s">
        <v>133</v>
      </c>
      <c r="N1069" s="55" t="s">
        <v>90</v>
      </c>
      <c r="O1069" s="55" t="s">
        <v>1883</v>
      </c>
      <c r="P1069" s="55" t="s">
        <v>91</v>
      </c>
      <c r="Q1069" s="55" t="s">
        <v>16</v>
      </c>
      <c r="R1069" s="55" t="s">
        <v>1883</v>
      </c>
      <c r="S1069" s="55" t="s">
        <v>1883</v>
      </c>
      <c r="T1069" s="55" t="s">
        <v>1883</v>
      </c>
      <c r="U1069" s="55" t="s">
        <v>1883</v>
      </c>
      <c r="V1069" s="55" t="s">
        <v>1883</v>
      </c>
      <c r="W1069" s="55" t="s">
        <v>1883</v>
      </c>
      <c r="X1069" s="57" t="str">
        <f t="shared" si="781"/>
        <v>--1062-14-05</v>
      </c>
      <c r="Y1069" s="58"/>
      <c r="Z1069" s="58"/>
      <c r="AA1069" s="58"/>
      <c r="AB1069" s="58"/>
      <c r="AC1069" s="58"/>
      <c r="AD1069" s="57"/>
      <c r="AE1069" s="57"/>
      <c r="AF1069" s="57"/>
      <c r="AG1069" s="59"/>
      <c r="AH1069" s="15"/>
      <c r="AI1069" s="15"/>
      <c r="AJ1069" s="15"/>
      <c r="AK1069" s="15"/>
      <c r="AL1069" s="15"/>
      <c r="AM1069" s="15"/>
      <c r="AN1069" s="15"/>
      <c r="AO1069" s="15"/>
      <c r="AP1069" s="15"/>
      <c r="AQ1069" s="15"/>
      <c r="AR1069" s="15"/>
      <c r="AS1069" s="15"/>
      <c r="AT1069" s="15"/>
      <c r="AU1069" s="15"/>
    </row>
    <row r="1070" ht="24.0" customHeight="1">
      <c r="A1070" s="85">
        <v>2494.0</v>
      </c>
      <c r="B1070" s="87"/>
      <c r="C1070" s="55"/>
      <c r="D1070" s="55" t="str">
        <f t="array" ref="D1070">IFERROR(
  LOOKUP(2, 1/((TRIM(IMS!$E$8:$E$2574)=TRIM(IMS!$E1070))*(IMS!$C$8:$C$2574&lt;IMS!$C1070)),
         IMS!$C$8:$C$2574),
"")</f>
        <v/>
      </c>
      <c r="E1070" s="55"/>
      <c r="F1070" s="55"/>
      <c r="G1070" s="55" t="str">
        <f t="shared" ref="G1070:G2574" si="901">IF(F1070="","",DATEDIF(F1070,TODAY(),"Y"))</f>
        <v/>
      </c>
      <c r="H1070" s="55" t="str">
        <f t="shared" ref="H1070:H2574" si="902">IF(G1070="","",IF(G1070&lt;=5,"0-5",IF(G1070&lt;=18,"6-18",IF(G1070&lt;=60,"19-60","+60"))))</f>
        <v/>
      </c>
      <c r="I1070" s="55"/>
      <c r="J1070" s="55" t="str">
        <f t="shared" ref="J1070:J2574" si="903">IF(OR(LOWER(TRIM(SUBSTITUTE(SUBSTITUTE($I1070,CHAR(160)," "),_xludf.UNICHAR(8239)," ")))="male",
LOWER(TRIM(SUBSTITUTE(SUBSTITUTE($I1070,CHAR(160)," "),_xludf.UNICHAR(8239)," ")))="m",
LOWER(TRIM(SUBSTITUTE(SUBSTITUTE($I1070,CHAR(160)," "),_xludf.UNICHAR(8239)," ")))="males"),
"male",
IF(OR(LOWER(TRIM(SUBSTITUTE(SUBSTITUTE($I1070,CHAR(160)," "),_xludf.UNICHAR(8239)," ")))="female",
LOWER(TRIM(SUBSTITUTE(SUBSTITUTE($I1070,CHAR(160)," "),_xludf.UNICHAR(8239)," ")))="f",
LOWER(TRIM(SUBSTITUTE(SUBSTITUTE($I1070,CHAR(160)," "),_xludf.UNICHAR(8239)," ")))="females"),
"female",
""))</f>
        <v>#NAME?</v>
      </c>
      <c r="K1070" s="55"/>
      <c r="L1070" s="55"/>
      <c r="M1070" s="55"/>
      <c r="N1070" s="55"/>
      <c r="O1070" s="55"/>
      <c r="P1070" s="55"/>
      <c r="Q1070" s="55"/>
      <c r="R1070" s="55"/>
      <c r="S1070" s="55"/>
      <c r="T1070" s="55"/>
      <c r="U1070" s="55"/>
      <c r="V1070" s="55"/>
      <c r="W1070" s="55"/>
      <c r="X1070" s="57" t="str">
        <f t="shared" ref="X1070:X1074" si="904">IF(E1070="","",UPPER(LEFT($C$3,1)&amp;"-"&amp;LEFT($C$4,1)&amp;"-"&amp;TEXT(ROW(B1065),"000")&amp;"-"&amp;TEXT(C1070,"dd-mm")))</f>
        <v/>
      </c>
      <c r="Y1070" s="58" t="str">
        <f t="shared" ref="Y1070:AC1070" si="900">TRIM(SUBSTITUTE(SUBSTITUTE(OFFSET($Q1070,0,COLUMN()-COLUMN($AL$1)),CHAR(160)," "),_xludf.UNICHAR(8239)," "))</f>
        <v>#NAME?</v>
      </c>
      <c r="Z1070" s="58" t="str">
        <f t="shared" si="900"/>
        <v>#NAME?</v>
      </c>
      <c r="AA1070" s="58" t="str">
        <f t="shared" si="900"/>
        <v>#NAME?</v>
      </c>
      <c r="AB1070" s="58" t="str">
        <f t="shared" si="900"/>
        <v>#NAME?</v>
      </c>
      <c r="AC1070" s="58" t="str">
        <f t="shared" si="900"/>
        <v>#NAME?</v>
      </c>
      <c r="AD1070" s="57">
        <f t="shared" ref="AD1070:AD2574" si="906">IF($E1070="",0,--(COUNTIFS($E:$E,$E1070,$C:$C,"&gt;"&amp;$C1070)+COUNTIFS($E$8:E1070,$E1070,$C$8:C1070,$C1070)=1))</f>
        <v>0</v>
      </c>
      <c r="AE1070" s="57" t="str">
        <f t="shared" ref="AE1070:AE2574" si="907">IF($C1070="","",TEXT($C1070,"yyyy-mm"))</f>
        <v/>
      </c>
      <c r="AF1070" s="57">
        <f t="shared" ref="AF1070:AF2574" si="908">IF(OR($E1070="",$AE1070=""),0,IF(COUNTIFS($E$8:E1070,$E1070,$AE$8:AE1070,$AE1070)=1,1,0))</f>
        <v>0</v>
      </c>
      <c r="AG1070" s="59">
        <f t="shared" ref="AG1070:AG2574" si="909">IF($E1070="",0,IF(COUNTIF($E$8:E1070,$E1070)=1,1,0))</f>
        <v>0</v>
      </c>
      <c r="AH1070" s="15"/>
      <c r="AI1070" s="15"/>
      <c r="AJ1070" s="15"/>
      <c r="AK1070" s="15"/>
      <c r="AL1070" s="15"/>
      <c r="AM1070" s="15"/>
      <c r="AN1070" s="15"/>
      <c r="AO1070" s="15"/>
      <c r="AP1070" s="15"/>
      <c r="AQ1070" s="15"/>
      <c r="AR1070" s="15"/>
      <c r="AS1070" s="15"/>
      <c r="AT1070" s="15"/>
      <c r="AU1070" s="15"/>
    </row>
    <row r="1071" ht="24.0" customHeight="1">
      <c r="A1071" s="45">
        <v>2495.0</v>
      </c>
      <c r="B1071" s="57"/>
      <c r="C1071" s="57"/>
      <c r="D1071" s="88" t="str">
        <f t="array" ref="D1071">IFERROR(
  LOOKUP(2, 1/((TRIM(IMS!$E$8:$E$2574)=TRIM(IMS!$E1071))*(IMS!$C$8:$C$2574&lt;IMS!$C1071)),
         IMS!$C$8:$C$2574),
"")</f>
        <v/>
      </c>
      <c r="E1071" s="57"/>
      <c r="F1071" s="57"/>
      <c r="G1071" s="77" t="str">
        <f t="shared" si="901"/>
        <v/>
      </c>
      <c r="H1071" s="78" t="str">
        <f t="shared" si="902"/>
        <v/>
      </c>
      <c r="I1071" s="79"/>
      <c r="J1071" s="80" t="str">
        <f t="shared" si="903"/>
        <v>#NAME?</v>
      </c>
      <c r="K1071" s="58"/>
      <c r="L1071" s="58"/>
      <c r="M1071" s="57"/>
      <c r="N1071" s="57"/>
      <c r="O1071" s="58"/>
      <c r="P1071" s="82"/>
      <c r="Q1071" s="81"/>
      <c r="R1071" s="81"/>
      <c r="S1071" s="57"/>
      <c r="T1071" s="82"/>
      <c r="U1071" s="82"/>
      <c r="V1071" s="57"/>
      <c r="W1071" s="57"/>
      <c r="X1071" s="57" t="str">
        <f t="shared" si="904"/>
        <v/>
      </c>
      <c r="Y1071" s="58" t="str">
        <f t="shared" ref="Y1071:AC1071" si="905">TRIM(SUBSTITUTE(SUBSTITUTE(OFFSET($Q1071,0,COLUMN()-COLUMN($AL$1)),CHAR(160)," "),_xludf.UNICHAR(8239)," "))</f>
        <v>#NAME?</v>
      </c>
      <c r="Z1071" s="58" t="str">
        <f t="shared" si="905"/>
        <v>#NAME?</v>
      </c>
      <c r="AA1071" s="58" t="str">
        <f t="shared" si="905"/>
        <v>#NAME?</v>
      </c>
      <c r="AB1071" s="58" t="str">
        <f t="shared" si="905"/>
        <v>#NAME?</v>
      </c>
      <c r="AC1071" s="58" t="str">
        <f t="shared" si="905"/>
        <v>#NAME?</v>
      </c>
      <c r="AD1071" s="57">
        <f t="shared" si="906"/>
        <v>0</v>
      </c>
      <c r="AE1071" s="57" t="str">
        <f t="shared" si="907"/>
        <v/>
      </c>
      <c r="AF1071" s="57">
        <f t="shared" si="908"/>
        <v>0</v>
      </c>
      <c r="AG1071" s="59">
        <f t="shared" si="909"/>
        <v>0</v>
      </c>
      <c r="AH1071" s="15"/>
      <c r="AI1071" s="15"/>
      <c r="AJ1071" s="15"/>
      <c r="AK1071" s="15"/>
      <c r="AL1071" s="15"/>
      <c r="AM1071" s="15"/>
      <c r="AN1071" s="15"/>
      <c r="AO1071" s="15"/>
      <c r="AP1071" s="15"/>
      <c r="AQ1071" s="15"/>
      <c r="AR1071" s="15"/>
      <c r="AS1071" s="15"/>
      <c r="AT1071" s="15"/>
      <c r="AU1071" s="15"/>
    </row>
    <row r="1072" ht="24.0" customHeight="1">
      <c r="A1072" s="45">
        <v>2496.0</v>
      </c>
      <c r="B1072" s="57"/>
      <c r="C1072" s="57"/>
      <c r="D1072" s="88" t="str">
        <f t="array" ref="D1072">IFERROR(
  LOOKUP(2, 1/((TRIM(IMS!$E$8:$E$2574)=TRIM(IMS!$E1072))*(IMS!$C$8:$C$2574&lt;IMS!$C1072)),
         IMS!$C$8:$C$2574),
"")</f>
        <v/>
      </c>
      <c r="E1072" s="57"/>
      <c r="F1072" s="57"/>
      <c r="G1072" s="77" t="str">
        <f t="shared" si="901"/>
        <v/>
      </c>
      <c r="H1072" s="78" t="str">
        <f t="shared" si="902"/>
        <v/>
      </c>
      <c r="I1072" s="79"/>
      <c r="J1072" s="80" t="str">
        <f t="shared" si="903"/>
        <v>#NAME?</v>
      </c>
      <c r="K1072" s="58"/>
      <c r="L1072" s="58"/>
      <c r="M1072" s="57"/>
      <c r="N1072" s="57"/>
      <c r="O1072" s="58"/>
      <c r="P1072" s="82"/>
      <c r="Q1072" s="81"/>
      <c r="R1072" s="81"/>
      <c r="S1072" s="57"/>
      <c r="T1072" s="82"/>
      <c r="U1072" s="82"/>
      <c r="V1072" s="57"/>
      <c r="W1072" s="57"/>
      <c r="X1072" s="57" t="str">
        <f t="shared" si="904"/>
        <v/>
      </c>
      <c r="Y1072" s="58" t="str">
        <f t="shared" ref="Y1072:AC1072" si="910">TRIM(SUBSTITUTE(SUBSTITUTE(OFFSET($Q1072,0,COLUMN()-COLUMN($AL$1)),CHAR(160)," "),_xludf.UNICHAR(8239)," "))</f>
        <v>#NAME?</v>
      </c>
      <c r="Z1072" s="58" t="str">
        <f t="shared" si="910"/>
        <v>#NAME?</v>
      </c>
      <c r="AA1072" s="58" t="str">
        <f t="shared" si="910"/>
        <v>#NAME?</v>
      </c>
      <c r="AB1072" s="58" t="str">
        <f t="shared" si="910"/>
        <v>#NAME?</v>
      </c>
      <c r="AC1072" s="58" t="str">
        <f t="shared" si="910"/>
        <v>#NAME?</v>
      </c>
      <c r="AD1072" s="57">
        <f t="shared" si="906"/>
        <v>0</v>
      </c>
      <c r="AE1072" s="57" t="str">
        <f t="shared" si="907"/>
        <v/>
      </c>
      <c r="AF1072" s="57">
        <f t="shared" si="908"/>
        <v>0</v>
      </c>
      <c r="AG1072" s="59">
        <f t="shared" si="909"/>
        <v>0</v>
      </c>
      <c r="AH1072" s="15"/>
      <c r="AI1072" s="15"/>
      <c r="AJ1072" s="15"/>
      <c r="AK1072" s="15"/>
      <c r="AL1072" s="15"/>
      <c r="AM1072" s="15"/>
      <c r="AN1072" s="15"/>
      <c r="AO1072" s="15"/>
      <c r="AP1072" s="15"/>
      <c r="AQ1072" s="15"/>
      <c r="AR1072" s="15"/>
      <c r="AS1072" s="15"/>
      <c r="AT1072" s="15"/>
      <c r="AU1072" s="15"/>
    </row>
    <row r="1073" ht="24.0" customHeight="1">
      <c r="A1073" s="45">
        <v>2497.0</v>
      </c>
      <c r="B1073" s="57"/>
      <c r="C1073" s="57"/>
      <c r="D1073" s="88" t="str">
        <f t="array" ref="D1073">IFERROR(
  LOOKUP(2, 1/((TRIM(IMS!$E$8:$E$2574)=TRIM(IMS!$E1073))*(IMS!$C$8:$C$2574&lt;IMS!$C1073)),
         IMS!$C$8:$C$2574),
"")</f>
        <v/>
      </c>
      <c r="E1073" s="57"/>
      <c r="F1073" s="57"/>
      <c r="G1073" s="77" t="str">
        <f t="shared" si="901"/>
        <v/>
      </c>
      <c r="H1073" s="78" t="str">
        <f t="shared" si="902"/>
        <v/>
      </c>
      <c r="I1073" s="79"/>
      <c r="J1073" s="80" t="str">
        <f t="shared" si="903"/>
        <v>#NAME?</v>
      </c>
      <c r="K1073" s="58"/>
      <c r="L1073" s="58"/>
      <c r="M1073" s="57"/>
      <c r="N1073" s="57"/>
      <c r="O1073" s="58"/>
      <c r="P1073" s="82"/>
      <c r="Q1073" s="81"/>
      <c r="R1073" s="81"/>
      <c r="S1073" s="57"/>
      <c r="T1073" s="82"/>
      <c r="U1073" s="82"/>
      <c r="V1073" s="57"/>
      <c r="W1073" s="57"/>
      <c r="X1073" s="57" t="str">
        <f t="shared" si="904"/>
        <v/>
      </c>
      <c r="Y1073" s="58" t="str">
        <f t="shared" ref="Y1073:AC1073" si="911">TRIM(SUBSTITUTE(SUBSTITUTE(OFFSET($Q1073,0,COLUMN()-COLUMN($AL$1)),CHAR(160)," "),_xludf.UNICHAR(8239)," "))</f>
        <v>#NAME?</v>
      </c>
      <c r="Z1073" s="58" t="str">
        <f t="shared" si="911"/>
        <v>#NAME?</v>
      </c>
      <c r="AA1073" s="58" t="str">
        <f t="shared" si="911"/>
        <v>#NAME?</v>
      </c>
      <c r="AB1073" s="58" t="str">
        <f t="shared" si="911"/>
        <v>#NAME?</v>
      </c>
      <c r="AC1073" s="58" t="str">
        <f t="shared" si="911"/>
        <v>#NAME?</v>
      </c>
      <c r="AD1073" s="57">
        <f t="shared" si="906"/>
        <v>0</v>
      </c>
      <c r="AE1073" s="57" t="str">
        <f t="shared" si="907"/>
        <v/>
      </c>
      <c r="AF1073" s="57">
        <f t="shared" si="908"/>
        <v>0</v>
      </c>
      <c r="AG1073" s="59">
        <f t="shared" si="909"/>
        <v>0</v>
      </c>
      <c r="AH1073" s="15"/>
      <c r="AI1073" s="15"/>
      <c r="AJ1073" s="15"/>
      <c r="AK1073" s="15"/>
      <c r="AL1073" s="15"/>
      <c r="AM1073" s="15"/>
      <c r="AN1073" s="15"/>
      <c r="AO1073" s="15"/>
      <c r="AP1073" s="15"/>
      <c r="AQ1073" s="15"/>
      <c r="AR1073" s="15"/>
      <c r="AS1073" s="15"/>
      <c r="AT1073" s="15"/>
      <c r="AU1073" s="15"/>
    </row>
    <row r="1074" ht="24.0" customHeight="1">
      <c r="A1074" s="45">
        <v>2498.0</v>
      </c>
      <c r="B1074" s="57"/>
      <c r="C1074" s="57"/>
      <c r="D1074" s="88" t="str">
        <f t="array" ref="D1074">IFERROR(
  LOOKUP(2, 1/((TRIM(IMS!$E$8:$E$2574)=TRIM(IMS!$E1074))*(IMS!$C$8:$C$2574&lt;IMS!$C1074)),
         IMS!$C$8:$C$2574),
"")</f>
        <v/>
      </c>
      <c r="E1074" s="57"/>
      <c r="F1074" s="57"/>
      <c r="G1074" s="77" t="str">
        <f t="shared" si="901"/>
        <v/>
      </c>
      <c r="H1074" s="78" t="str">
        <f t="shared" si="902"/>
        <v/>
      </c>
      <c r="I1074" s="79"/>
      <c r="J1074" s="80" t="str">
        <f t="shared" si="903"/>
        <v>#NAME?</v>
      </c>
      <c r="K1074" s="58"/>
      <c r="L1074" s="58"/>
      <c r="M1074" s="57"/>
      <c r="N1074" s="57"/>
      <c r="O1074" s="58"/>
      <c r="P1074" s="82"/>
      <c r="Q1074" s="81"/>
      <c r="R1074" s="81"/>
      <c r="S1074" s="57"/>
      <c r="T1074" s="82"/>
      <c r="U1074" s="82"/>
      <c r="V1074" s="57"/>
      <c r="W1074" s="57"/>
      <c r="X1074" s="57" t="str">
        <f t="shared" si="904"/>
        <v/>
      </c>
      <c r="Y1074" s="58" t="str">
        <f t="shared" ref="Y1074:AC1074" si="912">TRIM(SUBSTITUTE(SUBSTITUTE(OFFSET($Q1074,0,COLUMN()-COLUMN($AL$1)),CHAR(160)," "),_xludf.UNICHAR(8239)," "))</f>
        <v>#NAME?</v>
      </c>
      <c r="Z1074" s="58" t="str">
        <f t="shared" si="912"/>
        <v>#NAME?</v>
      </c>
      <c r="AA1074" s="58" t="str">
        <f t="shared" si="912"/>
        <v>#NAME?</v>
      </c>
      <c r="AB1074" s="58" t="str">
        <f t="shared" si="912"/>
        <v>#NAME?</v>
      </c>
      <c r="AC1074" s="58" t="str">
        <f t="shared" si="912"/>
        <v>#NAME?</v>
      </c>
      <c r="AD1074" s="57">
        <f t="shared" si="906"/>
        <v>0</v>
      </c>
      <c r="AE1074" s="57" t="str">
        <f t="shared" si="907"/>
        <v/>
      </c>
      <c r="AF1074" s="57">
        <f t="shared" si="908"/>
        <v>0</v>
      </c>
      <c r="AG1074" s="59">
        <f t="shared" si="909"/>
        <v>0</v>
      </c>
      <c r="AH1074" s="15"/>
      <c r="AI1074" s="15"/>
      <c r="AJ1074" s="15"/>
      <c r="AK1074" s="15"/>
      <c r="AL1074" s="15"/>
      <c r="AM1074" s="15"/>
      <c r="AN1074" s="15"/>
      <c r="AO1074" s="15"/>
      <c r="AP1074" s="15"/>
      <c r="AQ1074" s="15"/>
      <c r="AR1074" s="15"/>
      <c r="AS1074" s="15"/>
      <c r="AT1074" s="15"/>
      <c r="AU1074" s="15"/>
    </row>
    <row r="1075" ht="24.0" customHeight="1">
      <c r="A1075" s="45">
        <v>2499.0</v>
      </c>
      <c r="B1075" s="57"/>
      <c r="C1075" s="57"/>
      <c r="D1075" s="88" t="str">
        <f t="array" ref="D1075">IFERROR(
  LOOKUP(2, 1/((TRIM(IMS!$E$8:$E$2574)=TRIM(IMS!$E1075))*(IMS!$C$8:$C$2574&lt;IMS!$C1075)),
         IMS!$C$8:$C$2574),
"")</f>
        <v/>
      </c>
      <c r="E1075" s="57"/>
      <c r="F1075" s="57"/>
      <c r="G1075" s="77" t="str">
        <f t="shared" si="901"/>
        <v/>
      </c>
      <c r="H1075" s="78" t="str">
        <f t="shared" si="902"/>
        <v/>
      </c>
      <c r="I1075" s="79"/>
      <c r="J1075" s="80" t="str">
        <f t="shared" si="903"/>
        <v>#NAME?</v>
      </c>
      <c r="K1075" s="58"/>
      <c r="L1075" s="58"/>
      <c r="M1075" s="57"/>
      <c r="N1075" s="57"/>
      <c r="O1075" s="58"/>
      <c r="P1075" s="82"/>
      <c r="Q1075" s="81"/>
      <c r="R1075" s="81"/>
      <c r="S1075" s="57"/>
      <c r="T1075" s="82"/>
      <c r="U1075" s="82"/>
      <c r="V1075" s="57"/>
      <c r="W1075" s="57"/>
      <c r="X1075" s="57" t="str">
        <f t="shared" ref="X1075:X1076" si="914">IF(E1075="","",UPPER(LEFT($C$3,1)&amp;"-"&amp;LEFT($C$4,1)&amp;"-"&amp;TEXT(ROW(#REF!),"000")&amp;"-"&amp;TEXT(C1075,"dd-mm")))</f>
        <v/>
      </c>
      <c r="Y1075" s="58" t="str">
        <f t="shared" ref="Y1075:AC1075" si="913">TRIM(SUBSTITUTE(SUBSTITUTE(OFFSET($Q1075,0,COLUMN()-COLUMN($AL$1)),CHAR(160)," "),_xludf.UNICHAR(8239)," "))</f>
        <v>#NAME?</v>
      </c>
      <c r="Z1075" s="58" t="str">
        <f t="shared" si="913"/>
        <v>#NAME?</v>
      </c>
      <c r="AA1075" s="58" t="str">
        <f t="shared" si="913"/>
        <v>#NAME?</v>
      </c>
      <c r="AB1075" s="58" t="str">
        <f t="shared" si="913"/>
        <v>#NAME?</v>
      </c>
      <c r="AC1075" s="58" t="str">
        <f t="shared" si="913"/>
        <v>#NAME?</v>
      </c>
      <c r="AD1075" s="57">
        <f t="shared" si="906"/>
        <v>0</v>
      </c>
      <c r="AE1075" s="57" t="str">
        <f t="shared" si="907"/>
        <v/>
      </c>
      <c r="AF1075" s="57">
        <f t="shared" si="908"/>
        <v>0</v>
      </c>
      <c r="AG1075" s="59">
        <f t="shared" si="909"/>
        <v>0</v>
      </c>
      <c r="AH1075" s="15"/>
      <c r="AI1075" s="15"/>
      <c r="AJ1075" s="15"/>
      <c r="AK1075" s="15"/>
      <c r="AL1075" s="15"/>
      <c r="AM1075" s="15"/>
      <c r="AN1075" s="15"/>
      <c r="AO1075" s="15"/>
      <c r="AP1075" s="15"/>
      <c r="AQ1075" s="15"/>
      <c r="AR1075" s="15"/>
      <c r="AS1075" s="15"/>
      <c r="AT1075" s="15"/>
      <c r="AU1075" s="15"/>
    </row>
    <row r="1076" ht="24.0" customHeight="1">
      <c r="A1076" s="45">
        <v>2500.0</v>
      </c>
      <c r="B1076" s="57"/>
      <c r="C1076" s="57"/>
      <c r="D1076" s="88" t="str">
        <f t="array" ref="D1076">IFERROR(
  LOOKUP(2, 1/((TRIM(IMS!$E$8:$E$2574)=TRIM(IMS!$E1076))*(IMS!$C$8:$C$2574&lt;IMS!$C1076)),
         IMS!$C$8:$C$2574),
"")</f>
        <v/>
      </c>
      <c r="E1076" s="57"/>
      <c r="F1076" s="57"/>
      <c r="G1076" s="77" t="str">
        <f t="shared" si="901"/>
        <v/>
      </c>
      <c r="H1076" s="78" t="str">
        <f t="shared" si="902"/>
        <v/>
      </c>
      <c r="I1076" s="79"/>
      <c r="J1076" s="80" t="str">
        <f t="shared" si="903"/>
        <v>#NAME?</v>
      </c>
      <c r="K1076" s="58"/>
      <c r="L1076" s="58"/>
      <c r="M1076" s="57"/>
      <c r="N1076" s="57"/>
      <c r="O1076" s="58"/>
      <c r="P1076" s="82"/>
      <c r="Q1076" s="81"/>
      <c r="R1076" s="81"/>
      <c r="S1076" s="57"/>
      <c r="T1076" s="82"/>
      <c r="U1076" s="82"/>
      <c r="V1076" s="57"/>
      <c r="W1076" s="57"/>
      <c r="X1076" s="57" t="str">
        <f t="shared" si="914"/>
        <v/>
      </c>
      <c r="Y1076" s="58" t="str">
        <f t="shared" ref="Y1076:AC1076" si="915">TRIM(SUBSTITUTE(SUBSTITUTE(OFFSET($Q1076,0,COLUMN()-COLUMN($AL$1)),CHAR(160)," "),_xludf.UNICHAR(8239)," "))</f>
        <v>#NAME?</v>
      </c>
      <c r="Z1076" s="58" t="str">
        <f t="shared" si="915"/>
        <v>#NAME?</v>
      </c>
      <c r="AA1076" s="58" t="str">
        <f t="shared" si="915"/>
        <v>#NAME?</v>
      </c>
      <c r="AB1076" s="58" t="str">
        <f t="shared" si="915"/>
        <v>#NAME?</v>
      </c>
      <c r="AC1076" s="58" t="str">
        <f t="shared" si="915"/>
        <v>#NAME?</v>
      </c>
      <c r="AD1076" s="57">
        <f t="shared" si="906"/>
        <v>0</v>
      </c>
      <c r="AE1076" s="57" t="str">
        <f t="shared" si="907"/>
        <v/>
      </c>
      <c r="AF1076" s="57">
        <f t="shared" si="908"/>
        <v>0</v>
      </c>
      <c r="AG1076" s="59">
        <f t="shared" si="909"/>
        <v>0</v>
      </c>
      <c r="AH1076" s="15"/>
      <c r="AI1076" s="15"/>
      <c r="AJ1076" s="15"/>
      <c r="AK1076" s="15"/>
      <c r="AL1076" s="15"/>
      <c r="AM1076" s="15"/>
      <c r="AN1076" s="15"/>
      <c r="AO1076" s="15"/>
      <c r="AP1076" s="15"/>
      <c r="AQ1076" s="15"/>
      <c r="AR1076" s="15"/>
      <c r="AS1076" s="15"/>
      <c r="AT1076" s="15"/>
      <c r="AU1076" s="15"/>
    </row>
    <row r="1077" ht="24.0" customHeight="1">
      <c r="A1077" s="45">
        <v>2501.0</v>
      </c>
      <c r="B1077" s="57"/>
      <c r="C1077" s="57"/>
      <c r="D1077" s="88" t="str">
        <f t="array" ref="D1077">IFERROR(
  LOOKUP(2, 1/((TRIM(IMS!$E$8:$E$2574)=TRIM(IMS!$E1077))*(IMS!$C$8:$C$2574&lt;IMS!$C1077)),
         IMS!$C$8:$C$2574),
"")</f>
        <v/>
      </c>
      <c r="E1077" s="57"/>
      <c r="F1077" s="57"/>
      <c r="G1077" s="77" t="str">
        <f t="shared" si="901"/>
        <v/>
      </c>
      <c r="H1077" s="78" t="str">
        <f t="shared" si="902"/>
        <v/>
      </c>
      <c r="I1077" s="79"/>
      <c r="J1077" s="80" t="str">
        <f t="shared" si="903"/>
        <v>#NAME?</v>
      </c>
      <c r="K1077" s="58"/>
      <c r="L1077" s="58"/>
      <c r="M1077" s="57"/>
      <c r="N1077" s="57"/>
      <c r="O1077" s="58"/>
      <c r="P1077" s="82"/>
      <c r="Q1077" s="81"/>
      <c r="R1077" s="81"/>
      <c r="S1077" s="57"/>
      <c r="T1077" s="82"/>
      <c r="U1077" s="82"/>
      <c r="V1077" s="57"/>
      <c r="W1077" s="57"/>
      <c r="X1077" s="57" t="str">
        <f t="shared" ref="X1077:X2574" si="917">IF(E1077="","",UPPER(LEFT($C$3,1)&amp;"-"&amp;LEFT($C$4,1)&amp;"-"&amp;TEXT(ROW(B1070),"000")&amp;"-"&amp;TEXT(C1077,"dd-mm")))</f>
        <v/>
      </c>
      <c r="Y1077" s="58" t="str">
        <f t="shared" ref="Y1077:AC1077" si="916">TRIM(SUBSTITUTE(SUBSTITUTE(OFFSET($Q1077,0,COLUMN()-COLUMN($AL$1)),CHAR(160)," "),_xludf.UNICHAR(8239)," "))</f>
        <v>#NAME?</v>
      </c>
      <c r="Z1077" s="58" t="str">
        <f t="shared" si="916"/>
        <v>#NAME?</v>
      </c>
      <c r="AA1077" s="58" t="str">
        <f t="shared" si="916"/>
        <v>#NAME?</v>
      </c>
      <c r="AB1077" s="58" t="str">
        <f t="shared" si="916"/>
        <v>#NAME?</v>
      </c>
      <c r="AC1077" s="58" t="str">
        <f t="shared" si="916"/>
        <v>#NAME?</v>
      </c>
      <c r="AD1077" s="57">
        <f t="shared" si="906"/>
        <v>0</v>
      </c>
      <c r="AE1077" s="57" t="str">
        <f t="shared" si="907"/>
        <v/>
      </c>
      <c r="AF1077" s="57">
        <f t="shared" si="908"/>
        <v>0</v>
      </c>
      <c r="AG1077" s="59">
        <f t="shared" si="909"/>
        <v>0</v>
      </c>
      <c r="AH1077" s="15"/>
      <c r="AI1077" s="15"/>
      <c r="AJ1077" s="15"/>
      <c r="AK1077" s="15"/>
      <c r="AL1077" s="15"/>
      <c r="AM1077" s="15"/>
      <c r="AN1077" s="15"/>
      <c r="AO1077" s="15"/>
      <c r="AP1077" s="15"/>
      <c r="AQ1077" s="15"/>
      <c r="AR1077" s="15"/>
      <c r="AS1077" s="15"/>
      <c r="AT1077" s="15"/>
      <c r="AU1077" s="15"/>
    </row>
    <row r="1078" ht="24.0" customHeight="1">
      <c r="A1078" s="45">
        <v>2502.0</v>
      </c>
      <c r="B1078" s="57"/>
      <c r="C1078" s="57"/>
      <c r="D1078" s="88" t="str">
        <f t="array" ref="D1078">IFERROR(
  LOOKUP(2, 1/((TRIM(IMS!$E$8:$E$2574)=TRIM(IMS!$E1078))*(IMS!$C$8:$C$2574&lt;IMS!$C1078)),
         IMS!$C$8:$C$2574),
"")</f>
        <v/>
      </c>
      <c r="E1078" s="57"/>
      <c r="F1078" s="57"/>
      <c r="G1078" s="77" t="str">
        <f t="shared" si="901"/>
        <v/>
      </c>
      <c r="H1078" s="78" t="str">
        <f t="shared" si="902"/>
        <v/>
      </c>
      <c r="I1078" s="79"/>
      <c r="J1078" s="80" t="str">
        <f t="shared" si="903"/>
        <v>#NAME?</v>
      </c>
      <c r="K1078" s="58"/>
      <c r="L1078" s="58"/>
      <c r="M1078" s="57"/>
      <c r="N1078" s="57"/>
      <c r="O1078" s="58"/>
      <c r="P1078" s="82"/>
      <c r="Q1078" s="81"/>
      <c r="R1078" s="81"/>
      <c r="S1078" s="57"/>
      <c r="T1078" s="82"/>
      <c r="U1078" s="82"/>
      <c r="V1078" s="57"/>
      <c r="W1078" s="57"/>
      <c r="X1078" s="57" t="str">
        <f t="shared" si="917"/>
        <v/>
      </c>
      <c r="Y1078" s="58" t="str">
        <f t="shared" ref="Y1078:AC1078" si="918">TRIM(SUBSTITUTE(SUBSTITUTE(OFFSET($Q1078,0,COLUMN()-COLUMN($AL$1)),CHAR(160)," "),_xludf.UNICHAR(8239)," "))</f>
        <v>#NAME?</v>
      </c>
      <c r="Z1078" s="58" t="str">
        <f t="shared" si="918"/>
        <v>#NAME?</v>
      </c>
      <c r="AA1078" s="58" t="str">
        <f t="shared" si="918"/>
        <v>#NAME?</v>
      </c>
      <c r="AB1078" s="58" t="str">
        <f t="shared" si="918"/>
        <v>#NAME?</v>
      </c>
      <c r="AC1078" s="58" t="str">
        <f t="shared" si="918"/>
        <v>#NAME?</v>
      </c>
      <c r="AD1078" s="57">
        <f t="shared" si="906"/>
        <v>0</v>
      </c>
      <c r="AE1078" s="57" t="str">
        <f t="shared" si="907"/>
        <v/>
      </c>
      <c r="AF1078" s="57">
        <f t="shared" si="908"/>
        <v>0</v>
      </c>
      <c r="AG1078" s="59">
        <f t="shared" si="909"/>
        <v>0</v>
      </c>
      <c r="AH1078" s="15"/>
      <c r="AI1078" s="15"/>
      <c r="AJ1078" s="15"/>
      <c r="AK1078" s="15"/>
      <c r="AL1078" s="15"/>
      <c r="AM1078" s="15"/>
      <c r="AN1078" s="15"/>
      <c r="AO1078" s="15"/>
      <c r="AP1078" s="15"/>
      <c r="AQ1078" s="15"/>
      <c r="AR1078" s="15"/>
      <c r="AS1078" s="15"/>
      <c r="AT1078" s="15"/>
      <c r="AU1078" s="15"/>
    </row>
    <row r="1079" ht="24.0" customHeight="1">
      <c r="A1079" s="45">
        <v>2503.0</v>
      </c>
      <c r="B1079" s="57"/>
      <c r="C1079" s="57"/>
      <c r="D1079" s="88" t="str">
        <f t="array" ref="D1079">IFERROR(
  LOOKUP(2, 1/((TRIM(IMS!$E$8:$E$2574)=TRIM(IMS!$E1079))*(IMS!$C$8:$C$2574&lt;IMS!$C1079)),
         IMS!$C$8:$C$2574),
"")</f>
        <v/>
      </c>
      <c r="E1079" s="57"/>
      <c r="F1079" s="57"/>
      <c r="G1079" s="77" t="str">
        <f t="shared" si="901"/>
        <v/>
      </c>
      <c r="H1079" s="78" t="str">
        <f t="shared" si="902"/>
        <v/>
      </c>
      <c r="I1079" s="79"/>
      <c r="J1079" s="80" t="str">
        <f t="shared" si="903"/>
        <v>#NAME?</v>
      </c>
      <c r="K1079" s="58"/>
      <c r="L1079" s="58"/>
      <c r="M1079" s="57"/>
      <c r="N1079" s="57"/>
      <c r="O1079" s="58"/>
      <c r="P1079" s="82"/>
      <c r="Q1079" s="81"/>
      <c r="R1079" s="81"/>
      <c r="S1079" s="57"/>
      <c r="T1079" s="82"/>
      <c r="U1079" s="82"/>
      <c r="V1079" s="57"/>
      <c r="W1079" s="57"/>
      <c r="X1079" s="57" t="str">
        <f t="shared" si="917"/>
        <v/>
      </c>
      <c r="Y1079" s="58" t="str">
        <f t="shared" ref="Y1079:AC1079" si="919">TRIM(SUBSTITUTE(SUBSTITUTE(OFFSET($Q1079,0,COLUMN()-COLUMN($AL$1)),CHAR(160)," "),_xludf.UNICHAR(8239)," "))</f>
        <v>#NAME?</v>
      </c>
      <c r="Z1079" s="58" t="str">
        <f t="shared" si="919"/>
        <v>#NAME?</v>
      </c>
      <c r="AA1079" s="58" t="str">
        <f t="shared" si="919"/>
        <v>#NAME?</v>
      </c>
      <c r="AB1079" s="58" t="str">
        <f t="shared" si="919"/>
        <v>#NAME?</v>
      </c>
      <c r="AC1079" s="58" t="str">
        <f t="shared" si="919"/>
        <v>#NAME?</v>
      </c>
      <c r="AD1079" s="57">
        <f t="shared" si="906"/>
        <v>0</v>
      </c>
      <c r="AE1079" s="57" t="str">
        <f t="shared" si="907"/>
        <v/>
      </c>
      <c r="AF1079" s="57">
        <f t="shared" si="908"/>
        <v>0</v>
      </c>
      <c r="AG1079" s="59">
        <f t="shared" si="909"/>
        <v>0</v>
      </c>
      <c r="AH1079" s="15"/>
      <c r="AI1079" s="15"/>
      <c r="AJ1079" s="15"/>
      <c r="AK1079" s="15"/>
      <c r="AL1079" s="15"/>
      <c r="AM1079" s="15"/>
      <c r="AN1079" s="15"/>
      <c r="AO1079" s="15"/>
      <c r="AP1079" s="15"/>
      <c r="AQ1079" s="15"/>
      <c r="AR1079" s="15"/>
      <c r="AS1079" s="15"/>
      <c r="AT1079" s="15"/>
      <c r="AU1079" s="15"/>
    </row>
    <row r="1080" ht="24.0" customHeight="1">
      <c r="A1080" s="45">
        <v>2504.0</v>
      </c>
      <c r="B1080" s="57"/>
      <c r="C1080" s="57"/>
      <c r="D1080" s="88" t="str">
        <f t="array" ref="D1080">IFERROR(
  LOOKUP(2, 1/((TRIM(IMS!$E$8:$E$2574)=TRIM(IMS!$E1080))*(IMS!$C$8:$C$2574&lt;IMS!$C1080)),
         IMS!$C$8:$C$2574),
"")</f>
        <v/>
      </c>
      <c r="E1080" s="57"/>
      <c r="F1080" s="57"/>
      <c r="G1080" s="77" t="str">
        <f t="shared" si="901"/>
        <v/>
      </c>
      <c r="H1080" s="78" t="str">
        <f t="shared" si="902"/>
        <v/>
      </c>
      <c r="I1080" s="79"/>
      <c r="J1080" s="80" t="str">
        <f t="shared" si="903"/>
        <v>#NAME?</v>
      </c>
      <c r="K1080" s="58"/>
      <c r="L1080" s="58"/>
      <c r="M1080" s="57"/>
      <c r="N1080" s="57"/>
      <c r="O1080" s="58"/>
      <c r="P1080" s="82"/>
      <c r="Q1080" s="81"/>
      <c r="R1080" s="81"/>
      <c r="S1080" s="57"/>
      <c r="T1080" s="82"/>
      <c r="U1080" s="82"/>
      <c r="V1080" s="57"/>
      <c r="W1080" s="57"/>
      <c r="X1080" s="57" t="str">
        <f t="shared" si="917"/>
        <v/>
      </c>
      <c r="Y1080" s="58" t="str">
        <f t="shared" ref="Y1080:AC1080" si="920">TRIM(SUBSTITUTE(SUBSTITUTE(OFFSET($Q1080,0,COLUMN()-COLUMN($AL$1)),CHAR(160)," "),_xludf.UNICHAR(8239)," "))</f>
        <v>#NAME?</v>
      </c>
      <c r="Z1080" s="58" t="str">
        <f t="shared" si="920"/>
        <v>#NAME?</v>
      </c>
      <c r="AA1080" s="58" t="str">
        <f t="shared" si="920"/>
        <v>#NAME?</v>
      </c>
      <c r="AB1080" s="58" t="str">
        <f t="shared" si="920"/>
        <v>#NAME?</v>
      </c>
      <c r="AC1080" s="58" t="str">
        <f t="shared" si="920"/>
        <v>#NAME?</v>
      </c>
      <c r="AD1080" s="57">
        <f t="shared" si="906"/>
        <v>0</v>
      </c>
      <c r="AE1080" s="57" t="str">
        <f t="shared" si="907"/>
        <v/>
      </c>
      <c r="AF1080" s="57">
        <f t="shared" si="908"/>
        <v>0</v>
      </c>
      <c r="AG1080" s="59">
        <f t="shared" si="909"/>
        <v>0</v>
      </c>
      <c r="AH1080" s="15"/>
      <c r="AI1080" s="15"/>
      <c r="AJ1080" s="15"/>
      <c r="AK1080" s="15"/>
      <c r="AL1080" s="15"/>
      <c r="AM1080" s="15"/>
      <c r="AN1080" s="15"/>
      <c r="AO1080" s="15"/>
      <c r="AP1080" s="15"/>
      <c r="AQ1080" s="15"/>
      <c r="AR1080" s="15"/>
      <c r="AS1080" s="15"/>
      <c r="AT1080" s="15"/>
      <c r="AU1080" s="15"/>
    </row>
    <row r="1081" ht="24.0" customHeight="1">
      <c r="A1081" s="45">
        <v>2505.0</v>
      </c>
      <c r="B1081" s="57"/>
      <c r="C1081" s="57"/>
      <c r="D1081" s="88" t="str">
        <f t="array" ref="D1081">IFERROR(
  LOOKUP(2, 1/((TRIM(IMS!$E$8:$E$2574)=TRIM(IMS!$E1081))*(IMS!$C$8:$C$2574&lt;IMS!$C1081)),
         IMS!$C$8:$C$2574),
"")</f>
        <v/>
      </c>
      <c r="E1081" s="57"/>
      <c r="F1081" s="57"/>
      <c r="G1081" s="77" t="str">
        <f t="shared" si="901"/>
        <v/>
      </c>
      <c r="H1081" s="78" t="str">
        <f t="shared" si="902"/>
        <v/>
      </c>
      <c r="I1081" s="79"/>
      <c r="J1081" s="80" t="str">
        <f t="shared" si="903"/>
        <v>#NAME?</v>
      </c>
      <c r="K1081" s="58"/>
      <c r="L1081" s="58"/>
      <c r="M1081" s="57"/>
      <c r="N1081" s="57"/>
      <c r="O1081" s="58"/>
      <c r="P1081" s="82"/>
      <c r="Q1081" s="81"/>
      <c r="R1081" s="81"/>
      <c r="S1081" s="57"/>
      <c r="T1081" s="82"/>
      <c r="U1081" s="82"/>
      <c r="V1081" s="57"/>
      <c r="W1081" s="57"/>
      <c r="X1081" s="57" t="str">
        <f t="shared" si="917"/>
        <v/>
      </c>
      <c r="Y1081" s="58" t="str">
        <f t="shared" ref="Y1081:AC1081" si="921">TRIM(SUBSTITUTE(SUBSTITUTE(OFFSET($Q1081,0,COLUMN()-COLUMN($AL$1)),CHAR(160)," "),_xludf.UNICHAR(8239)," "))</f>
        <v>#NAME?</v>
      </c>
      <c r="Z1081" s="58" t="str">
        <f t="shared" si="921"/>
        <v>#NAME?</v>
      </c>
      <c r="AA1081" s="58" t="str">
        <f t="shared" si="921"/>
        <v>#NAME?</v>
      </c>
      <c r="AB1081" s="58" t="str">
        <f t="shared" si="921"/>
        <v>#NAME?</v>
      </c>
      <c r="AC1081" s="58" t="str">
        <f t="shared" si="921"/>
        <v>#NAME?</v>
      </c>
      <c r="AD1081" s="57">
        <f t="shared" si="906"/>
        <v>0</v>
      </c>
      <c r="AE1081" s="57" t="str">
        <f t="shared" si="907"/>
        <v/>
      </c>
      <c r="AF1081" s="57">
        <f t="shared" si="908"/>
        <v>0</v>
      </c>
      <c r="AG1081" s="59">
        <f t="shared" si="909"/>
        <v>0</v>
      </c>
      <c r="AH1081" s="15"/>
      <c r="AI1081" s="15"/>
      <c r="AJ1081" s="15"/>
      <c r="AK1081" s="15"/>
      <c r="AL1081" s="15"/>
      <c r="AM1081" s="15"/>
      <c r="AN1081" s="15"/>
      <c r="AO1081" s="15"/>
      <c r="AP1081" s="15"/>
      <c r="AQ1081" s="15"/>
      <c r="AR1081" s="15"/>
      <c r="AS1081" s="15"/>
      <c r="AT1081" s="15"/>
      <c r="AU1081" s="15"/>
    </row>
    <row r="1082" ht="24.0" customHeight="1">
      <c r="A1082" s="45">
        <v>2506.0</v>
      </c>
      <c r="B1082" s="57"/>
      <c r="C1082" s="57"/>
      <c r="D1082" s="88" t="str">
        <f t="array" ref="D1082">IFERROR(
  LOOKUP(2, 1/((TRIM(IMS!$E$8:$E$2574)=TRIM(IMS!$E1082))*(IMS!$C$8:$C$2574&lt;IMS!$C1082)),
         IMS!$C$8:$C$2574),
"")</f>
        <v/>
      </c>
      <c r="E1082" s="57"/>
      <c r="F1082" s="57"/>
      <c r="G1082" s="77" t="str">
        <f t="shared" si="901"/>
        <v/>
      </c>
      <c r="H1082" s="78" t="str">
        <f t="shared" si="902"/>
        <v/>
      </c>
      <c r="I1082" s="79"/>
      <c r="J1082" s="80" t="str">
        <f t="shared" si="903"/>
        <v>#NAME?</v>
      </c>
      <c r="K1082" s="58"/>
      <c r="L1082" s="58"/>
      <c r="M1082" s="57"/>
      <c r="N1082" s="57"/>
      <c r="O1082" s="58"/>
      <c r="P1082" s="82"/>
      <c r="Q1082" s="81"/>
      <c r="R1082" s="81"/>
      <c r="S1082" s="57"/>
      <c r="T1082" s="82"/>
      <c r="U1082" s="82"/>
      <c r="V1082" s="57"/>
      <c r="W1082" s="57"/>
      <c r="X1082" s="57" t="str">
        <f t="shared" si="917"/>
        <v/>
      </c>
      <c r="Y1082" s="58" t="str">
        <f t="shared" ref="Y1082:AC1082" si="922">TRIM(SUBSTITUTE(SUBSTITUTE(OFFSET($Q1082,0,COLUMN()-COLUMN($AL$1)),CHAR(160)," "),_xludf.UNICHAR(8239)," "))</f>
        <v>#NAME?</v>
      </c>
      <c r="Z1082" s="58" t="str">
        <f t="shared" si="922"/>
        <v>#NAME?</v>
      </c>
      <c r="AA1082" s="58" t="str">
        <f t="shared" si="922"/>
        <v>#NAME?</v>
      </c>
      <c r="AB1082" s="58" t="str">
        <f t="shared" si="922"/>
        <v>#NAME?</v>
      </c>
      <c r="AC1082" s="58" t="str">
        <f t="shared" si="922"/>
        <v>#NAME?</v>
      </c>
      <c r="AD1082" s="57">
        <f t="shared" si="906"/>
        <v>0</v>
      </c>
      <c r="AE1082" s="57" t="str">
        <f t="shared" si="907"/>
        <v/>
      </c>
      <c r="AF1082" s="57">
        <f t="shared" si="908"/>
        <v>0</v>
      </c>
      <c r="AG1082" s="59">
        <f t="shared" si="909"/>
        <v>0</v>
      </c>
      <c r="AH1082" s="15"/>
      <c r="AI1082" s="15"/>
      <c r="AJ1082" s="15"/>
      <c r="AK1082" s="15"/>
      <c r="AL1082" s="15"/>
      <c r="AM1082" s="15"/>
      <c r="AN1082" s="15"/>
      <c r="AO1082" s="15"/>
      <c r="AP1082" s="15"/>
      <c r="AQ1082" s="15"/>
      <c r="AR1082" s="15"/>
      <c r="AS1082" s="15"/>
      <c r="AT1082" s="15"/>
      <c r="AU1082" s="15"/>
    </row>
    <row r="1083" ht="24.0" customHeight="1">
      <c r="A1083" s="45">
        <v>2507.0</v>
      </c>
      <c r="B1083" s="57"/>
      <c r="C1083" s="57"/>
      <c r="D1083" s="88" t="str">
        <f t="array" ref="D1083">IFERROR(
  LOOKUP(2, 1/((TRIM(IMS!$E$8:$E$2574)=TRIM(IMS!$E1083))*(IMS!$C$8:$C$2574&lt;IMS!$C1083)),
         IMS!$C$8:$C$2574),
"")</f>
        <v/>
      </c>
      <c r="E1083" s="57"/>
      <c r="F1083" s="57"/>
      <c r="G1083" s="77" t="str">
        <f t="shared" si="901"/>
        <v/>
      </c>
      <c r="H1083" s="78" t="str">
        <f t="shared" si="902"/>
        <v/>
      </c>
      <c r="I1083" s="79"/>
      <c r="J1083" s="80" t="str">
        <f t="shared" si="903"/>
        <v>#NAME?</v>
      </c>
      <c r="K1083" s="58"/>
      <c r="L1083" s="58"/>
      <c r="M1083" s="57"/>
      <c r="N1083" s="57"/>
      <c r="O1083" s="58"/>
      <c r="P1083" s="82"/>
      <c r="Q1083" s="81"/>
      <c r="R1083" s="81"/>
      <c r="S1083" s="57"/>
      <c r="T1083" s="82"/>
      <c r="U1083" s="82"/>
      <c r="V1083" s="57"/>
      <c r="W1083" s="57"/>
      <c r="X1083" s="57" t="str">
        <f t="shared" si="917"/>
        <v/>
      </c>
      <c r="Y1083" s="58" t="str">
        <f t="shared" ref="Y1083:AC1083" si="923">TRIM(SUBSTITUTE(SUBSTITUTE(OFFSET($Q1083,0,COLUMN()-COLUMN($AL$1)),CHAR(160)," "),_xludf.UNICHAR(8239)," "))</f>
        <v>#NAME?</v>
      </c>
      <c r="Z1083" s="58" t="str">
        <f t="shared" si="923"/>
        <v>#NAME?</v>
      </c>
      <c r="AA1083" s="58" t="str">
        <f t="shared" si="923"/>
        <v>#NAME?</v>
      </c>
      <c r="AB1083" s="58" t="str">
        <f t="shared" si="923"/>
        <v>#NAME?</v>
      </c>
      <c r="AC1083" s="58" t="str">
        <f t="shared" si="923"/>
        <v>#NAME?</v>
      </c>
      <c r="AD1083" s="57">
        <f t="shared" si="906"/>
        <v>0</v>
      </c>
      <c r="AE1083" s="57" t="str">
        <f t="shared" si="907"/>
        <v/>
      </c>
      <c r="AF1083" s="57">
        <f t="shared" si="908"/>
        <v>0</v>
      </c>
      <c r="AG1083" s="59">
        <f t="shared" si="909"/>
        <v>0</v>
      </c>
      <c r="AH1083" s="15"/>
      <c r="AI1083" s="15"/>
      <c r="AJ1083" s="15"/>
      <c r="AK1083" s="15"/>
      <c r="AL1083" s="15"/>
      <c r="AM1083" s="15"/>
      <c r="AN1083" s="15"/>
      <c r="AO1083" s="15"/>
      <c r="AP1083" s="15"/>
      <c r="AQ1083" s="15"/>
      <c r="AR1083" s="15"/>
      <c r="AS1083" s="15"/>
      <c r="AT1083" s="15"/>
      <c r="AU1083" s="15"/>
    </row>
    <row r="1084" ht="24.0" customHeight="1">
      <c r="A1084" s="45">
        <v>2508.0</v>
      </c>
      <c r="B1084" s="57"/>
      <c r="C1084" s="57"/>
      <c r="D1084" s="88" t="str">
        <f t="array" ref="D1084">IFERROR(
  LOOKUP(2, 1/((TRIM(IMS!$E$8:$E$2574)=TRIM(IMS!$E1084))*(IMS!$C$8:$C$2574&lt;IMS!$C1084)),
         IMS!$C$8:$C$2574),
"")</f>
        <v/>
      </c>
      <c r="E1084" s="57"/>
      <c r="F1084" s="57"/>
      <c r="G1084" s="77" t="str">
        <f t="shared" si="901"/>
        <v/>
      </c>
      <c r="H1084" s="78" t="str">
        <f t="shared" si="902"/>
        <v/>
      </c>
      <c r="I1084" s="79"/>
      <c r="J1084" s="80" t="str">
        <f t="shared" si="903"/>
        <v>#NAME?</v>
      </c>
      <c r="K1084" s="58"/>
      <c r="L1084" s="58"/>
      <c r="M1084" s="57"/>
      <c r="N1084" s="57"/>
      <c r="O1084" s="58"/>
      <c r="P1084" s="82"/>
      <c r="Q1084" s="81"/>
      <c r="R1084" s="81"/>
      <c r="S1084" s="57"/>
      <c r="T1084" s="82"/>
      <c r="U1084" s="82"/>
      <c r="V1084" s="57"/>
      <c r="W1084" s="57"/>
      <c r="X1084" s="57" t="str">
        <f t="shared" si="917"/>
        <v/>
      </c>
      <c r="Y1084" s="58" t="str">
        <f t="shared" ref="Y1084:AC1084" si="924">TRIM(SUBSTITUTE(SUBSTITUTE(OFFSET($Q1084,0,COLUMN()-COLUMN($AL$1)),CHAR(160)," "),_xludf.UNICHAR(8239)," "))</f>
        <v>#NAME?</v>
      </c>
      <c r="Z1084" s="58" t="str">
        <f t="shared" si="924"/>
        <v>#NAME?</v>
      </c>
      <c r="AA1084" s="58" t="str">
        <f t="shared" si="924"/>
        <v>#NAME?</v>
      </c>
      <c r="AB1084" s="58" t="str">
        <f t="shared" si="924"/>
        <v>#NAME?</v>
      </c>
      <c r="AC1084" s="58" t="str">
        <f t="shared" si="924"/>
        <v>#NAME?</v>
      </c>
      <c r="AD1084" s="57">
        <f t="shared" si="906"/>
        <v>0</v>
      </c>
      <c r="AE1084" s="57" t="str">
        <f t="shared" si="907"/>
        <v/>
      </c>
      <c r="AF1084" s="57">
        <f t="shared" si="908"/>
        <v>0</v>
      </c>
      <c r="AG1084" s="59">
        <f t="shared" si="909"/>
        <v>0</v>
      </c>
      <c r="AH1084" s="15"/>
      <c r="AI1084" s="15"/>
      <c r="AJ1084" s="15"/>
      <c r="AK1084" s="15"/>
      <c r="AL1084" s="15"/>
      <c r="AM1084" s="15"/>
      <c r="AN1084" s="15"/>
      <c r="AO1084" s="15"/>
      <c r="AP1084" s="15"/>
      <c r="AQ1084" s="15"/>
      <c r="AR1084" s="15"/>
      <c r="AS1084" s="15"/>
      <c r="AT1084" s="15"/>
      <c r="AU1084" s="15"/>
    </row>
    <row r="1085" ht="24.0" customHeight="1">
      <c r="A1085" s="45">
        <v>2509.0</v>
      </c>
      <c r="B1085" s="57"/>
      <c r="C1085" s="57"/>
      <c r="D1085" s="88" t="str">
        <f t="array" ref="D1085">IFERROR(
  LOOKUP(2, 1/((TRIM(IMS!$E$8:$E$2574)=TRIM(IMS!$E1085))*(IMS!$C$8:$C$2574&lt;IMS!$C1085)),
         IMS!$C$8:$C$2574),
"")</f>
        <v/>
      </c>
      <c r="E1085" s="57"/>
      <c r="F1085" s="57"/>
      <c r="G1085" s="77" t="str">
        <f t="shared" si="901"/>
        <v/>
      </c>
      <c r="H1085" s="78" t="str">
        <f t="shared" si="902"/>
        <v/>
      </c>
      <c r="I1085" s="79"/>
      <c r="J1085" s="80" t="str">
        <f t="shared" si="903"/>
        <v>#NAME?</v>
      </c>
      <c r="K1085" s="58"/>
      <c r="L1085" s="58"/>
      <c r="M1085" s="57"/>
      <c r="N1085" s="57"/>
      <c r="O1085" s="58"/>
      <c r="P1085" s="82"/>
      <c r="Q1085" s="81"/>
      <c r="R1085" s="81"/>
      <c r="S1085" s="57"/>
      <c r="T1085" s="82"/>
      <c r="U1085" s="82"/>
      <c r="V1085" s="57"/>
      <c r="W1085" s="57"/>
      <c r="X1085" s="57" t="str">
        <f t="shared" si="917"/>
        <v/>
      </c>
      <c r="Y1085" s="58" t="str">
        <f t="shared" ref="Y1085:AC1085" si="925">TRIM(SUBSTITUTE(SUBSTITUTE(OFFSET($Q1085,0,COLUMN()-COLUMN($AL$1)),CHAR(160)," "),_xludf.UNICHAR(8239)," "))</f>
        <v>#NAME?</v>
      </c>
      <c r="Z1085" s="58" t="str">
        <f t="shared" si="925"/>
        <v>#NAME?</v>
      </c>
      <c r="AA1085" s="58" t="str">
        <f t="shared" si="925"/>
        <v>#NAME?</v>
      </c>
      <c r="AB1085" s="58" t="str">
        <f t="shared" si="925"/>
        <v>#NAME?</v>
      </c>
      <c r="AC1085" s="58" t="str">
        <f t="shared" si="925"/>
        <v>#NAME?</v>
      </c>
      <c r="AD1085" s="57">
        <f t="shared" si="906"/>
        <v>0</v>
      </c>
      <c r="AE1085" s="57" t="str">
        <f t="shared" si="907"/>
        <v/>
      </c>
      <c r="AF1085" s="57">
        <f t="shared" si="908"/>
        <v>0</v>
      </c>
      <c r="AG1085" s="59">
        <f t="shared" si="909"/>
        <v>0</v>
      </c>
      <c r="AH1085" s="15"/>
      <c r="AI1085" s="15"/>
      <c r="AJ1085" s="15"/>
      <c r="AK1085" s="15"/>
      <c r="AL1085" s="15"/>
      <c r="AM1085" s="15"/>
      <c r="AN1085" s="15"/>
      <c r="AO1085" s="15"/>
      <c r="AP1085" s="15"/>
      <c r="AQ1085" s="15"/>
      <c r="AR1085" s="15"/>
      <c r="AS1085" s="15"/>
      <c r="AT1085" s="15"/>
      <c r="AU1085" s="15"/>
    </row>
    <row r="1086" ht="24.0" customHeight="1">
      <c r="A1086" s="45">
        <v>2510.0</v>
      </c>
      <c r="B1086" s="57"/>
      <c r="C1086" s="57"/>
      <c r="D1086" s="88" t="str">
        <f t="array" ref="D1086">IFERROR(
  LOOKUP(2, 1/((TRIM(IMS!$E$8:$E$2574)=TRIM(IMS!$E1086))*(IMS!$C$8:$C$2574&lt;IMS!$C1086)),
         IMS!$C$8:$C$2574),
"")</f>
        <v/>
      </c>
      <c r="E1086" s="57"/>
      <c r="F1086" s="57"/>
      <c r="G1086" s="77" t="str">
        <f t="shared" si="901"/>
        <v/>
      </c>
      <c r="H1086" s="78" t="str">
        <f t="shared" si="902"/>
        <v/>
      </c>
      <c r="I1086" s="79"/>
      <c r="J1086" s="80" t="str">
        <f t="shared" si="903"/>
        <v>#NAME?</v>
      </c>
      <c r="K1086" s="58"/>
      <c r="L1086" s="58"/>
      <c r="M1086" s="57"/>
      <c r="N1086" s="57"/>
      <c r="O1086" s="58"/>
      <c r="P1086" s="82"/>
      <c r="Q1086" s="81"/>
      <c r="R1086" s="81"/>
      <c r="S1086" s="57"/>
      <c r="T1086" s="82"/>
      <c r="U1086" s="82"/>
      <c r="V1086" s="57"/>
      <c r="W1086" s="57"/>
      <c r="X1086" s="57" t="str">
        <f t="shared" si="917"/>
        <v/>
      </c>
      <c r="Y1086" s="58" t="str">
        <f t="shared" ref="Y1086:AC1086" si="926">TRIM(SUBSTITUTE(SUBSTITUTE(OFFSET($Q1086,0,COLUMN()-COLUMN($AL$1)),CHAR(160)," "),_xludf.UNICHAR(8239)," "))</f>
        <v>#NAME?</v>
      </c>
      <c r="Z1086" s="58" t="str">
        <f t="shared" si="926"/>
        <v>#NAME?</v>
      </c>
      <c r="AA1086" s="58" t="str">
        <f t="shared" si="926"/>
        <v>#NAME?</v>
      </c>
      <c r="AB1086" s="58" t="str">
        <f t="shared" si="926"/>
        <v>#NAME?</v>
      </c>
      <c r="AC1086" s="58" t="str">
        <f t="shared" si="926"/>
        <v>#NAME?</v>
      </c>
      <c r="AD1086" s="57">
        <f t="shared" si="906"/>
        <v>0</v>
      </c>
      <c r="AE1086" s="57" t="str">
        <f t="shared" si="907"/>
        <v/>
      </c>
      <c r="AF1086" s="57">
        <f t="shared" si="908"/>
        <v>0</v>
      </c>
      <c r="AG1086" s="59">
        <f t="shared" si="909"/>
        <v>0</v>
      </c>
      <c r="AH1086" s="15"/>
      <c r="AI1086" s="15"/>
      <c r="AJ1086" s="15"/>
      <c r="AK1086" s="15"/>
      <c r="AL1086" s="15"/>
      <c r="AM1086" s="15"/>
      <c r="AN1086" s="15"/>
      <c r="AO1086" s="15"/>
      <c r="AP1086" s="15"/>
      <c r="AQ1086" s="15"/>
      <c r="AR1086" s="15"/>
      <c r="AS1086" s="15"/>
      <c r="AT1086" s="15"/>
      <c r="AU1086" s="15"/>
    </row>
    <row r="1087" ht="24.0" customHeight="1">
      <c r="A1087" s="45">
        <v>2511.0</v>
      </c>
      <c r="B1087" s="57"/>
      <c r="C1087" s="57"/>
      <c r="D1087" s="88" t="str">
        <f t="array" ref="D1087">IFERROR(
  LOOKUP(2, 1/((TRIM(IMS!$E$8:$E$2574)=TRIM(IMS!$E1087))*(IMS!$C$8:$C$2574&lt;IMS!$C1087)),
         IMS!$C$8:$C$2574),
"")</f>
        <v/>
      </c>
      <c r="E1087" s="57"/>
      <c r="F1087" s="57"/>
      <c r="G1087" s="77" t="str">
        <f t="shared" si="901"/>
        <v/>
      </c>
      <c r="H1087" s="78" t="str">
        <f t="shared" si="902"/>
        <v/>
      </c>
      <c r="I1087" s="79"/>
      <c r="J1087" s="80" t="str">
        <f t="shared" si="903"/>
        <v>#NAME?</v>
      </c>
      <c r="K1087" s="58"/>
      <c r="L1087" s="58"/>
      <c r="M1087" s="57"/>
      <c r="N1087" s="57"/>
      <c r="O1087" s="58"/>
      <c r="P1087" s="82"/>
      <c r="Q1087" s="81"/>
      <c r="R1087" s="81"/>
      <c r="S1087" s="57"/>
      <c r="T1087" s="82"/>
      <c r="U1087" s="82"/>
      <c r="V1087" s="57"/>
      <c r="W1087" s="57"/>
      <c r="X1087" s="57" t="str">
        <f t="shared" si="917"/>
        <v/>
      </c>
      <c r="Y1087" s="58" t="str">
        <f t="shared" ref="Y1087:AC1087" si="927">TRIM(SUBSTITUTE(SUBSTITUTE(OFFSET($Q1087,0,COLUMN()-COLUMN($AL$1)),CHAR(160)," "),_xludf.UNICHAR(8239)," "))</f>
        <v>#NAME?</v>
      </c>
      <c r="Z1087" s="58" t="str">
        <f t="shared" si="927"/>
        <v>#NAME?</v>
      </c>
      <c r="AA1087" s="58" t="str">
        <f t="shared" si="927"/>
        <v>#NAME?</v>
      </c>
      <c r="AB1087" s="58" t="str">
        <f t="shared" si="927"/>
        <v>#NAME?</v>
      </c>
      <c r="AC1087" s="58" t="str">
        <f t="shared" si="927"/>
        <v>#NAME?</v>
      </c>
      <c r="AD1087" s="57">
        <f t="shared" si="906"/>
        <v>0</v>
      </c>
      <c r="AE1087" s="57" t="str">
        <f t="shared" si="907"/>
        <v/>
      </c>
      <c r="AF1087" s="57">
        <f t="shared" si="908"/>
        <v>0</v>
      </c>
      <c r="AG1087" s="59">
        <f t="shared" si="909"/>
        <v>0</v>
      </c>
      <c r="AH1087" s="15"/>
      <c r="AI1087" s="15"/>
      <c r="AJ1087" s="15"/>
      <c r="AK1087" s="15"/>
      <c r="AL1087" s="15"/>
      <c r="AM1087" s="15"/>
      <c r="AN1087" s="15"/>
      <c r="AO1087" s="15"/>
      <c r="AP1087" s="15"/>
      <c r="AQ1087" s="15"/>
      <c r="AR1087" s="15"/>
      <c r="AS1087" s="15"/>
      <c r="AT1087" s="15"/>
      <c r="AU1087" s="15"/>
    </row>
    <row r="1088" ht="24.0" customHeight="1">
      <c r="A1088" s="45">
        <v>2512.0</v>
      </c>
      <c r="B1088" s="57"/>
      <c r="C1088" s="57"/>
      <c r="D1088" s="88" t="str">
        <f t="array" ref="D1088">IFERROR(
  LOOKUP(2, 1/((TRIM(IMS!$E$8:$E$2574)=TRIM(IMS!$E1088))*(IMS!$C$8:$C$2574&lt;IMS!$C1088)),
         IMS!$C$8:$C$2574),
"")</f>
        <v/>
      </c>
      <c r="E1088" s="57"/>
      <c r="F1088" s="57"/>
      <c r="G1088" s="77" t="str">
        <f t="shared" si="901"/>
        <v/>
      </c>
      <c r="H1088" s="78" t="str">
        <f t="shared" si="902"/>
        <v/>
      </c>
      <c r="I1088" s="79"/>
      <c r="J1088" s="80" t="str">
        <f t="shared" si="903"/>
        <v>#NAME?</v>
      </c>
      <c r="K1088" s="58"/>
      <c r="L1088" s="58"/>
      <c r="M1088" s="57"/>
      <c r="N1088" s="57"/>
      <c r="O1088" s="58"/>
      <c r="P1088" s="82"/>
      <c r="Q1088" s="81"/>
      <c r="R1088" s="81"/>
      <c r="S1088" s="57"/>
      <c r="T1088" s="82"/>
      <c r="U1088" s="82"/>
      <c r="V1088" s="57"/>
      <c r="W1088" s="57"/>
      <c r="X1088" s="57" t="str">
        <f t="shared" si="917"/>
        <v/>
      </c>
      <c r="Y1088" s="58" t="str">
        <f t="shared" ref="Y1088:AC1088" si="928">TRIM(SUBSTITUTE(SUBSTITUTE(OFFSET($Q1088,0,COLUMN()-COLUMN($AL$1)),CHAR(160)," "),_xludf.UNICHAR(8239)," "))</f>
        <v>#NAME?</v>
      </c>
      <c r="Z1088" s="58" t="str">
        <f t="shared" si="928"/>
        <v>#NAME?</v>
      </c>
      <c r="AA1088" s="58" t="str">
        <f t="shared" si="928"/>
        <v>#NAME?</v>
      </c>
      <c r="AB1088" s="58" t="str">
        <f t="shared" si="928"/>
        <v>#NAME?</v>
      </c>
      <c r="AC1088" s="58" t="str">
        <f t="shared" si="928"/>
        <v>#NAME?</v>
      </c>
      <c r="AD1088" s="57">
        <f t="shared" si="906"/>
        <v>0</v>
      </c>
      <c r="AE1088" s="57" t="str">
        <f t="shared" si="907"/>
        <v/>
      </c>
      <c r="AF1088" s="57">
        <f t="shared" si="908"/>
        <v>0</v>
      </c>
      <c r="AG1088" s="59">
        <f t="shared" si="909"/>
        <v>0</v>
      </c>
      <c r="AH1088" s="15"/>
      <c r="AI1088" s="15"/>
      <c r="AJ1088" s="15"/>
      <c r="AK1088" s="15"/>
      <c r="AL1088" s="15"/>
      <c r="AM1088" s="15"/>
      <c r="AN1088" s="15"/>
      <c r="AO1088" s="15"/>
      <c r="AP1088" s="15"/>
      <c r="AQ1088" s="15"/>
      <c r="AR1088" s="15"/>
      <c r="AS1088" s="15"/>
      <c r="AT1088" s="15"/>
      <c r="AU1088" s="15"/>
    </row>
    <row r="1089" ht="24.0" customHeight="1">
      <c r="A1089" s="45">
        <v>2513.0</v>
      </c>
      <c r="B1089" s="57"/>
      <c r="C1089" s="57"/>
      <c r="D1089" s="88" t="str">
        <f t="array" ref="D1089">IFERROR(
  LOOKUP(2, 1/((TRIM(IMS!$E$8:$E$2574)=TRIM(IMS!$E1089))*(IMS!$C$8:$C$2574&lt;IMS!$C1089)),
         IMS!$C$8:$C$2574),
"")</f>
        <v/>
      </c>
      <c r="E1089" s="57"/>
      <c r="F1089" s="57"/>
      <c r="G1089" s="77" t="str">
        <f t="shared" si="901"/>
        <v/>
      </c>
      <c r="H1089" s="78" t="str">
        <f t="shared" si="902"/>
        <v/>
      </c>
      <c r="I1089" s="79"/>
      <c r="J1089" s="80" t="str">
        <f t="shared" si="903"/>
        <v>#NAME?</v>
      </c>
      <c r="K1089" s="58"/>
      <c r="L1089" s="58"/>
      <c r="M1089" s="57"/>
      <c r="N1089" s="57"/>
      <c r="O1089" s="58"/>
      <c r="P1089" s="82"/>
      <c r="Q1089" s="81"/>
      <c r="R1089" s="81"/>
      <c r="S1089" s="57"/>
      <c r="T1089" s="82"/>
      <c r="U1089" s="82"/>
      <c r="V1089" s="57"/>
      <c r="W1089" s="57"/>
      <c r="X1089" s="57" t="str">
        <f t="shared" si="917"/>
        <v/>
      </c>
      <c r="Y1089" s="58" t="str">
        <f t="shared" ref="Y1089:AC1089" si="929">TRIM(SUBSTITUTE(SUBSTITUTE(OFFSET($Q1089,0,COLUMN()-COLUMN($AL$1)),CHAR(160)," "),_xludf.UNICHAR(8239)," "))</f>
        <v>#NAME?</v>
      </c>
      <c r="Z1089" s="58" t="str">
        <f t="shared" si="929"/>
        <v>#NAME?</v>
      </c>
      <c r="AA1089" s="58" t="str">
        <f t="shared" si="929"/>
        <v>#NAME?</v>
      </c>
      <c r="AB1089" s="58" t="str">
        <f t="shared" si="929"/>
        <v>#NAME?</v>
      </c>
      <c r="AC1089" s="58" t="str">
        <f t="shared" si="929"/>
        <v>#NAME?</v>
      </c>
      <c r="AD1089" s="57">
        <f t="shared" si="906"/>
        <v>0</v>
      </c>
      <c r="AE1089" s="57" t="str">
        <f t="shared" si="907"/>
        <v/>
      </c>
      <c r="AF1089" s="57">
        <f t="shared" si="908"/>
        <v>0</v>
      </c>
      <c r="AG1089" s="59">
        <f t="shared" si="909"/>
        <v>0</v>
      </c>
      <c r="AH1089" s="15"/>
      <c r="AI1089" s="15"/>
      <c r="AJ1089" s="15"/>
      <c r="AK1089" s="15"/>
      <c r="AL1089" s="15"/>
      <c r="AM1089" s="15"/>
      <c r="AN1089" s="15"/>
      <c r="AO1089" s="15"/>
      <c r="AP1089" s="15"/>
      <c r="AQ1089" s="15"/>
      <c r="AR1089" s="15"/>
      <c r="AS1089" s="15"/>
      <c r="AT1089" s="15"/>
      <c r="AU1089" s="15"/>
    </row>
    <row r="1090" ht="24.0" customHeight="1">
      <c r="A1090" s="45">
        <v>2514.0</v>
      </c>
      <c r="B1090" s="57"/>
      <c r="C1090" s="57"/>
      <c r="D1090" s="88" t="str">
        <f t="array" ref="D1090">IFERROR(
  LOOKUP(2, 1/((TRIM(IMS!$E$8:$E$2574)=TRIM(IMS!$E1090))*(IMS!$C$8:$C$2574&lt;IMS!$C1090)),
         IMS!$C$8:$C$2574),
"")</f>
        <v/>
      </c>
      <c r="E1090" s="57"/>
      <c r="F1090" s="57"/>
      <c r="G1090" s="77" t="str">
        <f t="shared" si="901"/>
        <v/>
      </c>
      <c r="H1090" s="78" t="str">
        <f t="shared" si="902"/>
        <v/>
      </c>
      <c r="I1090" s="79"/>
      <c r="J1090" s="80" t="str">
        <f t="shared" si="903"/>
        <v>#NAME?</v>
      </c>
      <c r="K1090" s="58"/>
      <c r="L1090" s="58"/>
      <c r="M1090" s="57"/>
      <c r="N1090" s="57"/>
      <c r="O1090" s="58"/>
      <c r="P1090" s="82"/>
      <c r="Q1090" s="81"/>
      <c r="R1090" s="81"/>
      <c r="S1090" s="57"/>
      <c r="T1090" s="82"/>
      <c r="U1090" s="82"/>
      <c r="V1090" s="57"/>
      <c r="W1090" s="57"/>
      <c r="X1090" s="57" t="str">
        <f t="shared" si="917"/>
        <v/>
      </c>
      <c r="Y1090" s="58" t="str">
        <f t="shared" ref="Y1090:AC1090" si="930">TRIM(SUBSTITUTE(SUBSTITUTE(OFFSET($Q1090,0,COLUMN()-COLUMN($AL$1)),CHAR(160)," "),_xludf.UNICHAR(8239)," "))</f>
        <v>#NAME?</v>
      </c>
      <c r="Z1090" s="58" t="str">
        <f t="shared" si="930"/>
        <v>#NAME?</v>
      </c>
      <c r="AA1090" s="58" t="str">
        <f t="shared" si="930"/>
        <v>#NAME?</v>
      </c>
      <c r="AB1090" s="58" t="str">
        <f t="shared" si="930"/>
        <v>#NAME?</v>
      </c>
      <c r="AC1090" s="58" t="str">
        <f t="shared" si="930"/>
        <v>#NAME?</v>
      </c>
      <c r="AD1090" s="57">
        <f t="shared" si="906"/>
        <v>0</v>
      </c>
      <c r="AE1090" s="57" t="str">
        <f t="shared" si="907"/>
        <v/>
      </c>
      <c r="AF1090" s="57">
        <f t="shared" si="908"/>
        <v>0</v>
      </c>
      <c r="AG1090" s="59">
        <f t="shared" si="909"/>
        <v>0</v>
      </c>
      <c r="AH1090" s="15"/>
      <c r="AI1090" s="15"/>
      <c r="AJ1090" s="15"/>
      <c r="AK1090" s="15"/>
      <c r="AL1090" s="15"/>
      <c r="AM1090" s="15"/>
      <c r="AN1090" s="15"/>
      <c r="AO1090" s="15"/>
      <c r="AP1090" s="15"/>
      <c r="AQ1090" s="15"/>
      <c r="AR1090" s="15"/>
      <c r="AS1090" s="15"/>
      <c r="AT1090" s="15"/>
      <c r="AU1090" s="15"/>
    </row>
    <row r="1091" ht="24.0" customHeight="1">
      <c r="A1091" s="45">
        <v>2515.0</v>
      </c>
      <c r="B1091" s="57"/>
      <c r="C1091" s="57"/>
      <c r="D1091" s="88" t="str">
        <f t="array" ref="D1091">IFERROR(
  LOOKUP(2, 1/((TRIM(IMS!$E$8:$E$2574)=TRIM(IMS!$E1091))*(IMS!$C$8:$C$2574&lt;IMS!$C1091)),
         IMS!$C$8:$C$2574),
"")</f>
        <v/>
      </c>
      <c r="E1091" s="57"/>
      <c r="F1091" s="57"/>
      <c r="G1091" s="77" t="str">
        <f t="shared" si="901"/>
        <v/>
      </c>
      <c r="H1091" s="78" t="str">
        <f t="shared" si="902"/>
        <v/>
      </c>
      <c r="I1091" s="79"/>
      <c r="J1091" s="80" t="str">
        <f t="shared" si="903"/>
        <v>#NAME?</v>
      </c>
      <c r="K1091" s="58"/>
      <c r="L1091" s="58"/>
      <c r="M1091" s="57"/>
      <c r="N1091" s="57"/>
      <c r="O1091" s="58"/>
      <c r="P1091" s="82"/>
      <c r="Q1091" s="81"/>
      <c r="R1091" s="81"/>
      <c r="S1091" s="57"/>
      <c r="T1091" s="82"/>
      <c r="U1091" s="82"/>
      <c r="V1091" s="57"/>
      <c r="W1091" s="57"/>
      <c r="X1091" s="57" t="str">
        <f t="shared" si="917"/>
        <v/>
      </c>
      <c r="Y1091" s="58" t="str">
        <f t="shared" ref="Y1091:AC1091" si="931">TRIM(SUBSTITUTE(SUBSTITUTE(OFFSET($Q1091,0,COLUMN()-COLUMN($AL$1)),CHAR(160)," "),_xludf.UNICHAR(8239)," "))</f>
        <v>#NAME?</v>
      </c>
      <c r="Z1091" s="58" t="str">
        <f t="shared" si="931"/>
        <v>#NAME?</v>
      </c>
      <c r="AA1091" s="58" t="str">
        <f t="shared" si="931"/>
        <v>#NAME?</v>
      </c>
      <c r="AB1091" s="58" t="str">
        <f t="shared" si="931"/>
        <v>#NAME?</v>
      </c>
      <c r="AC1091" s="58" t="str">
        <f t="shared" si="931"/>
        <v>#NAME?</v>
      </c>
      <c r="AD1091" s="57">
        <f t="shared" si="906"/>
        <v>0</v>
      </c>
      <c r="AE1091" s="57" t="str">
        <f t="shared" si="907"/>
        <v/>
      </c>
      <c r="AF1091" s="57">
        <f t="shared" si="908"/>
        <v>0</v>
      </c>
      <c r="AG1091" s="59">
        <f t="shared" si="909"/>
        <v>0</v>
      </c>
      <c r="AH1091" s="15"/>
      <c r="AI1091" s="15"/>
      <c r="AJ1091" s="15"/>
      <c r="AK1091" s="15"/>
      <c r="AL1091" s="15"/>
      <c r="AM1091" s="15"/>
      <c r="AN1091" s="15"/>
      <c r="AO1091" s="15"/>
      <c r="AP1091" s="15"/>
      <c r="AQ1091" s="15"/>
      <c r="AR1091" s="15"/>
      <c r="AS1091" s="15"/>
      <c r="AT1091" s="15"/>
      <c r="AU1091" s="15"/>
    </row>
    <row r="1092" ht="24.0" customHeight="1">
      <c r="A1092" s="45">
        <v>2516.0</v>
      </c>
      <c r="B1092" s="57"/>
      <c r="C1092" s="57"/>
      <c r="D1092" s="88" t="str">
        <f t="array" ref="D1092">IFERROR(
  LOOKUP(2, 1/((TRIM(IMS!$E$8:$E$2574)=TRIM(IMS!$E1092))*(IMS!$C$8:$C$2574&lt;IMS!$C1092)),
         IMS!$C$8:$C$2574),
"")</f>
        <v/>
      </c>
      <c r="E1092" s="57"/>
      <c r="F1092" s="57"/>
      <c r="G1092" s="77" t="str">
        <f t="shared" si="901"/>
        <v/>
      </c>
      <c r="H1092" s="78" t="str">
        <f t="shared" si="902"/>
        <v/>
      </c>
      <c r="I1092" s="79"/>
      <c r="J1092" s="80" t="str">
        <f t="shared" si="903"/>
        <v>#NAME?</v>
      </c>
      <c r="K1092" s="58"/>
      <c r="L1092" s="58"/>
      <c r="M1092" s="57"/>
      <c r="N1092" s="57"/>
      <c r="O1092" s="58"/>
      <c r="P1092" s="82"/>
      <c r="Q1092" s="81"/>
      <c r="R1092" s="81"/>
      <c r="S1092" s="57"/>
      <c r="T1092" s="82"/>
      <c r="U1092" s="82"/>
      <c r="V1092" s="57"/>
      <c r="W1092" s="57"/>
      <c r="X1092" s="57" t="str">
        <f t="shared" si="917"/>
        <v/>
      </c>
      <c r="Y1092" s="58" t="str">
        <f t="shared" ref="Y1092:AC1092" si="932">TRIM(SUBSTITUTE(SUBSTITUTE(OFFSET($Q1092,0,COLUMN()-COLUMN($AL$1)),CHAR(160)," "),_xludf.UNICHAR(8239)," "))</f>
        <v>#NAME?</v>
      </c>
      <c r="Z1092" s="58" t="str">
        <f t="shared" si="932"/>
        <v>#NAME?</v>
      </c>
      <c r="AA1092" s="58" t="str">
        <f t="shared" si="932"/>
        <v>#NAME?</v>
      </c>
      <c r="AB1092" s="58" t="str">
        <f t="shared" si="932"/>
        <v>#NAME?</v>
      </c>
      <c r="AC1092" s="58" t="str">
        <f t="shared" si="932"/>
        <v>#NAME?</v>
      </c>
      <c r="AD1092" s="57">
        <f t="shared" si="906"/>
        <v>0</v>
      </c>
      <c r="AE1092" s="57" t="str">
        <f t="shared" si="907"/>
        <v/>
      </c>
      <c r="AF1092" s="57">
        <f t="shared" si="908"/>
        <v>0</v>
      </c>
      <c r="AG1092" s="59">
        <f t="shared" si="909"/>
        <v>0</v>
      </c>
      <c r="AH1092" s="15"/>
      <c r="AI1092" s="15"/>
      <c r="AJ1092" s="15"/>
      <c r="AK1092" s="15"/>
      <c r="AL1092" s="15"/>
      <c r="AM1092" s="15"/>
      <c r="AN1092" s="15"/>
      <c r="AO1092" s="15"/>
      <c r="AP1092" s="15"/>
      <c r="AQ1092" s="15"/>
      <c r="AR1092" s="15"/>
      <c r="AS1092" s="15"/>
      <c r="AT1092" s="15"/>
      <c r="AU1092" s="15"/>
    </row>
    <row r="1093" ht="24.0" customHeight="1">
      <c r="A1093" s="45">
        <v>2517.0</v>
      </c>
      <c r="B1093" s="57"/>
      <c r="C1093" s="57"/>
      <c r="D1093" s="88" t="str">
        <f t="array" ref="D1093">IFERROR(
  LOOKUP(2, 1/((TRIM(IMS!$E$8:$E$2574)=TRIM(IMS!$E1093))*(IMS!$C$8:$C$2574&lt;IMS!$C1093)),
         IMS!$C$8:$C$2574),
"")</f>
        <v/>
      </c>
      <c r="E1093" s="57"/>
      <c r="F1093" s="57"/>
      <c r="G1093" s="77" t="str">
        <f t="shared" si="901"/>
        <v/>
      </c>
      <c r="H1093" s="78" t="str">
        <f t="shared" si="902"/>
        <v/>
      </c>
      <c r="I1093" s="79"/>
      <c r="J1093" s="80" t="str">
        <f t="shared" si="903"/>
        <v>#NAME?</v>
      </c>
      <c r="K1093" s="58"/>
      <c r="L1093" s="58"/>
      <c r="M1093" s="57"/>
      <c r="N1093" s="57"/>
      <c r="O1093" s="58"/>
      <c r="P1093" s="82"/>
      <c r="Q1093" s="81"/>
      <c r="R1093" s="81"/>
      <c r="S1093" s="57"/>
      <c r="T1093" s="82"/>
      <c r="U1093" s="82"/>
      <c r="V1093" s="57"/>
      <c r="W1093" s="57"/>
      <c r="X1093" s="57" t="str">
        <f t="shared" si="917"/>
        <v/>
      </c>
      <c r="Y1093" s="58" t="str">
        <f t="shared" ref="Y1093:AC1093" si="933">TRIM(SUBSTITUTE(SUBSTITUTE(OFFSET($Q1093,0,COLUMN()-COLUMN($AL$1)),CHAR(160)," "),_xludf.UNICHAR(8239)," "))</f>
        <v>#NAME?</v>
      </c>
      <c r="Z1093" s="58" t="str">
        <f t="shared" si="933"/>
        <v>#NAME?</v>
      </c>
      <c r="AA1093" s="58" t="str">
        <f t="shared" si="933"/>
        <v>#NAME?</v>
      </c>
      <c r="AB1093" s="58" t="str">
        <f t="shared" si="933"/>
        <v>#NAME?</v>
      </c>
      <c r="AC1093" s="58" t="str">
        <f t="shared" si="933"/>
        <v>#NAME?</v>
      </c>
      <c r="AD1093" s="57">
        <f t="shared" si="906"/>
        <v>0</v>
      </c>
      <c r="AE1093" s="57" t="str">
        <f t="shared" si="907"/>
        <v/>
      </c>
      <c r="AF1093" s="57">
        <f t="shared" si="908"/>
        <v>0</v>
      </c>
      <c r="AG1093" s="59">
        <f t="shared" si="909"/>
        <v>0</v>
      </c>
      <c r="AH1093" s="15"/>
      <c r="AI1093" s="15"/>
      <c r="AJ1093" s="15"/>
      <c r="AK1093" s="15"/>
      <c r="AL1093" s="15"/>
      <c r="AM1093" s="15"/>
      <c r="AN1093" s="15"/>
      <c r="AO1093" s="15"/>
      <c r="AP1093" s="15"/>
      <c r="AQ1093" s="15"/>
      <c r="AR1093" s="15"/>
      <c r="AS1093" s="15"/>
      <c r="AT1093" s="15"/>
      <c r="AU1093" s="15"/>
    </row>
    <row r="1094" ht="24.0" customHeight="1">
      <c r="A1094" s="45">
        <v>2518.0</v>
      </c>
      <c r="B1094" s="57"/>
      <c r="C1094" s="57"/>
      <c r="D1094" s="88" t="str">
        <f t="array" ref="D1094">IFERROR(
  LOOKUP(2, 1/((TRIM(IMS!$E$8:$E$2574)=TRIM(IMS!$E1094))*(IMS!$C$8:$C$2574&lt;IMS!$C1094)),
         IMS!$C$8:$C$2574),
"")</f>
        <v/>
      </c>
      <c r="E1094" s="57"/>
      <c r="F1094" s="57"/>
      <c r="G1094" s="77" t="str">
        <f t="shared" si="901"/>
        <v/>
      </c>
      <c r="H1094" s="78" t="str">
        <f t="shared" si="902"/>
        <v/>
      </c>
      <c r="I1094" s="79"/>
      <c r="J1094" s="80" t="str">
        <f t="shared" si="903"/>
        <v>#NAME?</v>
      </c>
      <c r="K1094" s="58"/>
      <c r="L1094" s="58"/>
      <c r="M1094" s="57"/>
      <c r="N1094" s="57"/>
      <c r="O1094" s="58"/>
      <c r="P1094" s="82"/>
      <c r="Q1094" s="81"/>
      <c r="R1094" s="81"/>
      <c r="S1094" s="57"/>
      <c r="T1094" s="82"/>
      <c r="U1094" s="82"/>
      <c r="V1094" s="57"/>
      <c r="W1094" s="57"/>
      <c r="X1094" s="57" t="str">
        <f t="shared" si="917"/>
        <v/>
      </c>
      <c r="Y1094" s="58" t="str">
        <f t="shared" ref="Y1094:AC1094" si="934">TRIM(SUBSTITUTE(SUBSTITUTE(OFFSET($Q1094,0,COLUMN()-COLUMN($AL$1)),CHAR(160)," "),_xludf.UNICHAR(8239)," "))</f>
        <v>#NAME?</v>
      </c>
      <c r="Z1094" s="58" t="str">
        <f t="shared" si="934"/>
        <v>#NAME?</v>
      </c>
      <c r="AA1094" s="58" t="str">
        <f t="shared" si="934"/>
        <v>#NAME?</v>
      </c>
      <c r="AB1094" s="58" t="str">
        <f t="shared" si="934"/>
        <v>#NAME?</v>
      </c>
      <c r="AC1094" s="58" t="str">
        <f t="shared" si="934"/>
        <v>#NAME?</v>
      </c>
      <c r="AD1094" s="57">
        <f t="shared" si="906"/>
        <v>0</v>
      </c>
      <c r="AE1094" s="57" t="str">
        <f t="shared" si="907"/>
        <v/>
      </c>
      <c r="AF1094" s="57">
        <f t="shared" si="908"/>
        <v>0</v>
      </c>
      <c r="AG1094" s="59">
        <f t="shared" si="909"/>
        <v>0</v>
      </c>
      <c r="AH1094" s="15"/>
      <c r="AI1094" s="15"/>
      <c r="AJ1094" s="15"/>
      <c r="AK1094" s="15"/>
      <c r="AL1094" s="15"/>
      <c r="AM1094" s="15"/>
      <c r="AN1094" s="15"/>
      <c r="AO1094" s="15"/>
      <c r="AP1094" s="15"/>
      <c r="AQ1094" s="15"/>
      <c r="AR1094" s="15"/>
      <c r="AS1094" s="15"/>
      <c r="AT1094" s="15"/>
      <c r="AU1094" s="15"/>
    </row>
    <row r="1095" ht="24.0" customHeight="1">
      <c r="A1095" s="45">
        <v>2519.0</v>
      </c>
      <c r="B1095" s="57"/>
      <c r="C1095" s="57"/>
      <c r="D1095" s="88" t="str">
        <f t="array" ref="D1095">IFERROR(
  LOOKUP(2, 1/((TRIM(IMS!$E$8:$E$2574)=TRIM(IMS!$E1095))*(IMS!$C$8:$C$2574&lt;IMS!$C1095)),
         IMS!$C$8:$C$2574),
"")</f>
        <v/>
      </c>
      <c r="E1095" s="57"/>
      <c r="F1095" s="57"/>
      <c r="G1095" s="77" t="str">
        <f t="shared" si="901"/>
        <v/>
      </c>
      <c r="H1095" s="78" t="str">
        <f t="shared" si="902"/>
        <v/>
      </c>
      <c r="I1095" s="79"/>
      <c r="J1095" s="80" t="str">
        <f t="shared" si="903"/>
        <v>#NAME?</v>
      </c>
      <c r="K1095" s="58"/>
      <c r="L1095" s="58"/>
      <c r="M1095" s="57"/>
      <c r="N1095" s="57"/>
      <c r="O1095" s="58"/>
      <c r="P1095" s="82"/>
      <c r="Q1095" s="81"/>
      <c r="R1095" s="81"/>
      <c r="S1095" s="57"/>
      <c r="T1095" s="82"/>
      <c r="U1095" s="82"/>
      <c r="V1095" s="57"/>
      <c r="W1095" s="57"/>
      <c r="X1095" s="57" t="str">
        <f t="shared" si="917"/>
        <v/>
      </c>
      <c r="Y1095" s="58" t="str">
        <f t="shared" ref="Y1095:AC1095" si="935">TRIM(SUBSTITUTE(SUBSTITUTE(OFFSET($Q1095,0,COLUMN()-COLUMN($AL$1)),CHAR(160)," "),_xludf.UNICHAR(8239)," "))</f>
        <v>#NAME?</v>
      </c>
      <c r="Z1095" s="58" t="str">
        <f t="shared" si="935"/>
        <v>#NAME?</v>
      </c>
      <c r="AA1095" s="58" t="str">
        <f t="shared" si="935"/>
        <v>#NAME?</v>
      </c>
      <c r="AB1095" s="58" t="str">
        <f t="shared" si="935"/>
        <v>#NAME?</v>
      </c>
      <c r="AC1095" s="58" t="str">
        <f t="shared" si="935"/>
        <v>#NAME?</v>
      </c>
      <c r="AD1095" s="57">
        <f t="shared" si="906"/>
        <v>0</v>
      </c>
      <c r="AE1095" s="57" t="str">
        <f t="shared" si="907"/>
        <v/>
      </c>
      <c r="AF1095" s="57">
        <f t="shared" si="908"/>
        <v>0</v>
      </c>
      <c r="AG1095" s="59">
        <f t="shared" si="909"/>
        <v>0</v>
      </c>
      <c r="AH1095" s="15"/>
      <c r="AI1095" s="15"/>
      <c r="AJ1095" s="15"/>
      <c r="AK1095" s="15"/>
      <c r="AL1095" s="15"/>
      <c r="AM1095" s="15"/>
      <c r="AN1095" s="15"/>
      <c r="AO1095" s="15"/>
      <c r="AP1095" s="15"/>
      <c r="AQ1095" s="15"/>
      <c r="AR1095" s="15"/>
      <c r="AS1095" s="15"/>
      <c r="AT1095" s="15"/>
      <c r="AU1095" s="15"/>
    </row>
    <row r="1096" ht="24.0" customHeight="1">
      <c r="A1096" s="45">
        <v>2520.0</v>
      </c>
      <c r="B1096" s="57"/>
      <c r="C1096" s="57"/>
      <c r="D1096" s="88" t="str">
        <f t="array" ref="D1096">IFERROR(
  LOOKUP(2, 1/((TRIM(IMS!$E$8:$E$2574)=TRIM(IMS!$E1096))*(IMS!$C$8:$C$2574&lt;IMS!$C1096)),
         IMS!$C$8:$C$2574),
"")</f>
        <v/>
      </c>
      <c r="E1096" s="57"/>
      <c r="F1096" s="57"/>
      <c r="G1096" s="77" t="str">
        <f t="shared" si="901"/>
        <v/>
      </c>
      <c r="H1096" s="78" t="str">
        <f t="shared" si="902"/>
        <v/>
      </c>
      <c r="I1096" s="79"/>
      <c r="J1096" s="80" t="str">
        <f t="shared" si="903"/>
        <v>#NAME?</v>
      </c>
      <c r="K1096" s="58"/>
      <c r="L1096" s="58"/>
      <c r="M1096" s="57"/>
      <c r="N1096" s="57"/>
      <c r="O1096" s="58"/>
      <c r="P1096" s="82"/>
      <c r="Q1096" s="81"/>
      <c r="R1096" s="81"/>
      <c r="S1096" s="57"/>
      <c r="T1096" s="82"/>
      <c r="U1096" s="82"/>
      <c r="V1096" s="57"/>
      <c r="W1096" s="57"/>
      <c r="X1096" s="57" t="str">
        <f t="shared" si="917"/>
        <v/>
      </c>
      <c r="Y1096" s="58" t="str">
        <f t="shared" ref="Y1096:AC1096" si="936">TRIM(SUBSTITUTE(SUBSTITUTE(OFFSET($Q1096,0,COLUMN()-COLUMN($AL$1)),CHAR(160)," "),_xludf.UNICHAR(8239)," "))</f>
        <v>#NAME?</v>
      </c>
      <c r="Z1096" s="58" t="str">
        <f t="shared" si="936"/>
        <v>#NAME?</v>
      </c>
      <c r="AA1096" s="58" t="str">
        <f t="shared" si="936"/>
        <v>#NAME?</v>
      </c>
      <c r="AB1096" s="58" t="str">
        <f t="shared" si="936"/>
        <v>#NAME?</v>
      </c>
      <c r="AC1096" s="58" t="str">
        <f t="shared" si="936"/>
        <v>#NAME?</v>
      </c>
      <c r="AD1096" s="57">
        <f t="shared" si="906"/>
        <v>0</v>
      </c>
      <c r="AE1096" s="57" t="str">
        <f t="shared" si="907"/>
        <v/>
      </c>
      <c r="AF1096" s="57">
        <f t="shared" si="908"/>
        <v>0</v>
      </c>
      <c r="AG1096" s="59">
        <f t="shared" si="909"/>
        <v>0</v>
      </c>
      <c r="AH1096" s="15"/>
      <c r="AI1096" s="15"/>
      <c r="AJ1096" s="15"/>
      <c r="AK1096" s="15"/>
      <c r="AL1096" s="15"/>
      <c r="AM1096" s="15"/>
      <c r="AN1096" s="15"/>
      <c r="AO1096" s="15"/>
      <c r="AP1096" s="15"/>
      <c r="AQ1096" s="15"/>
      <c r="AR1096" s="15"/>
      <c r="AS1096" s="15"/>
      <c r="AT1096" s="15"/>
      <c r="AU1096" s="15"/>
    </row>
    <row r="1097" ht="24.0" customHeight="1">
      <c r="A1097" s="45">
        <v>2521.0</v>
      </c>
      <c r="B1097" s="57"/>
      <c r="C1097" s="57"/>
      <c r="D1097" s="88" t="str">
        <f t="array" ref="D1097">IFERROR(
  LOOKUP(2, 1/((TRIM(IMS!$E$8:$E$2574)=TRIM(IMS!$E1097))*(IMS!$C$8:$C$2574&lt;IMS!$C1097)),
         IMS!$C$8:$C$2574),
"")</f>
        <v/>
      </c>
      <c r="E1097" s="57"/>
      <c r="F1097" s="57"/>
      <c r="G1097" s="77" t="str">
        <f t="shared" si="901"/>
        <v/>
      </c>
      <c r="H1097" s="78" t="str">
        <f t="shared" si="902"/>
        <v/>
      </c>
      <c r="I1097" s="79"/>
      <c r="J1097" s="80" t="str">
        <f t="shared" si="903"/>
        <v>#NAME?</v>
      </c>
      <c r="K1097" s="58"/>
      <c r="L1097" s="58"/>
      <c r="M1097" s="57"/>
      <c r="N1097" s="57"/>
      <c r="O1097" s="58"/>
      <c r="P1097" s="82"/>
      <c r="Q1097" s="81"/>
      <c r="R1097" s="81"/>
      <c r="S1097" s="57"/>
      <c r="T1097" s="82"/>
      <c r="U1097" s="82"/>
      <c r="V1097" s="57"/>
      <c r="W1097" s="57"/>
      <c r="X1097" s="57" t="str">
        <f t="shared" si="917"/>
        <v/>
      </c>
      <c r="Y1097" s="58" t="str">
        <f t="shared" ref="Y1097:AC1097" si="937">TRIM(SUBSTITUTE(SUBSTITUTE(OFFSET($Q1097,0,COLUMN()-COLUMN($AL$1)),CHAR(160)," "),_xludf.UNICHAR(8239)," "))</f>
        <v>#NAME?</v>
      </c>
      <c r="Z1097" s="58" t="str">
        <f t="shared" si="937"/>
        <v>#NAME?</v>
      </c>
      <c r="AA1097" s="58" t="str">
        <f t="shared" si="937"/>
        <v>#NAME?</v>
      </c>
      <c r="AB1097" s="58" t="str">
        <f t="shared" si="937"/>
        <v>#NAME?</v>
      </c>
      <c r="AC1097" s="58" t="str">
        <f t="shared" si="937"/>
        <v>#NAME?</v>
      </c>
      <c r="AD1097" s="57">
        <f t="shared" si="906"/>
        <v>0</v>
      </c>
      <c r="AE1097" s="57" t="str">
        <f t="shared" si="907"/>
        <v/>
      </c>
      <c r="AF1097" s="57">
        <f t="shared" si="908"/>
        <v>0</v>
      </c>
      <c r="AG1097" s="59">
        <f t="shared" si="909"/>
        <v>0</v>
      </c>
      <c r="AH1097" s="15"/>
      <c r="AI1097" s="15"/>
      <c r="AJ1097" s="15"/>
      <c r="AK1097" s="15"/>
      <c r="AL1097" s="15"/>
      <c r="AM1097" s="15"/>
      <c r="AN1097" s="15"/>
      <c r="AO1097" s="15"/>
      <c r="AP1097" s="15"/>
      <c r="AQ1097" s="15"/>
      <c r="AR1097" s="15"/>
      <c r="AS1097" s="15"/>
      <c r="AT1097" s="15"/>
      <c r="AU1097" s="15"/>
    </row>
    <row r="1098" ht="24.0" customHeight="1">
      <c r="A1098" s="45">
        <v>2522.0</v>
      </c>
      <c r="B1098" s="57"/>
      <c r="C1098" s="57"/>
      <c r="D1098" s="88" t="str">
        <f t="array" ref="D1098">IFERROR(
  LOOKUP(2, 1/((TRIM(IMS!$E$8:$E$2574)=TRIM(IMS!$E1098))*(IMS!$C$8:$C$2574&lt;IMS!$C1098)),
         IMS!$C$8:$C$2574),
"")</f>
        <v/>
      </c>
      <c r="E1098" s="57"/>
      <c r="F1098" s="57"/>
      <c r="G1098" s="77" t="str">
        <f t="shared" si="901"/>
        <v/>
      </c>
      <c r="H1098" s="78" t="str">
        <f t="shared" si="902"/>
        <v/>
      </c>
      <c r="I1098" s="79"/>
      <c r="J1098" s="80" t="str">
        <f t="shared" si="903"/>
        <v>#NAME?</v>
      </c>
      <c r="K1098" s="58"/>
      <c r="L1098" s="58"/>
      <c r="M1098" s="57"/>
      <c r="N1098" s="57"/>
      <c r="O1098" s="58"/>
      <c r="P1098" s="82"/>
      <c r="Q1098" s="81"/>
      <c r="R1098" s="81"/>
      <c r="S1098" s="57"/>
      <c r="T1098" s="82"/>
      <c r="U1098" s="82"/>
      <c r="V1098" s="57"/>
      <c r="W1098" s="57"/>
      <c r="X1098" s="57" t="str">
        <f t="shared" si="917"/>
        <v/>
      </c>
      <c r="Y1098" s="58" t="str">
        <f t="shared" ref="Y1098:AC1098" si="938">TRIM(SUBSTITUTE(SUBSTITUTE(OFFSET($Q1098,0,COLUMN()-COLUMN($AL$1)),CHAR(160)," "),_xludf.UNICHAR(8239)," "))</f>
        <v>#NAME?</v>
      </c>
      <c r="Z1098" s="58" t="str">
        <f t="shared" si="938"/>
        <v>#NAME?</v>
      </c>
      <c r="AA1098" s="58" t="str">
        <f t="shared" si="938"/>
        <v>#NAME?</v>
      </c>
      <c r="AB1098" s="58" t="str">
        <f t="shared" si="938"/>
        <v>#NAME?</v>
      </c>
      <c r="AC1098" s="58" t="str">
        <f t="shared" si="938"/>
        <v>#NAME?</v>
      </c>
      <c r="AD1098" s="57">
        <f t="shared" si="906"/>
        <v>0</v>
      </c>
      <c r="AE1098" s="57" t="str">
        <f t="shared" si="907"/>
        <v/>
      </c>
      <c r="AF1098" s="57">
        <f t="shared" si="908"/>
        <v>0</v>
      </c>
      <c r="AG1098" s="59">
        <f t="shared" si="909"/>
        <v>0</v>
      </c>
      <c r="AH1098" s="15"/>
      <c r="AI1098" s="15"/>
      <c r="AJ1098" s="15"/>
      <c r="AK1098" s="15"/>
      <c r="AL1098" s="15"/>
      <c r="AM1098" s="15"/>
      <c r="AN1098" s="15"/>
      <c r="AO1098" s="15"/>
      <c r="AP1098" s="15"/>
      <c r="AQ1098" s="15"/>
      <c r="AR1098" s="15"/>
      <c r="AS1098" s="15"/>
      <c r="AT1098" s="15"/>
      <c r="AU1098" s="15"/>
    </row>
    <row r="1099" ht="24.0" customHeight="1">
      <c r="A1099" s="45">
        <v>2523.0</v>
      </c>
      <c r="B1099" s="57"/>
      <c r="C1099" s="57"/>
      <c r="D1099" s="88" t="str">
        <f t="array" ref="D1099">IFERROR(
  LOOKUP(2, 1/((TRIM(IMS!$E$8:$E$2574)=TRIM(IMS!$E1099))*(IMS!$C$8:$C$2574&lt;IMS!$C1099)),
         IMS!$C$8:$C$2574),
"")</f>
        <v/>
      </c>
      <c r="E1099" s="57"/>
      <c r="F1099" s="57"/>
      <c r="G1099" s="77" t="str">
        <f t="shared" si="901"/>
        <v/>
      </c>
      <c r="H1099" s="78" t="str">
        <f t="shared" si="902"/>
        <v/>
      </c>
      <c r="I1099" s="79"/>
      <c r="J1099" s="80" t="str">
        <f t="shared" si="903"/>
        <v>#NAME?</v>
      </c>
      <c r="K1099" s="58"/>
      <c r="L1099" s="58"/>
      <c r="M1099" s="57"/>
      <c r="N1099" s="57"/>
      <c r="O1099" s="58"/>
      <c r="P1099" s="82"/>
      <c r="Q1099" s="81"/>
      <c r="R1099" s="81"/>
      <c r="S1099" s="57"/>
      <c r="T1099" s="82"/>
      <c r="U1099" s="82"/>
      <c r="V1099" s="57"/>
      <c r="W1099" s="57"/>
      <c r="X1099" s="57" t="str">
        <f t="shared" si="917"/>
        <v/>
      </c>
      <c r="Y1099" s="58" t="str">
        <f t="shared" ref="Y1099:AC1099" si="939">TRIM(SUBSTITUTE(SUBSTITUTE(OFFSET($Q1099,0,COLUMN()-COLUMN($AL$1)),CHAR(160)," "),_xludf.UNICHAR(8239)," "))</f>
        <v>#NAME?</v>
      </c>
      <c r="Z1099" s="58" t="str">
        <f t="shared" si="939"/>
        <v>#NAME?</v>
      </c>
      <c r="AA1099" s="58" t="str">
        <f t="shared" si="939"/>
        <v>#NAME?</v>
      </c>
      <c r="AB1099" s="58" t="str">
        <f t="shared" si="939"/>
        <v>#NAME?</v>
      </c>
      <c r="AC1099" s="58" t="str">
        <f t="shared" si="939"/>
        <v>#NAME?</v>
      </c>
      <c r="AD1099" s="57">
        <f t="shared" si="906"/>
        <v>0</v>
      </c>
      <c r="AE1099" s="57" t="str">
        <f t="shared" si="907"/>
        <v/>
      </c>
      <c r="AF1099" s="57">
        <f t="shared" si="908"/>
        <v>0</v>
      </c>
      <c r="AG1099" s="59">
        <f t="shared" si="909"/>
        <v>0</v>
      </c>
      <c r="AH1099" s="15"/>
      <c r="AI1099" s="15"/>
      <c r="AJ1099" s="15"/>
      <c r="AK1099" s="15"/>
      <c r="AL1099" s="15"/>
      <c r="AM1099" s="15"/>
      <c r="AN1099" s="15"/>
      <c r="AO1099" s="15"/>
      <c r="AP1099" s="15"/>
      <c r="AQ1099" s="15"/>
      <c r="AR1099" s="15"/>
      <c r="AS1099" s="15"/>
      <c r="AT1099" s="15"/>
      <c r="AU1099" s="15"/>
    </row>
    <row r="1100" ht="24.0" customHeight="1">
      <c r="A1100" s="45">
        <v>2524.0</v>
      </c>
      <c r="B1100" s="57"/>
      <c r="C1100" s="57"/>
      <c r="D1100" s="88" t="str">
        <f t="array" ref="D1100">IFERROR(
  LOOKUP(2, 1/((TRIM(IMS!$E$8:$E$2574)=TRIM(IMS!$E1100))*(IMS!$C$8:$C$2574&lt;IMS!$C1100)),
         IMS!$C$8:$C$2574),
"")</f>
        <v/>
      </c>
      <c r="E1100" s="57"/>
      <c r="F1100" s="57"/>
      <c r="G1100" s="77" t="str">
        <f t="shared" si="901"/>
        <v/>
      </c>
      <c r="H1100" s="78" t="str">
        <f t="shared" si="902"/>
        <v/>
      </c>
      <c r="I1100" s="79"/>
      <c r="J1100" s="80" t="str">
        <f t="shared" si="903"/>
        <v>#NAME?</v>
      </c>
      <c r="K1100" s="58"/>
      <c r="L1100" s="58"/>
      <c r="M1100" s="57"/>
      <c r="N1100" s="57"/>
      <c r="O1100" s="58"/>
      <c r="P1100" s="82"/>
      <c r="Q1100" s="81"/>
      <c r="R1100" s="81"/>
      <c r="S1100" s="57"/>
      <c r="T1100" s="82"/>
      <c r="U1100" s="82"/>
      <c r="V1100" s="57"/>
      <c r="W1100" s="57"/>
      <c r="X1100" s="57" t="str">
        <f t="shared" si="917"/>
        <v/>
      </c>
      <c r="Y1100" s="58" t="str">
        <f t="shared" ref="Y1100:AC1100" si="940">TRIM(SUBSTITUTE(SUBSTITUTE(OFFSET($Q1100,0,COLUMN()-COLUMN($AL$1)),CHAR(160)," "),_xludf.UNICHAR(8239)," "))</f>
        <v>#NAME?</v>
      </c>
      <c r="Z1100" s="58" t="str">
        <f t="shared" si="940"/>
        <v>#NAME?</v>
      </c>
      <c r="AA1100" s="58" t="str">
        <f t="shared" si="940"/>
        <v>#NAME?</v>
      </c>
      <c r="AB1100" s="58" t="str">
        <f t="shared" si="940"/>
        <v>#NAME?</v>
      </c>
      <c r="AC1100" s="58" t="str">
        <f t="shared" si="940"/>
        <v>#NAME?</v>
      </c>
      <c r="AD1100" s="57">
        <f t="shared" si="906"/>
        <v>0</v>
      </c>
      <c r="AE1100" s="57" t="str">
        <f t="shared" si="907"/>
        <v/>
      </c>
      <c r="AF1100" s="57">
        <f t="shared" si="908"/>
        <v>0</v>
      </c>
      <c r="AG1100" s="59">
        <f t="shared" si="909"/>
        <v>0</v>
      </c>
      <c r="AH1100" s="15"/>
      <c r="AI1100" s="15"/>
      <c r="AJ1100" s="15"/>
      <c r="AK1100" s="15"/>
      <c r="AL1100" s="15"/>
      <c r="AM1100" s="15"/>
      <c r="AN1100" s="15"/>
      <c r="AO1100" s="15"/>
      <c r="AP1100" s="15"/>
      <c r="AQ1100" s="15"/>
      <c r="AR1100" s="15"/>
      <c r="AS1100" s="15"/>
      <c r="AT1100" s="15"/>
      <c r="AU1100" s="15"/>
    </row>
    <row r="1101" ht="24.0" customHeight="1">
      <c r="A1101" s="45">
        <v>2525.0</v>
      </c>
      <c r="B1101" s="57"/>
      <c r="C1101" s="57"/>
      <c r="D1101" s="88" t="str">
        <f t="array" ref="D1101">IFERROR(
  LOOKUP(2, 1/((TRIM(IMS!$E$8:$E$2574)=TRIM(IMS!$E1101))*(IMS!$C$8:$C$2574&lt;IMS!$C1101)),
         IMS!$C$8:$C$2574),
"")</f>
        <v/>
      </c>
      <c r="E1101" s="57"/>
      <c r="F1101" s="57"/>
      <c r="G1101" s="77" t="str">
        <f t="shared" si="901"/>
        <v/>
      </c>
      <c r="H1101" s="78" t="str">
        <f t="shared" si="902"/>
        <v/>
      </c>
      <c r="I1101" s="79"/>
      <c r="J1101" s="80" t="str">
        <f t="shared" si="903"/>
        <v>#NAME?</v>
      </c>
      <c r="K1101" s="58"/>
      <c r="L1101" s="58"/>
      <c r="M1101" s="57"/>
      <c r="N1101" s="57"/>
      <c r="O1101" s="58"/>
      <c r="P1101" s="82"/>
      <c r="Q1101" s="81"/>
      <c r="R1101" s="81"/>
      <c r="S1101" s="57"/>
      <c r="T1101" s="82"/>
      <c r="U1101" s="82"/>
      <c r="V1101" s="57"/>
      <c r="W1101" s="57"/>
      <c r="X1101" s="57" t="str">
        <f t="shared" si="917"/>
        <v/>
      </c>
      <c r="Y1101" s="58" t="str">
        <f t="shared" ref="Y1101:AC1101" si="941">TRIM(SUBSTITUTE(SUBSTITUTE(OFFSET($Q1101,0,COLUMN()-COLUMN($AL$1)),CHAR(160)," "),_xludf.UNICHAR(8239)," "))</f>
        <v>#NAME?</v>
      </c>
      <c r="Z1101" s="58" t="str">
        <f t="shared" si="941"/>
        <v>#NAME?</v>
      </c>
      <c r="AA1101" s="58" t="str">
        <f t="shared" si="941"/>
        <v>#NAME?</v>
      </c>
      <c r="AB1101" s="58" t="str">
        <f t="shared" si="941"/>
        <v>#NAME?</v>
      </c>
      <c r="AC1101" s="58" t="str">
        <f t="shared" si="941"/>
        <v>#NAME?</v>
      </c>
      <c r="AD1101" s="57">
        <f t="shared" si="906"/>
        <v>0</v>
      </c>
      <c r="AE1101" s="57" t="str">
        <f t="shared" si="907"/>
        <v/>
      </c>
      <c r="AF1101" s="57">
        <f t="shared" si="908"/>
        <v>0</v>
      </c>
      <c r="AG1101" s="59">
        <f t="shared" si="909"/>
        <v>0</v>
      </c>
      <c r="AH1101" s="15"/>
      <c r="AI1101" s="15"/>
      <c r="AJ1101" s="15"/>
      <c r="AK1101" s="15"/>
      <c r="AL1101" s="15"/>
      <c r="AM1101" s="15"/>
      <c r="AN1101" s="15"/>
      <c r="AO1101" s="15"/>
      <c r="AP1101" s="15"/>
      <c r="AQ1101" s="15"/>
      <c r="AR1101" s="15"/>
      <c r="AS1101" s="15"/>
      <c r="AT1101" s="15"/>
      <c r="AU1101" s="15"/>
    </row>
    <row r="1102" ht="24.0" customHeight="1">
      <c r="A1102" s="45">
        <v>2526.0</v>
      </c>
      <c r="B1102" s="57"/>
      <c r="C1102" s="57"/>
      <c r="D1102" s="88" t="str">
        <f t="array" ref="D1102">IFERROR(
  LOOKUP(2, 1/((TRIM(IMS!$E$8:$E$2574)=TRIM(IMS!$E1102))*(IMS!$C$8:$C$2574&lt;IMS!$C1102)),
         IMS!$C$8:$C$2574),
"")</f>
        <v/>
      </c>
      <c r="E1102" s="57"/>
      <c r="F1102" s="57"/>
      <c r="G1102" s="77" t="str">
        <f t="shared" si="901"/>
        <v/>
      </c>
      <c r="H1102" s="78" t="str">
        <f t="shared" si="902"/>
        <v/>
      </c>
      <c r="I1102" s="79"/>
      <c r="J1102" s="80" t="str">
        <f t="shared" si="903"/>
        <v>#NAME?</v>
      </c>
      <c r="K1102" s="58"/>
      <c r="L1102" s="58"/>
      <c r="M1102" s="57"/>
      <c r="N1102" s="57"/>
      <c r="O1102" s="58"/>
      <c r="P1102" s="82"/>
      <c r="Q1102" s="81"/>
      <c r="R1102" s="81"/>
      <c r="S1102" s="57"/>
      <c r="T1102" s="82"/>
      <c r="U1102" s="82"/>
      <c r="V1102" s="57"/>
      <c r="W1102" s="57"/>
      <c r="X1102" s="57" t="str">
        <f t="shared" si="917"/>
        <v/>
      </c>
      <c r="Y1102" s="58" t="str">
        <f t="shared" ref="Y1102:AC1102" si="942">TRIM(SUBSTITUTE(SUBSTITUTE(OFFSET($Q1102,0,COLUMN()-COLUMN($AL$1)),CHAR(160)," "),_xludf.UNICHAR(8239)," "))</f>
        <v>#NAME?</v>
      </c>
      <c r="Z1102" s="58" t="str">
        <f t="shared" si="942"/>
        <v>#NAME?</v>
      </c>
      <c r="AA1102" s="58" t="str">
        <f t="shared" si="942"/>
        <v>#NAME?</v>
      </c>
      <c r="AB1102" s="58" t="str">
        <f t="shared" si="942"/>
        <v>#NAME?</v>
      </c>
      <c r="AC1102" s="58" t="str">
        <f t="shared" si="942"/>
        <v>#NAME?</v>
      </c>
      <c r="AD1102" s="57">
        <f t="shared" si="906"/>
        <v>0</v>
      </c>
      <c r="AE1102" s="57" t="str">
        <f t="shared" si="907"/>
        <v/>
      </c>
      <c r="AF1102" s="57">
        <f t="shared" si="908"/>
        <v>0</v>
      </c>
      <c r="AG1102" s="59">
        <f t="shared" si="909"/>
        <v>0</v>
      </c>
      <c r="AH1102" s="15"/>
      <c r="AI1102" s="15"/>
      <c r="AJ1102" s="15"/>
      <c r="AK1102" s="15"/>
      <c r="AL1102" s="15"/>
      <c r="AM1102" s="15"/>
      <c r="AN1102" s="15"/>
      <c r="AO1102" s="15"/>
      <c r="AP1102" s="15"/>
      <c r="AQ1102" s="15"/>
      <c r="AR1102" s="15"/>
      <c r="AS1102" s="15"/>
      <c r="AT1102" s="15"/>
      <c r="AU1102" s="15"/>
    </row>
    <row r="1103" ht="24.0" customHeight="1">
      <c r="A1103" s="45">
        <v>2527.0</v>
      </c>
      <c r="B1103" s="57"/>
      <c r="C1103" s="57"/>
      <c r="D1103" s="88" t="str">
        <f t="array" ref="D1103">IFERROR(
  LOOKUP(2, 1/((TRIM(IMS!$E$8:$E$2574)=TRIM(IMS!$E1103))*(IMS!$C$8:$C$2574&lt;IMS!$C1103)),
         IMS!$C$8:$C$2574),
"")</f>
        <v/>
      </c>
      <c r="E1103" s="57"/>
      <c r="F1103" s="57"/>
      <c r="G1103" s="77" t="str">
        <f t="shared" si="901"/>
        <v/>
      </c>
      <c r="H1103" s="78" t="str">
        <f t="shared" si="902"/>
        <v/>
      </c>
      <c r="I1103" s="79"/>
      <c r="J1103" s="80" t="str">
        <f t="shared" si="903"/>
        <v>#NAME?</v>
      </c>
      <c r="K1103" s="58"/>
      <c r="L1103" s="58"/>
      <c r="M1103" s="57"/>
      <c r="N1103" s="57"/>
      <c r="O1103" s="58"/>
      <c r="P1103" s="82"/>
      <c r="Q1103" s="81"/>
      <c r="R1103" s="81"/>
      <c r="S1103" s="57"/>
      <c r="T1103" s="82"/>
      <c r="U1103" s="82"/>
      <c r="V1103" s="57"/>
      <c r="W1103" s="57"/>
      <c r="X1103" s="57" t="str">
        <f t="shared" si="917"/>
        <v/>
      </c>
      <c r="Y1103" s="58" t="str">
        <f t="shared" ref="Y1103:AC1103" si="943">TRIM(SUBSTITUTE(SUBSTITUTE(OFFSET($Q1103,0,COLUMN()-COLUMN($AL$1)),CHAR(160)," "),_xludf.UNICHAR(8239)," "))</f>
        <v>#NAME?</v>
      </c>
      <c r="Z1103" s="58" t="str">
        <f t="shared" si="943"/>
        <v>#NAME?</v>
      </c>
      <c r="AA1103" s="58" t="str">
        <f t="shared" si="943"/>
        <v>#NAME?</v>
      </c>
      <c r="AB1103" s="58" t="str">
        <f t="shared" si="943"/>
        <v>#NAME?</v>
      </c>
      <c r="AC1103" s="58" t="str">
        <f t="shared" si="943"/>
        <v>#NAME?</v>
      </c>
      <c r="AD1103" s="57">
        <f t="shared" si="906"/>
        <v>0</v>
      </c>
      <c r="AE1103" s="57" t="str">
        <f t="shared" si="907"/>
        <v/>
      </c>
      <c r="AF1103" s="57">
        <f t="shared" si="908"/>
        <v>0</v>
      </c>
      <c r="AG1103" s="59">
        <f t="shared" si="909"/>
        <v>0</v>
      </c>
      <c r="AH1103" s="15"/>
      <c r="AI1103" s="15"/>
      <c r="AJ1103" s="15"/>
      <c r="AK1103" s="15"/>
      <c r="AL1103" s="15"/>
      <c r="AM1103" s="15"/>
      <c r="AN1103" s="15"/>
      <c r="AO1103" s="15"/>
      <c r="AP1103" s="15"/>
      <c r="AQ1103" s="15"/>
      <c r="AR1103" s="15"/>
      <c r="AS1103" s="15"/>
      <c r="AT1103" s="15"/>
      <c r="AU1103" s="15"/>
    </row>
    <row r="1104" ht="24.0" customHeight="1">
      <c r="A1104" s="45">
        <v>2528.0</v>
      </c>
      <c r="B1104" s="57"/>
      <c r="C1104" s="57"/>
      <c r="D1104" s="88" t="str">
        <f t="array" ref="D1104">IFERROR(
  LOOKUP(2, 1/((TRIM(IMS!$E$8:$E$2574)=TRIM(IMS!$E1104))*(IMS!$C$8:$C$2574&lt;IMS!$C1104)),
         IMS!$C$8:$C$2574),
"")</f>
        <v/>
      </c>
      <c r="E1104" s="57"/>
      <c r="F1104" s="57"/>
      <c r="G1104" s="77" t="str">
        <f t="shared" si="901"/>
        <v/>
      </c>
      <c r="H1104" s="78" t="str">
        <f t="shared" si="902"/>
        <v/>
      </c>
      <c r="I1104" s="79"/>
      <c r="J1104" s="80" t="str">
        <f t="shared" si="903"/>
        <v>#NAME?</v>
      </c>
      <c r="K1104" s="58"/>
      <c r="L1104" s="58"/>
      <c r="M1104" s="57"/>
      <c r="N1104" s="57"/>
      <c r="O1104" s="58"/>
      <c r="P1104" s="82"/>
      <c r="Q1104" s="81"/>
      <c r="R1104" s="81"/>
      <c r="S1104" s="57"/>
      <c r="T1104" s="82"/>
      <c r="U1104" s="82"/>
      <c r="V1104" s="57"/>
      <c r="W1104" s="57"/>
      <c r="X1104" s="57" t="str">
        <f t="shared" si="917"/>
        <v/>
      </c>
      <c r="Y1104" s="58" t="str">
        <f t="shared" ref="Y1104:AC1104" si="944">TRIM(SUBSTITUTE(SUBSTITUTE(OFFSET($Q1104,0,COLUMN()-COLUMN($AL$1)),CHAR(160)," "),_xludf.UNICHAR(8239)," "))</f>
        <v>#NAME?</v>
      </c>
      <c r="Z1104" s="58" t="str">
        <f t="shared" si="944"/>
        <v>#NAME?</v>
      </c>
      <c r="AA1104" s="58" t="str">
        <f t="shared" si="944"/>
        <v>#NAME?</v>
      </c>
      <c r="AB1104" s="58" t="str">
        <f t="shared" si="944"/>
        <v>#NAME?</v>
      </c>
      <c r="AC1104" s="58" t="str">
        <f t="shared" si="944"/>
        <v>#NAME?</v>
      </c>
      <c r="AD1104" s="57">
        <f t="shared" si="906"/>
        <v>0</v>
      </c>
      <c r="AE1104" s="57" t="str">
        <f t="shared" si="907"/>
        <v/>
      </c>
      <c r="AF1104" s="57">
        <f t="shared" si="908"/>
        <v>0</v>
      </c>
      <c r="AG1104" s="59">
        <f t="shared" si="909"/>
        <v>0</v>
      </c>
      <c r="AH1104" s="15"/>
      <c r="AI1104" s="15"/>
      <c r="AJ1104" s="15"/>
      <c r="AK1104" s="15"/>
      <c r="AL1104" s="15"/>
      <c r="AM1104" s="15"/>
      <c r="AN1104" s="15"/>
      <c r="AO1104" s="15"/>
      <c r="AP1104" s="15"/>
      <c r="AQ1104" s="15"/>
      <c r="AR1104" s="15"/>
      <c r="AS1104" s="15"/>
      <c r="AT1104" s="15"/>
      <c r="AU1104" s="15"/>
    </row>
    <row r="1105" ht="24.0" customHeight="1">
      <c r="A1105" s="45">
        <v>2529.0</v>
      </c>
      <c r="B1105" s="57"/>
      <c r="C1105" s="57"/>
      <c r="D1105" s="88" t="str">
        <f t="array" ref="D1105">IFERROR(
  LOOKUP(2, 1/((TRIM(IMS!$E$8:$E$2574)=TRIM(IMS!$E1105))*(IMS!$C$8:$C$2574&lt;IMS!$C1105)),
         IMS!$C$8:$C$2574),
"")</f>
        <v/>
      </c>
      <c r="E1105" s="57"/>
      <c r="F1105" s="57"/>
      <c r="G1105" s="77" t="str">
        <f t="shared" si="901"/>
        <v/>
      </c>
      <c r="H1105" s="78" t="str">
        <f t="shared" si="902"/>
        <v/>
      </c>
      <c r="I1105" s="79"/>
      <c r="J1105" s="80" t="str">
        <f t="shared" si="903"/>
        <v>#NAME?</v>
      </c>
      <c r="K1105" s="58"/>
      <c r="L1105" s="58"/>
      <c r="M1105" s="57"/>
      <c r="N1105" s="57"/>
      <c r="O1105" s="58"/>
      <c r="P1105" s="82"/>
      <c r="Q1105" s="81"/>
      <c r="R1105" s="81"/>
      <c r="S1105" s="57"/>
      <c r="T1105" s="82"/>
      <c r="U1105" s="82"/>
      <c r="V1105" s="57"/>
      <c r="W1105" s="57"/>
      <c r="X1105" s="57" t="str">
        <f t="shared" si="917"/>
        <v/>
      </c>
      <c r="Y1105" s="58" t="str">
        <f t="shared" ref="Y1105:AC1105" si="945">TRIM(SUBSTITUTE(SUBSTITUTE(OFFSET($Q1105,0,COLUMN()-COLUMN($AL$1)),CHAR(160)," "),_xludf.UNICHAR(8239)," "))</f>
        <v>#NAME?</v>
      </c>
      <c r="Z1105" s="58" t="str">
        <f t="shared" si="945"/>
        <v>#NAME?</v>
      </c>
      <c r="AA1105" s="58" t="str">
        <f t="shared" si="945"/>
        <v>#NAME?</v>
      </c>
      <c r="AB1105" s="58" t="str">
        <f t="shared" si="945"/>
        <v>#NAME?</v>
      </c>
      <c r="AC1105" s="58" t="str">
        <f t="shared" si="945"/>
        <v>#NAME?</v>
      </c>
      <c r="AD1105" s="57">
        <f t="shared" si="906"/>
        <v>0</v>
      </c>
      <c r="AE1105" s="57" t="str">
        <f t="shared" si="907"/>
        <v/>
      </c>
      <c r="AF1105" s="57">
        <f t="shared" si="908"/>
        <v>0</v>
      </c>
      <c r="AG1105" s="59">
        <f t="shared" si="909"/>
        <v>0</v>
      </c>
      <c r="AH1105" s="15"/>
      <c r="AI1105" s="15"/>
      <c r="AJ1105" s="15"/>
      <c r="AK1105" s="15"/>
      <c r="AL1105" s="15"/>
      <c r="AM1105" s="15"/>
      <c r="AN1105" s="15"/>
      <c r="AO1105" s="15"/>
      <c r="AP1105" s="15"/>
      <c r="AQ1105" s="15"/>
      <c r="AR1105" s="15"/>
      <c r="AS1105" s="15"/>
      <c r="AT1105" s="15"/>
      <c r="AU1105" s="15"/>
    </row>
    <row r="1106" ht="24.0" customHeight="1">
      <c r="A1106" s="45">
        <v>2530.0</v>
      </c>
      <c r="B1106" s="57"/>
      <c r="C1106" s="57"/>
      <c r="D1106" s="88" t="str">
        <f t="array" ref="D1106">IFERROR(
  LOOKUP(2, 1/((TRIM(IMS!$E$8:$E$2574)=TRIM(IMS!$E1106))*(IMS!$C$8:$C$2574&lt;IMS!$C1106)),
         IMS!$C$8:$C$2574),
"")</f>
        <v/>
      </c>
      <c r="E1106" s="57"/>
      <c r="F1106" s="57"/>
      <c r="G1106" s="77" t="str">
        <f t="shared" si="901"/>
        <v/>
      </c>
      <c r="H1106" s="78" t="str">
        <f t="shared" si="902"/>
        <v/>
      </c>
      <c r="I1106" s="79"/>
      <c r="J1106" s="80" t="str">
        <f t="shared" si="903"/>
        <v>#NAME?</v>
      </c>
      <c r="K1106" s="58"/>
      <c r="L1106" s="58"/>
      <c r="M1106" s="57"/>
      <c r="N1106" s="57"/>
      <c r="O1106" s="58"/>
      <c r="P1106" s="82"/>
      <c r="Q1106" s="81"/>
      <c r="R1106" s="81"/>
      <c r="S1106" s="57"/>
      <c r="T1106" s="82"/>
      <c r="U1106" s="82"/>
      <c r="V1106" s="57"/>
      <c r="W1106" s="57"/>
      <c r="X1106" s="57" t="str">
        <f t="shared" si="917"/>
        <v/>
      </c>
      <c r="Y1106" s="58" t="str">
        <f t="shared" ref="Y1106:AC1106" si="946">TRIM(SUBSTITUTE(SUBSTITUTE(OFFSET($Q1106,0,COLUMN()-COLUMN($AL$1)),CHAR(160)," "),_xludf.UNICHAR(8239)," "))</f>
        <v>#NAME?</v>
      </c>
      <c r="Z1106" s="58" t="str">
        <f t="shared" si="946"/>
        <v>#NAME?</v>
      </c>
      <c r="AA1106" s="58" t="str">
        <f t="shared" si="946"/>
        <v>#NAME?</v>
      </c>
      <c r="AB1106" s="58" t="str">
        <f t="shared" si="946"/>
        <v>#NAME?</v>
      </c>
      <c r="AC1106" s="58" t="str">
        <f t="shared" si="946"/>
        <v>#NAME?</v>
      </c>
      <c r="AD1106" s="57">
        <f t="shared" si="906"/>
        <v>0</v>
      </c>
      <c r="AE1106" s="57" t="str">
        <f t="shared" si="907"/>
        <v/>
      </c>
      <c r="AF1106" s="57">
        <f t="shared" si="908"/>
        <v>0</v>
      </c>
      <c r="AG1106" s="59">
        <f t="shared" si="909"/>
        <v>0</v>
      </c>
      <c r="AH1106" s="15"/>
      <c r="AI1106" s="15"/>
      <c r="AJ1106" s="15"/>
      <c r="AK1106" s="15"/>
      <c r="AL1106" s="15"/>
      <c r="AM1106" s="15"/>
      <c r="AN1106" s="15"/>
      <c r="AO1106" s="15"/>
      <c r="AP1106" s="15"/>
      <c r="AQ1106" s="15"/>
      <c r="AR1106" s="15"/>
      <c r="AS1106" s="15"/>
      <c r="AT1106" s="15"/>
      <c r="AU1106" s="15"/>
    </row>
    <row r="1107" ht="24.0" customHeight="1">
      <c r="A1107" s="45">
        <v>2531.0</v>
      </c>
      <c r="B1107" s="57"/>
      <c r="C1107" s="57"/>
      <c r="D1107" s="88" t="str">
        <f t="array" ref="D1107">IFERROR(
  LOOKUP(2, 1/((TRIM(IMS!$E$8:$E$2574)=TRIM(IMS!$E1107))*(IMS!$C$8:$C$2574&lt;IMS!$C1107)),
         IMS!$C$8:$C$2574),
"")</f>
        <v/>
      </c>
      <c r="E1107" s="57"/>
      <c r="F1107" s="57"/>
      <c r="G1107" s="77" t="str">
        <f t="shared" si="901"/>
        <v/>
      </c>
      <c r="H1107" s="78" t="str">
        <f t="shared" si="902"/>
        <v/>
      </c>
      <c r="I1107" s="79"/>
      <c r="J1107" s="80" t="str">
        <f t="shared" si="903"/>
        <v>#NAME?</v>
      </c>
      <c r="K1107" s="58"/>
      <c r="L1107" s="58"/>
      <c r="M1107" s="57"/>
      <c r="N1107" s="57"/>
      <c r="O1107" s="58"/>
      <c r="P1107" s="82"/>
      <c r="Q1107" s="81"/>
      <c r="R1107" s="81"/>
      <c r="S1107" s="57"/>
      <c r="T1107" s="82"/>
      <c r="U1107" s="82"/>
      <c r="V1107" s="57"/>
      <c r="W1107" s="57"/>
      <c r="X1107" s="57" t="str">
        <f t="shared" si="917"/>
        <v/>
      </c>
      <c r="Y1107" s="58" t="str">
        <f t="shared" ref="Y1107:AC1107" si="947">TRIM(SUBSTITUTE(SUBSTITUTE(OFFSET($Q1107,0,COLUMN()-COLUMN($AL$1)),CHAR(160)," "),_xludf.UNICHAR(8239)," "))</f>
        <v>#NAME?</v>
      </c>
      <c r="Z1107" s="58" t="str">
        <f t="shared" si="947"/>
        <v>#NAME?</v>
      </c>
      <c r="AA1107" s="58" t="str">
        <f t="shared" si="947"/>
        <v>#NAME?</v>
      </c>
      <c r="AB1107" s="58" t="str">
        <f t="shared" si="947"/>
        <v>#NAME?</v>
      </c>
      <c r="AC1107" s="58" t="str">
        <f t="shared" si="947"/>
        <v>#NAME?</v>
      </c>
      <c r="AD1107" s="57">
        <f t="shared" si="906"/>
        <v>0</v>
      </c>
      <c r="AE1107" s="57" t="str">
        <f t="shared" si="907"/>
        <v/>
      </c>
      <c r="AF1107" s="57">
        <f t="shared" si="908"/>
        <v>0</v>
      </c>
      <c r="AG1107" s="59">
        <f t="shared" si="909"/>
        <v>0</v>
      </c>
      <c r="AH1107" s="15"/>
      <c r="AI1107" s="15"/>
      <c r="AJ1107" s="15"/>
      <c r="AK1107" s="15"/>
      <c r="AL1107" s="15"/>
      <c r="AM1107" s="15"/>
      <c r="AN1107" s="15"/>
      <c r="AO1107" s="15"/>
      <c r="AP1107" s="15"/>
      <c r="AQ1107" s="15"/>
      <c r="AR1107" s="15"/>
      <c r="AS1107" s="15"/>
      <c r="AT1107" s="15"/>
      <c r="AU1107" s="15"/>
    </row>
    <row r="1108" ht="24.0" customHeight="1">
      <c r="A1108" s="45">
        <v>2532.0</v>
      </c>
      <c r="B1108" s="57"/>
      <c r="C1108" s="57"/>
      <c r="D1108" s="88" t="str">
        <f t="array" ref="D1108">IFERROR(
  LOOKUP(2, 1/((TRIM(IMS!$E$8:$E$2574)=TRIM(IMS!$E1108))*(IMS!$C$8:$C$2574&lt;IMS!$C1108)),
         IMS!$C$8:$C$2574),
"")</f>
        <v/>
      </c>
      <c r="E1108" s="57"/>
      <c r="F1108" s="57"/>
      <c r="G1108" s="77" t="str">
        <f t="shared" si="901"/>
        <v/>
      </c>
      <c r="H1108" s="78" t="str">
        <f t="shared" si="902"/>
        <v/>
      </c>
      <c r="I1108" s="79"/>
      <c r="J1108" s="80" t="str">
        <f t="shared" si="903"/>
        <v>#NAME?</v>
      </c>
      <c r="K1108" s="58"/>
      <c r="L1108" s="58"/>
      <c r="M1108" s="57"/>
      <c r="N1108" s="57"/>
      <c r="O1108" s="58"/>
      <c r="P1108" s="82"/>
      <c r="Q1108" s="81"/>
      <c r="R1108" s="81"/>
      <c r="S1108" s="57"/>
      <c r="T1108" s="82"/>
      <c r="U1108" s="82"/>
      <c r="V1108" s="57"/>
      <c r="W1108" s="57"/>
      <c r="X1108" s="57" t="str">
        <f t="shared" si="917"/>
        <v/>
      </c>
      <c r="Y1108" s="58" t="str">
        <f t="shared" ref="Y1108:AC1108" si="948">TRIM(SUBSTITUTE(SUBSTITUTE(OFFSET($Q1108,0,COLUMN()-COLUMN($AL$1)),CHAR(160)," "),_xludf.UNICHAR(8239)," "))</f>
        <v>#NAME?</v>
      </c>
      <c r="Z1108" s="58" t="str">
        <f t="shared" si="948"/>
        <v>#NAME?</v>
      </c>
      <c r="AA1108" s="58" t="str">
        <f t="shared" si="948"/>
        <v>#NAME?</v>
      </c>
      <c r="AB1108" s="58" t="str">
        <f t="shared" si="948"/>
        <v>#NAME?</v>
      </c>
      <c r="AC1108" s="58" t="str">
        <f t="shared" si="948"/>
        <v>#NAME?</v>
      </c>
      <c r="AD1108" s="57">
        <f t="shared" si="906"/>
        <v>0</v>
      </c>
      <c r="AE1108" s="57" t="str">
        <f t="shared" si="907"/>
        <v/>
      </c>
      <c r="AF1108" s="57">
        <f t="shared" si="908"/>
        <v>0</v>
      </c>
      <c r="AG1108" s="59">
        <f t="shared" si="909"/>
        <v>0</v>
      </c>
      <c r="AH1108" s="15"/>
      <c r="AI1108" s="15"/>
      <c r="AJ1108" s="15"/>
      <c r="AK1108" s="15"/>
      <c r="AL1108" s="15"/>
      <c r="AM1108" s="15"/>
      <c r="AN1108" s="15"/>
      <c r="AO1108" s="15"/>
      <c r="AP1108" s="15"/>
      <c r="AQ1108" s="15"/>
      <c r="AR1108" s="15"/>
      <c r="AS1108" s="15"/>
      <c r="AT1108" s="15"/>
      <c r="AU1108" s="15"/>
    </row>
    <row r="1109" ht="24.0" customHeight="1">
      <c r="A1109" s="45">
        <v>2533.0</v>
      </c>
      <c r="B1109" s="57"/>
      <c r="C1109" s="57"/>
      <c r="D1109" s="88" t="str">
        <f t="array" ref="D1109">IFERROR(
  LOOKUP(2, 1/((TRIM(IMS!$E$8:$E$2574)=TRIM(IMS!$E1109))*(IMS!$C$8:$C$2574&lt;IMS!$C1109)),
         IMS!$C$8:$C$2574),
"")</f>
        <v/>
      </c>
      <c r="E1109" s="57"/>
      <c r="F1109" s="57"/>
      <c r="G1109" s="77" t="str">
        <f t="shared" si="901"/>
        <v/>
      </c>
      <c r="H1109" s="78" t="str">
        <f t="shared" si="902"/>
        <v/>
      </c>
      <c r="I1109" s="79"/>
      <c r="J1109" s="80" t="str">
        <f t="shared" si="903"/>
        <v>#NAME?</v>
      </c>
      <c r="K1109" s="58"/>
      <c r="L1109" s="58"/>
      <c r="M1109" s="57"/>
      <c r="N1109" s="57"/>
      <c r="O1109" s="58"/>
      <c r="P1109" s="82"/>
      <c r="Q1109" s="81"/>
      <c r="R1109" s="81"/>
      <c r="S1109" s="57"/>
      <c r="T1109" s="82"/>
      <c r="U1109" s="82"/>
      <c r="V1109" s="57"/>
      <c r="W1109" s="57"/>
      <c r="X1109" s="57" t="str">
        <f t="shared" si="917"/>
        <v/>
      </c>
      <c r="Y1109" s="58" t="str">
        <f t="shared" ref="Y1109:AC1109" si="949">TRIM(SUBSTITUTE(SUBSTITUTE(OFFSET($Q1109,0,COLUMN()-COLUMN($AL$1)),CHAR(160)," "),_xludf.UNICHAR(8239)," "))</f>
        <v>#NAME?</v>
      </c>
      <c r="Z1109" s="58" t="str">
        <f t="shared" si="949"/>
        <v>#NAME?</v>
      </c>
      <c r="AA1109" s="58" t="str">
        <f t="shared" si="949"/>
        <v>#NAME?</v>
      </c>
      <c r="AB1109" s="58" t="str">
        <f t="shared" si="949"/>
        <v>#NAME?</v>
      </c>
      <c r="AC1109" s="58" t="str">
        <f t="shared" si="949"/>
        <v>#NAME?</v>
      </c>
      <c r="AD1109" s="57">
        <f t="shared" si="906"/>
        <v>0</v>
      </c>
      <c r="AE1109" s="57" t="str">
        <f t="shared" si="907"/>
        <v/>
      </c>
      <c r="AF1109" s="57">
        <f t="shared" si="908"/>
        <v>0</v>
      </c>
      <c r="AG1109" s="59">
        <f t="shared" si="909"/>
        <v>0</v>
      </c>
      <c r="AH1109" s="15"/>
      <c r="AI1109" s="15"/>
      <c r="AJ1109" s="15"/>
      <c r="AK1109" s="15"/>
      <c r="AL1109" s="15"/>
      <c r="AM1109" s="15"/>
      <c r="AN1109" s="15"/>
      <c r="AO1109" s="15"/>
      <c r="AP1109" s="15"/>
      <c r="AQ1109" s="15"/>
      <c r="AR1109" s="15"/>
      <c r="AS1109" s="15"/>
      <c r="AT1109" s="15"/>
      <c r="AU1109" s="15"/>
    </row>
    <row r="1110" ht="24.0" customHeight="1">
      <c r="A1110" s="45">
        <v>2534.0</v>
      </c>
      <c r="B1110" s="57"/>
      <c r="C1110" s="57"/>
      <c r="D1110" s="88" t="str">
        <f t="array" ref="D1110">IFERROR(
  LOOKUP(2, 1/((TRIM(IMS!$E$8:$E$2574)=TRIM(IMS!$E1110))*(IMS!$C$8:$C$2574&lt;IMS!$C1110)),
         IMS!$C$8:$C$2574),
"")</f>
        <v/>
      </c>
      <c r="E1110" s="57"/>
      <c r="F1110" s="57"/>
      <c r="G1110" s="77" t="str">
        <f t="shared" si="901"/>
        <v/>
      </c>
      <c r="H1110" s="78" t="str">
        <f t="shared" si="902"/>
        <v/>
      </c>
      <c r="I1110" s="79"/>
      <c r="J1110" s="80" t="str">
        <f t="shared" si="903"/>
        <v>#NAME?</v>
      </c>
      <c r="K1110" s="58"/>
      <c r="L1110" s="58"/>
      <c r="M1110" s="57"/>
      <c r="N1110" s="57"/>
      <c r="O1110" s="58"/>
      <c r="P1110" s="82"/>
      <c r="Q1110" s="81"/>
      <c r="R1110" s="81"/>
      <c r="S1110" s="57"/>
      <c r="T1110" s="82"/>
      <c r="U1110" s="82"/>
      <c r="V1110" s="57"/>
      <c r="W1110" s="57"/>
      <c r="X1110" s="57" t="str">
        <f t="shared" si="917"/>
        <v/>
      </c>
      <c r="Y1110" s="58" t="str">
        <f t="shared" ref="Y1110:AC1110" si="950">TRIM(SUBSTITUTE(SUBSTITUTE(OFFSET($Q1110,0,COLUMN()-COLUMN($AL$1)),CHAR(160)," "),_xludf.UNICHAR(8239)," "))</f>
        <v>#NAME?</v>
      </c>
      <c r="Z1110" s="58" t="str">
        <f t="shared" si="950"/>
        <v>#NAME?</v>
      </c>
      <c r="AA1110" s="58" t="str">
        <f t="shared" si="950"/>
        <v>#NAME?</v>
      </c>
      <c r="AB1110" s="58" t="str">
        <f t="shared" si="950"/>
        <v>#NAME?</v>
      </c>
      <c r="AC1110" s="58" t="str">
        <f t="shared" si="950"/>
        <v>#NAME?</v>
      </c>
      <c r="AD1110" s="57">
        <f t="shared" si="906"/>
        <v>0</v>
      </c>
      <c r="AE1110" s="57" t="str">
        <f t="shared" si="907"/>
        <v/>
      </c>
      <c r="AF1110" s="57">
        <f t="shared" si="908"/>
        <v>0</v>
      </c>
      <c r="AG1110" s="59">
        <f t="shared" si="909"/>
        <v>0</v>
      </c>
      <c r="AH1110" s="15"/>
      <c r="AI1110" s="15"/>
      <c r="AJ1110" s="15"/>
      <c r="AK1110" s="15"/>
      <c r="AL1110" s="15"/>
      <c r="AM1110" s="15"/>
      <c r="AN1110" s="15"/>
      <c r="AO1110" s="15"/>
      <c r="AP1110" s="15"/>
      <c r="AQ1110" s="15"/>
      <c r="AR1110" s="15"/>
      <c r="AS1110" s="15"/>
      <c r="AT1110" s="15"/>
      <c r="AU1110" s="15"/>
    </row>
    <row r="1111" ht="24.0" customHeight="1">
      <c r="A1111" s="45">
        <v>2535.0</v>
      </c>
      <c r="B1111" s="57"/>
      <c r="C1111" s="57"/>
      <c r="D1111" s="88" t="str">
        <f t="array" ref="D1111">IFERROR(
  LOOKUP(2, 1/((TRIM(IMS!$E$8:$E$2574)=TRIM(IMS!$E1111))*(IMS!$C$8:$C$2574&lt;IMS!$C1111)),
         IMS!$C$8:$C$2574),
"")</f>
        <v/>
      </c>
      <c r="E1111" s="57"/>
      <c r="F1111" s="57"/>
      <c r="G1111" s="77" t="str">
        <f t="shared" si="901"/>
        <v/>
      </c>
      <c r="H1111" s="78" t="str">
        <f t="shared" si="902"/>
        <v/>
      </c>
      <c r="I1111" s="79"/>
      <c r="J1111" s="80" t="str">
        <f t="shared" si="903"/>
        <v>#NAME?</v>
      </c>
      <c r="K1111" s="58"/>
      <c r="L1111" s="58"/>
      <c r="M1111" s="57"/>
      <c r="N1111" s="57"/>
      <c r="O1111" s="58"/>
      <c r="P1111" s="82"/>
      <c r="Q1111" s="81"/>
      <c r="R1111" s="81"/>
      <c r="S1111" s="57"/>
      <c r="T1111" s="82"/>
      <c r="U1111" s="82"/>
      <c r="V1111" s="57"/>
      <c r="W1111" s="57"/>
      <c r="X1111" s="57" t="str">
        <f t="shared" si="917"/>
        <v/>
      </c>
      <c r="Y1111" s="58" t="str">
        <f t="shared" ref="Y1111:AC1111" si="951">TRIM(SUBSTITUTE(SUBSTITUTE(OFFSET($Q1111,0,COLUMN()-COLUMN($AL$1)),CHAR(160)," "),_xludf.UNICHAR(8239)," "))</f>
        <v>#NAME?</v>
      </c>
      <c r="Z1111" s="58" t="str">
        <f t="shared" si="951"/>
        <v>#NAME?</v>
      </c>
      <c r="AA1111" s="58" t="str">
        <f t="shared" si="951"/>
        <v>#NAME?</v>
      </c>
      <c r="AB1111" s="58" t="str">
        <f t="shared" si="951"/>
        <v>#NAME?</v>
      </c>
      <c r="AC1111" s="58" t="str">
        <f t="shared" si="951"/>
        <v>#NAME?</v>
      </c>
      <c r="AD1111" s="57">
        <f t="shared" si="906"/>
        <v>0</v>
      </c>
      <c r="AE1111" s="57" t="str">
        <f t="shared" si="907"/>
        <v/>
      </c>
      <c r="AF1111" s="57">
        <f t="shared" si="908"/>
        <v>0</v>
      </c>
      <c r="AG1111" s="59">
        <f t="shared" si="909"/>
        <v>0</v>
      </c>
      <c r="AH1111" s="15"/>
      <c r="AI1111" s="15"/>
      <c r="AJ1111" s="15"/>
      <c r="AK1111" s="15"/>
      <c r="AL1111" s="15"/>
      <c r="AM1111" s="15"/>
      <c r="AN1111" s="15"/>
      <c r="AO1111" s="15"/>
      <c r="AP1111" s="15"/>
      <c r="AQ1111" s="15"/>
      <c r="AR1111" s="15"/>
      <c r="AS1111" s="15"/>
      <c r="AT1111" s="15"/>
      <c r="AU1111" s="15"/>
    </row>
    <row r="1112" ht="24.0" customHeight="1">
      <c r="A1112" s="45">
        <v>2536.0</v>
      </c>
      <c r="B1112" s="57"/>
      <c r="C1112" s="57"/>
      <c r="D1112" s="88" t="str">
        <f t="array" ref="D1112">IFERROR(
  LOOKUP(2, 1/((TRIM(IMS!$E$8:$E$2574)=TRIM(IMS!$E1112))*(IMS!$C$8:$C$2574&lt;IMS!$C1112)),
         IMS!$C$8:$C$2574),
"")</f>
        <v/>
      </c>
      <c r="E1112" s="57"/>
      <c r="F1112" s="57"/>
      <c r="G1112" s="77" t="str">
        <f t="shared" si="901"/>
        <v/>
      </c>
      <c r="H1112" s="78" t="str">
        <f t="shared" si="902"/>
        <v/>
      </c>
      <c r="I1112" s="79"/>
      <c r="J1112" s="80" t="str">
        <f t="shared" si="903"/>
        <v>#NAME?</v>
      </c>
      <c r="K1112" s="58"/>
      <c r="L1112" s="58"/>
      <c r="M1112" s="57"/>
      <c r="N1112" s="57"/>
      <c r="O1112" s="58"/>
      <c r="P1112" s="82"/>
      <c r="Q1112" s="81"/>
      <c r="R1112" s="81"/>
      <c r="S1112" s="57"/>
      <c r="T1112" s="82"/>
      <c r="U1112" s="82"/>
      <c r="V1112" s="57"/>
      <c r="W1112" s="57"/>
      <c r="X1112" s="57" t="str">
        <f t="shared" si="917"/>
        <v/>
      </c>
      <c r="Y1112" s="58" t="str">
        <f t="shared" ref="Y1112:AC1112" si="952">TRIM(SUBSTITUTE(SUBSTITUTE(OFFSET($Q1112,0,COLUMN()-COLUMN($AL$1)),CHAR(160)," "),_xludf.UNICHAR(8239)," "))</f>
        <v>#NAME?</v>
      </c>
      <c r="Z1112" s="58" t="str">
        <f t="shared" si="952"/>
        <v>#NAME?</v>
      </c>
      <c r="AA1112" s="58" t="str">
        <f t="shared" si="952"/>
        <v>#NAME?</v>
      </c>
      <c r="AB1112" s="58" t="str">
        <f t="shared" si="952"/>
        <v>#NAME?</v>
      </c>
      <c r="AC1112" s="58" t="str">
        <f t="shared" si="952"/>
        <v>#NAME?</v>
      </c>
      <c r="AD1112" s="57">
        <f t="shared" si="906"/>
        <v>0</v>
      </c>
      <c r="AE1112" s="57" t="str">
        <f t="shared" si="907"/>
        <v/>
      </c>
      <c r="AF1112" s="57">
        <f t="shared" si="908"/>
        <v>0</v>
      </c>
      <c r="AG1112" s="59">
        <f t="shared" si="909"/>
        <v>0</v>
      </c>
      <c r="AH1112" s="15"/>
      <c r="AI1112" s="15"/>
      <c r="AJ1112" s="15"/>
      <c r="AK1112" s="15"/>
      <c r="AL1112" s="15"/>
      <c r="AM1112" s="15"/>
      <c r="AN1112" s="15"/>
      <c r="AO1112" s="15"/>
      <c r="AP1112" s="15"/>
      <c r="AQ1112" s="15"/>
      <c r="AR1112" s="15"/>
      <c r="AS1112" s="15"/>
      <c r="AT1112" s="15"/>
      <c r="AU1112" s="15"/>
    </row>
    <row r="1113" ht="24.0" customHeight="1">
      <c r="A1113" s="45">
        <v>2537.0</v>
      </c>
      <c r="B1113" s="57"/>
      <c r="C1113" s="57"/>
      <c r="D1113" s="88" t="str">
        <f t="array" ref="D1113">IFERROR(
  LOOKUP(2, 1/((TRIM(IMS!$E$8:$E$2574)=TRIM(IMS!$E1113))*(IMS!$C$8:$C$2574&lt;IMS!$C1113)),
         IMS!$C$8:$C$2574),
"")</f>
        <v/>
      </c>
      <c r="E1113" s="57"/>
      <c r="F1113" s="57"/>
      <c r="G1113" s="77" t="str">
        <f t="shared" si="901"/>
        <v/>
      </c>
      <c r="H1113" s="78" t="str">
        <f t="shared" si="902"/>
        <v/>
      </c>
      <c r="I1113" s="79"/>
      <c r="J1113" s="80" t="str">
        <f t="shared" si="903"/>
        <v>#NAME?</v>
      </c>
      <c r="K1113" s="58"/>
      <c r="L1113" s="58"/>
      <c r="M1113" s="57"/>
      <c r="N1113" s="57"/>
      <c r="O1113" s="58"/>
      <c r="P1113" s="82"/>
      <c r="Q1113" s="81"/>
      <c r="R1113" s="81"/>
      <c r="S1113" s="57"/>
      <c r="T1113" s="82"/>
      <c r="U1113" s="82"/>
      <c r="V1113" s="57"/>
      <c r="W1113" s="57"/>
      <c r="X1113" s="57" t="str">
        <f t="shared" si="917"/>
        <v/>
      </c>
      <c r="Y1113" s="58" t="str">
        <f t="shared" ref="Y1113:AC1113" si="953">TRIM(SUBSTITUTE(SUBSTITUTE(OFFSET($Q1113,0,COLUMN()-COLUMN($AL$1)),CHAR(160)," "),_xludf.UNICHAR(8239)," "))</f>
        <v>#NAME?</v>
      </c>
      <c r="Z1113" s="58" t="str">
        <f t="shared" si="953"/>
        <v>#NAME?</v>
      </c>
      <c r="AA1113" s="58" t="str">
        <f t="shared" si="953"/>
        <v>#NAME?</v>
      </c>
      <c r="AB1113" s="58" t="str">
        <f t="shared" si="953"/>
        <v>#NAME?</v>
      </c>
      <c r="AC1113" s="58" t="str">
        <f t="shared" si="953"/>
        <v>#NAME?</v>
      </c>
      <c r="AD1113" s="57">
        <f t="shared" si="906"/>
        <v>0</v>
      </c>
      <c r="AE1113" s="57" t="str">
        <f t="shared" si="907"/>
        <v/>
      </c>
      <c r="AF1113" s="57">
        <f t="shared" si="908"/>
        <v>0</v>
      </c>
      <c r="AG1113" s="59">
        <f t="shared" si="909"/>
        <v>0</v>
      </c>
      <c r="AH1113" s="15"/>
      <c r="AI1113" s="15"/>
      <c r="AJ1113" s="15"/>
      <c r="AK1113" s="15"/>
      <c r="AL1113" s="15"/>
      <c r="AM1113" s="15"/>
      <c r="AN1113" s="15"/>
      <c r="AO1113" s="15"/>
      <c r="AP1113" s="15"/>
      <c r="AQ1113" s="15"/>
      <c r="AR1113" s="15"/>
      <c r="AS1113" s="15"/>
      <c r="AT1113" s="15"/>
      <c r="AU1113" s="15"/>
    </row>
    <row r="1114" ht="24.0" customHeight="1">
      <c r="A1114" s="45">
        <v>2538.0</v>
      </c>
      <c r="B1114" s="57"/>
      <c r="C1114" s="57"/>
      <c r="D1114" s="88" t="str">
        <f t="array" ref="D1114">IFERROR(
  LOOKUP(2, 1/((TRIM(IMS!$E$8:$E$2574)=TRIM(IMS!$E1114))*(IMS!$C$8:$C$2574&lt;IMS!$C1114)),
         IMS!$C$8:$C$2574),
"")</f>
        <v/>
      </c>
      <c r="E1114" s="57"/>
      <c r="F1114" s="57"/>
      <c r="G1114" s="77" t="str">
        <f t="shared" si="901"/>
        <v/>
      </c>
      <c r="H1114" s="78" t="str">
        <f t="shared" si="902"/>
        <v/>
      </c>
      <c r="I1114" s="79"/>
      <c r="J1114" s="80" t="str">
        <f t="shared" si="903"/>
        <v>#NAME?</v>
      </c>
      <c r="K1114" s="58"/>
      <c r="L1114" s="58"/>
      <c r="M1114" s="57"/>
      <c r="N1114" s="57"/>
      <c r="O1114" s="58"/>
      <c r="P1114" s="82"/>
      <c r="Q1114" s="81"/>
      <c r="R1114" s="81"/>
      <c r="S1114" s="57"/>
      <c r="T1114" s="82"/>
      <c r="U1114" s="82"/>
      <c r="V1114" s="57"/>
      <c r="W1114" s="57"/>
      <c r="X1114" s="57" t="str">
        <f t="shared" si="917"/>
        <v/>
      </c>
      <c r="Y1114" s="58" t="str">
        <f t="shared" ref="Y1114:AC1114" si="954">TRIM(SUBSTITUTE(SUBSTITUTE(OFFSET($Q1114,0,COLUMN()-COLUMN($AL$1)),CHAR(160)," "),_xludf.UNICHAR(8239)," "))</f>
        <v>#NAME?</v>
      </c>
      <c r="Z1114" s="58" t="str">
        <f t="shared" si="954"/>
        <v>#NAME?</v>
      </c>
      <c r="AA1114" s="58" t="str">
        <f t="shared" si="954"/>
        <v>#NAME?</v>
      </c>
      <c r="AB1114" s="58" t="str">
        <f t="shared" si="954"/>
        <v>#NAME?</v>
      </c>
      <c r="AC1114" s="58" t="str">
        <f t="shared" si="954"/>
        <v>#NAME?</v>
      </c>
      <c r="AD1114" s="57">
        <f t="shared" si="906"/>
        <v>0</v>
      </c>
      <c r="AE1114" s="57" t="str">
        <f t="shared" si="907"/>
        <v/>
      </c>
      <c r="AF1114" s="57">
        <f t="shared" si="908"/>
        <v>0</v>
      </c>
      <c r="AG1114" s="59">
        <f t="shared" si="909"/>
        <v>0</v>
      </c>
      <c r="AH1114" s="15"/>
      <c r="AI1114" s="15"/>
      <c r="AJ1114" s="15"/>
      <c r="AK1114" s="15"/>
      <c r="AL1114" s="15"/>
      <c r="AM1114" s="15"/>
      <c r="AN1114" s="15"/>
      <c r="AO1114" s="15"/>
      <c r="AP1114" s="15"/>
      <c r="AQ1114" s="15"/>
      <c r="AR1114" s="15"/>
      <c r="AS1114" s="15"/>
      <c r="AT1114" s="15"/>
      <c r="AU1114" s="15"/>
    </row>
    <row r="1115" ht="24.0" customHeight="1">
      <c r="A1115" s="45">
        <v>2539.0</v>
      </c>
      <c r="B1115" s="57"/>
      <c r="C1115" s="57"/>
      <c r="D1115" s="88" t="str">
        <f t="array" ref="D1115">IFERROR(
  LOOKUP(2, 1/((TRIM(IMS!$E$8:$E$2574)=TRIM(IMS!$E1115))*(IMS!$C$8:$C$2574&lt;IMS!$C1115)),
         IMS!$C$8:$C$2574),
"")</f>
        <v/>
      </c>
      <c r="E1115" s="57"/>
      <c r="F1115" s="57"/>
      <c r="G1115" s="77" t="str">
        <f t="shared" si="901"/>
        <v/>
      </c>
      <c r="H1115" s="78" t="str">
        <f t="shared" si="902"/>
        <v/>
      </c>
      <c r="I1115" s="79"/>
      <c r="J1115" s="80" t="str">
        <f t="shared" si="903"/>
        <v>#NAME?</v>
      </c>
      <c r="K1115" s="58"/>
      <c r="L1115" s="58"/>
      <c r="M1115" s="57"/>
      <c r="N1115" s="57"/>
      <c r="O1115" s="58"/>
      <c r="P1115" s="82"/>
      <c r="Q1115" s="81"/>
      <c r="R1115" s="81"/>
      <c r="S1115" s="57"/>
      <c r="T1115" s="82"/>
      <c r="U1115" s="82"/>
      <c r="V1115" s="57"/>
      <c r="W1115" s="57"/>
      <c r="X1115" s="57" t="str">
        <f t="shared" si="917"/>
        <v/>
      </c>
      <c r="Y1115" s="58" t="str">
        <f t="shared" ref="Y1115:AC1115" si="955">TRIM(SUBSTITUTE(SUBSTITUTE(OFFSET($Q1115,0,COLUMN()-COLUMN($AL$1)),CHAR(160)," "),_xludf.UNICHAR(8239)," "))</f>
        <v>#NAME?</v>
      </c>
      <c r="Z1115" s="58" t="str">
        <f t="shared" si="955"/>
        <v>#NAME?</v>
      </c>
      <c r="AA1115" s="58" t="str">
        <f t="shared" si="955"/>
        <v>#NAME?</v>
      </c>
      <c r="AB1115" s="58" t="str">
        <f t="shared" si="955"/>
        <v>#NAME?</v>
      </c>
      <c r="AC1115" s="58" t="str">
        <f t="shared" si="955"/>
        <v>#NAME?</v>
      </c>
      <c r="AD1115" s="57">
        <f t="shared" si="906"/>
        <v>0</v>
      </c>
      <c r="AE1115" s="57" t="str">
        <f t="shared" si="907"/>
        <v/>
      </c>
      <c r="AF1115" s="57">
        <f t="shared" si="908"/>
        <v>0</v>
      </c>
      <c r="AG1115" s="59">
        <f t="shared" si="909"/>
        <v>0</v>
      </c>
      <c r="AH1115" s="15"/>
      <c r="AI1115" s="15"/>
      <c r="AJ1115" s="15"/>
      <c r="AK1115" s="15"/>
      <c r="AL1115" s="15"/>
      <c r="AM1115" s="15"/>
      <c r="AN1115" s="15"/>
      <c r="AO1115" s="15"/>
      <c r="AP1115" s="15"/>
      <c r="AQ1115" s="15"/>
      <c r="AR1115" s="15"/>
      <c r="AS1115" s="15"/>
      <c r="AT1115" s="15"/>
      <c r="AU1115" s="15"/>
    </row>
    <row r="1116" ht="24.0" customHeight="1">
      <c r="A1116" s="45">
        <v>2540.0</v>
      </c>
      <c r="B1116" s="57"/>
      <c r="C1116" s="57"/>
      <c r="D1116" s="88" t="str">
        <f t="array" ref="D1116">IFERROR(
  LOOKUP(2, 1/((TRIM(IMS!$E$8:$E$2574)=TRIM(IMS!$E1116))*(IMS!$C$8:$C$2574&lt;IMS!$C1116)),
         IMS!$C$8:$C$2574),
"")</f>
        <v/>
      </c>
      <c r="E1116" s="57"/>
      <c r="F1116" s="57"/>
      <c r="G1116" s="77" t="str">
        <f t="shared" si="901"/>
        <v/>
      </c>
      <c r="H1116" s="78" t="str">
        <f t="shared" si="902"/>
        <v/>
      </c>
      <c r="I1116" s="79"/>
      <c r="J1116" s="80" t="str">
        <f t="shared" si="903"/>
        <v>#NAME?</v>
      </c>
      <c r="K1116" s="58"/>
      <c r="L1116" s="58"/>
      <c r="M1116" s="57"/>
      <c r="N1116" s="57"/>
      <c r="O1116" s="58"/>
      <c r="P1116" s="82"/>
      <c r="Q1116" s="81"/>
      <c r="R1116" s="81"/>
      <c r="S1116" s="57"/>
      <c r="T1116" s="82"/>
      <c r="U1116" s="82"/>
      <c r="V1116" s="57"/>
      <c r="W1116" s="57"/>
      <c r="X1116" s="57" t="str">
        <f t="shared" si="917"/>
        <v/>
      </c>
      <c r="Y1116" s="58" t="str">
        <f t="shared" ref="Y1116:AC1116" si="956">TRIM(SUBSTITUTE(SUBSTITUTE(OFFSET($Q1116,0,COLUMN()-COLUMN($AL$1)),CHAR(160)," "),_xludf.UNICHAR(8239)," "))</f>
        <v>#NAME?</v>
      </c>
      <c r="Z1116" s="58" t="str">
        <f t="shared" si="956"/>
        <v>#NAME?</v>
      </c>
      <c r="AA1116" s="58" t="str">
        <f t="shared" si="956"/>
        <v>#NAME?</v>
      </c>
      <c r="AB1116" s="58" t="str">
        <f t="shared" si="956"/>
        <v>#NAME?</v>
      </c>
      <c r="AC1116" s="58" t="str">
        <f t="shared" si="956"/>
        <v>#NAME?</v>
      </c>
      <c r="AD1116" s="57">
        <f t="shared" si="906"/>
        <v>0</v>
      </c>
      <c r="AE1116" s="57" t="str">
        <f t="shared" si="907"/>
        <v/>
      </c>
      <c r="AF1116" s="57">
        <f t="shared" si="908"/>
        <v>0</v>
      </c>
      <c r="AG1116" s="59">
        <f t="shared" si="909"/>
        <v>0</v>
      </c>
      <c r="AH1116" s="15"/>
      <c r="AI1116" s="15"/>
      <c r="AJ1116" s="15"/>
      <c r="AK1116" s="15"/>
      <c r="AL1116" s="15"/>
      <c r="AM1116" s="15"/>
      <c r="AN1116" s="15"/>
      <c r="AO1116" s="15"/>
      <c r="AP1116" s="15"/>
      <c r="AQ1116" s="15"/>
      <c r="AR1116" s="15"/>
      <c r="AS1116" s="15"/>
      <c r="AT1116" s="15"/>
      <c r="AU1116" s="15"/>
    </row>
    <row r="1117" ht="24.0" customHeight="1">
      <c r="A1117" s="45">
        <v>2541.0</v>
      </c>
      <c r="B1117" s="57"/>
      <c r="C1117" s="57"/>
      <c r="D1117" s="88" t="str">
        <f t="array" ref="D1117">IFERROR(
  LOOKUP(2, 1/((TRIM(IMS!$E$8:$E$2574)=TRIM(IMS!$E1117))*(IMS!$C$8:$C$2574&lt;IMS!$C1117)),
         IMS!$C$8:$C$2574),
"")</f>
        <v/>
      </c>
      <c r="E1117" s="57"/>
      <c r="F1117" s="57"/>
      <c r="G1117" s="77" t="str">
        <f t="shared" si="901"/>
        <v/>
      </c>
      <c r="H1117" s="78" t="str">
        <f t="shared" si="902"/>
        <v/>
      </c>
      <c r="I1117" s="79"/>
      <c r="J1117" s="80" t="str">
        <f t="shared" si="903"/>
        <v>#NAME?</v>
      </c>
      <c r="K1117" s="58"/>
      <c r="L1117" s="58"/>
      <c r="M1117" s="57"/>
      <c r="N1117" s="57"/>
      <c r="O1117" s="58"/>
      <c r="P1117" s="82"/>
      <c r="Q1117" s="81"/>
      <c r="R1117" s="81"/>
      <c r="S1117" s="57"/>
      <c r="T1117" s="82"/>
      <c r="U1117" s="82"/>
      <c r="V1117" s="57"/>
      <c r="W1117" s="57"/>
      <c r="X1117" s="57" t="str">
        <f t="shared" si="917"/>
        <v/>
      </c>
      <c r="Y1117" s="58" t="str">
        <f t="shared" ref="Y1117:AC1117" si="957">TRIM(SUBSTITUTE(SUBSTITUTE(OFFSET($Q1117,0,COLUMN()-COLUMN($AL$1)),CHAR(160)," "),_xludf.UNICHAR(8239)," "))</f>
        <v>#NAME?</v>
      </c>
      <c r="Z1117" s="58" t="str">
        <f t="shared" si="957"/>
        <v>#NAME?</v>
      </c>
      <c r="AA1117" s="58" t="str">
        <f t="shared" si="957"/>
        <v>#NAME?</v>
      </c>
      <c r="AB1117" s="58" t="str">
        <f t="shared" si="957"/>
        <v>#NAME?</v>
      </c>
      <c r="AC1117" s="58" t="str">
        <f t="shared" si="957"/>
        <v>#NAME?</v>
      </c>
      <c r="AD1117" s="57">
        <f t="shared" si="906"/>
        <v>0</v>
      </c>
      <c r="AE1117" s="57" t="str">
        <f t="shared" si="907"/>
        <v/>
      </c>
      <c r="AF1117" s="57">
        <f t="shared" si="908"/>
        <v>0</v>
      </c>
      <c r="AG1117" s="59">
        <f t="shared" si="909"/>
        <v>0</v>
      </c>
      <c r="AH1117" s="15"/>
      <c r="AI1117" s="15"/>
      <c r="AJ1117" s="15"/>
      <c r="AK1117" s="15"/>
      <c r="AL1117" s="15"/>
      <c r="AM1117" s="15"/>
      <c r="AN1117" s="15"/>
      <c r="AO1117" s="15"/>
      <c r="AP1117" s="15"/>
      <c r="AQ1117" s="15"/>
      <c r="AR1117" s="15"/>
      <c r="AS1117" s="15"/>
      <c r="AT1117" s="15"/>
      <c r="AU1117" s="15"/>
    </row>
    <row r="1118" ht="24.0" customHeight="1">
      <c r="A1118" s="45">
        <v>2542.0</v>
      </c>
      <c r="B1118" s="57"/>
      <c r="C1118" s="57"/>
      <c r="D1118" s="88" t="str">
        <f t="array" ref="D1118">IFERROR(
  LOOKUP(2, 1/((TRIM(IMS!$E$8:$E$2574)=TRIM(IMS!$E1118))*(IMS!$C$8:$C$2574&lt;IMS!$C1118)),
         IMS!$C$8:$C$2574),
"")</f>
        <v/>
      </c>
      <c r="E1118" s="57"/>
      <c r="F1118" s="57"/>
      <c r="G1118" s="77" t="str">
        <f t="shared" si="901"/>
        <v/>
      </c>
      <c r="H1118" s="78" t="str">
        <f t="shared" si="902"/>
        <v/>
      </c>
      <c r="I1118" s="79"/>
      <c r="J1118" s="80" t="str">
        <f t="shared" si="903"/>
        <v>#NAME?</v>
      </c>
      <c r="K1118" s="58"/>
      <c r="L1118" s="58"/>
      <c r="M1118" s="57"/>
      <c r="N1118" s="57"/>
      <c r="O1118" s="58"/>
      <c r="P1118" s="82"/>
      <c r="Q1118" s="81"/>
      <c r="R1118" s="81"/>
      <c r="S1118" s="57"/>
      <c r="T1118" s="82"/>
      <c r="U1118" s="82"/>
      <c r="V1118" s="57"/>
      <c r="W1118" s="57"/>
      <c r="X1118" s="57" t="str">
        <f t="shared" si="917"/>
        <v/>
      </c>
      <c r="Y1118" s="58" t="str">
        <f t="shared" ref="Y1118:AC1118" si="958">TRIM(SUBSTITUTE(SUBSTITUTE(OFFSET($Q1118,0,COLUMN()-COLUMN($AL$1)),CHAR(160)," "),_xludf.UNICHAR(8239)," "))</f>
        <v>#NAME?</v>
      </c>
      <c r="Z1118" s="58" t="str">
        <f t="shared" si="958"/>
        <v>#NAME?</v>
      </c>
      <c r="AA1118" s="58" t="str">
        <f t="shared" si="958"/>
        <v>#NAME?</v>
      </c>
      <c r="AB1118" s="58" t="str">
        <f t="shared" si="958"/>
        <v>#NAME?</v>
      </c>
      <c r="AC1118" s="58" t="str">
        <f t="shared" si="958"/>
        <v>#NAME?</v>
      </c>
      <c r="AD1118" s="57">
        <f t="shared" si="906"/>
        <v>0</v>
      </c>
      <c r="AE1118" s="57" t="str">
        <f t="shared" si="907"/>
        <v/>
      </c>
      <c r="AF1118" s="57">
        <f t="shared" si="908"/>
        <v>0</v>
      </c>
      <c r="AG1118" s="59">
        <f t="shared" si="909"/>
        <v>0</v>
      </c>
      <c r="AH1118" s="15"/>
      <c r="AI1118" s="15"/>
      <c r="AJ1118" s="15"/>
      <c r="AK1118" s="15"/>
      <c r="AL1118" s="15"/>
      <c r="AM1118" s="15"/>
      <c r="AN1118" s="15"/>
      <c r="AO1118" s="15"/>
      <c r="AP1118" s="15"/>
      <c r="AQ1118" s="15"/>
      <c r="AR1118" s="15"/>
      <c r="AS1118" s="15"/>
      <c r="AT1118" s="15"/>
      <c r="AU1118" s="15"/>
    </row>
    <row r="1119" ht="24.0" customHeight="1">
      <c r="A1119" s="45">
        <v>2543.0</v>
      </c>
      <c r="B1119" s="57"/>
      <c r="C1119" s="57"/>
      <c r="D1119" s="88" t="str">
        <f t="array" ref="D1119">IFERROR(
  LOOKUP(2, 1/((TRIM(IMS!$E$8:$E$2574)=TRIM(IMS!$E1119))*(IMS!$C$8:$C$2574&lt;IMS!$C1119)),
         IMS!$C$8:$C$2574),
"")</f>
        <v/>
      </c>
      <c r="E1119" s="57"/>
      <c r="F1119" s="57"/>
      <c r="G1119" s="77" t="str">
        <f t="shared" si="901"/>
        <v/>
      </c>
      <c r="H1119" s="78" t="str">
        <f t="shared" si="902"/>
        <v/>
      </c>
      <c r="I1119" s="79"/>
      <c r="J1119" s="80" t="str">
        <f t="shared" si="903"/>
        <v>#NAME?</v>
      </c>
      <c r="K1119" s="58"/>
      <c r="L1119" s="58"/>
      <c r="M1119" s="57"/>
      <c r="N1119" s="57"/>
      <c r="O1119" s="58"/>
      <c r="P1119" s="82"/>
      <c r="Q1119" s="81"/>
      <c r="R1119" s="81"/>
      <c r="S1119" s="57"/>
      <c r="T1119" s="82"/>
      <c r="U1119" s="82"/>
      <c r="V1119" s="57"/>
      <c r="W1119" s="57"/>
      <c r="X1119" s="57" t="str">
        <f t="shared" si="917"/>
        <v/>
      </c>
      <c r="Y1119" s="58" t="str">
        <f t="shared" ref="Y1119:AC1119" si="959">TRIM(SUBSTITUTE(SUBSTITUTE(OFFSET($Q1119,0,COLUMN()-COLUMN($AL$1)),CHAR(160)," "),_xludf.UNICHAR(8239)," "))</f>
        <v>#NAME?</v>
      </c>
      <c r="Z1119" s="58" t="str">
        <f t="shared" si="959"/>
        <v>#NAME?</v>
      </c>
      <c r="AA1119" s="58" t="str">
        <f t="shared" si="959"/>
        <v>#NAME?</v>
      </c>
      <c r="AB1119" s="58" t="str">
        <f t="shared" si="959"/>
        <v>#NAME?</v>
      </c>
      <c r="AC1119" s="58" t="str">
        <f t="shared" si="959"/>
        <v>#NAME?</v>
      </c>
      <c r="AD1119" s="57">
        <f t="shared" si="906"/>
        <v>0</v>
      </c>
      <c r="AE1119" s="57" t="str">
        <f t="shared" si="907"/>
        <v/>
      </c>
      <c r="AF1119" s="57">
        <f t="shared" si="908"/>
        <v>0</v>
      </c>
      <c r="AG1119" s="59">
        <f t="shared" si="909"/>
        <v>0</v>
      </c>
      <c r="AH1119" s="15"/>
      <c r="AI1119" s="15"/>
      <c r="AJ1119" s="15"/>
      <c r="AK1119" s="15"/>
      <c r="AL1119" s="15"/>
      <c r="AM1119" s="15"/>
      <c r="AN1119" s="15"/>
      <c r="AO1119" s="15"/>
      <c r="AP1119" s="15"/>
      <c r="AQ1119" s="15"/>
      <c r="AR1119" s="15"/>
      <c r="AS1119" s="15"/>
      <c r="AT1119" s="15"/>
      <c r="AU1119" s="15"/>
    </row>
    <row r="1120" ht="24.0" customHeight="1">
      <c r="A1120" s="45">
        <v>2544.0</v>
      </c>
      <c r="B1120" s="57"/>
      <c r="C1120" s="57"/>
      <c r="D1120" s="88" t="str">
        <f t="array" ref="D1120">IFERROR(
  LOOKUP(2, 1/((TRIM(IMS!$E$8:$E$2574)=TRIM(IMS!$E1120))*(IMS!$C$8:$C$2574&lt;IMS!$C1120)),
         IMS!$C$8:$C$2574),
"")</f>
        <v/>
      </c>
      <c r="E1120" s="57"/>
      <c r="F1120" s="57"/>
      <c r="G1120" s="77" t="str">
        <f t="shared" si="901"/>
        <v/>
      </c>
      <c r="H1120" s="78" t="str">
        <f t="shared" si="902"/>
        <v/>
      </c>
      <c r="I1120" s="79"/>
      <c r="J1120" s="80" t="str">
        <f t="shared" si="903"/>
        <v>#NAME?</v>
      </c>
      <c r="K1120" s="58"/>
      <c r="L1120" s="58"/>
      <c r="M1120" s="57"/>
      <c r="N1120" s="57"/>
      <c r="O1120" s="58"/>
      <c r="P1120" s="82"/>
      <c r="Q1120" s="81"/>
      <c r="R1120" s="81"/>
      <c r="S1120" s="57"/>
      <c r="T1120" s="82"/>
      <c r="U1120" s="82"/>
      <c r="V1120" s="57"/>
      <c r="W1120" s="57"/>
      <c r="X1120" s="57" t="str">
        <f t="shared" si="917"/>
        <v/>
      </c>
      <c r="Y1120" s="58" t="str">
        <f t="shared" ref="Y1120:AC1120" si="960">TRIM(SUBSTITUTE(SUBSTITUTE(OFFSET($Q1120,0,COLUMN()-COLUMN($AL$1)),CHAR(160)," "),_xludf.UNICHAR(8239)," "))</f>
        <v>#NAME?</v>
      </c>
      <c r="Z1120" s="58" t="str">
        <f t="shared" si="960"/>
        <v>#NAME?</v>
      </c>
      <c r="AA1120" s="58" t="str">
        <f t="shared" si="960"/>
        <v>#NAME?</v>
      </c>
      <c r="AB1120" s="58" t="str">
        <f t="shared" si="960"/>
        <v>#NAME?</v>
      </c>
      <c r="AC1120" s="58" t="str">
        <f t="shared" si="960"/>
        <v>#NAME?</v>
      </c>
      <c r="AD1120" s="57">
        <f t="shared" si="906"/>
        <v>0</v>
      </c>
      <c r="AE1120" s="57" t="str">
        <f t="shared" si="907"/>
        <v/>
      </c>
      <c r="AF1120" s="57">
        <f t="shared" si="908"/>
        <v>0</v>
      </c>
      <c r="AG1120" s="59">
        <f t="shared" si="909"/>
        <v>0</v>
      </c>
      <c r="AH1120" s="15"/>
      <c r="AI1120" s="15"/>
      <c r="AJ1120" s="15"/>
      <c r="AK1120" s="15"/>
      <c r="AL1120" s="15"/>
      <c r="AM1120" s="15"/>
      <c r="AN1120" s="15"/>
      <c r="AO1120" s="15"/>
      <c r="AP1120" s="15"/>
      <c r="AQ1120" s="15"/>
      <c r="AR1120" s="15"/>
      <c r="AS1120" s="15"/>
      <c r="AT1120" s="15"/>
      <c r="AU1120" s="15"/>
    </row>
    <row r="1121" ht="24.0" customHeight="1">
      <c r="A1121" s="45">
        <v>2545.0</v>
      </c>
      <c r="B1121" s="57"/>
      <c r="C1121" s="57"/>
      <c r="D1121" s="88" t="str">
        <f t="array" ref="D1121">IFERROR(
  LOOKUP(2, 1/((TRIM(IMS!$E$8:$E$2574)=TRIM(IMS!$E1121))*(IMS!$C$8:$C$2574&lt;IMS!$C1121)),
         IMS!$C$8:$C$2574),
"")</f>
        <v/>
      </c>
      <c r="E1121" s="57"/>
      <c r="F1121" s="57"/>
      <c r="G1121" s="77" t="str">
        <f t="shared" si="901"/>
        <v/>
      </c>
      <c r="H1121" s="78" t="str">
        <f t="shared" si="902"/>
        <v/>
      </c>
      <c r="I1121" s="79"/>
      <c r="J1121" s="80" t="str">
        <f t="shared" si="903"/>
        <v>#NAME?</v>
      </c>
      <c r="K1121" s="58"/>
      <c r="L1121" s="58"/>
      <c r="M1121" s="57"/>
      <c r="N1121" s="57"/>
      <c r="O1121" s="58"/>
      <c r="P1121" s="82"/>
      <c r="Q1121" s="81"/>
      <c r="R1121" s="81"/>
      <c r="S1121" s="57"/>
      <c r="T1121" s="82"/>
      <c r="U1121" s="82"/>
      <c r="V1121" s="57"/>
      <c r="W1121" s="57"/>
      <c r="X1121" s="57" t="str">
        <f t="shared" si="917"/>
        <v/>
      </c>
      <c r="Y1121" s="58" t="str">
        <f t="shared" ref="Y1121:AC1121" si="961">TRIM(SUBSTITUTE(SUBSTITUTE(OFFSET($Q1121,0,COLUMN()-COLUMN($AL$1)),CHAR(160)," "),_xludf.UNICHAR(8239)," "))</f>
        <v>#NAME?</v>
      </c>
      <c r="Z1121" s="58" t="str">
        <f t="shared" si="961"/>
        <v>#NAME?</v>
      </c>
      <c r="AA1121" s="58" t="str">
        <f t="shared" si="961"/>
        <v>#NAME?</v>
      </c>
      <c r="AB1121" s="58" t="str">
        <f t="shared" si="961"/>
        <v>#NAME?</v>
      </c>
      <c r="AC1121" s="58" t="str">
        <f t="shared" si="961"/>
        <v>#NAME?</v>
      </c>
      <c r="AD1121" s="57">
        <f t="shared" si="906"/>
        <v>0</v>
      </c>
      <c r="AE1121" s="57" t="str">
        <f t="shared" si="907"/>
        <v/>
      </c>
      <c r="AF1121" s="57">
        <f t="shared" si="908"/>
        <v>0</v>
      </c>
      <c r="AG1121" s="59">
        <f t="shared" si="909"/>
        <v>0</v>
      </c>
      <c r="AH1121" s="15"/>
      <c r="AI1121" s="15"/>
      <c r="AJ1121" s="15"/>
      <c r="AK1121" s="15"/>
      <c r="AL1121" s="15"/>
      <c r="AM1121" s="15"/>
      <c r="AN1121" s="15"/>
      <c r="AO1121" s="15"/>
      <c r="AP1121" s="15"/>
      <c r="AQ1121" s="15"/>
      <c r="AR1121" s="15"/>
      <c r="AS1121" s="15"/>
      <c r="AT1121" s="15"/>
      <c r="AU1121" s="15"/>
    </row>
    <row r="1122" ht="24.0" customHeight="1">
      <c r="A1122" s="45">
        <v>2546.0</v>
      </c>
      <c r="B1122" s="57"/>
      <c r="C1122" s="57"/>
      <c r="D1122" s="88" t="str">
        <f t="array" ref="D1122">IFERROR(
  LOOKUP(2, 1/((TRIM(IMS!$E$8:$E$2574)=TRIM(IMS!$E1122))*(IMS!$C$8:$C$2574&lt;IMS!$C1122)),
         IMS!$C$8:$C$2574),
"")</f>
        <v/>
      </c>
      <c r="E1122" s="57"/>
      <c r="F1122" s="57"/>
      <c r="G1122" s="77" t="str">
        <f t="shared" si="901"/>
        <v/>
      </c>
      <c r="H1122" s="78" t="str">
        <f t="shared" si="902"/>
        <v/>
      </c>
      <c r="I1122" s="79"/>
      <c r="J1122" s="80" t="str">
        <f t="shared" si="903"/>
        <v>#NAME?</v>
      </c>
      <c r="K1122" s="58"/>
      <c r="L1122" s="58"/>
      <c r="M1122" s="57"/>
      <c r="N1122" s="57"/>
      <c r="O1122" s="58"/>
      <c r="P1122" s="82"/>
      <c r="Q1122" s="81"/>
      <c r="R1122" s="81"/>
      <c r="S1122" s="57"/>
      <c r="T1122" s="82"/>
      <c r="U1122" s="82"/>
      <c r="V1122" s="57"/>
      <c r="W1122" s="57"/>
      <c r="X1122" s="57" t="str">
        <f t="shared" si="917"/>
        <v/>
      </c>
      <c r="Y1122" s="58" t="str">
        <f t="shared" ref="Y1122:AC1122" si="962">TRIM(SUBSTITUTE(SUBSTITUTE(OFFSET($Q1122,0,COLUMN()-COLUMN($AL$1)),CHAR(160)," "),_xludf.UNICHAR(8239)," "))</f>
        <v>#NAME?</v>
      </c>
      <c r="Z1122" s="58" t="str">
        <f t="shared" si="962"/>
        <v>#NAME?</v>
      </c>
      <c r="AA1122" s="58" t="str">
        <f t="shared" si="962"/>
        <v>#NAME?</v>
      </c>
      <c r="AB1122" s="58" t="str">
        <f t="shared" si="962"/>
        <v>#NAME?</v>
      </c>
      <c r="AC1122" s="58" t="str">
        <f t="shared" si="962"/>
        <v>#NAME?</v>
      </c>
      <c r="AD1122" s="57">
        <f t="shared" si="906"/>
        <v>0</v>
      </c>
      <c r="AE1122" s="57" t="str">
        <f t="shared" si="907"/>
        <v/>
      </c>
      <c r="AF1122" s="57">
        <f t="shared" si="908"/>
        <v>0</v>
      </c>
      <c r="AG1122" s="59">
        <f t="shared" si="909"/>
        <v>0</v>
      </c>
      <c r="AH1122" s="15"/>
      <c r="AI1122" s="15"/>
      <c r="AJ1122" s="15"/>
      <c r="AK1122" s="15"/>
      <c r="AL1122" s="15"/>
      <c r="AM1122" s="15"/>
      <c r="AN1122" s="15"/>
      <c r="AO1122" s="15"/>
      <c r="AP1122" s="15"/>
      <c r="AQ1122" s="15"/>
      <c r="AR1122" s="15"/>
      <c r="AS1122" s="15"/>
      <c r="AT1122" s="15"/>
      <c r="AU1122" s="15"/>
    </row>
    <row r="1123" ht="24.0" customHeight="1">
      <c r="A1123" s="45">
        <v>2547.0</v>
      </c>
      <c r="B1123" s="57"/>
      <c r="C1123" s="57"/>
      <c r="D1123" s="88" t="str">
        <f t="array" ref="D1123">IFERROR(
  LOOKUP(2, 1/((TRIM(IMS!$E$8:$E$2574)=TRIM(IMS!$E1123))*(IMS!$C$8:$C$2574&lt;IMS!$C1123)),
         IMS!$C$8:$C$2574),
"")</f>
        <v/>
      </c>
      <c r="E1123" s="57"/>
      <c r="F1123" s="57"/>
      <c r="G1123" s="77" t="str">
        <f t="shared" si="901"/>
        <v/>
      </c>
      <c r="H1123" s="78" t="str">
        <f t="shared" si="902"/>
        <v/>
      </c>
      <c r="I1123" s="79"/>
      <c r="J1123" s="80" t="str">
        <f t="shared" si="903"/>
        <v>#NAME?</v>
      </c>
      <c r="K1123" s="58"/>
      <c r="L1123" s="58"/>
      <c r="M1123" s="57"/>
      <c r="N1123" s="57"/>
      <c r="O1123" s="58"/>
      <c r="P1123" s="82"/>
      <c r="Q1123" s="81"/>
      <c r="R1123" s="81"/>
      <c r="S1123" s="57"/>
      <c r="T1123" s="82"/>
      <c r="U1123" s="82"/>
      <c r="V1123" s="57"/>
      <c r="W1123" s="57"/>
      <c r="X1123" s="57" t="str">
        <f t="shared" si="917"/>
        <v/>
      </c>
      <c r="Y1123" s="58" t="str">
        <f t="shared" ref="Y1123:AC1123" si="963">TRIM(SUBSTITUTE(SUBSTITUTE(OFFSET($Q1123,0,COLUMN()-COLUMN($AL$1)),CHAR(160)," "),_xludf.UNICHAR(8239)," "))</f>
        <v>#NAME?</v>
      </c>
      <c r="Z1123" s="58" t="str">
        <f t="shared" si="963"/>
        <v>#NAME?</v>
      </c>
      <c r="AA1123" s="58" t="str">
        <f t="shared" si="963"/>
        <v>#NAME?</v>
      </c>
      <c r="AB1123" s="58" t="str">
        <f t="shared" si="963"/>
        <v>#NAME?</v>
      </c>
      <c r="AC1123" s="58" t="str">
        <f t="shared" si="963"/>
        <v>#NAME?</v>
      </c>
      <c r="AD1123" s="57">
        <f t="shared" si="906"/>
        <v>0</v>
      </c>
      <c r="AE1123" s="57" t="str">
        <f t="shared" si="907"/>
        <v/>
      </c>
      <c r="AF1123" s="57">
        <f t="shared" si="908"/>
        <v>0</v>
      </c>
      <c r="AG1123" s="59">
        <f t="shared" si="909"/>
        <v>0</v>
      </c>
      <c r="AH1123" s="15"/>
      <c r="AI1123" s="15"/>
      <c r="AJ1123" s="15"/>
      <c r="AK1123" s="15"/>
      <c r="AL1123" s="15"/>
      <c r="AM1123" s="15"/>
      <c r="AN1123" s="15"/>
      <c r="AO1123" s="15"/>
      <c r="AP1123" s="15"/>
      <c r="AQ1123" s="15"/>
      <c r="AR1123" s="15"/>
      <c r="AS1123" s="15"/>
      <c r="AT1123" s="15"/>
      <c r="AU1123" s="15"/>
    </row>
    <row r="1124" ht="24.0" customHeight="1">
      <c r="A1124" s="45">
        <v>2548.0</v>
      </c>
      <c r="B1124" s="57"/>
      <c r="C1124" s="57"/>
      <c r="D1124" s="88" t="str">
        <f t="array" ref="D1124">IFERROR(
  LOOKUP(2, 1/((TRIM(IMS!$E$8:$E$2574)=TRIM(IMS!$E1124))*(IMS!$C$8:$C$2574&lt;IMS!$C1124)),
         IMS!$C$8:$C$2574),
"")</f>
        <v/>
      </c>
      <c r="E1124" s="57"/>
      <c r="F1124" s="57"/>
      <c r="G1124" s="77" t="str">
        <f t="shared" si="901"/>
        <v/>
      </c>
      <c r="H1124" s="78" t="str">
        <f t="shared" si="902"/>
        <v/>
      </c>
      <c r="I1124" s="79"/>
      <c r="J1124" s="80" t="str">
        <f t="shared" si="903"/>
        <v>#NAME?</v>
      </c>
      <c r="K1124" s="58"/>
      <c r="L1124" s="58"/>
      <c r="M1124" s="57"/>
      <c r="N1124" s="57"/>
      <c r="O1124" s="58"/>
      <c r="P1124" s="82"/>
      <c r="Q1124" s="81"/>
      <c r="R1124" s="81"/>
      <c r="S1124" s="57"/>
      <c r="T1124" s="82"/>
      <c r="U1124" s="82"/>
      <c r="V1124" s="57"/>
      <c r="W1124" s="57"/>
      <c r="X1124" s="57" t="str">
        <f t="shared" si="917"/>
        <v/>
      </c>
      <c r="Y1124" s="58" t="str">
        <f t="shared" ref="Y1124:AC1124" si="964">TRIM(SUBSTITUTE(SUBSTITUTE(OFFSET($Q1124,0,COLUMN()-COLUMN($AL$1)),CHAR(160)," "),_xludf.UNICHAR(8239)," "))</f>
        <v>#NAME?</v>
      </c>
      <c r="Z1124" s="58" t="str">
        <f t="shared" si="964"/>
        <v>#NAME?</v>
      </c>
      <c r="AA1124" s="58" t="str">
        <f t="shared" si="964"/>
        <v>#NAME?</v>
      </c>
      <c r="AB1124" s="58" t="str">
        <f t="shared" si="964"/>
        <v>#NAME?</v>
      </c>
      <c r="AC1124" s="58" t="str">
        <f t="shared" si="964"/>
        <v>#NAME?</v>
      </c>
      <c r="AD1124" s="57">
        <f t="shared" si="906"/>
        <v>0</v>
      </c>
      <c r="AE1124" s="57" t="str">
        <f t="shared" si="907"/>
        <v/>
      </c>
      <c r="AF1124" s="57">
        <f t="shared" si="908"/>
        <v>0</v>
      </c>
      <c r="AG1124" s="59">
        <f t="shared" si="909"/>
        <v>0</v>
      </c>
      <c r="AH1124" s="15"/>
      <c r="AI1124" s="15"/>
      <c r="AJ1124" s="15"/>
      <c r="AK1124" s="15"/>
      <c r="AL1124" s="15"/>
      <c r="AM1124" s="15"/>
      <c r="AN1124" s="15"/>
      <c r="AO1124" s="15"/>
      <c r="AP1124" s="15"/>
      <c r="AQ1124" s="15"/>
      <c r="AR1124" s="15"/>
      <c r="AS1124" s="15"/>
      <c r="AT1124" s="15"/>
      <c r="AU1124" s="15"/>
    </row>
    <row r="1125" ht="24.0" customHeight="1">
      <c r="A1125" s="45">
        <v>2549.0</v>
      </c>
      <c r="B1125" s="57"/>
      <c r="C1125" s="57"/>
      <c r="D1125" s="88" t="str">
        <f t="array" ref="D1125">IFERROR(
  LOOKUP(2, 1/((TRIM(IMS!$E$8:$E$2574)=TRIM(IMS!$E1125))*(IMS!$C$8:$C$2574&lt;IMS!$C1125)),
         IMS!$C$8:$C$2574),
"")</f>
        <v/>
      </c>
      <c r="E1125" s="57"/>
      <c r="F1125" s="57"/>
      <c r="G1125" s="77" t="str">
        <f t="shared" si="901"/>
        <v/>
      </c>
      <c r="H1125" s="78" t="str">
        <f t="shared" si="902"/>
        <v/>
      </c>
      <c r="I1125" s="79"/>
      <c r="J1125" s="80" t="str">
        <f t="shared" si="903"/>
        <v>#NAME?</v>
      </c>
      <c r="K1125" s="58"/>
      <c r="L1125" s="58"/>
      <c r="M1125" s="57"/>
      <c r="N1125" s="57"/>
      <c r="O1125" s="58"/>
      <c r="P1125" s="82"/>
      <c r="Q1125" s="81"/>
      <c r="R1125" s="81"/>
      <c r="S1125" s="57"/>
      <c r="T1125" s="82"/>
      <c r="U1125" s="82"/>
      <c r="V1125" s="57"/>
      <c r="W1125" s="57"/>
      <c r="X1125" s="57" t="str">
        <f t="shared" si="917"/>
        <v/>
      </c>
      <c r="Y1125" s="58" t="str">
        <f t="shared" ref="Y1125:AC1125" si="965">TRIM(SUBSTITUTE(SUBSTITUTE(OFFSET($Q1125,0,COLUMN()-COLUMN($AL$1)),CHAR(160)," "),_xludf.UNICHAR(8239)," "))</f>
        <v>#NAME?</v>
      </c>
      <c r="Z1125" s="58" t="str">
        <f t="shared" si="965"/>
        <v>#NAME?</v>
      </c>
      <c r="AA1125" s="58" t="str">
        <f t="shared" si="965"/>
        <v>#NAME?</v>
      </c>
      <c r="AB1125" s="58" t="str">
        <f t="shared" si="965"/>
        <v>#NAME?</v>
      </c>
      <c r="AC1125" s="58" t="str">
        <f t="shared" si="965"/>
        <v>#NAME?</v>
      </c>
      <c r="AD1125" s="57">
        <f t="shared" si="906"/>
        <v>0</v>
      </c>
      <c r="AE1125" s="57" t="str">
        <f t="shared" si="907"/>
        <v/>
      </c>
      <c r="AF1125" s="57">
        <f t="shared" si="908"/>
        <v>0</v>
      </c>
      <c r="AG1125" s="59">
        <f t="shared" si="909"/>
        <v>0</v>
      </c>
      <c r="AH1125" s="15"/>
      <c r="AI1125" s="15"/>
      <c r="AJ1125" s="15"/>
      <c r="AK1125" s="15"/>
      <c r="AL1125" s="15"/>
      <c r="AM1125" s="15"/>
      <c r="AN1125" s="15"/>
      <c r="AO1125" s="15"/>
      <c r="AP1125" s="15"/>
      <c r="AQ1125" s="15"/>
      <c r="AR1125" s="15"/>
      <c r="AS1125" s="15"/>
      <c r="AT1125" s="15"/>
      <c r="AU1125" s="15"/>
    </row>
    <row r="1126" ht="24.0" customHeight="1">
      <c r="A1126" s="45">
        <v>2550.0</v>
      </c>
      <c r="B1126" s="57"/>
      <c r="C1126" s="57"/>
      <c r="D1126" s="88" t="str">
        <f t="array" ref="D1126">IFERROR(
  LOOKUP(2, 1/((TRIM(IMS!$E$8:$E$2574)=TRIM(IMS!$E1126))*(IMS!$C$8:$C$2574&lt;IMS!$C1126)),
         IMS!$C$8:$C$2574),
"")</f>
        <v/>
      </c>
      <c r="E1126" s="57"/>
      <c r="F1126" s="57"/>
      <c r="G1126" s="77" t="str">
        <f t="shared" si="901"/>
        <v/>
      </c>
      <c r="H1126" s="78" t="str">
        <f t="shared" si="902"/>
        <v/>
      </c>
      <c r="I1126" s="79"/>
      <c r="J1126" s="80" t="str">
        <f t="shared" si="903"/>
        <v>#NAME?</v>
      </c>
      <c r="K1126" s="58"/>
      <c r="L1126" s="58"/>
      <c r="M1126" s="57"/>
      <c r="N1126" s="57"/>
      <c r="O1126" s="58"/>
      <c r="P1126" s="82"/>
      <c r="Q1126" s="81"/>
      <c r="R1126" s="81"/>
      <c r="S1126" s="57"/>
      <c r="T1126" s="82"/>
      <c r="U1126" s="82"/>
      <c r="V1126" s="57"/>
      <c r="W1126" s="57"/>
      <c r="X1126" s="57" t="str">
        <f t="shared" si="917"/>
        <v/>
      </c>
      <c r="Y1126" s="58" t="str">
        <f t="shared" ref="Y1126:AC1126" si="966">TRIM(SUBSTITUTE(SUBSTITUTE(OFFSET($Q1126,0,COLUMN()-COLUMN($AL$1)),CHAR(160)," "),_xludf.UNICHAR(8239)," "))</f>
        <v>#NAME?</v>
      </c>
      <c r="Z1126" s="58" t="str">
        <f t="shared" si="966"/>
        <v>#NAME?</v>
      </c>
      <c r="AA1126" s="58" t="str">
        <f t="shared" si="966"/>
        <v>#NAME?</v>
      </c>
      <c r="AB1126" s="58" t="str">
        <f t="shared" si="966"/>
        <v>#NAME?</v>
      </c>
      <c r="AC1126" s="58" t="str">
        <f t="shared" si="966"/>
        <v>#NAME?</v>
      </c>
      <c r="AD1126" s="57">
        <f t="shared" si="906"/>
        <v>0</v>
      </c>
      <c r="AE1126" s="57" t="str">
        <f t="shared" si="907"/>
        <v/>
      </c>
      <c r="AF1126" s="57">
        <f t="shared" si="908"/>
        <v>0</v>
      </c>
      <c r="AG1126" s="59">
        <f t="shared" si="909"/>
        <v>0</v>
      </c>
      <c r="AH1126" s="15"/>
      <c r="AI1126" s="15"/>
      <c r="AJ1126" s="15"/>
      <c r="AK1126" s="15"/>
      <c r="AL1126" s="15"/>
      <c r="AM1126" s="15"/>
      <c r="AN1126" s="15"/>
      <c r="AO1126" s="15"/>
      <c r="AP1126" s="15"/>
      <c r="AQ1126" s="15"/>
      <c r="AR1126" s="15"/>
      <c r="AS1126" s="15"/>
      <c r="AT1126" s="15"/>
      <c r="AU1126" s="15"/>
    </row>
    <row r="1127" ht="24.0" customHeight="1">
      <c r="A1127" s="45">
        <v>2551.0</v>
      </c>
      <c r="B1127" s="57"/>
      <c r="C1127" s="57"/>
      <c r="D1127" s="88" t="str">
        <f t="array" ref="D1127">IFERROR(
  LOOKUP(2, 1/((TRIM(IMS!$E$8:$E$2574)=TRIM(IMS!$E1127))*(IMS!$C$8:$C$2574&lt;IMS!$C1127)),
         IMS!$C$8:$C$2574),
"")</f>
        <v/>
      </c>
      <c r="E1127" s="57"/>
      <c r="F1127" s="57"/>
      <c r="G1127" s="77" t="str">
        <f t="shared" si="901"/>
        <v/>
      </c>
      <c r="H1127" s="78" t="str">
        <f t="shared" si="902"/>
        <v/>
      </c>
      <c r="I1127" s="79"/>
      <c r="J1127" s="80" t="str">
        <f t="shared" si="903"/>
        <v>#NAME?</v>
      </c>
      <c r="K1127" s="58"/>
      <c r="L1127" s="58"/>
      <c r="M1127" s="57"/>
      <c r="N1127" s="57"/>
      <c r="O1127" s="58"/>
      <c r="P1127" s="82"/>
      <c r="Q1127" s="81"/>
      <c r="R1127" s="81"/>
      <c r="S1127" s="57"/>
      <c r="T1127" s="82"/>
      <c r="U1127" s="82"/>
      <c r="V1127" s="57"/>
      <c r="W1127" s="57"/>
      <c r="X1127" s="57" t="str">
        <f t="shared" si="917"/>
        <v/>
      </c>
      <c r="Y1127" s="58" t="str">
        <f t="shared" ref="Y1127:AC1127" si="967">TRIM(SUBSTITUTE(SUBSTITUTE(OFFSET($Q1127,0,COLUMN()-COLUMN($AL$1)),CHAR(160)," "),_xludf.UNICHAR(8239)," "))</f>
        <v>#NAME?</v>
      </c>
      <c r="Z1127" s="58" t="str">
        <f t="shared" si="967"/>
        <v>#NAME?</v>
      </c>
      <c r="AA1127" s="58" t="str">
        <f t="shared" si="967"/>
        <v>#NAME?</v>
      </c>
      <c r="AB1127" s="58" t="str">
        <f t="shared" si="967"/>
        <v>#NAME?</v>
      </c>
      <c r="AC1127" s="58" t="str">
        <f t="shared" si="967"/>
        <v>#NAME?</v>
      </c>
      <c r="AD1127" s="57">
        <f t="shared" si="906"/>
        <v>0</v>
      </c>
      <c r="AE1127" s="57" t="str">
        <f t="shared" si="907"/>
        <v/>
      </c>
      <c r="AF1127" s="57">
        <f t="shared" si="908"/>
        <v>0</v>
      </c>
      <c r="AG1127" s="59">
        <f t="shared" si="909"/>
        <v>0</v>
      </c>
      <c r="AH1127" s="15"/>
      <c r="AI1127" s="15"/>
      <c r="AJ1127" s="15"/>
      <c r="AK1127" s="15"/>
      <c r="AL1127" s="15"/>
      <c r="AM1127" s="15"/>
      <c r="AN1127" s="15"/>
      <c r="AO1127" s="15"/>
      <c r="AP1127" s="15"/>
      <c r="AQ1127" s="15"/>
      <c r="AR1127" s="15"/>
      <c r="AS1127" s="15"/>
      <c r="AT1127" s="15"/>
      <c r="AU1127" s="15"/>
    </row>
    <row r="1128" ht="24.0" customHeight="1">
      <c r="A1128" s="45">
        <v>2552.0</v>
      </c>
      <c r="B1128" s="57"/>
      <c r="C1128" s="57"/>
      <c r="D1128" s="88" t="str">
        <f t="array" ref="D1128">IFERROR(
  LOOKUP(2, 1/((TRIM(IMS!$E$8:$E$2574)=TRIM(IMS!$E1128))*(IMS!$C$8:$C$2574&lt;IMS!$C1128)),
         IMS!$C$8:$C$2574),
"")</f>
        <v/>
      </c>
      <c r="E1128" s="57"/>
      <c r="F1128" s="57"/>
      <c r="G1128" s="77" t="str">
        <f t="shared" si="901"/>
        <v/>
      </c>
      <c r="H1128" s="78" t="str">
        <f t="shared" si="902"/>
        <v/>
      </c>
      <c r="I1128" s="79"/>
      <c r="J1128" s="80" t="str">
        <f t="shared" si="903"/>
        <v>#NAME?</v>
      </c>
      <c r="K1128" s="58"/>
      <c r="L1128" s="58"/>
      <c r="M1128" s="57"/>
      <c r="N1128" s="57"/>
      <c r="O1128" s="58"/>
      <c r="P1128" s="82"/>
      <c r="Q1128" s="81"/>
      <c r="R1128" s="81"/>
      <c r="S1128" s="57"/>
      <c r="T1128" s="82"/>
      <c r="U1128" s="82"/>
      <c r="V1128" s="57"/>
      <c r="W1128" s="57"/>
      <c r="X1128" s="57" t="str">
        <f t="shared" si="917"/>
        <v/>
      </c>
      <c r="Y1128" s="58" t="str">
        <f t="shared" ref="Y1128:AC1128" si="968">TRIM(SUBSTITUTE(SUBSTITUTE(OFFSET($Q1128,0,COLUMN()-COLUMN($AL$1)),CHAR(160)," "),_xludf.UNICHAR(8239)," "))</f>
        <v>#NAME?</v>
      </c>
      <c r="Z1128" s="58" t="str">
        <f t="shared" si="968"/>
        <v>#NAME?</v>
      </c>
      <c r="AA1128" s="58" t="str">
        <f t="shared" si="968"/>
        <v>#NAME?</v>
      </c>
      <c r="AB1128" s="58" t="str">
        <f t="shared" si="968"/>
        <v>#NAME?</v>
      </c>
      <c r="AC1128" s="58" t="str">
        <f t="shared" si="968"/>
        <v>#NAME?</v>
      </c>
      <c r="AD1128" s="57">
        <f t="shared" si="906"/>
        <v>0</v>
      </c>
      <c r="AE1128" s="57" t="str">
        <f t="shared" si="907"/>
        <v/>
      </c>
      <c r="AF1128" s="57">
        <f t="shared" si="908"/>
        <v>0</v>
      </c>
      <c r="AG1128" s="59">
        <f t="shared" si="909"/>
        <v>0</v>
      </c>
      <c r="AH1128" s="15"/>
      <c r="AI1128" s="15"/>
      <c r="AJ1128" s="15"/>
      <c r="AK1128" s="15"/>
      <c r="AL1128" s="15"/>
      <c r="AM1128" s="15"/>
      <c r="AN1128" s="15"/>
      <c r="AO1128" s="15"/>
      <c r="AP1128" s="15"/>
      <c r="AQ1128" s="15"/>
      <c r="AR1128" s="15"/>
      <c r="AS1128" s="15"/>
      <c r="AT1128" s="15"/>
      <c r="AU1128" s="15"/>
    </row>
    <row r="1129" ht="24.0" customHeight="1">
      <c r="A1129" s="45">
        <v>2553.0</v>
      </c>
      <c r="B1129" s="57"/>
      <c r="C1129" s="57"/>
      <c r="D1129" s="88" t="str">
        <f t="array" ref="D1129">IFERROR(
  LOOKUP(2, 1/((TRIM(IMS!$E$8:$E$2574)=TRIM(IMS!$E1129))*(IMS!$C$8:$C$2574&lt;IMS!$C1129)),
         IMS!$C$8:$C$2574),
"")</f>
        <v/>
      </c>
      <c r="E1129" s="57"/>
      <c r="F1129" s="57"/>
      <c r="G1129" s="77" t="str">
        <f t="shared" si="901"/>
        <v/>
      </c>
      <c r="H1129" s="78" t="str">
        <f t="shared" si="902"/>
        <v/>
      </c>
      <c r="I1129" s="79"/>
      <c r="J1129" s="80" t="str">
        <f t="shared" si="903"/>
        <v>#NAME?</v>
      </c>
      <c r="K1129" s="58"/>
      <c r="L1129" s="58"/>
      <c r="M1129" s="57"/>
      <c r="N1129" s="57"/>
      <c r="O1129" s="58"/>
      <c r="P1129" s="82"/>
      <c r="Q1129" s="81"/>
      <c r="R1129" s="81"/>
      <c r="S1129" s="57"/>
      <c r="T1129" s="82"/>
      <c r="U1129" s="82"/>
      <c r="V1129" s="57"/>
      <c r="W1129" s="57"/>
      <c r="X1129" s="57" t="str">
        <f t="shared" si="917"/>
        <v/>
      </c>
      <c r="Y1129" s="58" t="str">
        <f t="shared" ref="Y1129:AC1129" si="969">TRIM(SUBSTITUTE(SUBSTITUTE(OFFSET($Q1129,0,COLUMN()-COLUMN($AL$1)),CHAR(160)," "),_xludf.UNICHAR(8239)," "))</f>
        <v>#NAME?</v>
      </c>
      <c r="Z1129" s="58" t="str">
        <f t="shared" si="969"/>
        <v>#NAME?</v>
      </c>
      <c r="AA1129" s="58" t="str">
        <f t="shared" si="969"/>
        <v>#NAME?</v>
      </c>
      <c r="AB1129" s="58" t="str">
        <f t="shared" si="969"/>
        <v>#NAME?</v>
      </c>
      <c r="AC1129" s="58" t="str">
        <f t="shared" si="969"/>
        <v>#NAME?</v>
      </c>
      <c r="AD1129" s="57">
        <f t="shared" si="906"/>
        <v>0</v>
      </c>
      <c r="AE1129" s="57" t="str">
        <f t="shared" si="907"/>
        <v/>
      </c>
      <c r="AF1129" s="57">
        <f t="shared" si="908"/>
        <v>0</v>
      </c>
      <c r="AG1129" s="59">
        <f t="shared" si="909"/>
        <v>0</v>
      </c>
      <c r="AH1129" s="15"/>
      <c r="AI1129" s="15"/>
      <c r="AJ1129" s="15"/>
      <c r="AK1129" s="15"/>
      <c r="AL1129" s="15"/>
      <c r="AM1129" s="15"/>
      <c r="AN1129" s="15"/>
      <c r="AO1129" s="15"/>
      <c r="AP1129" s="15"/>
      <c r="AQ1129" s="15"/>
      <c r="AR1129" s="15"/>
      <c r="AS1129" s="15"/>
      <c r="AT1129" s="15"/>
      <c r="AU1129" s="15"/>
    </row>
    <row r="1130" ht="24.0" customHeight="1">
      <c r="A1130" s="45">
        <v>2554.0</v>
      </c>
      <c r="B1130" s="57"/>
      <c r="C1130" s="57"/>
      <c r="D1130" s="88" t="str">
        <f t="array" ref="D1130">IFERROR(
  LOOKUP(2, 1/((TRIM(IMS!$E$8:$E$2574)=TRIM(IMS!$E1130))*(IMS!$C$8:$C$2574&lt;IMS!$C1130)),
         IMS!$C$8:$C$2574),
"")</f>
        <v/>
      </c>
      <c r="E1130" s="57"/>
      <c r="F1130" s="57"/>
      <c r="G1130" s="77" t="str">
        <f t="shared" si="901"/>
        <v/>
      </c>
      <c r="H1130" s="78" t="str">
        <f t="shared" si="902"/>
        <v/>
      </c>
      <c r="I1130" s="79"/>
      <c r="J1130" s="80" t="str">
        <f t="shared" si="903"/>
        <v>#NAME?</v>
      </c>
      <c r="K1130" s="58"/>
      <c r="L1130" s="58"/>
      <c r="M1130" s="57"/>
      <c r="N1130" s="57"/>
      <c r="O1130" s="58"/>
      <c r="P1130" s="82"/>
      <c r="Q1130" s="81"/>
      <c r="R1130" s="81"/>
      <c r="S1130" s="57"/>
      <c r="T1130" s="82"/>
      <c r="U1130" s="82"/>
      <c r="V1130" s="57"/>
      <c r="W1130" s="57"/>
      <c r="X1130" s="57" t="str">
        <f t="shared" si="917"/>
        <v/>
      </c>
      <c r="Y1130" s="58" t="str">
        <f t="shared" ref="Y1130:AC1130" si="970">TRIM(SUBSTITUTE(SUBSTITUTE(OFFSET($Q1130,0,COLUMN()-COLUMN($AL$1)),CHAR(160)," "),_xludf.UNICHAR(8239)," "))</f>
        <v>#NAME?</v>
      </c>
      <c r="Z1130" s="58" t="str">
        <f t="shared" si="970"/>
        <v>#NAME?</v>
      </c>
      <c r="AA1130" s="58" t="str">
        <f t="shared" si="970"/>
        <v>#NAME?</v>
      </c>
      <c r="AB1130" s="58" t="str">
        <f t="shared" si="970"/>
        <v>#NAME?</v>
      </c>
      <c r="AC1130" s="58" t="str">
        <f t="shared" si="970"/>
        <v>#NAME?</v>
      </c>
      <c r="AD1130" s="57">
        <f t="shared" si="906"/>
        <v>0</v>
      </c>
      <c r="AE1130" s="57" t="str">
        <f t="shared" si="907"/>
        <v/>
      </c>
      <c r="AF1130" s="57">
        <f t="shared" si="908"/>
        <v>0</v>
      </c>
      <c r="AG1130" s="59">
        <f t="shared" si="909"/>
        <v>0</v>
      </c>
      <c r="AH1130" s="15"/>
      <c r="AI1130" s="15"/>
      <c r="AJ1130" s="15"/>
      <c r="AK1130" s="15"/>
      <c r="AL1130" s="15"/>
      <c r="AM1130" s="15"/>
      <c r="AN1130" s="15"/>
      <c r="AO1130" s="15"/>
      <c r="AP1130" s="15"/>
      <c r="AQ1130" s="15"/>
      <c r="AR1130" s="15"/>
      <c r="AS1130" s="15"/>
      <c r="AT1130" s="15"/>
      <c r="AU1130" s="15"/>
    </row>
    <row r="1131" ht="24.0" customHeight="1">
      <c r="A1131" s="45">
        <v>2555.0</v>
      </c>
      <c r="B1131" s="57"/>
      <c r="C1131" s="57"/>
      <c r="D1131" s="88" t="str">
        <f t="array" ref="D1131">IFERROR(
  LOOKUP(2, 1/((TRIM(IMS!$E$8:$E$2574)=TRIM(IMS!$E1131))*(IMS!$C$8:$C$2574&lt;IMS!$C1131)),
         IMS!$C$8:$C$2574),
"")</f>
        <v/>
      </c>
      <c r="E1131" s="57"/>
      <c r="F1131" s="57"/>
      <c r="G1131" s="77" t="str">
        <f t="shared" si="901"/>
        <v/>
      </c>
      <c r="H1131" s="78" t="str">
        <f t="shared" si="902"/>
        <v/>
      </c>
      <c r="I1131" s="79"/>
      <c r="J1131" s="80" t="str">
        <f t="shared" si="903"/>
        <v>#NAME?</v>
      </c>
      <c r="K1131" s="58"/>
      <c r="L1131" s="58"/>
      <c r="M1131" s="57"/>
      <c r="N1131" s="57"/>
      <c r="O1131" s="58"/>
      <c r="P1131" s="82"/>
      <c r="Q1131" s="81"/>
      <c r="R1131" s="81"/>
      <c r="S1131" s="57"/>
      <c r="T1131" s="82"/>
      <c r="U1131" s="82"/>
      <c r="V1131" s="57"/>
      <c r="W1131" s="57"/>
      <c r="X1131" s="57" t="str">
        <f t="shared" si="917"/>
        <v/>
      </c>
      <c r="Y1131" s="58" t="str">
        <f t="shared" ref="Y1131:AC1131" si="971">TRIM(SUBSTITUTE(SUBSTITUTE(OFFSET($Q1131,0,COLUMN()-COLUMN($AL$1)),CHAR(160)," "),_xludf.UNICHAR(8239)," "))</f>
        <v>#NAME?</v>
      </c>
      <c r="Z1131" s="58" t="str">
        <f t="shared" si="971"/>
        <v>#NAME?</v>
      </c>
      <c r="AA1131" s="58" t="str">
        <f t="shared" si="971"/>
        <v>#NAME?</v>
      </c>
      <c r="AB1131" s="58" t="str">
        <f t="shared" si="971"/>
        <v>#NAME?</v>
      </c>
      <c r="AC1131" s="58" t="str">
        <f t="shared" si="971"/>
        <v>#NAME?</v>
      </c>
      <c r="AD1131" s="57">
        <f t="shared" si="906"/>
        <v>0</v>
      </c>
      <c r="AE1131" s="57" t="str">
        <f t="shared" si="907"/>
        <v/>
      </c>
      <c r="AF1131" s="57">
        <f t="shared" si="908"/>
        <v>0</v>
      </c>
      <c r="AG1131" s="59">
        <f t="shared" si="909"/>
        <v>0</v>
      </c>
      <c r="AH1131" s="15"/>
      <c r="AI1131" s="15"/>
      <c r="AJ1131" s="15"/>
      <c r="AK1131" s="15"/>
      <c r="AL1131" s="15"/>
      <c r="AM1131" s="15"/>
      <c r="AN1131" s="15"/>
      <c r="AO1131" s="15"/>
      <c r="AP1131" s="15"/>
      <c r="AQ1131" s="15"/>
      <c r="AR1131" s="15"/>
      <c r="AS1131" s="15"/>
      <c r="AT1131" s="15"/>
      <c r="AU1131" s="15"/>
    </row>
    <row r="1132" ht="24.0" customHeight="1">
      <c r="A1132" s="45">
        <v>2556.0</v>
      </c>
      <c r="B1132" s="57"/>
      <c r="C1132" s="57"/>
      <c r="D1132" s="88" t="str">
        <f t="array" ref="D1132">IFERROR(
  LOOKUP(2, 1/((TRIM(IMS!$E$8:$E$2574)=TRIM(IMS!$E1132))*(IMS!$C$8:$C$2574&lt;IMS!$C1132)),
         IMS!$C$8:$C$2574),
"")</f>
        <v/>
      </c>
      <c r="E1132" s="57"/>
      <c r="F1132" s="57"/>
      <c r="G1132" s="77" t="str">
        <f t="shared" si="901"/>
        <v/>
      </c>
      <c r="H1132" s="78" t="str">
        <f t="shared" si="902"/>
        <v/>
      </c>
      <c r="I1132" s="79"/>
      <c r="J1132" s="80" t="str">
        <f t="shared" si="903"/>
        <v>#NAME?</v>
      </c>
      <c r="K1132" s="58"/>
      <c r="L1132" s="58"/>
      <c r="M1132" s="57"/>
      <c r="N1132" s="57"/>
      <c r="O1132" s="58"/>
      <c r="P1132" s="82"/>
      <c r="Q1132" s="81"/>
      <c r="R1132" s="81"/>
      <c r="S1132" s="57"/>
      <c r="T1132" s="82"/>
      <c r="U1132" s="82"/>
      <c r="V1132" s="57"/>
      <c r="W1132" s="57"/>
      <c r="X1132" s="57" t="str">
        <f t="shared" si="917"/>
        <v/>
      </c>
      <c r="Y1132" s="58" t="str">
        <f t="shared" ref="Y1132:AC1132" si="972">TRIM(SUBSTITUTE(SUBSTITUTE(OFFSET($Q1132,0,COLUMN()-COLUMN($AL$1)),CHAR(160)," "),_xludf.UNICHAR(8239)," "))</f>
        <v>#NAME?</v>
      </c>
      <c r="Z1132" s="58" t="str">
        <f t="shared" si="972"/>
        <v>#NAME?</v>
      </c>
      <c r="AA1132" s="58" t="str">
        <f t="shared" si="972"/>
        <v>#NAME?</v>
      </c>
      <c r="AB1132" s="58" t="str">
        <f t="shared" si="972"/>
        <v>#NAME?</v>
      </c>
      <c r="AC1132" s="58" t="str">
        <f t="shared" si="972"/>
        <v>#NAME?</v>
      </c>
      <c r="AD1132" s="57">
        <f t="shared" si="906"/>
        <v>0</v>
      </c>
      <c r="AE1132" s="57" t="str">
        <f t="shared" si="907"/>
        <v/>
      </c>
      <c r="AF1132" s="57">
        <f t="shared" si="908"/>
        <v>0</v>
      </c>
      <c r="AG1132" s="59">
        <f t="shared" si="909"/>
        <v>0</v>
      </c>
      <c r="AH1132" s="15"/>
      <c r="AI1132" s="15"/>
      <c r="AJ1132" s="15"/>
      <c r="AK1132" s="15"/>
      <c r="AL1132" s="15"/>
      <c r="AM1132" s="15"/>
      <c r="AN1132" s="15"/>
      <c r="AO1132" s="15"/>
      <c r="AP1132" s="15"/>
      <c r="AQ1132" s="15"/>
      <c r="AR1132" s="15"/>
      <c r="AS1132" s="15"/>
      <c r="AT1132" s="15"/>
      <c r="AU1132" s="15"/>
    </row>
    <row r="1133" ht="24.0" customHeight="1">
      <c r="A1133" s="45">
        <v>2557.0</v>
      </c>
      <c r="B1133" s="57"/>
      <c r="C1133" s="57"/>
      <c r="D1133" s="88" t="str">
        <f t="array" ref="D1133">IFERROR(
  LOOKUP(2, 1/((TRIM(IMS!$E$8:$E$2574)=TRIM(IMS!$E1133))*(IMS!$C$8:$C$2574&lt;IMS!$C1133)),
         IMS!$C$8:$C$2574),
"")</f>
        <v/>
      </c>
      <c r="E1133" s="57"/>
      <c r="F1133" s="57"/>
      <c r="G1133" s="77" t="str">
        <f t="shared" si="901"/>
        <v/>
      </c>
      <c r="H1133" s="78" t="str">
        <f t="shared" si="902"/>
        <v/>
      </c>
      <c r="I1133" s="79"/>
      <c r="J1133" s="80" t="str">
        <f t="shared" si="903"/>
        <v>#NAME?</v>
      </c>
      <c r="K1133" s="58"/>
      <c r="L1133" s="58"/>
      <c r="M1133" s="57"/>
      <c r="N1133" s="57"/>
      <c r="O1133" s="58"/>
      <c r="P1133" s="82"/>
      <c r="Q1133" s="81"/>
      <c r="R1133" s="81"/>
      <c r="S1133" s="57"/>
      <c r="T1133" s="82"/>
      <c r="U1133" s="82"/>
      <c r="V1133" s="57"/>
      <c r="W1133" s="57"/>
      <c r="X1133" s="57" t="str">
        <f t="shared" si="917"/>
        <v/>
      </c>
      <c r="Y1133" s="58" t="str">
        <f t="shared" ref="Y1133:AC1133" si="973">TRIM(SUBSTITUTE(SUBSTITUTE(OFFSET($Q1133,0,COLUMN()-COLUMN($AL$1)),CHAR(160)," "),_xludf.UNICHAR(8239)," "))</f>
        <v>#NAME?</v>
      </c>
      <c r="Z1133" s="58" t="str">
        <f t="shared" si="973"/>
        <v>#NAME?</v>
      </c>
      <c r="AA1133" s="58" t="str">
        <f t="shared" si="973"/>
        <v>#NAME?</v>
      </c>
      <c r="AB1133" s="58" t="str">
        <f t="shared" si="973"/>
        <v>#NAME?</v>
      </c>
      <c r="AC1133" s="58" t="str">
        <f t="shared" si="973"/>
        <v>#NAME?</v>
      </c>
      <c r="AD1133" s="57">
        <f t="shared" si="906"/>
        <v>0</v>
      </c>
      <c r="AE1133" s="57" t="str">
        <f t="shared" si="907"/>
        <v/>
      </c>
      <c r="AF1133" s="57">
        <f t="shared" si="908"/>
        <v>0</v>
      </c>
      <c r="AG1133" s="59">
        <f t="shared" si="909"/>
        <v>0</v>
      </c>
      <c r="AH1133" s="15"/>
      <c r="AI1133" s="15"/>
      <c r="AJ1133" s="15"/>
      <c r="AK1133" s="15"/>
      <c r="AL1133" s="15"/>
      <c r="AM1133" s="15"/>
      <c r="AN1133" s="15"/>
      <c r="AO1133" s="15"/>
      <c r="AP1133" s="15"/>
      <c r="AQ1133" s="15"/>
      <c r="AR1133" s="15"/>
      <c r="AS1133" s="15"/>
      <c r="AT1133" s="15"/>
      <c r="AU1133" s="15"/>
    </row>
    <row r="1134" ht="24.0" customHeight="1">
      <c r="A1134" s="45">
        <v>2558.0</v>
      </c>
      <c r="B1134" s="57"/>
      <c r="C1134" s="57"/>
      <c r="D1134" s="88" t="str">
        <f t="array" ref="D1134">IFERROR(
  LOOKUP(2, 1/((TRIM(IMS!$E$8:$E$2574)=TRIM(IMS!$E1134))*(IMS!$C$8:$C$2574&lt;IMS!$C1134)),
         IMS!$C$8:$C$2574),
"")</f>
        <v/>
      </c>
      <c r="E1134" s="57"/>
      <c r="F1134" s="57"/>
      <c r="G1134" s="77" t="str">
        <f t="shared" si="901"/>
        <v/>
      </c>
      <c r="H1134" s="78" t="str">
        <f t="shared" si="902"/>
        <v/>
      </c>
      <c r="I1134" s="79"/>
      <c r="J1134" s="80" t="str">
        <f t="shared" si="903"/>
        <v>#NAME?</v>
      </c>
      <c r="K1134" s="58"/>
      <c r="L1134" s="58"/>
      <c r="M1134" s="57"/>
      <c r="N1134" s="57"/>
      <c r="O1134" s="58"/>
      <c r="P1134" s="82"/>
      <c r="Q1134" s="81"/>
      <c r="R1134" s="81"/>
      <c r="S1134" s="57"/>
      <c r="T1134" s="82"/>
      <c r="U1134" s="82"/>
      <c r="V1134" s="57"/>
      <c r="W1134" s="57"/>
      <c r="X1134" s="57" t="str">
        <f t="shared" si="917"/>
        <v/>
      </c>
      <c r="Y1134" s="58" t="str">
        <f t="shared" ref="Y1134:AC1134" si="974">TRIM(SUBSTITUTE(SUBSTITUTE(OFFSET($Q1134,0,COLUMN()-COLUMN($AL$1)),CHAR(160)," "),_xludf.UNICHAR(8239)," "))</f>
        <v>#NAME?</v>
      </c>
      <c r="Z1134" s="58" t="str">
        <f t="shared" si="974"/>
        <v>#NAME?</v>
      </c>
      <c r="AA1134" s="58" t="str">
        <f t="shared" si="974"/>
        <v>#NAME?</v>
      </c>
      <c r="AB1134" s="58" t="str">
        <f t="shared" si="974"/>
        <v>#NAME?</v>
      </c>
      <c r="AC1134" s="58" t="str">
        <f t="shared" si="974"/>
        <v>#NAME?</v>
      </c>
      <c r="AD1134" s="57">
        <f t="shared" si="906"/>
        <v>0</v>
      </c>
      <c r="AE1134" s="57" t="str">
        <f t="shared" si="907"/>
        <v/>
      </c>
      <c r="AF1134" s="57">
        <f t="shared" si="908"/>
        <v>0</v>
      </c>
      <c r="AG1134" s="59">
        <f t="shared" si="909"/>
        <v>0</v>
      </c>
      <c r="AH1134" s="15"/>
      <c r="AI1134" s="15"/>
      <c r="AJ1134" s="15"/>
      <c r="AK1134" s="15"/>
      <c r="AL1134" s="15"/>
      <c r="AM1134" s="15"/>
      <c r="AN1134" s="15"/>
      <c r="AO1134" s="15"/>
      <c r="AP1134" s="15"/>
      <c r="AQ1134" s="15"/>
      <c r="AR1134" s="15"/>
      <c r="AS1134" s="15"/>
      <c r="AT1134" s="15"/>
      <c r="AU1134" s="15"/>
    </row>
    <row r="1135" ht="24.0" customHeight="1">
      <c r="A1135" s="45">
        <v>2559.0</v>
      </c>
      <c r="B1135" s="57"/>
      <c r="C1135" s="57"/>
      <c r="D1135" s="88" t="str">
        <f t="array" ref="D1135">IFERROR(
  LOOKUP(2, 1/((TRIM(IMS!$E$8:$E$2574)=TRIM(IMS!$E1135))*(IMS!$C$8:$C$2574&lt;IMS!$C1135)),
         IMS!$C$8:$C$2574),
"")</f>
        <v/>
      </c>
      <c r="E1135" s="57"/>
      <c r="F1135" s="57"/>
      <c r="G1135" s="77" t="str">
        <f t="shared" si="901"/>
        <v/>
      </c>
      <c r="H1135" s="78" t="str">
        <f t="shared" si="902"/>
        <v/>
      </c>
      <c r="I1135" s="79"/>
      <c r="J1135" s="80" t="str">
        <f t="shared" si="903"/>
        <v>#NAME?</v>
      </c>
      <c r="K1135" s="58"/>
      <c r="L1135" s="58"/>
      <c r="M1135" s="57"/>
      <c r="N1135" s="57"/>
      <c r="O1135" s="58"/>
      <c r="P1135" s="82"/>
      <c r="Q1135" s="81"/>
      <c r="R1135" s="81"/>
      <c r="S1135" s="57"/>
      <c r="T1135" s="82"/>
      <c r="U1135" s="82"/>
      <c r="V1135" s="57"/>
      <c r="W1135" s="57"/>
      <c r="X1135" s="57" t="str">
        <f t="shared" si="917"/>
        <v/>
      </c>
      <c r="Y1135" s="58" t="str">
        <f t="shared" ref="Y1135:AC1135" si="975">TRIM(SUBSTITUTE(SUBSTITUTE(OFFSET($Q1135,0,COLUMN()-COLUMN($AL$1)),CHAR(160)," "),_xludf.UNICHAR(8239)," "))</f>
        <v>#NAME?</v>
      </c>
      <c r="Z1135" s="58" t="str">
        <f t="shared" si="975"/>
        <v>#NAME?</v>
      </c>
      <c r="AA1135" s="58" t="str">
        <f t="shared" si="975"/>
        <v>#NAME?</v>
      </c>
      <c r="AB1135" s="58" t="str">
        <f t="shared" si="975"/>
        <v>#NAME?</v>
      </c>
      <c r="AC1135" s="58" t="str">
        <f t="shared" si="975"/>
        <v>#NAME?</v>
      </c>
      <c r="AD1135" s="57">
        <f t="shared" si="906"/>
        <v>0</v>
      </c>
      <c r="AE1135" s="57" t="str">
        <f t="shared" si="907"/>
        <v/>
      </c>
      <c r="AF1135" s="57">
        <f t="shared" si="908"/>
        <v>0</v>
      </c>
      <c r="AG1135" s="59">
        <f t="shared" si="909"/>
        <v>0</v>
      </c>
      <c r="AH1135" s="15"/>
      <c r="AI1135" s="15"/>
      <c r="AJ1135" s="15"/>
      <c r="AK1135" s="15"/>
      <c r="AL1135" s="15"/>
      <c r="AM1135" s="15"/>
      <c r="AN1135" s="15"/>
      <c r="AO1135" s="15"/>
      <c r="AP1135" s="15"/>
      <c r="AQ1135" s="15"/>
      <c r="AR1135" s="15"/>
      <c r="AS1135" s="15"/>
      <c r="AT1135" s="15"/>
      <c r="AU1135" s="15"/>
    </row>
    <row r="1136" ht="24.0" customHeight="1">
      <c r="A1136" s="45">
        <v>2560.0</v>
      </c>
      <c r="B1136" s="57"/>
      <c r="C1136" s="57"/>
      <c r="D1136" s="88" t="str">
        <f t="array" ref="D1136">IFERROR(
  LOOKUP(2, 1/((TRIM(IMS!$E$8:$E$2574)=TRIM(IMS!$E1136))*(IMS!$C$8:$C$2574&lt;IMS!$C1136)),
         IMS!$C$8:$C$2574),
"")</f>
        <v/>
      </c>
      <c r="E1136" s="57"/>
      <c r="F1136" s="57"/>
      <c r="G1136" s="77" t="str">
        <f t="shared" si="901"/>
        <v/>
      </c>
      <c r="H1136" s="78" t="str">
        <f t="shared" si="902"/>
        <v/>
      </c>
      <c r="I1136" s="79"/>
      <c r="J1136" s="80" t="str">
        <f t="shared" si="903"/>
        <v>#NAME?</v>
      </c>
      <c r="K1136" s="58"/>
      <c r="L1136" s="58"/>
      <c r="M1136" s="57"/>
      <c r="N1136" s="57"/>
      <c r="O1136" s="58"/>
      <c r="P1136" s="82"/>
      <c r="Q1136" s="81"/>
      <c r="R1136" s="81"/>
      <c r="S1136" s="57"/>
      <c r="T1136" s="82"/>
      <c r="U1136" s="82"/>
      <c r="V1136" s="57"/>
      <c r="W1136" s="57"/>
      <c r="X1136" s="57" t="str">
        <f t="shared" si="917"/>
        <v/>
      </c>
      <c r="Y1136" s="58" t="str">
        <f t="shared" ref="Y1136:AC1136" si="976">TRIM(SUBSTITUTE(SUBSTITUTE(OFFSET($Q1136,0,COLUMN()-COLUMN($AL$1)),CHAR(160)," "),_xludf.UNICHAR(8239)," "))</f>
        <v>#NAME?</v>
      </c>
      <c r="Z1136" s="58" t="str">
        <f t="shared" si="976"/>
        <v>#NAME?</v>
      </c>
      <c r="AA1136" s="58" t="str">
        <f t="shared" si="976"/>
        <v>#NAME?</v>
      </c>
      <c r="AB1136" s="58" t="str">
        <f t="shared" si="976"/>
        <v>#NAME?</v>
      </c>
      <c r="AC1136" s="58" t="str">
        <f t="shared" si="976"/>
        <v>#NAME?</v>
      </c>
      <c r="AD1136" s="57">
        <f t="shared" si="906"/>
        <v>0</v>
      </c>
      <c r="AE1136" s="57" t="str">
        <f t="shared" si="907"/>
        <v/>
      </c>
      <c r="AF1136" s="57">
        <f t="shared" si="908"/>
        <v>0</v>
      </c>
      <c r="AG1136" s="59">
        <f t="shared" si="909"/>
        <v>0</v>
      </c>
      <c r="AH1136" s="15"/>
      <c r="AI1136" s="15"/>
      <c r="AJ1136" s="15"/>
      <c r="AK1136" s="15"/>
      <c r="AL1136" s="15"/>
      <c r="AM1136" s="15"/>
      <c r="AN1136" s="15"/>
      <c r="AO1136" s="15"/>
      <c r="AP1136" s="15"/>
      <c r="AQ1136" s="15"/>
      <c r="AR1136" s="15"/>
      <c r="AS1136" s="15"/>
      <c r="AT1136" s="15"/>
      <c r="AU1136" s="15"/>
    </row>
    <row r="1137" ht="24.0" customHeight="1">
      <c r="A1137" s="45">
        <v>2561.0</v>
      </c>
      <c r="B1137" s="57"/>
      <c r="C1137" s="57"/>
      <c r="D1137" s="88" t="str">
        <f t="array" ref="D1137">IFERROR(
  LOOKUP(2, 1/((TRIM(IMS!$E$8:$E$2574)=TRIM(IMS!$E1137))*(IMS!$C$8:$C$2574&lt;IMS!$C1137)),
         IMS!$C$8:$C$2574),
"")</f>
        <v/>
      </c>
      <c r="E1137" s="57"/>
      <c r="F1137" s="57"/>
      <c r="G1137" s="77" t="str">
        <f t="shared" si="901"/>
        <v/>
      </c>
      <c r="H1137" s="78" t="str">
        <f t="shared" si="902"/>
        <v/>
      </c>
      <c r="I1137" s="79"/>
      <c r="J1137" s="80" t="str">
        <f t="shared" si="903"/>
        <v>#NAME?</v>
      </c>
      <c r="K1137" s="58"/>
      <c r="L1137" s="58"/>
      <c r="M1137" s="57"/>
      <c r="N1137" s="57"/>
      <c r="O1137" s="58"/>
      <c r="P1137" s="82"/>
      <c r="Q1137" s="81"/>
      <c r="R1137" s="81"/>
      <c r="S1137" s="57"/>
      <c r="T1137" s="82"/>
      <c r="U1137" s="82"/>
      <c r="V1137" s="57"/>
      <c r="W1137" s="57"/>
      <c r="X1137" s="57" t="str">
        <f t="shared" si="917"/>
        <v/>
      </c>
      <c r="Y1137" s="58" t="str">
        <f t="shared" ref="Y1137:AC1137" si="977">TRIM(SUBSTITUTE(SUBSTITUTE(OFFSET($Q1137,0,COLUMN()-COLUMN($AL$1)),CHAR(160)," "),_xludf.UNICHAR(8239)," "))</f>
        <v>#NAME?</v>
      </c>
      <c r="Z1137" s="58" t="str">
        <f t="shared" si="977"/>
        <v>#NAME?</v>
      </c>
      <c r="AA1137" s="58" t="str">
        <f t="shared" si="977"/>
        <v>#NAME?</v>
      </c>
      <c r="AB1137" s="58" t="str">
        <f t="shared" si="977"/>
        <v>#NAME?</v>
      </c>
      <c r="AC1137" s="58" t="str">
        <f t="shared" si="977"/>
        <v>#NAME?</v>
      </c>
      <c r="AD1137" s="57">
        <f t="shared" si="906"/>
        <v>0</v>
      </c>
      <c r="AE1137" s="57" t="str">
        <f t="shared" si="907"/>
        <v/>
      </c>
      <c r="AF1137" s="57">
        <f t="shared" si="908"/>
        <v>0</v>
      </c>
      <c r="AG1137" s="59">
        <f t="shared" si="909"/>
        <v>0</v>
      </c>
      <c r="AH1137" s="15"/>
      <c r="AI1137" s="15"/>
      <c r="AJ1137" s="15"/>
      <c r="AK1137" s="15"/>
      <c r="AL1137" s="15"/>
      <c r="AM1137" s="15"/>
      <c r="AN1137" s="15"/>
      <c r="AO1137" s="15"/>
      <c r="AP1137" s="15"/>
      <c r="AQ1137" s="15"/>
      <c r="AR1137" s="15"/>
      <c r="AS1137" s="15"/>
      <c r="AT1137" s="15"/>
      <c r="AU1137" s="15"/>
    </row>
    <row r="1138" ht="24.0" customHeight="1">
      <c r="A1138" s="45">
        <v>2562.0</v>
      </c>
      <c r="B1138" s="57"/>
      <c r="C1138" s="57"/>
      <c r="D1138" s="88" t="str">
        <f t="array" ref="D1138">IFERROR(
  LOOKUP(2, 1/((TRIM(IMS!$E$8:$E$2574)=TRIM(IMS!$E1138))*(IMS!$C$8:$C$2574&lt;IMS!$C1138)),
         IMS!$C$8:$C$2574),
"")</f>
        <v/>
      </c>
      <c r="E1138" s="57"/>
      <c r="F1138" s="57"/>
      <c r="G1138" s="77" t="str">
        <f t="shared" si="901"/>
        <v/>
      </c>
      <c r="H1138" s="78" t="str">
        <f t="shared" si="902"/>
        <v/>
      </c>
      <c r="I1138" s="79"/>
      <c r="J1138" s="80" t="str">
        <f t="shared" si="903"/>
        <v>#NAME?</v>
      </c>
      <c r="K1138" s="58"/>
      <c r="L1138" s="58"/>
      <c r="M1138" s="57"/>
      <c r="N1138" s="57"/>
      <c r="O1138" s="58"/>
      <c r="P1138" s="82"/>
      <c r="Q1138" s="81"/>
      <c r="R1138" s="81"/>
      <c r="S1138" s="57"/>
      <c r="T1138" s="82"/>
      <c r="U1138" s="82"/>
      <c r="V1138" s="57"/>
      <c r="W1138" s="57"/>
      <c r="X1138" s="57" t="str">
        <f t="shared" si="917"/>
        <v/>
      </c>
      <c r="Y1138" s="58" t="str">
        <f t="shared" ref="Y1138:AC1138" si="978">TRIM(SUBSTITUTE(SUBSTITUTE(OFFSET($Q1138,0,COLUMN()-COLUMN($AL$1)),CHAR(160)," "),_xludf.UNICHAR(8239)," "))</f>
        <v>#NAME?</v>
      </c>
      <c r="Z1138" s="58" t="str">
        <f t="shared" si="978"/>
        <v>#NAME?</v>
      </c>
      <c r="AA1138" s="58" t="str">
        <f t="shared" si="978"/>
        <v>#NAME?</v>
      </c>
      <c r="AB1138" s="58" t="str">
        <f t="shared" si="978"/>
        <v>#NAME?</v>
      </c>
      <c r="AC1138" s="58" t="str">
        <f t="shared" si="978"/>
        <v>#NAME?</v>
      </c>
      <c r="AD1138" s="57">
        <f t="shared" si="906"/>
        <v>0</v>
      </c>
      <c r="AE1138" s="57" t="str">
        <f t="shared" si="907"/>
        <v/>
      </c>
      <c r="AF1138" s="57">
        <f t="shared" si="908"/>
        <v>0</v>
      </c>
      <c r="AG1138" s="59">
        <f t="shared" si="909"/>
        <v>0</v>
      </c>
      <c r="AH1138" s="15"/>
      <c r="AI1138" s="15"/>
      <c r="AJ1138" s="15"/>
      <c r="AK1138" s="15"/>
      <c r="AL1138" s="15"/>
      <c r="AM1138" s="15"/>
      <c r="AN1138" s="15"/>
      <c r="AO1138" s="15"/>
      <c r="AP1138" s="15"/>
      <c r="AQ1138" s="15"/>
      <c r="AR1138" s="15"/>
      <c r="AS1138" s="15"/>
      <c r="AT1138" s="15"/>
      <c r="AU1138" s="15"/>
    </row>
    <row r="1139" ht="24.0" customHeight="1">
      <c r="A1139" s="45">
        <v>2563.0</v>
      </c>
      <c r="B1139" s="57"/>
      <c r="C1139" s="57"/>
      <c r="D1139" s="88" t="str">
        <f t="array" ref="D1139">IFERROR(
  LOOKUP(2, 1/((TRIM(IMS!$E$8:$E$2574)=TRIM(IMS!$E1139))*(IMS!$C$8:$C$2574&lt;IMS!$C1139)),
         IMS!$C$8:$C$2574),
"")</f>
        <v/>
      </c>
      <c r="E1139" s="57"/>
      <c r="F1139" s="57"/>
      <c r="G1139" s="77" t="str">
        <f t="shared" si="901"/>
        <v/>
      </c>
      <c r="H1139" s="78" t="str">
        <f t="shared" si="902"/>
        <v/>
      </c>
      <c r="I1139" s="79"/>
      <c r="J1139" s="80" t="str">
        <f t="shared" si="903"/>
        <v>#NAME?</v>
      </c>
      <c r="K1139" s="58"/>
      <c r="L1139" s="58"/>
      <c r="M1139" s="57"/>
      <c r="N1139" s="57"/>
      <c r="O1139" s="58"/>
      <c r="P1139" s="82"/>
      <c r="Q1139" s="81"/>
      <c r="R1139" s="81"/>
      <c r="S1139" s="57"/>
      <c r="T1139" s="82"/>
      <c r="U1139" s="82"/>
      <c r="V1139" s="57"/>
      <c r="W1139" s="57"/>
      <c r="X1139" s="57" t="str">
        <f t="shared" si="917"/>
        <v/>
      </c>
      <c r="Y1139" s="58" t="str">
        <f t="shared" ref="Y1139:AC1139" si="979">TRIM(SUBSTITUTE(SUBSTITUTE(OFFSET($Q1139,0,COLUMN()-COLUMN($AL$1)),CHAR(160)," "),_xludf.UNICHAR(8239)," "))</f>
        <v>#NAME?</v>
      </c>
      <c r="Z1139" s="58" t="str">
        <f t="shared" si="979"/>
        <v>#NAME?</v>
      </c>
      <c r="AA1139" s="58" t="str">
        <f t="shared" si="979"/>
        <v>#NAME?</v>
      </c>
      <c r="AB1139" s="58" t="str">
        <f t="shared" si="979"/>
        <v>#NAME?</v>
      </c>
      <c r="AC1139" s="58" t="str">
        <f t="shared" si="979"/>
        <v>#NAME?</v>
      </c>
      <c r="AD1139" s="57">
        <f t="shared" si="906"/>
        <v>0</v>
      </c>
      <c r="AE1139" s="57" t="str">
        <f t="shared" si="907"/>
        <v/>
      </c>
      <c r="AF1139" s="57">
        <f t="shared" si="908"/>
        <v>0</v>
      </c>
      <c r="AG1139" s="59">
        <f t="shared" si="909"/>
        <v>0</v>
      </c>
      <c r="AH1139" s="15"/>
      <c r="AI1139" s="15"/>
      <c r="AJ1139" s="15"/>
      <c r="AK1139" s="15"/>
      <c r="AL1139" s="15"/>
      <c r="AM1139" s="15"/>
      <c r="AN1139" s="15"/>
      <c r="AO1139" s="15"/>
      <c r="AP1139" s="15"/>
      <c r="AQ1139" s="15"/>
      <c r="AR1139" s="15"/>
      <c r="AS1139" s="15"/>
      <c r="AT1139" s="15"/>
      <c r="AU1139" s="15"/>
    </row>
    <row r="1140" ht="24.0" customHeight="1">
      <c r="A1140" s="45">
        <v>2564.0</v>
      </c>
      <c r="B1140" s="57"/>
      <c r="C1140" s="57"/>
      <c r="D1140" s="88" t="str">
        <f t="array" ref="D1140">IFERROR(
  LOOKUP(2, 1/((TRIM(IMS!$E$8:$E$2574)=TRIM(IMS!$E1140))*(IMS!$C$8:$C$2574&lt;IMS!$C1140)),
         IMS!$C$8:$C$2574),
"")</f>
        <v/>
      </c>
      <c r="E1140" s="57"/>
      <c r="F1140" s="57"/>
      <c r="G1140" s="77" t="str">
        <f t="shared" si="901"/>
        <v/>
      </c>
      <c r="H1140" s="78" t="str">
        <f t="shared" si="902"/>
        <v/>
      </c>
      <c r="I1140" s="79"/>
      <c r="J1140" s="80" t="str">
        <f t="shared" si="903"/>
        <v>#NAME?</v>
      </c>
      <c r="K1140" s="58"/>
      <c r="L1140" s="58"/>
      <c r="M1140" s="57"/>
      <c r="N1140" s="57"/>
      <c r="O1140" s="58"/>
      <c r="P1140" s="82"/>
      <c r="Q1140" s="81"/>
      <c r="R1140" s="81"/>
      <c r="S1140" s="57"/>
      <c r="T1140" s="82"/>
      <c r="U1140" s="82"/>
      <c r="V1140" s="57"/>
      <c r="W1140" s="57"/>
      <c r="X1140" s="57" t="str">
        <f t="shared" si="917"/>
        <v/>
      </c>
      <c r="Y1140" s="58" t="str">
        <f t="shared" ref="Y1140:AC1140" si="980">TRIM(SUBSTITUTE(SUBSTITUTE(OFFSET($Q1140,0,COLUMN()-COLUMN($AL$1)),CHAR(160)," "),_xludf.UNICHAR(8239)," "))</f>
        <v>#NAME?</v>
      </c>
      <c r="Z1140" s="58" t="str">
        <f t="shared" si="980"/>
        <v>#NAME?</v>
      </c>
      <c r="AA1140" s="58" t="str">
        <f t="shared" si="980"/>
        <v>#NAME?</v>
      </c>
      <c r="AB1140" s="58" t="str">
        <f t="shared" si="980"/>
        <v>#NAME?</v>
      </c>
      <c r="AC1140" s="58" t="str">
        <f t="shared" si="980"/>
        <v>#NAME?</v>
      </c>
      <c r="AD1140" s="57">
        <f t="shared" si="906"/>
        <v>0</v>
      </c>
      <c r="AE1140" s="57" t="str">
        <f t="shared" si="907"/>
        <v/>
      </c>
      <c r="AF1140" s="57">
        <f t="shared" si="908"/>
        <v>0</v>
      </c>
      <c r="AG1140" s="59">
        <f t="shared" si="909"/>
        <v>0</v>
      </c>
      <c r="AH1140" s="15"/>
      <c r="AI1140" s="15"/>
      <c r="AJ1140" s="15"/>
      <c r="AK1140" s="15"/>
      <c r="AL1140" s="15"/>
      <c r="AM1140" s="15"/>
      <c r="AN1140" s="15"/>
      <c r="AO1140" s="15"/>
      <c r="AP1140" s="15"/>
      <c r="AQ1140" s="15"/>
      <c r="AR1140" s="15"/>
      <c r="AS1140" s="15"/>
      <c r="AT1140" s="15"/>
      <c r="AU1140" s="15"/>
    </row>
    <row r="1141" ht="24.0" customHeight="1">
      <c r="A1141" s="45">
        <v>2565.0</v>
      </c>
      <c r="B1141" s="57"/>
      <c r="C1141" s="57"/>
      <c r="D1141" s="88" t="str">
        <f t="array" ref="D1141">IFERROR(
  LOOKUP(2, 1/((TRIM(IMS!$E$8:$E$2574)=TRIM(IMS!$E1141))*(IMS!$C$8:$C$2574&lt;IMS!$C1141)),
         IMS!$C$8:$C$2574),
"")</f>
        <v/>
      </c>
      <c r="E1141" s="57"/>
      <c r="F1141" s="57"/>
      <c r="G1141" s="77" t="str">
        <f t="shared" si="901"/>
        <v/>
      </c>
      <c r="H1141" s="78" t="str">
        <f t="shared" si="902"/>
        <v/>
      </c>
      <c r="I1141" s="79"/>
      <c r="J1141" s="80" t="str">
        <f t="shared" si="903"/>
        <v>#NAME?</v>
      </c>
      <c r="K1141" s="58"/>
      <c r="L1141" s="58"/>
      <c r="M1141" s="57"/>
      <c r="N1141" s="57"/>
      <c r="O1141" s="58"/>
      <c r="P1141" s="82"/>
      <c r="Q1141" s="81"/>
      <c r="R1141" s="81"/>
      <c r="S1141" s="57"/>
      <c r="T1141" s="82"/>
      <c r="U1141" s="82"/>
      <c r="V1141" s="57"/>
      <c r="W1141" s="57"/>
      <c r="X1141" s="57" t="str">
        <f t="shared" si="917"/>
        <v/>
      </c>
      <c r="Y1141" s="58" t="str">
        <f t="shared" ref="Y1141:AC1141" si="981">TRIM(SUBSTITUTE(SUBSTITUTE(OFFSET($Q1141,0,COLUMN()-COLUMN($AL$1)),CHAR(160)," "),_xludf.UNICHAR(8239)," "))</f>
        <v>#NAME?</v>
      </c>
      <c r="Z1141" s="58" t="str">
        <f t="shared" si="981"/>
        <v>#NAME?</v>
      </c>
      <c r="AA1141" s="58" t="str">
        <f t="shared" si="981"/>
        <v>#NAME?</v>
      </c>
      <c r="AB1141" s="58" t="str">
        <f t="shared" si="981"/>
        <v>#NAME?</v>
      </c>
      <c r="AC1141" s="58" t="str">
        <f t="shared" si="981"/>
        <v>#NAME?</v>
      </c>
      <c r="AD1141" s="57">
        <f t="shared" si="906"/>
        <v>0</v>
      </c>
      <c r="AE1141" s="57" t="str">
        <f t="shared" si="907"/>
        <v/>
      </c>
      <c r="AF1141" s="57">
        <f t="shared" si="908"/>
        <v>0</v>
      </c>
      <c r="AG1141" s="59">
        <f t="shared" si="909"/>
        <v>0</v>
      </c>
      <c r="AH1141" s="15"/>
      <c r="AI1141" s="15"/>
      <c r="AJ1141" s="15"/>
      <c r="AK1141" s="15"/>
      <c r="AL1141" s="15"/>
      <c r="AM1141" s="15"/>
      <c r="AN1141" s="15"/>
      <c r="AO1141" s="15"/>
      <c r="AP1141" s="15"/>
      <c r="AQ1141" s="15"/>
      <c r="AR1141" s="15"/>
      <c r="AS1141" s="15"/>
      <c r="AT1141" s="15"/>
      <c r="AU1141" s="15"/>
    </row>
    <row r="1142" ht="24.0" customHeight="1">
      <c r="A1142" s="45">
        <v>2566.0</v>
      </c>
      <c r="B1142" s="57"/>
      <c r="C1142" s="57"/>
      <c r="D1142" s="88" t="str">
        <f t="array" ref="D1142">IFERROR(
  LOOKUP(2, 1/((TRIM(IMS!$E$8:$E$2574)=TRIM(IMS!$E1142))*(IMS!$C$8:$C$2574&lt;IMS!$C1142)),
         IMS!$C$8:$C$2574),
"")</f>
        <v/>
      </c>
      <c r="E1142" s="57"/>
      <c r="F1142" s="57"/>
      <c r="G1142" s="77" t="str">
        <f t="shared" si="901"/>
        <v/>
      </c>
      <c r="H1142" s="78" t="str">
        <f t="shared" si="902"/>
        <v/>
      </c>
      <c r="I1142" s="79"/>
      <c r="J1142" s="80" t="str">
        <f t="shared" si="903"/>
        <v>#NAME?</v>
      </c>
      <c r="K1142" s="58"/>
      <c r="L1142" s="58"/>
      <c r="M1142" s="57"/>
      <c r="N1142" s="57"/>
      <c r="O1142" s="58"/>
      <c r="P1142" s="82"/>
      <c r="Q1142" s="81"/>
      <c r="R1142" s="81"/>
      <c r="S1142" s="57"/>
      <c r="T1142" s="82"/>
      <c r="U1142" s="82"/>
      <c r="V1142" s="57"/>
      <c r="W1142" s="57"/>
      <c r="X1142" s="57" t="str">
        <f t="shared" si="917"/>
        <v/>
      </c>
      <c r="Y1142" s="58" t="str">
        <f t="shared" ref="Y1142:AC1142" si="982">TRIM(SUBSTITUTE(SUBSTITUTE(OFFSET($Q1142,0,COLUMN()-COLUMN($AL$1)),CHAR(160)," "),_xludf.UNICHAR(8239)," "))</f>
        <v>#NAME?</v>
      </c>
      <c r="Z1142" s="58" t="str">
        <f t="shared" si="982"/>
        <v>#NAME?</v>
      </c>
      <c r="AA1142" s="58" t="str">
        <f t="shared" si="982"/>
        <v>#NAME?</v>
      </c>
      <c r="AB1142" s="58" t="str">
        <f t="shared" si="982"/>
        <v>#NAME?</v>
      </c>
      <c r="AC1142" s="58" t="str">
        <f t="shared" si="982"/>
        <v>#NAME?</v>
      </c>
      <c r="AD1142" s="57">
        <f t="shared" si="906"/>
        <v>0</v>
      </c>
      <c r="AE1142" s="57" t="str">
        <f t="shared" si="907"/>
        <v/>
      </c>
      <c r="AF1142" s="57">
        <f t="shared" si="908"/>
        <v>0</v>
      </c>
      <c r="AG1142" s="59">
        <f t="shared" si="909"/>
        <v>0</v>
      </c>
      <c r="AH1142" s="15"/>
      <c r="AI1142" s="15"/>
      <c r="AJ1142" s="15"/>
      <c r="AK1142" s="15"/>
      <c r="AL1142" s="15"/>
      <c r="AM1142" s="15"/>
      <c r="AN1142" s="15"/>
      <c r="AO1142" s="15"/>
      <c r="AP1142" s="15"/>
      <c r="AQ1142" s="15"/>
      <c r="AR1142" s="15"/>
      <c r="AS1142" s="15"/>
      <c r="AT1142" s="15"/>
      <c r="AU1142" s="15"/>
    </row>
    <row r="1143" ht="24.0" customHeight="1">
      <c r="A1143" s="45">
        <v>2567.0</v>
      </c>
      <c r="B1143" s="57"/>
      <c r="C1143" s="57"/>
      <c r="D1143" s="88" t="str">
        <f t="array" ref="D1143">IFERROR(
  LOOKUP(2, 1/((TRIM(IMS!$E$8:$E$2574)=TRIM(IMS!$E1143))*(IMS!$C$8:$C$2574&lt;IMS!$C1143)),
         IMS!$C$8:$C$2574),
"")</f>
        <v/>
      </c>
      <c r="E1143" s="57"/>
      <c r="F1143" s="57"/>
      <c r="G1143" s="77" t="str">
        <f t="shared" si="901"/>
        <v/>
      </c>
      <c r="H1143" s="78" t="str">
        <f t="shared" si="902"/>
        <v/>
      </c>
      <c r="I1143" s="79"/>
      <c r="J1143" s="80" t="str">
        <f t="shared" si="903"/>
        <v>#NAME?</v>
      </c>
      <c r="K1143" s="58"/>
      <c r="L1143" s="58"/>
      <c r="M1143" s="57"/>
      <c r="N1143" s="57"/>
      <c r="O1143" s="58"/>
      <c r="P1143" s="82"/>
      <c r="Q1143" s="81"/>
      <c r="R1143" s="81"/>
      <c r="S1143" s="57"/>
      <c r="T1143" s="82"/>
      <c r="U1143" s="82"/>
      <c r="V1143" s="57"/>
      <c r="W1143" s="57"/>
      <c r="X1143" s="57" t="str">
        <f t="shared" si="917"/>
        <v/>
      </c>
      <c r="Y1143" s="58" t="str">
        <f t="shared" ref="Y1143:AC1143" si="983">TRIM(SUBSTITUTE(SUBSTITUTE(OFFSET($Q1143,0,COLUMN()-COLUMN($AL$1)),CHAR(160)," "),_xludf.UNICHAR(8239)," "))</f>
        <v>#NAME?</v>
      </c>
      <c r="Z1143" s="58" t="str">
        <f t="shared" si="983"/>
        <v>#NAME?</v>
      </c>
      <c r="AA1143" s="58" t="str">
        <f t="shared" si="983"/>
        <v>#NAME?</v>
      </c>
      <c r="AB1143" s="58" t="str">
        <f t="shared" si="983"/>
        <v>#NAME?</v>
      </c>
      <c r="AC1143" s="58" t="str">
        <f t="shared" si="983"/>
        <v>#NAME?</v>
      </c>
      <c r="AD1143" s="57">
        <f t="shared" si="906"/>
        <v>0</v>
      </c>
      <c r="AE1143" s="57" t="str">
        <f t="shared" si="907"/>
        <v/>
      </c>
      <c r="AF1143" s="57">
        <f t="shared" si="908"/>
        <v>0</v>
      </c>
      <c r="AG1143" s="59">
        <f t="shared" si="909"/>
        <v>0</v>
      </c>
      <c r="AH1143" s="15"/>
      <c r="AI1143" s="15"/>
      <c r="AJ1143" s="15"/>
      <c r="AK1143" s="15"/>
      <c r="AL1143" s="15"/>
      <c r="AM1143" s="15"/>
      <c r="AN1143" s="15"/>
      <c r="AO1143" s="15"/>
      <c r="AP1143" s="15"/>
      <c r="AQ1143" s="15"/>
      <c r="AR1143" s="15"/>
      <c r="AS1143" s="15"/>
      <c r="AT1143" s="15"/>
      <c r="AU1143" s="15"/>
    </row>
    <row r="1144" ht="24.0" customHeight="1">
      <c r="A1144" s="45">
        <v>2568.0</v>
      </c>
      <c r="B1144" s="57"/>
      <c r="C1144" s="57"/>
      <c r="D1144" s="88" t="str">
        <f t="array" ref="D1144">IFERROR(
  LOOKUP(2, 1/((TRIM(IMS!$E$8:$E$2574)=TRIM(IMS!$E1144))*(IMS!$C$8:$C$2574&lt;IMS!$C1144)),
         IMS!$C$8:$C$2574),
"")</f>
        <v/>
      </c>
      <c r="E1144" s="57"/>
      <c r="F1144" s="57"/>
      <c r="G1144" s="77" t="str">
        <f t="shared" si="901"/>
        <v/>
      </c>
      <c r="H1144" s="78" t="str">
        <f t="shared" si="902"/>
        <v/>
      </c>
      <c r="I1144" s="79"/>
      <c r="J1144" s="80" t="str">
        <f t="shared" si="903"/>
        <v>#NAME?</v>
      </c>
      <c r="K1144" s="58"/>
      <c r="L1144" s="58"/>
      <c r="M1144" s="57"/>
      <c r="N1144" s="57"/>
      <c r="O1144" s="58"/>
      <c r="P1144" s="82"/>
      <c r="Q1144" s="81"/>
      <c r="R1144" s="81"/>
      <c r="S1144" s="57"/>
      <c r="T1144" s="82"/>
      <c r="U1144" s="82"/>
      <c r="V1144" s="57"/>
      <c r="W1144" s="57"/>
      <c r="X1144" s="57" t="str">
        <f t="shared" si="917"/>
        <v/>
      </c>
      <c r="Y1144" s="58" t="str">
        <f t="shared" ref="Y1144:AC1144" si="984">TRIM(SUBSTITUTE(SUBSTITUTE(OFFSET($Q1144,0,COLUMN()-COLUMN($AL$1)),CHAR(160)," "),_xludf.UNICHAR(8239)," "))</f>
        <v>#NAME?</v>
      </c>
      <c r="Z1144" s="58" t="str">
        <f t="shared" si="984"/>
        <v>#NAME?</v>
      </c>
      <c r="AA1144" s="58" t="str">
        <f t="shared" si="984"/>
        <v>#NAME?</v>
      </c>
      <c r="AB1144" s="58" t="str">
        <f t="shared" si="984"/>
        <v>#NAME?</v>
      </c>
      <c r="AC1144" s="58" t="str">
        <f t="shared" si="984"/>
        <v>#NAME?</v>
      </c>
      <c r="AD1144" s="57">
        <f t="shared" si="906"/>
        <v>0</v>
      </c>
      <c r="AE1144" s="57" t="str">
        <f t="shared" si="907"/>
        <v/>
      </c>
      <c r="AF1144" s="57">
        <f t="shared" si="908"/>
        <v>0</v>
      </c>
      <c r="AG1144" s="59">
        <f t="shared" si="909"/>
        <v>0</v>
      </c>
      <c r="AH1144" s="15"/>
      <c r="AI1144" s="15"/>
      <c r="AJ1144" s="15"/>
      <c r="AK1144" s="15"/>
      <c r="AL1144" s="15"/>
      <c r="AM1144" s="15"/>
      <c r="AN1144" s="15"/>
      <c r="AO1144" s="15"/>
      <c r="AP1144" s="15"/>
      <c r="AQ1144" s="15"/>
      <c r="AR1144" s="15"/>
      <c r="AS1144" s="15"/>
      <c r="AT1144" s="15"/>
      <c r="AU1144" s="15"/>
    </row>
    <row r="1145" ht="24.0" customHeight="1">
      <c r="A1145" s="45">
        <v>2569.0</v>
      </c>
      <c r="B1145" s="57"/>
      <c r="C1145" s="57"/>
      <c r="D1145" s="88" t="str">
        <f t="array" ref="D1145">IFERROR(
  LOOKUP(2, 1/((TRIM(IMS!$E$8:$E$2574)=TRIM(IMS!$E1145))*(IMS!$C$8:$C$2574&lt;IMS!$C1145)),
         IMS!$C$8:$C$2574),
"")</f>
        <v/>
      </c>
      <c r="E1145" s="57"/>
      <c r="F1145" s="57"/>
      <c r="G1145" s="77" t="str">
        <f t="shared" si="901"/>
        <v/>
      </c>
      <c r="H1145" s="78" t="str">
        <f t="shared" si="902"/>
        <v/>
      </c>
      <c r="I1145" s="79"/>
      <c r="J1145" s="80" t="str">
        <f t="shared" si="903"/>
        <v>#NAME?</v>
      </c>
      <c r="K1145" s="58"/>
      <c r="L1145" s="58"/>
      <c r="M1145" s="57"/>
      <c r="N1145" s="57"/>
      <c r="O1145" s="58"/>
      <c r="P1145" s="82"/>
      <c r="Q1145" s="81"/>
      <c r="R1145" s="81"/>
      <c r="S1145" s="57"/>
      <c r="T1145" s="82"/>
      <c r="U1145" s="82"/>
      <c r="V1145" s="57"/>
      <c r="W1145" s="57"/>
      <c r="X1145" s="57" t="str">
        <f t="shared" si="917"/>
        <v/>
      </c>
      <c r="Y1145" s="58" t="str">
        <f t="shared" ref="Y1145:AC1145" si="985">TRIM(SUBSTITUTE(SUBSTITUTE(OFFSET($Q1145,0,COLUMN()-COLUMN($AL$1)),CHAR(160)," "),_xludf.UNICHAR(8239)," "))</f>
        <v>#NAME?</v>
      </c>
      <c r="Z1145" s="58" t="str">
        <f t="shared" si="985"/>
        <v>#NAME?</v>
      </c>
      <c r="AA1145" s="58" t="str">
        <f t="shared" si="985"/>
        <v>#NAME?</v>
      </c>
      <c r="AB1145" s="58" t="str">
        <f t="shared" si="985"/>
        <v>#NAME?</v>
      </c>
      <c r="AC1145" s="58" t="str">
        <f t="shared" si="985"/>
        <v>#NAME?</v>
      </c>
      <c r="AD1145" s="57">
        <f t="shared" si="906"/>
        <v>0</v>
      </c>
      <c r="AE1145" s="57" t="str">
        <f t="shared" si="907"/>
        <v/>
      </c>
      <c r="AF1145" s="57">
        <f t="shared" si="908"/>
        <v>0</v>
      </c>
      <c r="AG1145" s="59">
        <f t="shared" si="909"/>
        <v>0</v>
      </c>
      <c r="AH1145" s="15"/>
      <c r="AI1145" s="15"/>
      <c r="AJ1145" s="15"/>
      <c r="AK1145" s="15"/>
      <c r="AL1145" s="15"/>
      <c r="AM1145" s="15"/>
      <c r="AN1145" s="15"/>
      <c r="AO1145" s="15"/>
      <c r="AP1145" s="15"/>
      <c r="AQ1145" s="15"/>
      <c r="AR1145" s="15"/>
      <c r="AS1145" s="15"/>
      <c r="AT1145" s="15"/>
      <c r="AU1145" s="15"/>
    </row>
    <row r="1146" ht="24.0" customHeight="1">
      <c r="A1146" s="45">
        <v>2570.0</v>
      </c>
      <c r="B1146" s="57"/>
      <c r="C1146" s="57"/>
      <c r="D1146" s="88" t="str">
        <f t="array" ref="D1146">IFERROR(
  LOOKUP(2, 1/((TRIM(IMS!$E$8:$E$2574)=TRIM(IMS!$E1146))*(IMS!$C$8:$C$2574&lt;IMS!$C1146)),
         IMS!$C$8:$C$2574),
"")</f>
        <v/>
      </c>
      <c r="E1146" s="57"/>
      <c r="F1146" s="57"/>
      <c r="G1146" s="77" t="str">
        <f t="shared" si="901"/>
        <v/>
      </c>
      <c r="H1146" s="78" t="str">
        <f t="shared" si="902"/>
        <v/>
      </c>
      <c r="I1146" s="79"/>
      <c r="J1146" s="80" t="str">
        <f t="shared" si="903"/>
        <v>#NAME?</v>
      </c>
      <c r="K1146" s="58"/>
      <c r="L1146" s="58"/>
      <c r="M1146" s="57"/>
      <c r="N1146" s="57"/>
      <c r="O1146" s="58"/>
      <c r="P1146" s="82"/>
      <c r="Q1146" s="81"/>
      <c r="R1146" s="81"/>
      <c r="S1146" s="57"/>
      <c r="T1146" s="82"/>
      <c r="U1146" s="82"/>
      <c r="V1146" s="57"/>
      <c r="W1146" s="57"/>
      <c r="X1146" s="57" t="str">
        <f t="shared" si="917"/>
        <v/>
      </c>
      <c r="Y1146" s="58" t="str">
        <f t="shared" ref="Y1146:AC1146" si="986">TRIM(SUBSTITUTE(SUBSTITUTE(OFFSET($Q1146,0,COLUMN()-COLUMN($AL$1)),CHAR(160)," "),_xludf.UNICHAR(8239)," "))</f>
        <v>#NAME?</v>
      </c>
      <c r="Z1146" s="58" t="str">
        <f t="shared" si="986"/>
        <v>#NAME?</v>
      </c>
      <c r="AA1146" s="58" t="str">
        <f t="shared" si="986"/>
        <v>#NAME?</v>
      </c>
      <c r="AB1146" s="58" t="str">
        <f t="shared" si="986"/>
        <v>#NAME?</v>
      </c>
      <c r="AC1146" s="58" t="str">
        <f t="shared" si="986"/>
        <v>#NAME?</v>
      </c>
      <c r="AD1146" s="57">
        <f t="shared" si="906"/>
        <v>0</v>
      </c>
      <c r="AE1146" s="57" t="str">
        <f t="shared" si="907"/>
        <v/>
      </c>
      <c r="AF1146" s="57">
        <f t="shared" si="908"/>
        <v>0</v>
      </c>
      <c r="AG1146" s="59">
        <f t="shared" si="909"/>
        <v>0</v>
      </c>
      <c r="AH1146" s="15"/>
      <c r="AI1146" s="15"/>
      <c r="AJ1146" s="15"/>
      <c r="AK1146" s="15"/>
      <c r="AL1146" s="15"/>
      <c r="AM1146" s="15"/>
      <c r="AN1146" s="15"/>
      <c r="AO1146" s="15"/>
      <c r="AP1146" s="15"/>
      <c r="AQ1146" s="15"/>
      <c r="AR1146" s="15"/>
      <c r="AS1146" s="15"/>
      <c r="AT1146" s="15"/>
      <c r="AU1146" s="15"/>
    </row>
    <row r="1147" ht="24.0" customHeight="1">
      <c r="A1147" s="45">
        <v>2571.0</v>
      </c>
      <c r="B1147" s="57"/>
      <c r="C1147" s="57"/>
      <c r="D1147" s="88" t="str">
        <f t="array" ref="D1147">IFERROR(
  LOOKUP(2, 1/((TRIM(IMS!$E$8:$E$2574)=TRIM(IMS!$E1147))*(IMS!$C$8:$C$2574&lt;IMS!$C1147)),
         IMS!$C$8:$C$2574),
"")</f>
        <v/>
      </c>
      <c r="E1147" s="57"/>
      <c r="F1147" s="57"/>
      <c r="G1147" s="77" t="str">
        <f t="shared" si="901"/>
        <v/>
      </c>
      <c r="H1147" s="78" t="str">
        <f t="shared" si="902"/>
        <v/>
      </c>
      <c r="I1147" s="79"/>
      <c r="J1147" s="80" t="str">
        <f t="shared" si="903"/>
        <v>#NAME?</v>
      </c>
      <c r="K1147" s="58"/>
      <c r="L1147" s="58"/>
      <c r="M1147" s="57"/>
      <c r="N1147" s="57"/>
      <c r="O1147" s="58"/>
      <c r="P1147" s="82"/>
      <c r="Q1147" s="81"/>
      <c r="R1147" s="81"/>
      <c r="S1147" s="57"/>
      <c r="T1147" s="82"/>
      <c r="U1147" s="82"/>
      <c r="V1147" s="57"/>
      <c r="W1147" s="57"/>
      <c r="X1147" s="57" t="str">
        <f t="shared" si="917"/>
        <v/>
      </c>
      <c r="Y1147" s="58" t="str">
        <f t="shared" ref="Y1147:AC1147" si="987">TRIM(SUBSTITUTE(SUBSTITUTE(OFFSET($Q1147,0,COLUMN()-COLUMN($AL$1)),CHAR(160)," "),_xludf.UNICHAR(8239)," "))</f>
        <v>#NAME?</v>
      </c>
      <c r="Z1147" s="58" t="str">
        <f t="shared" si="987"/>
        <v>#NAME?</v>
      </c>
      <c r="AA1147" s="58" t="str">
        <f t="shared" si="987"/>
        <v>#NAME?</v>
      </c>
      <c r="AB1147" s="58" t="str">
        <f t="shared" si="987"/>
        <v>#NAME?</v>
      </c>
      <c r="AC1147" s="58" t="str">
        <f t="shared" si="987"/>
        <v>#NAME?</v>
      </c>
      <c r="AD1147" s="57">
        <f t="shared" si="906"/>
        <v>0</v>
      </c>
      <c r="AE1147" s="57" t="str">
        <f t="shared" si="907"/>
        <v/>
      </c>
      <c r="AF1147" s="57">
        <f t="shared" si="908"/>
        <v>0</v>
      </c>
      <c r="AG1147" s="59">
        <f t="shared" si="909"/>
        <v>0</v>
      </c>
      <c r="AH1147" s="15"/>
      <c r="AI1147" s="15"/>
      <c r="AJ1147" s="15"/>
      <c r="AK1147" s="15"/>
      <c r="AL1147" s="15"/>
      <c r="AM1147" s="15"/>
      <c r="AN1147" s="15"/>
      <c r="AO1147" s="15"/>
      <c r="AP1147" s="15"/>
      <c r="AQ1147" s="15"/>
      <c r="AR1147" s="15"/>
      <c r="AS1147" s="15"/>
      <c r="AT1147" s="15"/>
      <c r="AU1147" s="15"/>
    </row>
    <row r="1148" ht="24.0" customHeight="1">
      <c r="A1148" s="45">
        <v>2572.0</v>
      </c>
      <c r="B1148" s="57"/>
      <c r="C1148" s="57"/>
      <c r="D1148" s="88" t="str">
        <f t="array" ref="D1148">IFERROR(
  LOOKUP(2, 1/((TRIM(IMS!$E$8:$E$2574)=TRIM(IMS!$E1148))*(IMS!$C$8:$C$2574&lt;IMS!$C1148)),
         IMS!$C$8:$C$2574),
"")</f>
        <v/>
      </c>
      <c r="E1148" s="57"/>
      <c r="F1148" s="57"/>
      <c r="G1148" s="77" t="str">
        <f t="shared" si="901"/>
        <v/>
      </c>
      <c r="H1148" s="78" t="str">
        <f t="shared" si="902"/>
        <v/>
      </c>
      <c r="I1148" s="79"/>
      <c r="J1148" s="80" t="str">
        <f t="shared" si="903"/>
        <v>#NAME?</v>
      </c>
      <c r="K1148" s="58"/>
      <c r="L1148" s="58"/>
      <c r="M1148" s="57"/>
      <c r="N1148" s="57"/>
      <c r="O1148" s="58"/>
      <c r="P1148" s="82"/>
      <c r="Q1148" s="81"/>
      <c r="R1148" s="81"/>
      <c r="S1148" s="57"/>
      <c r="T1148" s="82"/>
      <c r="U1148" s="82"/>
      <c r="V1148" s="57"/>
      <c r="W1148" s="57"/>
      <c r="X1148" s="57" t="str">
        <f t="shared" si="917"/>
        <v/>
      </c>
      <c r="Y1148" s="58" t="str">
        <f t="shared" ref="Y1148:AC1148" si="988">TRIM(SUBSTITUTE(SUBSTITUTE(OFFSET($Q1148,0,COLUMN()-COLUMN($AL$1)),CHAR(160)," "),_xludf.UNICHAR(8239)," "))</f>
        <v>#NAME?</v>
      </c>
      <c r="Z1148" s="58" t="str">
        <f t="shared" si="988"/>
        <v>#NAME?</v>
      </c>
      <c r="AA1148" s="58" t="str">
        <f t="shared" si="988"/>
        <v>#NAME?</v>
      </c>
      <c r="AB1148" s="58" t="str">
        <f t="shared" si="988"/>
        <v>#NAME?</v>
      </c>
      <c r="AC1148" s="58" t="str">
        <f t="shared" si="988"/>
        <v>#NAME?</v>
      </c>
      <c r="AD1148" s="57">
        <f t="shared" si="906"/>
        <v>0</v>
      </c>
      <c r="AE1148" s="57" t="str">
        <f t="shared" si="907"/>
        <v/>
      </c>
      <c r="AF1148" s="57">
        <f t="shared" si="908"/>
        <v>0</v>
      </c>
      <c r="AG1148" s="59">
        <f t="shared" si="909"/>
        <v>0</v>
      </c>
      <c r="AH1148" s="15"/>
      <c r="AI1148" s="15"/>
      <c r="AJ1148" s="15"/>
      <c r="AK1148" s="15"/>
      <c r="AL1148" s="15"/>
      <c r="AM1148" s="15"/>
      <c r="AN1148" s="15"/>
      <c r="AO1148" s="15"/>
      <c r="AP1148" s="15"/>
      <c r="AQ1148" s="15"/>
      <c r="AR1148" s="15"/>
      <c r="AS1148" s="15"/>
      <c r="AT1148" s="15"/>
      <c r="AU1148" s="15"/>
    </row>
    <row r="1149" ht="24.0" customHeight="1">
      <c r="A1149" s="45">
        <v>2573.0</v>
      </c>
      <c r="B1149" s="57"/>
      <c r="C1149" s="57"/>
      <c r="D1149" s="88" t="str">
        <f t="array" ref="D1149">IFERROR(
  LOOKUP(2, 1/((TRIM(IMS!$E$8:$E$2574)=TRIM(IMS!$E1149))*(IMS!$C$8:$C$2574&lt;IMS!$C1149)),
         IMS!$C$8:$C$2574),
"")</f>
        <v/>
      </c>
      <c r="E1149" s="57"/>
      <c r="F1149" s="57"/>
      <c r="G1149" s="77" t="str">
        <f t="shared" si="901"/>
        <v/>
      </c>
      <c r="H1149" s="78" t="str">
        <f t="shared" si="902"/>
        <v/>
      </c>
      <c r="I1149" s="79"/>
      <c r="J1149" s="80" t="str">
        <f t="shared" si="903"/>
        <v>#NAME?</v>
      </c>
      <c r="K1149" s="58"/>
      <c r="L1149" s="58"/>
      <c r="M1149" s="57"/>
      <c r="N1149" s="57"/>
      <c r="O1149" s="58"/>
      <c r="P1149" s="82"/>
      <c r="Q1149" s="81"/>
      <c r="R1149" s="81"/>
      <c r="S1149" s="57"/>
      <c r="T1149" s="82"/>
      <c r="U1149" s="82"/>
      <c r="V1149" s="57"/>
      <c r="W1149" s="57"/>
      <c r="X1149" s="57" t="str">
        <f t="shared" si="917"/>
        <v/>
      </c>
      <c r="Y1149" s="58" t="str">
        <f t="shared" ref="Y1149:AC1149" si="989">TRIM(SUBSTITUTE(SUBSTITUTE(OFFSET($Q1149,0,COLUMN()-COLUMN($AL$1)),CHAR(160)," "),_xludf.UNICHAR(8239)," "))</f>
        <v>#NAME?</v>
      </c>
      <c r="Z1149" s="58" t="str">
        <f t="shared" si="989"/>
        <v>#NAME?</v>
      </c>
      <c r="AA1149" s="58" t="str">
        <f t="shared" si="989"/>
        <v>#NAME?</v>
      </c>
      <c r="AB1149" s="58" t="str">
        <f t="shared" si="989"/>
        <v>#NAME?</v>
      </c>
      <c r="AC1149" s="58" t="str">
        <f t="shared" si="989"/>
        <v>#NAME?</v>
      </c>
      <c r="AD1149" s="57">
        <f t="shared" si="906"/>
        <v>0</v>
      </c>
      <c r="AE1149" s="57" t="str">
        <f t="shared" si="907"/>
        <v/>
      </c>
      <c r="AF1149" s="57">
        <f t="shared" si="908"/>
        <v>0</v>
      </c>
      <c r="AG1149" s="59">
        <f t="shared" si="909"/>
        <v>0</v>
      </c>
      <c r="AH1149" s="15"/>
      <c r="AI1149" s="15"/>
      <c r="AJ1149" s="15"/>
      <c r="AK1149" s="15"/>
      <c r="AL1149" s="15"/>
      <c r="AM1149" s="15"/>
      <c r="AN1149" s="15"/>
      <c r="AO1149" s="15"/>
      <c r="AP1149" s="15"/>
      <c r="AQ1149" s="15"/>
      <c r="AR1149" s="15"/>
      <c r="AS1149" s="15"/>
      <c r="AT1149" s="15"/>
      <c r="AU1149" s="15"/>
    </row>
    <row r="1150" ht="24.0" customHeight="1">
      <c r="A1150" s="45">
        <v>2574.0</v>
      </c>
      <c r="B1150" s="57"/>
      <c r="C1150" s="57"/>
      <c r="D1150" s="88" t="str">
        <f t="array" ref="D1150">IFERROR(
  LOOKUP(2, 1/((TRIM(IMS!$E$8:$E$2574)=TRIM(IMS!$E1150))*(IMS!$C$8:$C$2574&lt;IMS!$C1150)),
         IMS!$C$8:$C$2574),
"")</f>
        <v/>
      </c>
      <c r="E1150" s="57"/>
      <c r="F1150" s="57"/>
      <c r="G1150" s="77" t="str">
        <f t="shared" si="901"/>
        <v/>
      </c>
      <c r="H1150" s="78" t="str">
        <f t="shared" si="902"/>
        <v/>
      </c>
      <c r="I1150" s="79"/>
      <c r="J1150" s="80" t="str">
        <f t="shared" si="903"/>
        <v>#NAME?</v>
      </c>
      <c r="K1150" s="58"/>
      <c r="L1150" s="58"/>
      <c r="M1150" s="57"/>
      <c r="N1150" s="57"/>
      <c r="O1150" s="58"/>
      <c r="P1150" s="82"/>
      <c r="Q1150" s="81"/>
      <c r="R1150" s="81"/>
      <c r="S1150" s="57"/>
      <c r="T1150" s="82"/>
      <c r="U1150" s="82"/>
      <c r="V1150" s="57"/>
      <c r="W1150" s="57"/>
      <c r="X1150" s="57" t="str">
        <f t="shared" si="917"/>
        <v/>
      </c>
      <c r="Y1150" s="58" t="str">
        <f t="shared" ref="Y1150:AC1150" si="990">TRIM(SUBSTITUTE(SUBSTITUTE(OFFSET($Q1150,0,COLUMN()-COLUMN($AL$1)),CHAR(160)," "),_xludf.UNICHAR(8239)," "))</f>
        <v>#NAME?</v>
      </c>
      <c r="Z1150" s="58" t="str">
        <f t="shared" si="990"/>
        <v>#NAME?</v>
      </c>
      <c r="AA1150" s="58" t="str">
        <f t="shared" si="990"/>
        <v>#NAME?</v>
      </c>
      <c r="AB1150" s="58" t="str">
        <f t="shared" si="990"/>
        <v>#NAME?</v>
      </c>
      <c r="AC1150" s="58" t="str">
        <f t="shared" si="990"/>
        <v>#NAME?</v>
      </c>
      <c r="AD1150" s="57">
        <f t="shared" si="906"/>
        <v>0</v>
      </c>
      <c r="AE1150" s="57" t="str">
        <f t="shared" si="907"/>
        <v/>
      </c>
      <c r="AF1150" s="57">
        <f t="shared" si="908"/>
        <v>0</v>
      </c>
      <c r="AG1150" s="59">
        <f t="shared" si="909"/>
        <v>0</v>
      </c>
      <c r="AH1150" s="15"/>
      <c r="AI1150" s="15"/>
      <c r="AJ1150" s="15"/>
      <c r="AK1150" s="15"/>
      <c r="AL1150" s="15"/>
      <c r="AM1150" s="15"/>
      <c r="AN1150" s="15"/>
      <c r="AO1150" s="15"/>
      <c r="AP1150" s="15"/>
      <c r="AQ1150" s="15"/>
      <c r="AR1150" s="15"/>
      <c r="AS1150" s="15"/>
      <c r="AT1150" s="15"/>
      <c r="AU1150" s="15"/>
    </row>
    <row r="1151" ht="24.0" customHeight="1">
      <c r="A1151" s="45">
        <v>2575.0</v>
      </c>
      <c r="B1151" s="57"/>
      <c r="C1151" s="57"/>
      <c r="D1151" s="88" t="str">
        <f t="array" ref="D1151">IFERROR(
  LOOKUP(2, 1/((TRIM(IMS!$E$8:$E$2574)=TRIM(IMS!$E1151))*(IMS!$C$8:$C$2574&lt;IMS!$C1151)),
         IMS!$C$8:$C$2574),
"")</f>
        <v/>
      </c>
      <c r="E1151" s="57"/>
      <c r="F1151" s="57"/>
      <c r="G1151" s="77" t="str">
        <f t="shared" si="901"/>
        <v/>
      </c>
      <c r="H1151" s="78" t="str">
        <f t="shared" si="902"/>
        <v/>
      </c>
      <c r="I1151" s="79"/>
      <c r="J1151" s="80" t="str">
        <f t="shared" si="903"/>
        <v>#NAME?</v>
      </c>
      <c r="K1151" s="58"/>
      <c r="L1151" s="58"/>
      <c r="M1151" s="57"/>
      <c r="N1151" s="57"/>
      <c r="O1151" s="58"/>
      <c r="P1151" s="82"/>
      <c r="Q1151" s="81"/>
      <c r="R1151" s="81"/>
      <c r="S1151" s="57"/>
      <c r="T1151" s="82"/>
      <c r="U1151" s="82"/>
      <c r="V1151" s="57"/>
      <c r="W1151" s="57"/>
      <c r="X1151" s="57" t="str">
        <f t="shared" si="917"/>
        <v/>
      </c>
      <c r="Y1151" s="58" t="str">
        <f t="shared" ref="Y1151:AC1151" si="991">TRIM(SUBSTITUTE(SUBSTITUTE(OFFSET($Q1151,0,COLUMN()-COLUMN($AL$1)),CHAR(160)," "),_xludf.UNICHAR(8239)," "))</f>
        <v>#NAME?</v>
      </c>
      <c r="Z1151" s="58" t="str">
        <f t="shared" si="991"/>
        <v>#NAME?</v>
      </c>
      <c r="AA1151" s="58" t="str">
        <f t="shared" si="991"/>
        <v>#NAME?</v>
      </c>
      <c r="AB1151" s="58" t="str">
        <f t="shared" si="991"/>
        <v>#NAME?</v>
      </c>
      <c r="AC1151" s="58" t="str">
        <f t="shared" si="991"/>
        <v>#NAME?</v>
      </c>
      <c r="AD1151" s="57">
        <f t="shared" si="906"/>
        <v>0</v>
      </c>
      <c r="AE1151" s="57" t="str">
        <f t="shared" si="907"/>
        <v/>
      </c>
      <c r="AF1151" s="57">
        <f t="shared" si="908"/>
        <v>0</v>
      </c>
      <c r="AG1151" s="59">
        <f t="shared" si="909"/>
        <v>0</v>
      </c>
      <c r="AH1151" s="15"/>
      <c r="AI1151" s="15"/>
      <c r="AJ1151" s="15"/>
      <c r="AK1151" s="15"/>
      <c r="AL1151" s="15"/>
      <c r="AM1151" s="15"/>
      <c r="AN1151" s="15"/>
      <c r="AO1151" s="15"/>
      <c r="AP1151" s="15"/>
      <c r="AQ1151" s="15"/>
      <c r="AR1151" s="15"/>
      <c r="AS1151" s="15"/>
      <c r="AT1151" s="15"/>
      <c r="AU1151" s="15"/>
    </row>
    <row r="1152" ht="24.0" customHeight="1">
      <c r="A1152" s="45">
        <v>2576.0</v>
      </c>
      <c r="B1152" s="57"/>
      <c r="C1152" s="57"/>
      <c r="D1152" s="88" t="str">
        <f t="array" ref="D1152">IFERROR(
  LOOKUP(2, 1/((TRIM(IMS!$E$8:$E$2574)=TRIM(IMS!$E1152))*(IMS!$C$8:$C$2574&lt;IMS!$C1152)),
         IMS!$C$8:$C$2574),
"")</f>
        <v/>
      </c>
      <c r="E1152" s="57"/>
      <c r="F1152" s="57"/>
      <c r="G1152" s="77" t="str">
        <f t="shared" si="901"/>
        <v/>
      </c>
      <c r="H1152" s="78" t="str">
        <f t="shared" si="902"/>
        <v/>
      </c>
      <c r="I1152" s="79"/>
      <c r="J1152" s="80" t="str">
        <f t="shared" si="903"/>
        <v>#NAME?</v>
      </c>
      <c r="K1152" s="58"/>
      <c r="L1152" s="58"/>
      <c r="M1152" s="57"/>
      <c r="N1152" s="57"/>
      <c r="O1152" s="58"/>
      <c r="P1152" s="82"/>
      <c r="Q1152" s="81"/>
      <c r="R1152" s="81"/>
      <c r="S1152" s="57"/>
      <c r="T1152" s="82"/>
      <c r="U1152" s="82"/>
      <c r="V1152" s="57"/>
      <c r="W1152" s="57"/>
      <c r="X1152" s="57" t="str">
        <f t="shared" si="917"/>
        <v/>
      </c>
      <c r="Y1152" s="58" t="str">
        <f t="shared" ref="Y1152:AC1152" si="992">TRIM(SUBSTITUTE(SUBSTITUTE(OFFSET($Q1152,0,COLUMN()-COLUMN($AL$1)),CHAR(160)," "),_xludf.UNICHAR(8239)," "))</f>
        <v>#NAME?</v>
      </c>
      <c r="Z1152" s="58" t="str">
        <f t="shared" si="992"/>
        <v>#NAME?</v>
      </c>
      <c r="AA1152" s="58" t="str">
        <f t="shared" si="992"/>
        <v>#NAME?</v>
      </c>
      <c r="AB1152" s="58" t="str">
        <f t="shared" si="992"/>
        <v>#NAME?</v>
      </c>
      <c r="AC1152" s="58" t="str">
        <f t="shared" si="992"/>
        <v>#NAME?</v>
      </c>
      <c r="AD1152" s="57">
        <f t="shared" si="906"/>
        <v>0</v>
      </c>
      <c r="AE1152" s="57" t="str">
        <f t="shared" si="907"/>
        <v/>
      </c>
      <c r="AF1152" s="57">
        <f t="shared" si="908"/>
        <v>0</v>
      </c>
      <c r="AG1152" s="59">
        <f t="shared" si="909"/>
        <v>0</v>
      </c>
      <c r="AH1152" s="15"/>
      <c r="AI1152" s="15"/>
      <c r="AJ1152" s="15"/>
      <c r="AK1152" s="15"/>
      <c r="AL1152" s="15"/>
      <c r="AM1152" s="15"/>
      <c r="AN1152" s="15"/>
      <c r="AO1152" s="15"/>
      <c r="AP1152" s="15"/>
      <c r="AQ1152" s="15"/>
      <c r="AR1152" s="15"/>
      <c r="AS1152" s="15"/>
      <c r="AT1152" s="15"/>
      <c r="AU1152" s="15"/>
    </row>
    <row r="1153" ht="24.0" customHeight="1">
      <c r="A1153" s="45">
        <v>2577.0</v>
      </c>
      <c r="B1153" s="57"/>
      <c r="C1153" s="57"/>
      <c r="D1153" s="88" t="str">
        <f t="array" ref="D1153">IFERROR(
  LOOKUP(2, 1/((TRIM(IMS!$E$8:$E$2574)=TRIM(IMS!$E1153))*(IMS!$C$8:$C$2574&lt;IMS!$C1153)),
         IMS!$C$8:$C$2574),
"")</f>
        <v/>
      </c>
      <c r="E1153" s="57"/>
      <c r="F1153" s="57"/>
      <c r="G1153" s="77" t="str">
        <f t="shared" si="901"/>
        <v/>
      </c>
      <c r="H1153" s="78" t="str">
        <f t="shared" si="902"/>
        <v/>
      </c>
      <c r="I1153" s="79"/>
      <c r="J1153" s="80" t="str">
        <f t="shared" si="903"/>
        <v>#NAME?</v>
      </c>
      <c r="K1153" s="58"/>
      <c r="L1153" s="58"/>
      <c r="M1153" s="57"/>
      <c r="N1153" s="57"/>
      <c r="O1153" s="58"/>
      <c r="P1153" s="82"/>
      <c r="Q1153" s="81"/>
      <c r="R1153" s="81"/>
      <c r="S1153" s="57"/>
      <c r="T1153" s="82"/>
      <c r="U1153" s="82"/>
      <c r="V1153" s="57"/>
      <c r="W1153" s="57"/>
      <c r="X1153" s="57" t="str">
        <f t="shared" si="917"/>
        <v/>
      </c>
      <c r="Y1153" s="58" t="str">
        <f t="shared" ref="Y1153:AC1153" si="993">TRIM(SUBSTITUTE(SUBSTITUTE(OFFSET($Q1153,0,COLUMN()-COLUMN($AL$1)),CHAR(160)," "),_xludf.UNICHAR(8239)," "))</f>
        <v>#NAME?</v>
      </c>
      <c r="Z1153" s="58" t="str">
        <f t="shared" si="993"/>
        <v>#NAME?</v>
      </c>
      <c r="AA1153" s="58" t="str">
        <f t="shared" si="993"/>
        <v>#NAME?</v>
      </c>
      <c r="AB1153" s="58" t="str">
        <f t="shared" si="993"/>
        <v>#NAME?</v>
      </c>
      <c r="AC1153" s="58" t="str">
        <f t="shared" si="993"/>
        <v>#NAME?</v>
      </c>
      <c r="AD1153" s="57">
        <f t="shared" si="906"/>
        <v>0</v>
      </c>
      <c r="AE1153" s="57" t="str">
        <f t="shared" si="907"/>
        <v/>
      </c>
      <c r="AF1153" s="57">
        <f t="shared" si="908"/>
        <v>0</v>
      </c>
      <c r="AG1153" s="59">
        <f t="shared" si="909"/>
        <v>0</v>
      </c>
      <c r="AH1153" s="15"/>
      <c r="AI1153" s="15"/>
      <c r="AJ1153" s="15"/>
      <c r="AK1153" s="15"/>
      <c r="AL1153" s="15"/>
      <c r="AM1153" s="15"/>
      <c r="AN1153" s="15"/>
      <c r="AO1153" s="15"/>
      <c r="AP1153" s="15"/>
      <c r="AQ1153" s="15"/>
      <c r="AR1153" s="15"/>
      <c r="AS1153" s="15"/>
      <c r="AT1153" s="15"/>
      <c r="AU1153" s="15"/>
    </row>
    <row r="1154" ht="24.0" customHeight="1">
      <c r="A1154" s="45">
        <v>2578.0</v>
      </c>
      <c r="B1154" s="57"/>
      <c r="C1154" s="57"/>
      <c r="D1154" s="88" t="str">
        <f t="array" ref="D1154">IFERROR(
  LOOKUP(2, 1/((TRIM(IMS!$E$8:$E$2574)=TRIM(IMS!$E1154))*(IMS!$C$8:$C$2574&lt;IMS!$C1154)),
         IMS!$C$8:$C$2574),
"")</f>
        <v/>
      </c>
      <c r="E1154" s="57"/>
      <c r="F1154" s="57"/>
      <c r="G1154" s="77" t="str">
        <f t="shared" si="901"/>
        <v/>
      </c>
      <c r="H1154" s="78" t="str">
        <f t="shared" si="902"/>
        <v/>
      </c>
      <c r="I1154" s="79"/>
      <c r="J1154" s="80" t="str">
        <f t="shared" si="903"/>
        <v>#NAME?</v>
      </c>
      <c r="K1154" s="58"/>
      <c r="L1154" s="58"/>
      <c r="M1154" s="57"/>
      <c r="N1154" s="57"/>
      <c r="O1154" s="58"/>
      <c r="P1154" s="82"/>
      <c r="Q1154" s="81"/>
      <c r="R1154" s="81"/>
      <c r="S1154" s="57"/>
      <c r="T1154" s="82"/>
      <c r="U1154" s="82"/>
      <c r="V1154" s="57"/>
      <c r="W1154" s="57"/>
      <c r="X1154" s="57" t="str">
        <f t="shared" si="917"/>
        <v/>
      </c>
      <c r="Y1154" s="58" t="str">
        <f t="shared" ref="Y1154:AC1154" si="994">TRIM(SUBSTITUTE(SUBSTITUTE(OFFSET($Q1154,0,COLUMN()-COLUMN($AL$1)),CHAR(160)," "),_xludf.UNICHAR(8239)," "))</f>
        <v>#NAME?</v>
      </c>
      <c r="Z1154" s="58" t="str">
        <f t="shared" si="994"/>
        <v>#NAME?</v>
      </c>
      <c r="AA1154" s="58" t="str">
        <f t="shared" si="994"/>
        <v>#NAME?</v>
      </c>
      <c r="AB1154" s="58" t="str">
        <f t="shared" si="994"/>
        <v>#NAME?</v>
      </c>
      <c r="AC1154" s="58" t="str">
        <f t="shared" si="994"/>
        <v>#NAME?</v>
      </c>
      <c r="AD1154" s="57">
        <f t="shared" si="906"/>
        <v>0</v>
      </c>
      <c r="AE1154" s="57" t="str">
        <f t="shared" si="907"/>
        <v/>
      </c>
      <c r="AF1154" s="57">
        <f t="shared" si="908"/>
        <v>0</v>
      </c>
      <c r="AG1154" s="59">
        <f t="shared" si="909"/>
        <v>0</v>
      </c>
      <c r="AH1154" s="15"/>
      <c r="AI1154" s="15"/>
      <c r="AJ1154" s="15"/>
      <c r="AK1154" s="15"/>
      <c r="AL1154" s="15"/>
      <c r="AM1154" s="15"/>
      <c r="AN1154" s="15"/>
      <c r="AO1154" s="15"/>
      <c r="AP1154" s="15"/>
      <c r="AQ1154" s="15"/>
      <c r="AR1154" s="15"/>
      <c r="AS1154" s="15"/>
      <c r="AT1154" s="15"/>
      <c r="AU1154" s="15"/>
    </row>
    <row r="1155" ht="24.0" customHeight="1">
      <c r="A1155" s="45">
        <v>2579.0</v>
      </c>
      <c r="B1155" s="57"/>
      <c r="C1155" s="57"/>
      <c r="D1155" s="88" t="str">
        <f t="array" ref="D1155">IFERROR(
  LOOKUP(2, 1/((TRIM(IMS!$E$8:$E$2574)=TRIM(IMS!$E1155))*(IMS!$C$8:$C$2574&lt;IMS!$C1155)),
         IMS!$C$8:$C$2574),
"")</f>
        <v/>
      </c>
      <c r="E1155" s="57"/>
      <c r="F1155" s="57"/>
      <c r="G1155" s="77" t="str">
        <f t="shared" si="901"/>
        <v/>
      </c>
      <c r="H1155" s="78" t="str">
        <f t="shared" si="902"/>
        <v/>
      </c>
      <c r="I1155" s="79"/>
      <c r="J1155" s="80" t="str">
        <f t="shared" si="903"/>
        <v>#NAME?</v>
      </c>
      <c r="K1155" s="58"/>
      <c r="L1155" s="58"/>
      <c r="M1155" s="57"/>
      <c r="N1155" s="57"/>
      <c r="O1155" s="58"/>
      <c r="P1155" s="82"/>
      <c r="Q1155" s="81"/>
      <c r="R1155" s="81"/>
      <c r="S1155" s="57"/>
      <c r="T1155" s="82"/>
      <c r="U1155" s="82"/>
      <c r="V1155" s="57"/>
      <c r="W1155" s="57"/>
      <c r="X1155" s="57" t="str">
        <f t="shared" si="917"/>
        <v/>
      </c>
      <c r="Y1155" s="58" t="str">
        <f t="shared" ref="Y1155:AC1155" si="995">TRIM(SUBSTITUTE(SUBSTITUTE(OFFSET($Q1155,0,COLUMN()-COLUMN($AL$1)),CHAR(160)," "),_xludf.UNICHAR(8239)," "))</f>
        <v>#NAME?</v>
      </c>
      <c r="Z1155" s="58" t="str">
        <f t="shared" si="995"/>
        <v>#NAME?</v>
      </c>
      <c r="AA1155" s="58" t="str">
        <f t="shared" si="995"/>
        <v>#NAME?</v>
      </c>
      <c r="AB1155" s="58" t="str">
        <f t="shared" si="995"/>
        <v>#NAME?</v>
      </c>
      <c r="AC1155" s="58" t="str">
        <f t="shared" si="995"/>
        <v>#NAME?</v>
      </c>
      <c r="AD1155" s="57">
        <f t="shared" si="906"/>
        <v>0</v>
      </c>
      <c r="AE1155" s="57" t="str">
        <f t="shared" si="907"/>
        <v/>
      </c>
      <c r="AF1155" s="57">
        <f t="shared" si="908"/>
        <v>0</v>
      </c>
      <c r="AG1155" s="59">
        <f t="shared" si="909"/>
        <v>0</v>
      </c>
      <c r="AH1155" s="15"/>
      <c r="AI1155" s="15"/>
      <c r="AJ1155" s="15"/>
      <c r="AK1155" s="15"/>
      <c r="AL1155" s="15"/>
      <c r="AM1155" s="15"/>
      <c r="AN1155" s="15"/>
      <c r="AO1155" s="15"/>
      <c r="AP1155" s="15"/>
      <c r="AQ1155" s="15"/>
      <c r="AR1155" s="15"/>
      <c r="AS1155" s="15"/>
      <c r="AT1155" s="15"/>
      <c r="AU1155" s="15"/>
    </row>
    <row r="1156" ht="24.0" customHeight="1">
      <c r="A1156" s="45">
        <v>2580.0</v>
      </c>
      <c r="B1156" s="57"/>
      <c r="C1156" s="57"/>
      <c r="D1156" s="88" t="str">
        <f t="array" ref="D1156">IFERROR(
  LOOKUP(2, 1/((TRIM(IMS!$E$8:$E$2574)=TRIM(IMS!$E1156))*(IMS!$C$8:$C$2574&lt;IMS!$C1156)),
         IMS!$C$8:$C$2574),
"")</f>
        <v/>
      </c>
      <c r="E1156" s="57"/>
      <c r="F1156" s="57"/>
      <c r="G1156" s="77" t="str">
        <f t="shared" si="901"/>
        <v/>
      </c>
      <c r="H1156" s="78" t="str">
        <f t="shared" si="902"/>
        <v/>
      </c>
      <c r="I1156" s="79"/>
      <c r="J1156" s="80" t="str">
        <f t="shared" si="903"/>
        <v>#NAME?</v>
      </c>
      <c r="K1156" s="58"/>
      <c r="L1156" s="58"/>
      <c r="M1156" s="57"/>
      <c r="N1156" s="57"/>
      <c r="O1156" s="58"/>
      <c r="P1156" s="82"/>
      <c r="Q1156" s="81"/>
      <c r="R1156" s="81"/>
      <c r="S1156" s="57"/>
      <c r="T1156" s="82"/>
      <c r="U1156" s="82"/>
      <c r="V1156" s="57"/>
      <c r="W1156" s="57"/>
      <c r="X1156" s="57" t="str">
        <f t="shared" si="917"/>
        <v/>
      </c>
      <c r="Y1156" s="58" t="str">
        <f t="shared" ref="Y1156:AC1156" si="996">TRIM(SUBSTITUTE(SUBSTITUTE(OFFSET($Q1156,0,COLUMN()-COLUMN($AL$1)),CHAR(160)," "),_xludf.UNICHAR(8239)," "))</f>
        <v>#NAME?</v>
      </c>
      <c r="Z1156" s="58" t="str">
        <f t="shared" si="996"/>
        <v>#NAME?</v>
      </c>
      <c r="AA1156" s="58" t="str">
        <f t="shared" si="996"/>
        <v>#NAME?</v>
      </c>
      <c r="AB1156" s="58" t="str">
        <f t="shared" si="996"/>
        <v>#NAME?</v>
      </c>
      <c r="AC1156" s="58" t="str">
        <f t="shared" si="996"/>
        <v>#NAME?</v>
      </c>
      <c r="AD1156" s="57">
        <f t="shared" si="906"/>
        <v>0</v>
      </c>
      <c r="AE1156" s="57" t="str">
        <f t="shared" si="907"/>
        <v/>
      </c>
      <c r="AF1156" s="57">
        <f t="shared" si="908"/>
        <v>0</v>
      </c>
      <c r="AG1156" s="59">
        <f t="shared" si="909"/>
        <v>0</v>
      </c>
      <c r="AH1156" s="15"/>
      <c r="AI1156" s="15"/>
      <c r="AJ1156" s="15"/>
      <c r="AK1156" s="15"/>
      <c r="AL1156" s="15"/>
      <c r="AM1156" s="15"/>
      <c r="AN1156" s="15"/>
      <c r="AO1156" s="15"/>
      <c r="AP1156" s="15"/>
      <c r="AQ1156" s="15"/>
      <c r="AR1156" s="15"/>
      <c r="AS1156" s="15"/>
      <c r="AT1156" s="15"/>
      <c r="AU1156" s="15"/>
    </row>
    <row r="1157" ht="24.0" customHeight="1">
      <c r="A1157" s="45">
        <v>2581.0</v>
      </c>
      <c r="B1157" s="57"/>
      <c r="C1157" s="57"/>
      <c r="D1157" s="88" t="str">
        <f t="array" ref="D1157">IFERROR(
  LOOKUP(2, 1/((TRIM(IMS!$E$8:$E$2574)=TRIM(IMS!$E1157))*(IMS!$C$8:$C$2574&lt;IMS!$C1157)),
         IMS!$C$8:$C$2574),
"")</f>
        <v/>
      </c>
      <c r="E1157" s="57"/>
      <c r="F1157" s="57"/>
      <c r="G1157" s="77" t="str">
        <f t="shared" si="901"/>
        <v/>
      </c>
      <c r="H1157" s="78" t="str">
        <f t="shared" si="902"/>
        <v/>
      </c>
      <c r="I1157" s="79"/>
      <c r="J1157" s="80" t="str">
        <f t="shared" si="903"/>
        <v>#NAME?</v>
      </c>
      <c r="K1157" s="58"/>
      <c r="L1157" s="58"/>
      <c r="M1157" s="57"/>
      <c r="N1157" s="57"/>
      <c r="O1157" s="58"/>
      <c r="P1157" s="82"/>
      <c r="Q1157" s="81"/>
      <c r="R1157" s="81"/>
      <c r="S1157" s="57"/>
      <c r="T1157" s="82"/>
      <c r="U1157" s="82"/>
      <c r="V1157" s="57"/>
      <c r="W1157" s="57"/>
      <c r="X1157" s="57" t="str">
        <f t="shared" si="917"/>
        <v/>
      </c>
      <c r="Y1157" s="58" t="str">
        <f t="shared" ref="Y1157:AC1157" si="997">TRIM(SUBSTITUTE(SUBSTITUTE(OFFSET($Q1157,0,COLUMN()-COLUMN($AL$1)),CHAR(160)," "),_xludf.UNICHAR(8239)," "))</f>
        <v>#NAME?</v>
      </c>
      <c r="Z1157" s="58" t="str">
        <f t="shared" si="997"/>
        <v>#NAME?</v>
      </c>
      <c r="AA1157" s="58" t="str">
        <f t="shared" si="997"/>
        <v>#NAME?</v>
      </c>
      <c r="AB1157" s="58" t="str">
        <f t="shared" si="997"/>
        <v>#NAME?</v>
      </c>
      <c r="AC1157" s="58" t="str">
        <f t="shared" si="997"/>
        <v>#NAME?</v>
      </c>
      <c r="AD1157" s="57">
        <f t="shared" si="906"/>
        <v>0</v>
      </c>
      <c r="AE1157" s="57" t="str">
        <f t="shared" si="907"/>
        <v/>
      </c>
      <c r="AF1157" s="57">
        <f t="shared" si="908"/>
        <v>0</v>
      </c>
      <c r="AG1157" s="59">
        <f t="shared" si="909"/>
        <v>0</v>
      </c>
      <c r="AH1157" s="15"/>
      <c r="AI1157" s="15"/>
      <c r="AJ1157" s="15"/>
      <c r="AK1157" s="15"/>
      <c r="AL1157" s="15"/>
      <c r="AM1157" s="15"/>
      <c r="AN1157" s="15"/>
      <c r="AO1157" s="15"/>
      <c r="AP1157" s="15"/>
      <c r="AQ1157" s="15"/>
      <c r="AR1157" s="15"/>
      <c r="AS1157" s="15"/>
      <c r="AT1157" s="15"/>
      <c r="AU1157" s="15"/>
    </row>
    <row r="1158" ht="24.0" customHeight="1">
      <c r="A1158" s="45">
        <v>2582.0</v>
      </c>
      <c r="B1158" s="57"/>
      <c r="C1158" s="57"/>
      <c r="D1158" s="88" t="str">
        <f t="array" ref="D1158">IFERROR(
  LOOKUP(2, 1/((TRIM(IMS!$E$8:$E$2574)=TRIM(IMS!$E1158))*(IMS!$C$8:$C$2574&lt;IMS!$C1158)),
         IMS!$C$8:$C$2574),
"")</f>
        <v/>
      </c>
      <c r="E1158" s="57"/>
      <c r="F1158" s="57"/>
      <c r="G1158" s="77" t="str">
        <f t="shared" si="901"/>
        <v/>
      </c>
      <c r="H1158" s="78" t="str">
        <f t="shared" si="902"/>
        <v/>
      </c>
      <c r="I1158" s="79"/>
      <c r="J1158" s="80" t="str">
        <f t="shared" si="903"/>
        <v>#NAME?</v>
      </c>
      <c r="K1158" s="58"/>
      <c r="L1158" s="58"/>
      <c r="M1158" s="57"/>
      <c r="N1158" s="57"/>
      <c r="O1158" s="58"/>
      <c r="P1158" s="82"/>
      <c r="Q1158" s="81"/>
      <c r="R1158" s="81"/>
      <c r="S1158" s="57"/>
      <c r="T1158" s="82"/>
      <c r="U1158" s="82"/>
      <c r="V1158" s="57"/>
      <c r="W1158" s="57"/>
      <c r="X1158" s="57" t="str">
        <f t="shared" si="917"/>
        <v/>
      </c>
      <c r="Y1158" s="58" t="str">
        <f t="shared" ref="Y1158:AC1158" si="998">TRIM(SUBSTITUTE(SUBSTITUTE(OFFSET($Q1158,0,COLUMN()-COLUMN($AL$1)),CHAR(160)," "),_xludf.UNICHAR(8239)," "))</f>
        <v>#NAME?</v>
      </c>
      <c r="Z1158" s="58" t="str">
        <f t="shared" si="998"/>
        <v>#NAME?</v>
      </c>
      <c r="AA1158" s="58" t="str">
        <f t="shared" si="998"/>
        <v>#NAME?</v>
      </c>
      <c r="AB1158" s="58" t="str">
        <f t="shared" si="998"/>
        <v>#NAME?</v>
      </c>
      <c r="AC1158" s="58" t="str">
        <f t="shared" si="998"/>
        <v>#NAME?</v>
      </c>
      <c r="AD1158" s="57">
        <f t="shared" si="906"/>
        <v>0</v>
      </c>
      <c r="AE1158" s="57" t="str">
        <f t="shared" si="907"/>
        <v/>
      </c>
      <c r="AF1158" s="57">
        <f t="shared" si="908"/>
        <v>0</v>
      </c>
      <c r="AG1158" s="59">
        <f t="shared" si="909"/>
        <v>0</v>
      </c>
      <c r="AH1158" s="15"/>
      <c r="AI1158" s="15"/>
      <c r="AJ1158" s="15"/>
      <c r="AK1158" s="15"/>
      <c r="AL1158" s="15"/>
      <c r="AM1158" s="15"/>
      <c r="AN1158" s="15"/>
      <c r="AO1158" s="15"/>
      <c r="AP1158" s="15"/>
      <c r="AQ1158" s="15"/>
      <c r="AR1158" s="15"/>
      <c r="AS1158" s="15"/>
      <c r="AT1158" s="15"/>
      <c r="AU1158" s="15"/>
    </row>
    <row r="1159" ht="24.0" customHeight="1">
      <c r="A1159" s="45">
        <v>2583.0</v>
      </c>
      <c r="B1159" s="57"/>
      <c r="C1159" s="57"/>
      <c r="D1159" s="88" t="str">
        <f t="array" ref="D1159">IFERROR(
  LOOKUP(2, 1/((TRIM(IMS!$E$8:$E$2574)=TRIM(IMS!$E1159))*(IMS!$C$8:$C$2574&lt;IMS!$C1159)),
         IMS!$C$8:$C$2574),
"")</f>
        <v/>
      </c>
      <c r="E1159" s="57"/>
      <c r="F1159" s="57"/>
      <c r="G1159" s="77" t="str">
        <f t="shared" si="901"/>
        <v/>
      </c>
      <c r="H1159" s="78" t="str">
        <f t="shared" si="902"/>
        <v/>
      </c>
      <c r="I1159" s="79"/>
      <c r="J1159" s="80" t="str">
        <f t="shared" si="903"/>
        <v>#NAME?</v>
      </c>
      <c r="K1159" s="58"/>
      <c r="L1159" s="58"/>
      <c r="M1159" s="57"/>
      <c r="N1159" s="57"/>
      <c r="O1159" s="58"/>
      <c r="P1159" s="82"/>
      <c r="Q1159" s="81"/>
      <c r="R1159" s="81"/>
      <c r="S1159" s="57"/>
      <c r="T1159" s="82"/>
      <c r="U1159" s="82"/>
      <c r="V1159" s="57"/>
      <c r="W1159" s="57"/>
      <c r="X1159" s="57" t="str">
        <f t="shared" si="917"/>
        <v/>
      </c>
      <c r="Y1159" s="58" t="str">
        <f t="shared" ref="Y1159:AC1159" si="999">TRIM(SUBSTITUTE(SUBSTITUTE(OFFSET($Q1159,0,COLUMN()-COLUMN($AL$1)),CHAR(160)," "),_xludf.UNICHAR(8239)," "))</f>
        <v>#NAME?</v>
      </c>
      <c r="Z1159" s="58" t="str">
        <f t="shared" si="999"/>
        <v>#NAME?</v>
      </c>
      <c r="AA1159" s="58" t="str">
        <f t="shared" si="999"/>
        <v>#NAME?</v>
      </c>
      <c r="AB1159" s="58" t="str">
        <f t="shared" si="999"/>
        <v>#NAME?</v>
      </c>
      <c r="AC1159" s="58" t="str">
        <f t="shared" si="999"/>
        <v>#NAME?</v>
      </c>
      <c r="AD1159" s="57">
        <f t="shared" si="906"/>
        <v>0</v>
      </c>
      <c r="AE1159" s="57" t="str">
        <f t="shared" si="907"/>
        <v/>
      </c>
      <c r="AF1159" s="57">
        <f t="shared" si="908"/>
        <v>0</v>
      </c>
      <c r="AG1159" s="59">
        <f t="shared" si="909"/>
        <v>0</v>
      </c>
      <c r="AH1159" s="15"/>
      <c r="AI1159" s="15"/>
      <c r="AJ1159" s="15"/>
      <c r="AK1159" s="15"/>
      <c r="AL1159" s="15"/>
      <c r="AM1159" s="15"/>
      <c r="AN1159" s="15"/>
      <c r="AO1159" s="15"/>
      <c r="AP1159" s="15"/>
      <c r="AQ1159" s="15"/>
      <c r="AR1159" s="15"/>
      <c r="AS1159" s="15"/>
      <c r="AT1159" s="15"/>
      <c r="AU1159" s="15"/>
    </row>
    <row r="1160" ht="24.0" customHeight="1">
      <c r="A1160" s="45">
        <v>2584.0</v>
      </c>
      <c r="B1160" s="57"/>
      <c r="C1160" s="57"/>
      <c r="D1160" s="88" t="str">
        <f t="array" ref="D1160">IFERROR(
  LOOKUP(2, 1/((TRIM(IMS!$E$8:$E$2574)=TRIM(IMS!$E1160))*(IMS!$C$8:$C$2574&lt;IMS!$C1160)),
         IMS!$C$8:$C$2574),
"")</f>
        <v/>
      </c>
      <c r="E1160" s="57"/>
      <c r="F1160" s="57"/>
      <c r="G1160" s="77" t="str">
        <f t="shared" si="901"/>
        <v/>
      </c>
      <c r="H1160" s="78" t="str">
        <f t="shared" si="902"/>
        <v/>
      </c>
      <c r="I1160" s="79"/>
      <c r="J1160" s="80" t="str">
        <f t="shared" si="903"/>
        <v>#NAME?</v>
      </c>
      <c r="K1160" s="58"/>
      <c r="L1160" s="58"/>
      <c r="M1160" s="57"/>
      <c r="N1160" s="57"/>
      <c r="O1160" s="58"/>
      <c r="P1160" s="82"/>
      <c r="Q1160" s="81"/>
      <c r="R1160" s="81"/>
      <c r="S1160" s="57"/>
      <c r="T1160" s="82"/>
      <c r="U1160" s="82"/>
      <c r="V1160" s="57"/>
      <c r="W1160" s="57"/>
      <c r="X1160" s="57" t="str">
        <f t="shared" si="917"/>
        <v/>
      </c>
      <c r="Y1160" s="58" t="str">
        <f t="shared" ref="Y1160:AC1160" si="1000">TRIM(SUBSTITUTE(SUBSTITUTE(OFFSET($Q1160,0,COLUMN()-COLUMN($AL$1)),CHAR(160)," "),_xludf.UNICHAR(8239)," "))</f>
        <v>#NAME?</v>
      </c>
      <c r="Z1160" s="58" t="str">
        <f t="shared" si="1000"/>
        <v>#NAME?</v>
      </c>
      <c r="AA1160" s="58" t="str">
        <f t="shared" si="1000"/>
        <v>#NAME?</v>
      </c>
      <c r="AB1160" s="58" t="str">
        <f t="shared" si="1000"/>
        <v>#NAME?</v>
      </c>
      <c r="AC1160" s="58" t="str">
        <f t="shared" si="1000"/>
        <v>#NAME?</v>
      </c>
      <c r="AD1160" s="57">
        <f t="shared" si="906"/>
        <v>0</v>
      </c>
      <c r="AE1160" s="57" t="str">
        <f t="shared" si="907"/>
        <v/>
      </c>
      <c r="AF1160" s="57">
        <f t="shared" si="908"/>
        <v>0</v>
      </c>
      <c r="AG1160" s="59">
        <f t="shared" si="909"/>
        <v>0</v>
      </c>
      <c r="AH1160" s="15"/>
      <c r="AI1160" s="15"/>
      <c r="AJ1160" s="15"/>
      <c r="AK1160" s="15"/>
      <c r="AL1160" s="15"/>
      <c r="AM1160" s="15"/>
      <c r="AN1160" s="15"/>
      <c r="AO1160" s="15"/>
      <c r="AP1160" s="15"/>
      <c r="AQ1160" s="15"/>
      <c r="AR1160" s="15"/>
      <c r="AS1160" s="15"/>
      <c r="AT1160" s="15"/>
      <c r="AU1160" s="15"/>
    </row>
    <row r="1161" ht="24.0" customHeight="1">
      <c r="A1161" s="45">
        <v>2585.0</v>
      </c>
      <c r="B1161" s="57"/>
      <c r="C1161" s="57"/>
      <c r="D1161" s="88" t="str">
        <f t="array" ref="D1161">IFERROR(
  LOOKUP(2, 1/((TRIM(IMS!$E$8:$E$2574)=TRIM(IMS!$E1161))*(IMS!$C$8:$C$2574&lt;IMS!$C1161)),
         IMS!$C$8:$C$2574),
"")</f>
        <v/>
      </c>
      <c r="E1161" s="57"/>
      <c r="F1161" s="57"/>
      <c r="G1161" s="77" t="str">
        <f t="shared" si="901"/>
        <v/>
      </c>
      <c r="H1161" s="78" t="str">
        <f t="shared" si="902"/>
        <v/>
      </c>
      <c r="I1161" s="79"/>
      <c r="J1161" s="80" t="str">
        <f t="shared" si="903"/>
        <v>#NAME?</v>
      </c>
      <c r="K1161" s="58"/>
      <c r="L1161" s="58"/>
      <c r="M1161" s="57"/>
      <c r="N1161" s="57"/>
      <c r="O1161" s="58"/>
      <c r="P1161" s="82"/>
      <c r="Q1161" s="81"/>
      <c r="R1161" s="81"/>
      <c r="S1161" s="57"/>
      <c r="T1161" s="82"/>
      <c r="U1161" s="82"/>
      <c r="V1161" s="57"/>
      <c r="W1161" s="57"/>
      <c r="X1161" s="57" t="str">
        <f t="shared" si="917"/>
        <v/>
      </c>
      <c r="Y1161" s="58" t="str">
        <f t="shared" ref="Y1161:AC1161" si="1001">TRIM(SUBSTITUTE(SUBSTITUTE(OFFSET($Q1161,0,COLUMN()-COLUMN($AL$1)),CHAR(160)," "),_xludf.UNICHAR(8239)," "))</f>
        <v>#NAME?</v>
      </c>
      <c r="Z1161" s="58" t="str">
        <f t="shared" si="1001"/>
        <v>#NAME?</v>
      </c>
      <c r="AA1161" s="58" t="str">
        <f t="shared" si="1001"/>
        <v>#NAME?</v>
      </c>
      <c r="AB1161" s="58" t="str">
        <f t="shared" si="1001"/>
        <v>#NAME?</v>
      </c>
      <c r="AC1161" s="58" t="str">
        <f t="shared" si="1001"/>
        <v>#NAME?</v>
      </c>
      <c r="AD1161" s="57">
        <f t="shared" si="906"/>
        <v>0</v>
      </c>
      <c r="AE1161" s="57" t="str">
        <f t="shared" si="907"/>
        <v/>
      </c>
      <c r="AF1161" s="57">
        <f t="shared" si="908"/>
        <v>0</v>
      </c>
      <c r="AG1161" s="59">
        <f t="shared" si="909"/>
        <v>0</v>
      </c>
      <c r="AH1161" s="15"/>
      <c r="AI1161" s="15"/>
      <c r="AJ1161" s="15"/>
      <c r="AK1161" s="15"/>
      <c r="AL1161" s="15"/>
      <c r="AM1161" s="15"/>
      <c r="AN1161" s="15"/>
      <c r="AO1161" s="15"/>
      <c r="AP1161" s="15"/>
      <c r="AQ1161" s="15"/>
      <c r="AR1161" s="15"/>
      <c r="AS1161" s="15"/>
      <c r="AT1161" s="15"/>
      <c r="AU1161" s="15"/>
    </row>
    <row r="1162" ht="24.0" customHeight="1">
      <c r="A1162" s="45">
        <v>2586.0</v>
      </c>
      <c r="B1162" s="57"/>
      <c r="C1162" s="57"/>
      <c r="D1162" s="88" t="str">
        <f t="array" ref="D1162">IFERROR(
  LOOKUP(2, 1/((TRIM(IMS!$E$8:$E$2574)=TRIM(IMS!$E1162))*(IMS!$C$8:$C$2574&lt;IMS!$C1162)),
         IMS!$C$8:$C$2574),
"")</f>
        <v/>
      </c>
      <c r="E1162" s="57"/>
      <c r="F1162" s="57"/>
      <c r="G1162" s="77" t="str">
        <f t="shared" si="901"/>
        <v/>
      </c>
      <c r="H1162" s="78" t="str">
        <f t="shared" si="902"/>
        <v/>
      </c>
      <c r="I1162" s="79"/>
      <c r="J1162" s="80" t="str">
        <f t="shared" si="903"/>
        <v>#NAME?</v>
      </c>
      <c r="K1162" s="58"/>
      <c r="L1162" s="58"/>
      <c r="M1162" s="57"/>
      <c r="N1162" s="57"/>
      <c r="O1162" s="58"/>
      <c r="P1162" s="82"/>
      <c r="Q1162" s="81"/>
      <c r="R1162" s="81"/>
      <c r="S1162" s="57"/>
      <c r="T1162" s="82"/>
      <c r="U1162" s="82"/>
      <c r="V1162" s="57"/>
      <c r="W1162" s="57"/>
      <c r="X1162" s="57" t="str">
        <f t="shared" si="917"/>
        <v/>
      </c>
      <c r="Y1162" s="58" t="str">
        <f t="shared" ref="Y1162:AC1162" si="1002">TRIM(SUBSTITUTE(SUBSTITUTE(OFFSET($Q1162,0,COLUMN()-COLUMN($AL$1)),CHAR(160)," "),_xludf.UNICHAR(8239)," "))</f>
        <v>#NAME?</v>
      </c>
      <c r="Z1162" s="58" t="str">
        <f t="shared" si="1002"/>
        <v>#NAME?</v>
      </c>
      <c r="AA1162" s="58" t="str">
        <f t="shared" si="1002"/>
        <v>#NAME?</v>
      </c>
      <c r="AB1162" s="58" t="str">
        <f t="shared" si="1002"/>
        <v>#NAME?</v>
      </c>
      <c r="AC1162" s="58" t="str">
        <f t="shared" si="1002"/>
        <v>#NAME?</v>
      </c>
      <c r="AD1162" s="57">
        <f t="shared" si="906"/>
        <v>0</v>
      </c>
      <c r="AE1162" s="57" t="str">
        <f t="shared" si="907"/>
        <v/>
      </c>
      <c r="AF1162" s="57">
        <f t="shared" si="908"/>
        <v>0</v>
      </c>
      <c r="AG1162" s="59">
        <f t="shared" si="909"/>
        <v>0</v>
      </c>
      <c r="AH1162" s="15"/>
      <c r="AI1162" s="15"/>
      <c r="AJ1162" s="15"/>
      <c r="AK1162" s="15"/>
      <c r="AL1162" s="15"/>
      <c r="AM1162" s="15"/>
      <c r="AN1162" s="15"/>
      <c r="AO1162" s="15"/>
      <c r="AP1162" s="15"/>
      <c r="AQ1162" s="15"/>
      <c r="AR1162" s="15"/>
      <c r="AS1162" s="15"/>
      <c r="AT1162" s="15"/>
      <c r="AU1162" s="15"/>
    </row>
    <row r="1163" ht="24.0" customHeight="1">
      <c r="A1163" s="45">
        <v>2587.0</v>
      </c>
      <c r="B1163" s="57"/>
      <c r="C1163" s="57"/>
      <c r="D1163" s="88" t="str">
        <f t="array" ref="D1163">IFERROR(
  LOOKUP(2, 1/((TRIM(IMS!$E$8:$E$2574)=TRIM(IMS!$E1163))*(IMS!$C$8:$C$2574&lt;IMS!$C1163)),
         IMS!$C$8:$C$2574),
"")</f>
        <v/>
      </c>
      <c r="E1163" s="57"/>
      <c r="F1163" s="57"/>
      <c r="G1163" s="77" t="str">
        <f t="shared" si="901"/>
        <v/>
      </c>
      <c r="H1163" s="78" t="str">
        <f t="shared" si="902"/>
        <v/>
      </c>
      <c r="I1163" s="79"/>
      <c r="J1163" s="80" t="str">
        <f t="shared" si="903"/>
        <v>#NAME?</v>
      </c>
      <c r="K1163" s="58"/>
      <c r="L1163" s="58"/>
      <c r="M1163" s="57"/>
      <c r="N1163" s="57"/>
      <c r="O1163" s="58"/>
      <c r="P1163" s="82"/>
      <c r="Q1163" s="81"/>
      <c r="R1163" s="81"/>
      <c r="S1163" s="57"/>
      <c r="T1163" s="82"/>
      <c r="U1163" s="82"/>
      <c r="V1163" s="57"/>
      <c r="W1163" s="57"/>
      <c r="X1163" s="57" t="str">
        <f t="shared" si="917"/>
        <v/>
      </c>
      <c r="Y1163" s="58" t="str">
        <f t="shared" ref="Y1163:AC1163" si="1003">TRIM(SUBSTITUTE(SUBSTITUTE(OFFSET($Q1163,0,COLUMN()-COLUMN($AL$1)),CHAR(160)," "),_xludf.UNICHAR(8239)," "))</f>
        <v>#NAME?</v>
      </c>
      <c r="Z1163" s="58" t="str">
        <f t="shared" si="1003"/>
        <v>#NAME?</v>
      </c>
      <c r="AA1163" s="58" t="str">
        <f t="shared" si="1003"/>
        <v>#NAME?</v>
      </c>
      <c r="AB1163" s="58" t="str">
        <f t="shared" si="1003"/>
        <v>#NAME?</v>
      </c>
      <c r="AC1163" s="58" t="str">
        <f t="shared" si="1003"/>
        <v>#NAME?</v>
      </c>
      <c r="AD1163" s="57">
        <f t="shared" si="906"/>
        <v>0</v>
      </c>
      <c r="AE1163" s="57" t="str">
        <f t="shared" si="907"/>
        <v/>
      </c>
      <c r="AF1163" s="57">
        <f t="shared" si="908"/>
        <v>0</v>
      </c>
      <c r="AG1163" s="59">
        <f t="shared" si="909"/>
        <v>0</v>
      </c>
      <c r="AH1163" s="15"/>
      <c r="AI1163" s="15"/>
      <c r="AJ1163" s="15"/>
      <c r="AK1163" s="15"/>
      <c r="AL1163" s="15"/>
      <c r="AM1163" s="15"/>
      <c r="AN1163" s="15"/>
      <c r="AO1163" s="15"/>
      <c r="AP1163" s="15"/>
      <c r="AQ1163" s="15"/>
      <c r="AR1163" s="15"/>
      <c r="AS1163" s="15"/>
      <c r="AT1163" s="15"/>
      <c r="AU1163" s="15"/>
    </row>
    <row r="1164" ht="24.0" customHeight="1">
      <c r="A1164" s="45">
        <v>2588.0</v>
      </c>
      <c r="B1164" s="57"/>
      <c r="C1164" s="57"/>
      <c r="D1164" s="88" t="str">
        <f t="array" ref="D1164">IFERROR(
  LOOKUP(2, 1/((TRIM(IMS!$E$8:$E$2574)=TRIM(IMS!$E1164))*(IMS!$C$8:$C$2574&lt;IMS!$C1164)),
         IMS!$C$8:$C$2574),
"")</f>
        <v/>
      </c>
      <c r="E1164" s="57"/>
      <c r="F1164" s="57"/>
      <c r="G1164" s="77" t="str">
        <f t="shared" si="901"/>
        <v/>
      </c>
      <c r="H1164" s="78" t="str">
        <f t="shared" si="902"/>
        <v/>
      </c>
      <c r="I1164" s="79"/>
      <c r="J1164" s="80" t="str">
        <f t="shared" si="903"/>
        <v>#NAME?</v>
      </c>
      <c r="K1164" s="58"/>
      <c r="L1164" s="58"/>
      <c r="M1164" s="57"/>
      <c r="N1164" s="57"/>
      <c r="O1164" s="58"/>
      <c r="P1164" s="82"/>
      <c r="Q1164" s="81"/>
      <c r="R1164" s="81"/>
      <c r="S1164" s="57"/>
      <c r="T1164" s="82"/>
      <c r="U1164" s="82"/>
      <c r="V1164" s="57"/>
      <c r="W1164" s="57"/>
      <c r="X1164" s="57" t="str">
        <f t="shared" si="917"/>
        <v/>
      </c>
      <c r="Y1164" s="58" t="str">
        <f t="shared" ref="Y1164:AC1164" si="1004">TRIM(SUBSTITUTE(SUBSTITUTE(OFFSET($Q1164,0,COLUMN()-COLUMN($AL$1)),CHAR(160)," "),_xludf.UNICHAR(8239)," "))</f>
        <v>#NAME?</v>
      </c>
      <c r="Z1164" s="58" t="str">
        <f t="shared" si="1004"/>
        <v>#NAME?</v>
      </c>
      <c r="AA1164" s="58" t="str">
        <f t="shared" si="1004"/>
        <v>#NAME?</v>
      </c>
      <c r="AB1164" s="58" t="str">
        <f t="shared" si="1004"/>
        <v>#NAME?</v>
      </c>
      <c r="AC1164" s="58" t="str">
        <f t="shared" si="1004"/>
        <v>#NAME?</v>
      </c>
      <c r="AD1164" s="57">
        <f t="shared" si="906"/>
        <v>0</v>
      </c>
      <c r="AE1164" s="57" t="str">
        <f t="shared" si="907"/>
        <v/>
      </c>
      <c r="AF1164" s="57">
        <f t="shared" si="908"/>
        <v>0</v>
      </c>
      <c r="AG1164" s="59">
        <f t="shared" si="909"/>
        <v>0</v>
      </c>
      <c r="AH1164" s="15"/>
      <c r="AI1164" s="15"/>
      <c r="AJ1164" s="15"/>
      <c r="AK1164" s="15"/>
      <c r="AL1164" s="15"/>
      <c r="AM1164" s="15"/>
      <c r="AN1164" s="15"/>
      <c r="AO1164" s="15"/>
      <c r="AP1164" s="15"/>
      <c r="AQ1164" s="15"/>
      <c r="AR1164" s="15"/>
      <c r="AS1164" s="15"/>
      <c r="AT1164" s="15"/>
      <c r="AU1164" s="15"/>
    </row>
    <row r="1165" ht="24.0" customHeight="1">
      <c r="A1165" s="45">
        <v>2589.0</v>
      </c>
      <c r="B1165" s="57"/>
      <c r="C1165" s="57"/>
      <c r="D1165" s="88" t="str">
        <f t="array" ref="D1165">IFERROR(
  LOOKUP(2, 1/((TRIM(IMS!$E$8:$E$2574)=TRIM(IMS!$E1165))*(IMS!$C$8:$C$2574&lt;IMS!$C1165)),
         IMS!$C$8:$C$2574),
"")</f>
        <v/>
      </c>
      <c r="E1165" s="57"/>
      <c r="F1165" s="57"/>
      <c r="G1165" s="77" t="str">
        <f t="shared" si="901"/>
        <v/>
      </c>
      <c r="H1165" s="78" t="str">
        <f t="shared" si="902"/>
        <v/>
      </c>
      <c r="I1165" s="79"/>
      <c r="J1165" s="80" t="str">
        <f t="shared" si="903"/>
        <v>#NAME?</v>
      </c>
      <c r="K1165" s="58"/>
      <c r="L1165" s="58"/>
      <c r="M1165" s="57"/>
      <c r="N1165" s="57"/>
      <c r="O1165" s="58"/>
      <c r="P1165" s="82"/>
      <c r="Q1165" s="81"/>
      <c r="R1165" s="81"/>
      <c r="S1165" s="57"/>
      <c r="T1165" s="82"/>
      <c r="U1165" s="82"/>
      <c r="V1165" s="57"/>
      <c r="W1165" s="57"/>
      <c r="X1165" s="57" t="str">
        <f t="shared" si="917"/>
        <v/>
      </c>
      <c r="Y1165" s="58" t="str">
        <f t="shared" ref="Y1165:AC1165" si="1005">TRIM(SUBSTITUTE(SUBSTITUTE(OFFSET($Q1165,0,COLUMN()-COLUMN($AL$1)),CHAR(160)," "),_xludf.UNICHAR(8239)," "))</f>
        <v>#NAME?</v>
      </c>
      <c r="Z1165" s="58" t="str">
        <f t="shared" si="1005"/>
        <v>#NAME?</v>
      </c>
      <c r="AA1165" s="58" t="str">
        <f t="shared" si="1005"/>
        <v>#NAME?</v>
      </c>
      <c r="AB1165" s="58" t="str">
        <f t="shared" si="1005"/>
        <v>#NAME?</v>
      </c>
      <c r="AC1165" s="58" t="str">
        <f t="shared" si="1005"/>
        <v>#NAME?</v>
      </c>
      <c r="AD1165" s="57">
        <f t="shared" si="906"/>
        <v>0</v>
      </c>
      <c r="AE1165" s="57" t="str">
        <f t="shared" si="907"/>
        <v/>
      </c>
      <c r="AF1165" s="57">
        <f t="shared" si="908"/>
        <v>0</v>
      </c>
      <c r="AG1165" s="59">
        <f t="shared" si="909"/>
        <v>0</v>
      </c>
      <c r="AH1165" s="15"/>
      <c r="AI1165" s="15"/>
      <c r="AJ1165" s="15"/>
      <c r="AK1165" s="15"/>
      <c r="AL1165" s="15"/>
      <c r="AM1165" s="15"/>
      <c r="AN1165" s="15"/>
      <c r="AO1165" s="15"/>
      <c r="AP1165" s="15"/>
      <c r="AQ1165" s="15"/>
      <c r="AR1165" s="15"/>
      <c r="AS1165" s="15"/>
      <c r="AT1165" s="15"/>
      <c r="AU1165" s="15"/>
    </row>
    <row r="1166" ht="24.0" customHeight="1">
      <c r="A1166" s="45">
        <v>2590.0</v>
      </c>
      <c r="B1166" s="57"/>
      <c r="C1166" s="57"/>
      <c r="D1166" s="88" t="str">
        <f t="array" ref="D1166">IFERROR(
  LOOKUP(2, 1/((TRIM(IMS!$E$8:$E$2574)=TRIM(IMS!$E1166))*(IMS!$C$8:$C$2574&lt;IMS!$C1166)),
         IMS!$C$8:$C$2574),
"")</f>
        <v/>
      </c>
      <c r="E1166" s="57"/>
      <c r="F1166" s="57"/>
      <c r="G1166" s="77" t="str">
        <f t="shared" si="901"/>
        <v/>
      </c>
      <c r="H1166" s="78" t="str">
        <f t="shared" si="902"/>
        <v/>
      </c>
      <c r="I1166" s="79"/>
      <c r="J1166" s="80" t="str">
        <f t="shared" si="903"/>
        <v>#NAME?</v>
      </c>
      <c r="K1166" s="58"/>
      <c r="L1166" s="58"/>
      <c r="M1166" s="57"/>
      <c r="N1166" s="57"/>
      <c r="O1166" s="58"/>
      <c r="P1166" s="82"/>
      <c r="Q1166" s="81"/>
      <c r="R1166" s="81"/>
      <c r="S1166" s="57"/>
      <c r="T1166" s="82"/>
      <c r="U1166" s="82"/>
      <c r="V1166" s="57"/>
      <c r="W1166" s="57"/>
      <c r="X1166" s="57" t="str">
        <f t="shared" si="917"/>
        <v/>
      </c>
      <c r="Y1166" s="58" t="str">
        <f t="shared" ref="Y1166:AC1166" si="1006">TRIM(SUBSTITUTE(SUBSTITUTE(OFFSET($Q1166,0,COLUMN()-COLUMN($AL$1)),CHAR(160)," "),_xludf.UNICHAR(8239)," "))</f>
        <v>#NAME?</v>
      </c>
      <c r="Z1166" s="58" t="str">
        <f t="shared" si="1006"/>
        <v>#NAME?</v>
      </c>
      <c r="AA1166" s="58" t="str">
        <f t="shared" si="1006"/>
        <v>#NAME?</v>
      </c>
      <c r="AB1166" s="58" t="str">
        <f t="shared" si="1006"/>
        <v>#NAME?</v>
      </c>
      <c r="AC1166" s="58" t="str">
        <f t="shared" si="1006"/>
        <v>#NAME?</v>
      </c>
      <c r="AD1166" s="57">
        <f t="shared" si="906"/>
        <v>0</v>
      </c>
      <c r="AE1166" s="57" t="str">
        <f t="shared" si="907"/>
        <v/>
      </c>
      <c r="AF1166" s="57">
        <f t="shared" si="908"/>
        <v>0</v>
      </c>
      <c r="AG1166" s="59">
        <f t="shared" si="909"/>
        <v>0</v>
      </c>
      <c r="AH1166" s="15"/>
      <c r="AI1166" s="15"/>
      <c r="AJ1166" s="15"/>
      <c r="AK1166" s="15"/>
      <c r="AL1166" s="15"/>
      <c r="AM1166" s="15"/>
      <c r="AN1166" s="15"/>
      <c r="AO1166" s="15"/>
      <c r="AP1166" s="15"/>
      <c r="AQ1166" s="15"/>
      <c r="AR1166" s="15"/>
      <c r="AS1166" s="15"/>
      <c r="AT1166" s="15"/>
      <c r="AU1166" s="15"/>
    </row>
    <row r="1167" ht="24.0" customHeight="1">
      <c r="A1167" s="45">
        <v>2591.0</v>
      </c>
      <c r="B1167" s="57"/>
      <c r="C1167" s="57"/>
      <c r="D1167" s="88" t="str">
        <f t="array" ref="D1167">IFERROR(
  LOOKUP(2, 1/((TRIM(IMS!$E$8:$E$2574)=TRIM(IMS!$E1167))*(IMS!$C$8:$C$2574&lt;IMS!$C1167)),
         IMS!$C$8:$C$2574),
"")</f>
        <v/>
      </c>
      <c r="E1167" s="57"/>
      <c r="F1167" s="57"/>
      <c r="G1167" s="77" t="str">
        <f t="shared" si="901"/>
        <v/>
      </c>
      <c r="H1167" s="78" t="str">
        <f t="shared" si="902"/>
        <v/>
      </c>
      <c r="I1167" s="79"/>
      <c r="J1167" s="80" t="str">
        <f t="shared" si="903"/>
        <v>#NAME?</v>
      </c>
      <c r="K1167" s="58"/>
      <c r="L1167" s="58"/>
      <c r="M1167" s="57"/>
      <c r="N1167" s="57"/>
      <c r="O1167" s="58"/>
      <c r="P1167" s="82"/>
      <c r="Q1167" s="81"/>
      <c r="R1167" s="81"/>
      <c r="S1167" s="57"/>
      <c r="T1167" s="82"/>
      <c r="U1167" s="82"/>
      <c r="V1167" s="57"/>
      <c r="W1167" s="57"/>
      <c r="X1167" s="57" t="str">
        <f t="shared" si="917"/>
        <v/>
      </c>
      <c r="Y1167" s="58" t="str">
        <f t="shared" ref="Y1167:AC1167" si="1007">TRIM(SUBSTITUTE(SUBSTITUTE(OFFSET($Q1167,0,COLUMN()-COLUMN($AL$1)),CHAR(160)," "),_xludf.UNICHAR(8239)," "))</f>
        <v>#NAME?</v>
      </c>
      <c r="Z1167" s="58" t="str">
        <f t="shared" si="1007"/>
        <v>#NAME?</v>
      </c>
      <c r="AA1167" s="58" t="str">
        <f t="shared" si="1007"/>
        <v>#NAME?</v>
      </c>
      <c r="AB1167" s="58" t="str">
        <f t="shared" si="1007"/>
        <v>#NAME?</v>
      </c>
      <c r="AC1167" s="58" t="str">
        <f t="shared" si="1007"/>
        <v>#NAME?</v>
      </c>
      <c r="AD1167" s="57">
        <f t="shared" si="906"/>
        <v>0</v>
      </c>
      <c r="AE1167" s="57" t="str">
        <f t="shared" si="907"/>
        <v/>
      </c>
      <c r="AF1167" s="57">
        <f t="shared" si="908"/>
        <v>0</v>
      </c>
      <c r="AG1167" s="59">
        <f t="shared" si="909"/>
        <v>0</v>
      </c>
      <c r="AH1167" s="15"/>
      <c r="AI1167" s="15"/>
      <c r="AJ1167" s="15"/>
      <c r="AK1167" s="15"/>
      <c r="AL1167" s="15"/>
      <c r="AM1167" s="15"/>
      <c r="AN1167" s="15"/>
      <c r="AO1167" s="15"/>
      <c r="AP1167" s="15"/>
      <c r="AQ1167" s="15"/>
      <c r="AR1167" s="15"/>
      <c r="AS1167" s="15"/>
      <c r="AT1167" s="15"/>
      <c r="AU1167" s="15"/>
    </row>
    <row r="1168" ht="24.0" customHeight="1">
      <c r="A1168" s="45">
        <v>2592.0</v>
      </c>
      <c r="B1168" s="57"/>
      <c r="C1168" s="57"/>
      <c r="D1168" s="88" t="str">
        <f t="array" ref="D1168">IFERROR(
  LOOKUP(2, 1/((TRIM(IMS!$E$8:$E$2574)=TRIM(IMS!$E1168))*(IMS!$C$8:$C$2574&lt;IMS!$C1168)),
         IMS!$C$8:$C$2574),
"")</f>
        <v/>
      </c>
      <c r="E1168" s="57"/>
      <c r="F1168" s="57"/>
      <c r="G1168" s="77" t="str">
        <f t="shared" si="901"/>
        <v/>
      </c>
      <c r="H1168" s="78" t="str">
        <f t="shared" si="902"/>
        <v/>
      </c>
      <c r="I1168" s="79"/>
      <c r="J1168" s="80" t="str">
        <f t="shared" si="903"/>
        <v>#NAME?</v>
      </c>
      <c r="K1168" s="58"/>
      <c r="L1168" s="58"/>
      <c r="M1168" s="57"/>
      <c r="N1168" s="57"/>
      <c r="O1168" s="58"/>
      <c r="P1168" s="82"/>
      <c r="Q1168" s="81"/>
      <c r="R1168" s="81"/>
      <c r="S1168" s="57"/>
      <c r="T1168" s="82"/>
      <c r="U1168" s="82"/>
      <c r="V1168" s="57"/>
      <c r="W1168" s="57"/>
      <c r="X1168" s="57" t="str">
        <f t="shared" si="917"/>
        <v/>
      </c>
      <c r="Y1168" s="58" t="str">
        <f t="shared" ref="Y1168:AC1168" si="1008">TRIM(SUBSTITUTE(SUBSTITUTE(OFFSET($Q1168,0,COLUMN()-COLUMN($AL$1)),CHAR(160)," "),_xludf.UNICHAR(8239)," "))</f>
        <v>#NAME?</v>
      </c>
      <c r="Z1168" s="58" t="str">
        <f t="shared" si="1008"/>
        <v>#NAME?</v>
      </c>
      <c r="AA1168" s="58" t="str">
        <f t="shared" si="1008"/>
        <v>#NAME?</v>
      </c>
      <c r="AB1168" s="58" t="str">
        <f t="shared" si="1008"/>
        <v>#NAME?</v>
      </c>
      <c r="AC1168" s="58" t="str">
        <f t="shared" si="1008"/>
        <v>#NAME?</v>
      </c>
      <c r="AD1168" s="57">
        <f t="shared" si="906"/>
        <v>0</v>
      </c>
      <c r="AE1168" s="57" t="str">
        <f t="shared" si="907"/>
        <v/>
      </c>
      <c r="AF1168" s="57">
        <f t="shared" si="908"/>
        <v>0</v>
      </c>
      <c r="AG1168" s="59">
        <f t="shared" si="909"/>
        <v>0</v>
      </c>
      <c r="AH1168" s="15"/>
      <c r="AI1168" s="15"/>
      <c r="AJ1168" s="15"/>
      <c r="AK1168" s="15"/>
      <c r="AL1168" s="15"/>
      <c r="AM1168" s="15"/>
      <c r="AN1168" s="15"/>
      <c r="AO1168" s="15"/>
      <c r="AP1168" s="15"/>
      <c r="AQ1168" s="15"/>
      <c r="AR1168" s="15"/>
      <c r="AS1168" s="15"/>
      <c r="AT1168" s="15"/>
      <c r="AU1168" s="15"/>
    </row>
    <row r="1169" ht="24.0" customHeight="1">
      <c r="A1169" s="45">
        <v>2593.0</v>
      </c>
      <c r="B1169" s="57"/>
      <c r="C1169" s="57"/>
      <c r="D1169" s="88" t="str">
        <f t="array" ref="D1169">IFERROR(
  LOOKUP(2, 1/((TRIM(IMS!$E$8:$E$2574)=TRIM(IMS!$E1169))*(IMS!$C$8:$C$2574&lt;IMS!$C1169)),
         IMS!$C$8:$C$2574),
"")</f>
        <v/>
      </c>
      <c r="E1169" s="57"/>
      <c r="F1169" s="57"/>
      <c r="G1169" s="77" t="str">
        <f t="shared" si="901"/>
        <v/>
      </c>
      <c r="H1169" s="78" t="str">
        <f t="shared" si="902"/>
        <v/>
      </c>
      <c r="I1169" s="79"/>
      <c r="J1169" s="80" t="str">
        <f t="shared" si="903"/>
        <v>#NAME?</v>
      </c>
      <c r="K1169" s="58"/>
      <c r="L1169" s="58"/>
      <c r="M1169" s="57"/>
      <c r="N1169" s="57"/>
      <c r="O1169" s="58"/>
      <c r="P1169" s="82"/>
      <c r="Q1169" s="81"/>
      <c r="R1169" s="81"/>
      <c r="S1169" s="57"/>
      <c r="T1169" s="82"/>
      <c r="U1169" s="82"/>
      <c r="V1169" s="57"/>
      <c r="W1169" s="57"/>
      <c r="X1169" s="57" t="str">
        <f t="shared" si="917"/>
        <v/>
      </c>
      <c r="Y1169" s="58" t="str">
        <f t="shared" ref="Y1169:AC1169" si="1009">TRIM(SUBSTITUTE(SUBSTITUTE(OFFSET($Q1169,0,COLUMN()-COLUMN($AL$1)),CHAR(160)," "),_xludf.UNICHAR(8239)," "))</f>
        <v>#NAME?</v>
      </c>
      <c r="Z1169" s="58" t="str">
        <f t="shared" si="1009"/>
        <v>#NAME?</v>
      </c>
      <c r="AA1169" s="58" t="str">
        <f t="shared" si="1009"/>
        <v>#NAME?</v>
      </c>
      <c r="AB1169" s="58" t="str">
        <f t="shared" si="1009"/>
        <v>#NAME?</v>
      </c>
      <c r="AC1169" s="58" t="str">
        <f t="shared" si="1009"/>
        <v>#NAME?</v>
      </c>
      <c r="AD1169" s="57">
        <f t="shared" si="906"/>
        <v>0</v>
      </c>
      <c r="AE1169" s="57" t="str">
        <f t="shared" si="907"/>
        <v/>
      </c>
      <c r="AF1169" s="57">
        <f t="shared" si="908"/>
        <v>0</v>
      </c>
      <c r="AG1169" s="59">
        <f t="shared" si="909"/>
        <v>0</v>
      </c>
      <c r="AH1169" s="15"/>
      <c r="AI1169" s="15"/>
      <c r="AJ1169" s="15"/>
      <c r="AK1169" s="15"/>
      <c r="AL1169" s="15"/>
      <c r="AM1169" s="15"/>
      <c r="AN1169" s="15"/>
      <c r="AO1169" s="15"/>
      <c r="AP1169" s="15"/>
      <c r="AQ1169" s="15"/>
      <c r="AR1169" s="15"/>
      <c r="AS1169" s="15"/>
      <c r="AT1169" s="15"/>
      <c r="AU1169" s="15"/>
    </row>
    <row r="1170" ht="24.0" customHeight="1">
      <c r="A1170" s="45">
        <v>2594.0</v>
      </c>
      <c r="B1170" s="57"/>
      <c r="C1170" s="57"/>
      <c r="D1170" s="88" t="str">
        <f t="array" ref="D1170">IFERROR(
  LOOKUP(2, 1/((TRIM(IMS!$E$8:$E$2574)=TRIM(IMS!$E1170))*(IMS!$C$8:$C$2574&lt;IMS!$C1170)),
         IMS!$C$8:$C$2574),
"")</f>
        <v/>
      </c>
      <c r="E1170" s="57"/>
      <c r="F1170" s="57"/>
      <c r="G1170" s="77" t="str">
        <f t="shared" si="901"/>
        <v/>
      </c>
      <c r="H1170" s="78" t="str">
        <f t="shared" si="902"/>
        <v/>
      </c>
      <c r="I1170" s="79"/>
      <c r="J1170" s="80" t="str">
        <f t="shared" si="903"/>
        <v>#NAME?</v>
      </c>
      <c r="K1170" s="58"/>
      <c r="L1170" s="58"/>
      <c r="M1170" s="57"/>
      <c r="N1170" s="57"/>
      <c r="O1170" s="58"/>
      <c r="P1170" s="82"/>
      <c r="Q1170" s="81"/>
      <c r="R1170" s="81"/>
      <c r="S1170" s="57"/>
      <c r="T1170" s="82"/>
      <c r="U1170" s="82"/>
      <c r="V1170" s="57"/>
      <c r="W1170" s="57"/>
      <c r="X1170" s="57" t="str">
        <f t="shared" si="917"/>
        <v/>
      </c>
      <c r="Y1170" s="58" t="str">
        <f t="shared" ref="Y1170:AC1170" si="1010">TRIM(SUBSTITUTE(SUBSTITUTE(OFFSET($Q1170,0,COLUMN()-COLUMN($AL$1)),CHAR(160)," "),_xludf.UNICHAR(8239)," "))</f>
        <v>#NAME?</v>
      </c>
      <c r="Z1170" s="58" t="str">
        <f t="shared" si="1010"/>
        <v>#NAME?</v>
      </c>
      <c r="AA1170" s="58" t="str">
        <f t="shared" si="1010"/>
        <v>#NAME?</v>
      </c>
      <c r="AB1170" s="58" t="str">
        <f t="shared" si="1010"/>
        <v>#NAME?</v>
      </c>
      <c r="AC1170" s="58" t="str">
        <f t="shared" si="1010"/>
        <v>#NAME?</v>
      </c>
      <c r="AD1170" s="57">
        <f t="shared" si="906"/>
        <v>0</v>
      </c>
      <c r="AE1170" s="57" t="str">
        <f t="shared" si="907"/>
        <v/>
      </c>
      <c r="AF1170" s="57">
        <f t="shared" si="908"/>
        <v>0</v>
      </c>
      <c r="AG1170" s="59">
        <f t="shared" si="909"/>
        <v>0</v>
      </c>
      <c r="AH1170" s="15"/>
      <c r="AI1170" s="15"/>
      <c r="AJ1170" s="15"/>
      <c r="AK1170" s="15"/>
      <c r="AL1170" s="15"/>
      <c r="AM1170" s="15"/>
      <c r="AN1170" s="15"/>
      <c r="AO1170" s="15"/>
      <c r="AP1170" s="15"/>
      <c r="AQ1170" s="15"/>
      <c r="AR1170" s="15"/>
      <c r="AS1170" s="15"/>
      <c r="AT1170" s="15"/>
      <c r="AU1170" s="15"/>
    </row>
    <row r="1171" ht="24.0" customHeight="1">
      <c r="A1171" s="45">
        <v>2595.0</v>
      </c>
      <c r="B1171" s="57"/>
      <c r="C1171" s="57"/>
      <c r="D1171" s="88" t="str">
        <f t="array" ref="D1171">IFERROR(
  LOOKUP(2, 1/((TRIM(IMS!$E$8:$E$2574)=TRIM(IMS!$E1171))*(IMS!$C$8:$C$2574&lt;IMS!$C1171)),
         IMS!$C$8:$C$2574),
"")</f>
        <v/>
      </c>
      <c r="E1171" s="57"/>
      <c r="F1171" s="57"/>
      <c r="G1171" s="77" t="str">
        <f t="shared" si="901"/>
        <v/>
      </c>
      <c r="H1171" s="78" t="str">
        <f t="shared" si="902"/>
        <v/>
      </c>
      <c r="I1171" s="79"/>
      <c r="J1171" s="80" t="str">
        <f t="shared" si="903"/>
        <v>#NAME?</v>
      </c>
      <c r="K1171" s="58"/>
      <c r="L1171" s="58"/>
      <c r="M1171" s="57"/>
      <c r="N1171" s="57"/>
      <c r="O1171" s="58"/>
      <c r="P1171" s="82"/>
      <c r="Q1171" s="81"/>
      <c r="R1171" s="81"/>
      <c r="S1171" s="57"/>
      <c r="T1171" s="82"/>
      <c r="U1171" s="82"/>
      <c r="V1171" s="57"/>
      <c r="W1171" s="57"/>
      <c r="X1171" s="57" t="str">
        <f t="shared" si="917"/>
        <v/>
      </c>
      <c r="Y1171" s="58" t="str">
        <f t="shared" ref="Y1171:AC1171" si="1011">TRIM(SUBSTITUTE(SUBSTITUTE(OFFSET($Q1171,0,COLUMN()-COLUMN($AL$1)),CHAR(160)," "),_xludf.UNICHAR(8239)," "))</f>
        <v>#NAME?</v>
      </c>
      <c r="Z1171" s="58" t="str">
        <f t="shared" si="1011"/>
        <v>#NAME?</v>
      </c>
      <c r="AA1171" s="58" t="str">
        <f t="shared" si="1011"/>
        <v>#NAME?</v>
      </c>
      <c r="AB1171" s="58" t="str">
        <f t="shared" si="1011"/>
        <v>#NAME?</v>
      </c>
      <c r="AC1171" s="58" t="str">
        <f t="shared" si="1011"/>
        <v>#NAME?</v>
      </c>
      <c r="AD1171" s="57">
        <f t="shared" si="906"/>
        <v>0</v>
      </c>
      <c r="AE1171" s="57" t="str">
        <f t="shared" si="907"/>
        <v/>
      </c>
      <c r="AF1171" s="57">
        <f t="shared" si="908"/>
        <v>0</v>
      </c>
      <c r="AG1171" s="59">
        <f t="shared" si="909"/>
        <v>0</v>
      </c>
      <c r="AH1171" s="15"/>
      <c r="AI1171" s="15"/>
      <c r="AJ1171" s="15"/>
      <c r="AK1171" s="15"/>
      <c r="AL1171" s="15"/>
      <c r="AM1171" s="15"/>
      <c r="AN1171" s="15"/>
      <c r="AO1171" s="15"/>
      <c r="AP1171" s="15"/>
      <c r="AQ1171" s="15"/>
      <c r="AR1171" s="15"/>
      <c r="AS1171" s="15"/>
      <c r="AT1171" s="15"/>
      <c r="AU1171" s="15"/>
    </row>
    <row r="1172" ht="24.0" customHeight="1">
      <c r="A1172" s="45">
        <v>2596.0</v>
      </c>
      <c r="B1172" s="57"/>
      <c r="C1172" s="57"/>
      <c r="D1172" s="88" t="str">
        <f t="array" ref="D1172">IFERROR(
  LOOKUP(2, 1/((TRIM(IMS!$E$8:$E$2574)=TRIM(IMS!$E1172))*(IMS!$C$8:$C$2574&lt;IMS!$C1172)),
         IMS!$C$8:$C$2574),
"")</f>
        <v/>
      </c>
      <c r="E1172" s="57"/>
      <c r="F1172" s="57"/>
      <c r="G1172" s="77" t="str">
        <f t="shared" si="901"/>
        <v/>
      </c>
      <c r="H1172" s="78" t="str">
        <f t="shared" si="902"/>
        <v/>
      </c>
      <c r="I1172" s="79"/>
      <c r="J1172" s="80" t="str">
        <f t="shared" si="903"/>
        <v>#NAME?</v>
      </c>
      <c r="K1172" s="58"/>
      <c r="L1172" s="58"/>
      <c r="M1172" s="57"/>
      <c r="N1172" s="57"/>
      <c r="O1172" s="58"/>
      <c r="P1172" s="82"/>
      <c r="Q1172" s="81"/>
      <c r="R1172" s="81"/>
      <c r="S1172" s="57"/>
      <c r="T1172" s="82"/>
      <c r="U1172" s="82"/>
      <c r="V1172" s="57"/>
      <c r="W1172" s="57"/>
      <c r="X1172" s="57" t="str">
        <f t="shared" si="917"/>
        <v/>
      </c>
      <c r="Y1172" s="58" t="str">
        <f t="shared" ref="Y1172:AC1172" si="1012">TRIM(SUBSTITUTE(SUBSTITUTE(OFFSET($Q1172,0,COLUMN()-COLUMN($AL$1)),CHAR(160)," "),_xludf.UNICHAR(8239)," "))</f>
        <v>#NAME?</v>
      </c>
      <c r="Z1172" s="58" t="str">
        <f t="shared" si="1012"/>
        <v>#NAME?</v>
      </c>
      <c r="AA1172" s="58" t="str">
        <f t="shared" si="1012"/>
        <v>#NAME?</v>
      </c>
      <c r="AB1172" s="58" t="str">
        <f t="shared" si="1012"/>
        <v>#NAME?</v>
      </c>
      <c r="AC1172" s="58" t="str">
        <f t="shared" si="1012"/>
        <v>#NAME?</v>
      </c>
      <c r="AD1172" s="57">
        <f t="shared" si="906"/>
        <v>0</v>
      </c>
      <c r="AE1172" s="57" t="str">
        <f t="shared" si="907"/>
        <v/>
      </c>
      <c r="AF1172" s="57">
        <f t="shared" si="908"/>
        <v>0</v>
      </c>
      <c r="AG1172" s="59">
        <f t="shared" si="909"/>
        <v>0</v>
      </c>
      <c r="AH1172" s="15"/>
      <c r="AI1172" s="15"/>
      <c r="AJ1172" s="15"/>
      <c r="AK1172" s="15"/>
      <c r="AL1172" s="15"/>
      <c r="AM1172" s="15"/>
      <c r="AN1172" s="15"/>
      <c r="AO1172" s="15"/>
      <c r="AP1172" s="15"/>
      <c r="AQ1172" s="15"/>
      <c r="AR1172" s="15"/>
      <c r="AS1172" s="15"/>
      <c r="AT1172" s="15"/>
      <c r="AU1172" s="15"/>
    </row>
    <row r="1173" ht="24.0" customHeight="1">
      <c r="A1173" s="45">
        <v>2597.0</v>
      </c>
      <c r="B1173" s="57"/>
      <c r="C1173" s="57"/>
      <c r="D1173" s="88" t="str">
        <f t="array" ref="D1173">IFERROR(
  LOOKUP(2, 1/((TRIM(IMS!$E$8:$E$2574)=TRIM(IMS!$E1173))*(IMS!$C$8:$C$2574&lt;IMS!$C1173)),
         IMS!$C$8:$C$2574),
"")</f>
        <v/>
      </c>
      <c r="E1173" s="57"/>
      <c r="F1173" s="57"/>
      <c r="G1173" s="77" t="str">
        <f t="shared" si="901"/>
        <v/>
      </c>
      <c r="H1173" s="78" t="str">
        <f t="shared" si="902"/>
        <v/>
      </c>
      <c r="I1173" s="79"/>
      <c r="J1173" s="80" t="str">
        <f t="shared" si="903"/>
        <v>#NAME?</v>
      </c>
      <c r="K1173" s="58"/>
      <c r="L1173" s="58"/>
      <c r="M1173" s="57"/>
      <c r="N1173" s="57"/>
      <c r="O1173" s="58"/>
      <c r="P1173" s="82"/>
      <c r="Q1173" s="81"/>
      <c r="R1173" s="81"/>
      <c r="S1173" s="57"/>
      <c r="T1173" s="82"/>
      <c r="U1173" s="82"/>
      <c r="V1173" s="57"/>
      <c r="W1173" s="57"/>
      <c r="X1173" s="57" t="str">
        <f t="shared" si="917"/>
        <v/>
      </c>
      <c r="Y1173" s="58" t="str">
        <f t="shared" ref="Y1173:AC1173" si="1013">TRIM(SUBSTITUTE(SUBSTITUTE(OFFSET($Q1173,0,COLUMN()-COLUMN($AL$1)),CHAR(160)," "),_xludf.UNICHAR(8239)," "))</f>
        <v>#NAME?</v>
      </c>
      <c r="Z1173" s="58" t="str">
        <f t="shared" si="1013"/>
        <v>#NAME?</v>
      </c>
      <c r="AA1173" s="58" t="str">
        <f t="shared" si="1013"/>
        <v>#NAME?</v>
      </c>
      <c r="AB1173" s="58" t="str">
        <f t="shared" si="1013"/>
        <v>#NAME?</v>
      </c>
      <c r="AC1173" s="58" t="str">
        <f t="shared" si="1013"/>
        <v>#NAME?</v>
      </c>
      <c r="AD1173" s="57">
        <f t="shared" si="906"/>
        <v>0</v>
      </c>
      <c r="AE1173" s="57" t="str">
        <f t="shared" si="907"/>
        <v/>
      </c>
      <c r="AF1173" s="57">
        <f t="shared" si="908"/>
        <v>0</v>
      </c>
      <c r="AG1173" s="59">
        <f t="shared" si="909"/>
        <v>0</v>
      </c>
      <c r="AH1173" s="15"/>
      <c r="AI1173" s="15"/>
      <c r="AJ1173" s="15"/>
      <c r="AK1173" s="15"/>
      <c r="AL1173" s="15"/>
      <c r="AM1173" s="15"/>
      <c r="AN1173" s="15"/>
      <c r="AO1173" s="15"/>
      <c r="AP1173" s="15"/>
      <c r="AQ1173" s="15"/>
      <c r="AR1173" s="15"/>
      <c r="AS1173" s="15"/>
      <c r="AT1173" s="15"/>
      <c r="AU1173" s="15"/>
    </row>
    <row r="1174" ht="24.0" customHeight="1">
      <c r="A1174" s="45">
        <v>2598.0</v>
      </c>
      <c r="B1174" s="57"/>
      <c r="C1174" s="57"/>
      <c r="D1174" s="88" t="str">
        <f t="array" ref="D1174">IFERROR(
  LOOKUP(2, 1/((TRIM(IMS!$E$8:$E$2574)=TRIM(IMS!$E1174))*(IMS!$C$8:$C$2574&lt;IMS!$C1174)),
         IMS!$C$8:$C$2574),
"")</f>
        <v/>
      </c>
      <c r="E1174" s="57"/>
      <c r="F1174" s="57"/>
      <c r="G1174" s="77" t="str">
        <f t="shared" si="901"/>
        <v/>
      </c>
      <c r="H1174" s="78" t="str">
        <f t="shared" si="902"/>
        <v/>
      </c>
      <c r="I1174" s="79"/>
      <c r="J1174" s="80" t="str">
        <f t="shared" si="903"/>
        <v>#NAME?</v>
      </c>
      <c r="K1174" s="58"/>
      <c r="L1174" s="58"/>
      <c r="M1174" s="57"/>
      <c r="N1174" s="57"/>
      <c r="O1174" s="58"/>
      <c r="P1174" s="82"/>
      <c r="Q1174" s="81"/>
      <c r="R1174" s="81"/>
      <c r="S1174" s="57"/>
      <c r="T1174" s="82"/>
      <c r="U1174" s="82"/>
      <c r="V1174" s="57"/>
      <c r="W1174" s="57"/>
      <c r="X1174" s="57" t="str">
        <f t="shared" si="917"/>
        <v/>
      </c>
      <c r="Y1174" s="58" t="str">
        <f t="shared" ref="Y1174:AC1174" si="1014">TRIM(SUBSTITUTE(SUBSTITUTE(OFFSET($Q1174,0,COLUMN()-COLUMN($AL$1)),CHAR(160)," "),_xludf.UNICHAR(8239)," "))</f>
        <v>#NAME?</v>
      </c>
      <c r="Z1174" s="58" t="str">
        <f t="shared" si="1014"/>
        <v>#NAME?</v>
      </c>
      <c r="AA1174" s="58" t="str">
        <f t="shared" si="1014"/>
        <v>#NAME?</v>
      </c>
      <c r="AB1174" s="58" t="str">
        <f t="shared" si="1014"/>
        <v>#NAME?</v>
      </c>
      <c r="AC1174" s="58" t="str">
        <f t="shared" si="1014"/>
        <v>#NAME?</v>
      </c>
      <c r="AD1174" s="57">
        <f t="shared" si="906"/>
        <v>0</v>
      </c>
      <c r="AE1174" s="57" t="str">
        <f t="shared" si="907"/>
        <v/>
      </c>
      <c r="AF1174" s="57">
        <f t="shared" si="908"/>
        <v>0</v>
      </c>
      <c r="AG1174" s="59">
        <f t="shared" si="909"/>
        <v>0</v>
      </c>
      <c r="AH1174" s="15"/>
      <c r="AI1174" s="15"/>
      <c r="AJ1174" s="15"/>
      <c r="AK1174" s="15"/>
      <c r="AL1174" s="15"/>
      <c r="AM1174" s="15"/>
      <c r="AN1174" s="15"/>
      <c r="AO1174" s="15"/>
      <c r="AP1174" s="15"/>
      <c r="AQ1174" s="15"/>
      <c r="AR1174" s="15"/>
      <c r="AS1174" s="15"/>
      <c r="AT1174" s="15"/>
      <c r="AU1174" s="15"/>
    </row>
    <row r="1175" ht="24.0" customHeight="1">
      <c r="A1175" s="45">
        <v>2599.0</v>
      </c>
      <c r="B1175" s="57"/>
      <c r="C1175" s="57"/>
      <c r="D1175" s="88" t="str">
        <f t="array" ref="D1175">IFERROR(
  LOOKUP(2, 1/((TRIM(IMS!$E$8:$E$2574)=TRIM(IMS!$E1175))*(IMS!$C$8:$C$2574&lt;IMS!$C1175)),
         IMS!$C$8:$C$2574),
"")</f>
        <v/>
      </c>
      <c r="E1175" s="57"/>
      <c r="F1175" s="57"/>
      <c r="G1175" s="77" t="str">
        <f t="shared" si="901"/>
        <v/>
      </c>
      <c r="H1175" s="78" t="str">
        <f t="shared" si="902"/>
        <v/>
      </c>
      <c r="I1175" s="79"/>
      <c r="J1175" s="80" t="str">
        <f t="shared" si="903"/>
        <v>#NAME?</v>
      </c>
      <c r="K1175" s="58"/>
      <c r="L1175" s="58"/>
      <c r="M1175" s="57"/>
      <c r="N1175" s="57"/>
      <c r="O1175" s="58"/>
      <c r="P1175" s="82"/>
      <c r="Q1175" s="81"/>
      <c r="R1175" s="81"/>
      <c r="S1175" s="57"/>
      <c r="T1175" s="82"/>
      <c r="U1175" s="82"/>
      <c r="V1175" s="57"/>
      <c r="W1175" s="57"/>
      <c r="X1175" s="57" t="str">
        <f t="shared" si="917"/>
        <v/>
      </c>
      <c r="Y1175" s="58" t="str">
        <f t="shared" ref="Y1175:AC1175" si="1015">TRIM(SUBSTITUTE(SUBSTITUTE(OFFSET($Q1175,0,COLUMN()-COLUMN($AL$1)),CHAR(160)," "),_xludf.UNICHAR(8239)," "))</f>
        <v>#NAME?</v>
      </c>
      <c r="Z1175" s="58" t="str">
        <f t="shared" si="1015"/>
        <v>#NAME?</v>
      </c>
      <c r="AA1175" s="58" t="str">
        <f t="shared" si="1015"/>
        <v>#NAME?</v>
      </c>
      <c r="AB1175" s="58" t="str">
        <f t="shared" si="1015"/>
        <v>#NAME?</v>
      </c>
      <c r="AC1175" s="58" t="str">
        <f t="shared" si="1015"/>
        <v>#NAME?</v>
      </c>
      <c r="AD1175" s="57">
        <f t="shared" si="906"/>
        <v>0</v>
      </c>
      <c r="AE1175" s="57" t="str">
        <f t="shared" si="907"/>
        <v/>
      </c>
      <c r="AF1175" s="57">
        <f t="shared" si="908"/>
        <v>0</v>
      </c>
      <c r="AG1175" s="59">
        <f t="shared" si="909"/>
        <v>0</v>
      </c>
      <c r="AH1175" s="15"/>
      <c r="AI1175" s="15"/>
      <c r="AJ1175" s="15"/>
      <c r="AK1175" s="15"/>
      <c r="AL1175" s="15"/>
      <c r="AM1175" s="15"/>
      <c r="AN1175" s="15"/>
      <c r="AO1175" s="15"/>
      <c r="AP1175" s="15"/>
      <c r="AQ1175" s="15"/>
      <c r="AR1175" s="15"/>
      <c r="AS1175" s="15"/>
      <c r="AT1175" s="15"/>
      <c r="AU1175" s="15"/>
    </row>
    <row r="1176" ht="24.0" customHeight="1">
      <c r="A1176" s="45">
        <v>2600.0</v>
      </c>
      <c r="B1176" s="57"/>
      <c r="C1176" s="57"/>
      <c r="D1176" s="88" t="str">
        <f t="array" ref="D1176">IFERROR(
  LOOKUP(2, 1/((TRIM(IMS!$E$8:$E$2574)=TRIM(IMS!$E1176))*(IMS!$C$8:$C$2574&lt;IMS!$C1176)),
         IMS!$C$8:$C$2574),
"")</f>
        <v/>
      </c>
      <c r="E1176" s="57"/>
      <c r="F1176" s="57"/>
      <c r="G1176" s="77" t="str">
        <f t="shared" si="901"/>
        <v/>
      </c>
      <c r="H1176" s="78" t="str">
        <f t="shared" si="902"/>
        <v/>
      </c>
      <c r="I1176" s="79"/>
      <c r="J1176" s="80" t="str">
        <f t="shared" si="903"/>
        <v>#NAME?</v>
      </c>
      <c r="K1176" s="58"/>
      <c r="L1176" s="58"/>
      <c r="M1176" s="57"/>
      <c r="N1176" s="57"/>
      <c r="O1176" s="58"/>
      <c r="P1176" s="82"/>
      <c r="Q1176" s="81"/>
      <c r="R1176" s="81"/>
      <c r="S1176" s="57"/>
      <c r="T1176" s="82"/>
      <c r="U1176" s="82"/>
      <c r="V1176" s="57"/>
      <c r="W1176" s="57"/>
      <c r="X1176" s="57" t="str">
        <f t="shared" si="917"/>
        <v/>
      </c>
      <c r="Y1176" s="58" t="str">
        <f t="shared" ref="Y1176:AC1176" si="1016">TRIM(SUBSTITUTE(SUBSTITUTE(OFFSET($Q1176,0,COLUMN()-COLUMN($AL$1)),CHAR(160)," "),_xludf.UNICHAR(8239)," "))</f>
        <v>#NAME?</v>
      </c>
      <c r="Z1176" s="58" t="str">
        <f t="shared" si="1016"/>
        <v>#NAME?</v>
      </c>
      <c r="AA1176" s="58" t="str">
        <f t="shared" si="1016"/>
        <v>#NAME?</v>
      </c>
      <c r="AB1176" s="58" t="str">
        <f t="shared" si="1016"/>
        <v>#NAME?</v>
      </c>
      <c r="AC1176" s="58" t="str">
        <f t="shared" si="1016"/>
        <v>#NAME?</v>
      </c>
      <c r="AD1176" s="57">
        <f t="shared" si="906"/>
        <v>0</v>
      </c>
      <c r="AE1176" s="57" t="str">
        <f t="shared" si="907"/>
        <v/>
      </c>
      <c r="AF1176" s="57">
        <f t="shared" si="908"/>
        <v>0</v>
      </c>
      <c r="AG1176" s="59">
        <f t="shared" si="909"/>
        <v>0</v>
      </c>
      <c r="AH1176" s="15"/>
      <c r="AI1176" s="15"/>
      <c r="AJ1176" s="15"/>
      <c r="AK1176" s="15"/>
      <c r="AL1176" s="15"/>
      <c r="AM1176" s="15"/>
      <c r="AN1176" s="15"/>
      <c r="AO1176" s="15"/>
      <c r="AP1176" s="15"/>
      <c r="AQ1176" s="15"/>
      <c r="AR1176" s="15"/>
      <c r="AS1176" s="15"/>
      <c r="AT1176" s="15"/>
      <c r="AU1176" s="15"/>
    </row>
    <row r="1177" ht="24.0" customHeight="1">
      <c r="A1177" s="45">
        <v>2601.0</v>
      </c>
      <c r="B1177" s="57"/>
      <c r="C1177" s="57"/>
      <c r="D1177" s="88" t="str">
        <f t="array" ref="D1177">IFERROR(
  LOOKUP(2, 1/((TRIM(IMS!$E$8:$E$2574)=TRIM(IMS!$E1177))*(IMS!$C$8:$C$2574&lt;IMS!$C1177)),
         IMS!$C$8:$C$2574),
"")</f>
        <v/>
      </c>
      <c r="E1177" s="57"/>
      <c r="F1177" s="57"/>
      <c r="G1177" s="77" t="str">
        <f t="shared" si="901"/>
        <v/>
      </c>
      <c r="H1177" s="78" t="str">
        <f t="shared" si="902"/>
        <v/>
      </c>
      <c r="I1177" s="79"/>
      <c r="J1177" s="80" t="str">
        <f t="shared" si="903"/>
        <v>#NAME?</v>
      </c>
      <c r="K1177" s="58"/>
      <c r="L1177" s="58"/>
      <c r="M1177" s="57"/>
      <c r="N1177" s="57"/>
      <c r="O1177" s="58"/>
      <c r="P1177" s="82"/>
      <c r="Q1177" s="81"/>
      <c r="R1177" s="81"/>
      <c r="S1177" s="57"/>
      <c r="T1177" s="82"/>
      <c r="U1177" s="82"/>
      <c r="V1177" s="57"/>
      <c r="W1177" s="57"/>
      <c r="X1177" s="57" t="str">
        <f t="shared" si="917"/>
        <v/>
      </c>
      <c r="Y1177" s="58" t="str">
        <f t="shared" ref="Y1177:AC1177" si="1017">TRIM(SUBSTITUTE(SUBSTITUTE(OFFSET($Q1177,0,COLUMN()-COLUMN($AL$1)),CHAR(160)," "),_xludf.UNICHAR(8239)," "))</f>
        <v>#NAME?</v>
      </c>
      <c r="Z1177" s="58" t="str">
        <f t="shared" si="1017"/>
        <v>#NAME?</v>
      </c>
      <c r="AA1177" s="58" t="str">
        <f t="shared" si="1017"/>
        <v>#NAME?</v>
      </c>
      <c r="AB1177" s="58" t="str">
        <f t="shared" si="1017"/>
        <v>#NAME?</v>
      </c>
      <c r="AC1177" s="58" t="str">
        <f t="shared" si="1017"/>
        <v>#NAME?</v>
      </c>
      <c r="AD1177" s="57">
        <f t="shared" si="906"/>
        <v>0</v>
      </c>
      <c r="AE1177" s="57" t="str">
        <f t="shared" si="907"/>
        <v/>
      </c>
      <c r="AF1177" s="57">
        <f t="shared" si="908"/>
        <v>0</v>
      </c>
      <c r="AG1177" s="59">
        <f t="shared" si="909"/>
        <v>0</v>
      </c>
      <c r="AH1177" s="15"/>
      <c r="AI1177" s="15"/>
      <c r="AJ1177" s="15"/>
      <c r="AK1177" s="15"/>
      <c r="AL1177" s="15"/>
      <c r="AM1177" s="15"/>
      <c r="AN1177" s="15"/>
      <c r="AO1177" s="15"/>
      <c r="AP1177" s="15"/>
      <c r="AQ1177" s="15"/>
      <c r="AR1177" s="15"/>
      <c r="AS1177" s="15"/>
      <c r="AT1177" s="15"/>
      <c r="AU1177" s="15"/>
    </row>
    <row r="1178" ht="24.0" customHeight="1">
      <c r="A1178" s="45">
        <v>2602.0</v>
      </c>
      <c r="B1178" s="57"/>
      <c r="C1178" s="57"/>
      <c r="D1178" s="88" t="str">
        <f t="array" ref="D1178">IFERROR(
  LOOKUP(2, 1/((TRIM(IMS!$E$8:$E$2574)=TRIM(IMS!$E1178))*(IMS!$C$8:$C$2574&lt;IMS!$C1178)),
         IMS!$C$8:$C$2574),
"")</f>
        <v/>
      </c>
      <c r="E1178" s="57"/>
      <c r="F1178" s="57"/>
      <c r="G1178" s="77" t="str">
        <f t="shared" si="901"/>
        <v/>
      </c>
      <c r="H1178" s="78" t="str">
        <f t="shared" si="902"/>
        <v/>
      </c>
      <c r="I1178" s="79"/>
      <c r="J1178" s="80" t="str">
        <f t="shared" si="903"/>
        <v>#NAME?</v>
      </c>
      <c r="K1178" s="58"/>
      <c r="L1178" s="58"/>
      <c r="M1178" s="57"/>
      <c r="N1178" s="57"/>
      <c r="O1178" s="58"/>
      <c r="P1178" s="82"/>
      <c r="Q1178" s="81"/>
      <c r="R1178" s="81"/>
      <c r="S1178" s="57"/>
      <c r="T1178" s="82"/>
      <c r="U1178" s="82"/>
      <c r="V1178" s="57"/>
      <c r="W1178" s="57"/>
      <c r="X1178" s="57" t="str">
        <f t="shared" si="917"/>
        <v/>
      </c>
      <c r="Y1178" s="58" t="str">
        <f t="shared" ref="Y1178:AC1178" si="1018">TRIM(SUBSTITUTE(SUBSTITUTE(OFFSET($Q1178,0,COLUMN()-COLUMN($AL$1)),CHAR(160)," "),_xludf.UNICHAR(8239)," "))</f>
        <v>#NAME?</v>
      </c>
      <c r="Z1178" s="58" t="str">
        <f t="shared" si="1018"/>
        <v>#NAME?</v>
      </c>
      <c r="AA1178" s="58" t="str">
        <f t="shared" si="1018"/>
        <v>#NAME?</v>
      </c>
      <c r="AB1178" s="58" t="str">
        <f t="shared" si="1018"/>
        <v>#NAME?</v>
      </c>
      <c r="AC1178" s="58" t="str">
        <f t="shared" si="1018"/>
        <v>#NAME?</v>
      </c>
      <c r="AD1178" s="57">
        <f t="shared" si="906"/>
        <v>0</v>
      </c>
      <c r="AE1178" s="57" t="str">
        <f t="shared" si="907"/>
        <v/>
      </c>
      <c r="AF1178" s="57">
        <f t="shared" si="908"/>
        <v>0</v>
      </c>
      <c r="AG1178" s="59">
        <f t="shared" si="909"/>
        <v>0</v>
      </c>
      <c r="AH1178" s="15"/>
      <c r="AI1178" s="15"/>
      <c r="AJ1178" s="15"/>
      <c r="AK1178" s="15"/>
      <c r="AL1178" s="15"/>
      <c r="AM1178" s="15"/>
      <c r="AN1178" s="15"/>
      <c r="AO1178" s="15"/>
      <c r="AP1178" s="15"/>
      <c r="AQ1178" s="15"/>
      <c r="AR1178" s="15"/>
      <c r="AS1178" s="15"/>
      <c r="AT1178" s="15"/>
      <c r="AU1178" s="15"/>
    </row>
    <row r="1179" ht="24.0" customHeight="1">
      <c r="A1179" s="45">
        <v>2603.0</v>
      </c>
      <c r="B1179" s="57"/>
      <c r="C1179" s="57"/>
      <c r="D1179" s="88" t="str">
        <f t="array" ref="D1179">IFERROR(
  LOOKUP(2, 1/((TRIM(IMS!$E$8:$E$2574)=TRIM(IMS!$E1179))*(IMS!$C$8:$C$2574&lt;IMS!$C1179)),
         IMS!$C$8:$C$2574),
"")</f>
        <v/>
      </c>
      <c r="E1179" s="57"/>
      <c r="F1179" s="57"/>
      <c r="G1179" s="77" t="str">
        <f t="shared" si="901"/>
        <v/>
      </c>
      <c r="H1179" s="78" t="str">
        <f t="shared" si="902"/>
        <v/>
      </c>
      <c r="I1179" s="79"/>
      <c r="J1179" s="80" t="str">
        <f t="shared" si="903"/>
        <v>#NAME?</v>
      </c>
      <c r="K1179" s="58"/>
      <c r="L1179" s="58"/>
      <c r="M1179" s="57"/>
      <c r="N1179" s="57"/>
      <c r="O1179" s="58"/>
      <c r="P1179" s="82"/>
      <c r="Q1179" s="81"/>
      <c r="R1179" s="81"/>
      <c r="S1179" s="57"/>
      <c r="T1179" s="82"/>
      <c r="U1179" s="82"/>
      <c r="V1179" s="57"/>
      <c r="W1179" s="57"/>
      <c r="X1179" s="57" t="str">
        <f t="shared" si="917"/>
        <v/>
      </c>
      <c r="Y1179" s="58" t="str">
        <f t="shared" ref="Y1179:AC1179" si="1019">TRIM(SUBSTITUTE(SUBSTITUTE(OFFSET($Q1179,0,COLUMN()-COLUMN($AL$1)),CHAR(160)," "),_xludf.UNICHAR(8239)," "))</f>
        <v>#NAME?</v>
      </c>
      <c r="Z1179" s="58" t="str">
        <f t="shared" si="1019"/>
        <v>#NAME?</v>
      </c>
      <c r="AA1179" s="58" t="str">
        <f t="shared" si="1019"/>
        <v>#NAME?</v>
      </c>
      <c r="AB1179" s="58" t="str">
        <f t="shared" si="1019"/>
        <v>#NAME?</v>
      </c>
      <c r="AC1179" s="58" t="str">
        <f t="shared" si="1019"/>
        <v>#NAME?</v>
      </c>
      <c r="AD1179" s="57">
        <f t="shared" si="906"/>
        <v>0</v>
      </c>
      <c r="AE1179" s="57" t="str">
        <f t="shared" si="907"/>
        <v/>
      </c>
      <c r="AF1179" s="57">
        <f t="shared" si="908"/>
        <v>0</v>
      </c>
      <c r="AG1179" s="59">
        <f t="shared" si="909"/>
        <v>0</v>
      </c>
      <c r="AH1179" s="15"/>
      <c r="AI1179" s="15"/>
      <c r="AJ1179" s="15"/>
      <c r="AK1179" s="15"/>
      <c r="AL1179" s="15"/>
      <c r="AM1179" s="15"/>
      <c r="AN1179" s="15"/>
      <c r="AO1179" s="15"/>
      <c r="AP1179" s="15"/>
      <c r="AQ1179" s="15"/>
      <c r="AR1179" s="15"/>
      <c r="AS1179" s="15"/>
      <c r="AT1179" s="15"/>
      <c r="AU1179" s="15"/>
    </row>
    <row r="1180" ht="24.0" customHeight="1">
      <c r="A1180" s="45">
        <v>2604.0</v>
      </c>
      <c r="B1180" s="57"/>
      <c r="C1180" s="57"/>
      <c r="D1180" s="88" t="str">
        <f t="array" ref="D1180">IFERROR(
  LOOKUP(2, 1/((TRIM(IMS!$E$8:$E$2574)=TRIM(IMS!$E1180))*(IMS!$C$8:$C$2574&lt;IMS!$C1180)),
         IMS!$C$8:$C$2574),
"")</f>
        <v/>
      </c>
      <c r="E1180" s="57"/>
      <c r="F1180" s="57"/>
      <c r="G1180" s="77" t="str">
        <f t="shared" si="901"/>
        <v/>
      </c>
      <c r="H1180" s="78" t="str">
        <f t="shared" si="902"/>
        <v/>
      </c>
      <c r="I1180" s="79"/>
      <c r="J1180" s="80" t="str">
        <f t="shared" si="903"/>
        <v>#NAME?</v>
      </c>
      <c r="K1180" s="58"/>
      <c r="L1180" s="58"/>
      <c r="M1180" s="57"/>
      <c r="N1180" s="57"/>
      <c r="O1180" s="58"/>
      <c r="P1180" s="82"/>
      <c r="Q1180" s="81"/>
      <c r="R1180" s="81"/>
      <c r="S1180" s="57"/>
      <c r="T1180" s="82"/>
      <c r="U1180" s="82"/>
      <c r="V1180" s="57"/>
      <c r="W1180" s="57"/>
      <c r="X1180" s="57" t="str">
        <f t="shared" si="917"/>
        <v/>
      </c>
      <c r="Y1180" s="58" t="str">
        <f t="shared" ref="Y1180:AC1180" si="1020">TRIM(SUBSTITUTE(SUBSTITUTE(OFFSET($Q1180,0,COLUMN()-COLUMN($AL$1)),CHAR(160)," "),_xludf.UNICHAR(8239)," "))</f>
        <v>#NAME?</v>
      </c>
      <c r="Z1180" s="58" t="str">
        <f t="shared" si="1020"/>
        <v>#NAME?</v>
      </c>
      <c r="AA1180" s="58" t="str">
        <f t="shared" si="1020"/>
        <v>#NAME?</v>
      </c>
      <c r="AB1180" s="58" t="str">
        <f t="shared" si="1020"/>
        <v>#NAME?</v>
      </c>
      <c r="AC1180" s="58" t="str">
        <f t="shared" si="1020"/>
        <v>#NAME?</v>
      </c>
      <c r="AD1180" s="57">
        <f t="shared" si="906"/>
        <v>0</v>
      </c>
      <c r="AE1180" s="57" t="str">
        <f t="shared" si="907"/>
        <v/>
      </c>
      <c r="AF1180" s="57">
        <f t="shared" si="908"/>
        <v>0</v>
      </c>
      <c r="AG1180" s="59">
        <f t="shared" si="909"/>
        <v>0</v>
      </c>
      <c r="AH1180" s="15"/>
      <c r="AI1180" s="15"/>
      <c r="AJ1180" s="15"/>
      <c r="AK1180" s="15"/>
      <c r="AL1180" s="15"/>
      <c r="AM1180" s="15"/>
      <c r="AN1180" s="15"/>
      <c r="AO1180" s="15"/>
      <c r="AP1180" s="15"/>
      <c r="AQ1180" s="15"/>
      <c r="AR1180" s="15"/>
      <c r="AS1180" s="15"/>
      <c r="AT1180" s="15"/>
      <c r="AU1180" s="15"/>
    </row>
    <row r="1181" ht="24.0" customHeight="1">
      <c r="A1181" s="45">
        <v>2605.0</v>
      </c>
      <c r="B1181" s="57"/>
      <c r="C1181" s="57"/>
      <c r="D1181" s="88" t="str">
        <f t="array" ref="D1181">IFERROR(
  LOOKUP(2, 1/((TRIM(IMS!$E$8:$E$2574)=TRIM(IMS!$E1181))*(IMS!$C$8:$C$2574&lt;IMS!$C1181)),
         IMS!$C$8:$C$2574),
"")</f>
        <v/>
      </c>
      <c r="E1181" s="57"/>
      <c r="F1181" s="57"/>
      <c r="G1181" s="77" t="str">
        <f t="shared" si="901"/>
        <v/>
      </c>
      <c r="H1181" s="78" t="str">
        <f t="shared" si="902"/>
        <v/>
      </c>
      <c r="I1181" s="79"/>
      <c r="J1181" s="80" t="str">
        <f t="shared" si="903"/>
        <v>#NAME?</v>
      </c>
      <c r="K1181" s="58"/>
      <c r="L1181" s="58"/>
      <c r="M1181" s="57"/>
      <c r="N1181" s="57"/>
      <c r="O1181" s="58"/>
      <c r="P1181" s="82"/>
      <c r="Q1181" s="81"/>
      <c r="R1181" s="81"/>
      <c r="S1181" s="57"/>
      <c r="T1181" s="82"/>
      <c r="U1181" s="82"/>
      <c r="V1181" s="57"/>
      <c r="W1181" s="57"/>
      <c r="X1181" s="57" t="str">
        <f t="shared" si="917"/>
        <v/>
      </c>
      <c r="Y1181" s="58" t="str">
        <f t="shared" ref="Y1181:AC1181" si="1021">TRIM(SUBSTITUTE(SUBSTITUTE(OFFSET($Q1181,0,COLUMN()-COLUMN($AL$1)),CHAR(160)," "),_xludf.UNICHAR(8239)," "))</f>
        <v>#NAME?</v>
      </c>
      <c r="Z1181" s="58" t="str">
        <f t="shared" si="1021"/>
        <v>#NAME?</v>
      </c>
      <c r="AA1181" s="58" t="str">
        <f t="shared" si="1021"/>
        <v>#NAME?</v>
      </c>
      <c r="AB1181" s="58" t="str">
        <f t="shared" si="1021"/>
        <v>#NAME?</v>
      </c>
      <c r="AC1181" s="58" t="str">
        <f t="shared" si="1021"/>
        <v>#NAME?</v>
      </c>
      <c r="AD1181" s="57">
        <f t="shared" si="906"/>
        <v>0</v>
      </c>
      <c r="AE1181" s="57" t="str">
        <f t="shared" si="907"/>
        <v/>
      </c>
      <c r="AF1181" s="57">
        <f t="shared" si="908"/>
        <v>0</v>
      </c>
      <c r="AG1181" s="59">
        <f t="shared" si="909"/>
        <v>0</v>
      </c>
      <c r="AH1181" s="15"/>
      <c r="AI1181" s="15"/>
      <c r="AJ1181" s="15"/>
      <c r="AK1181" s="15"/>
      <c r="AL1181" s="15"/>
      <c r="AM1181" s="15"/>
      <c r="AN1181" s="15"/>
      <c r="AO1181" s="15"/>
      <c r="AP1181" s="15"/>
      <c r="AQ1181" s="15"/>
      <c r="AR1181" s="15"/>
      <c r="AS1181" s="15"/>
      <c r="AT1181" s="15"/>
      <c r="AU1181" s="15"/>
    </row>
    <row r="1182" ht="24.0" customHeight="1">
      <c r="A1182" s="45">
        <v>2606.0</v>
      </c>
      <c r="B1182" s="57"/>
      <c r="C1182" s="57"/>
      <c r="D1182" s="88" t="str">
        <f t="array" ref="D1182">IFERROR(
  LOOKUP(2, 1/((TRIM(IMS!$E$8:$E$2574)=TRIM(IMS!$E1182))*(IMS!$C$8:$C$2574&lt;IMS!$C1182)),
         IMS!$C$8:$C$2574),
"")</f>
        <v/>
      </c>
      <c r="E1182" s="57"/>
      <c r="F1182" s="57"/>
      <c r="G1182" s="77" t="str">
        <f t="shared" si="901"/>
        <v/>
      </c>
      <c r="H1182" s="78" t="str">
        <f t="shared" si="902"/>
        <v/>
      </c>
      <c r="I1182" s="79"/>
      <c r="J1182" s="80" t="str">
        <f t="shared" si="903"/>
        <v>#NAME?</v>
      </c>
      <c r="K1182" s="58"/>
      <c r="L1182" s="58"/>
      <c r="M1182" s="57"/>
      <c r="N1182" s="57"/>
      <c r="O1182" s="58"/>
      <c r="P1182" s="82"/>
      <c r="Q1182" s="81"/>
      <c r="R1182" s="81"/>
      <c r="S1182" s="57"/>
      <c r="T1182" s="82"/>
      <c r="U1182" s="82"/>
      <c r="V1182" s="57"/>
      <c r="W1182" s="57"/>
      <c r="X1182" s="57" t="str">
        <f t="shared" si="917"/>
        <v/>
      </c>
      <c r="Y1182" s="58" t="str">
        <f t="shared" ref="Y1182:AC1182" si="1022">TRIM(SUBSTITUTE(SUBSTITUTE(OFFSET($Q1182,0,COLUMN()-COLUMN($AL$1)),CHAR(160)," "),_xludf.UNICHAR(8239)," "))</f>
        <v>#NAME?</v>
      </c>
      <c r="Z1182" s="58" t="str">
        <f t="shared" si="1022"/>
        <v>#NAME?</v>
      </c>
      <c r="AA1182" s="58" t="str">
        <f t="shared" si="1022"/>
        <v>#NAME?</v>
      </c>
      <c r="AB1182" s="58" t="str">
        <f t="shared" si="1022"/>
        <v>#NAME?</v>
      </c>
      <c r="AC1182" s="58" t="str">
        <f t="shared" si="1022"/>
        <v>#NAME?</v>
      </c>
      <c r="AD1182" s="57">
        <f t="shared" si="906"/>
        <v>0</v>
      </c>
      <c r="AE1182" s="57" t="str">
        <f t="shared" si="907"/>
        <v/>
      </c>
      <c r="AF1182" s="57">
        <f t="shared" si="908"/>
        <v>0</v>
      </c>
      <c r="AG1182" s="59">
        <f t="shared" si="909"/>
        <v>0</v>
      </c>
      <c r="AH1182" s="15"/>
      <c r="AI1182" s="15"/>
      <c r="AJ1182" s="15"/>
      <c r="AK1182" s="15"/>
      <c r="AL1182" s="15"/>
      <c r="AM1182" s="15"/>
      <c r="AN1182" s="15"/>
      <c r="AO1182" s="15"/>
      <c r="AP1182" s="15"/>
      <c r="AQ1182" s="15"/>
      <c r="AR1182" s="15"/>
      <c r="AS1182" s="15"/>
      <c r="AT1182" s="15"/>
      <c r="AU1182" s="15"/>
    </row>
    <row r="1183" ht="24.0" customHeight="1">
      <c r="A1183" s="45">
        <v>2607.0</v>
      </c>
      <c r="B1183" s="57"/>
      <c r="C1183" s="57"/>
      <c r="D1183" s="88" t="str">
        <f t="array" ref="D1183">IFERROR(
  LOOKUP(2, 1/((TRIM(IMS!$E$8:$E$2574)=TRIM(IMS!$E1183))*(IMS!$C$8:$C$2574&lt;IMS!$C1183)),
         IMS!$C$8:$C$2574),
"")</f>
        <v/>
      </c>
      <c r="E1183" s="57"/>
      <c r="F1183" s="57"/>
      <c r="G1183" s="77" t="str">
        <f t="shared" si="901"/>
        <v/>
      </c>
      <c r="H1183" s="78" t="str">
        <f t="shared" si="902"/>
        <v/>
      </c>
      <c r="I1183" s="79"/>
      <c r="J1183" s="80" t="str">
        <f t="shared" si="903"/>
        <v>#NAME?</v>
      </c>
      <c r="K1183" s="58"/>
      <c r="L1183" s="58"/>
      <c r="M1183" s="57"/>
      <c r="N1183" s="57"/>
      <c r="O1183" s="58"/>
      <c r="P1183" s="82"/>
      <c r="Q1183" s="81"/>
      <c r="R1183" s="81"/>
      <c r="S1183" s="57"/>
      <c r="T1183" s="82"/>
      <c r="U1183" s="82"/>
      <c r="V1183" s="57"/>
      <c r="W1183" s="57"/>
      <c r="X1183" s="57" t="str">
        <f t="shared" si="917"/>
        <v/>
      </c>
      <c r="Y1183" s="58" t="str">
        <f t="shared" ref="Y1183:AC1183" si="1023">TRIM(SUBSTITUTE(SUBSTITUTE(OFFSET($Q1183,0,COLUMN()-COLUMN($AL$1)),CHAR(160)," "),_xludf.UNICHAR(8239)," "))</f>
        <v>#NAME?</v>
      </c>
      <c r="Z1183" s="58" t="str">
        <f t="shared" si="1023"/>
        <v>#NAME?</v>
      </c>
      <c r="AA1183" s="58" t="str">
        <f t="shared" si="1023"/>
        <v>#NAME?</v>
      </c>
      <c r="AB1183" s="58" t="str">
        <f t="shared" si="1023"/>
        <v>#NAME?</v>
      </c>
      <c r="AC1183" s="58" t="str">
        <f t="shared" si="1023"/>
        <v>#NAME?</v>
      </c>
      <c r="AD1183" s="57">
        <f t="shared" si="906"/>
        <v>0</v>
      </c>
      <c r="AE1183" s="57" t="str">
        <f t="shared" si="907"/>
        <v/>
      </c>
      <c r="AF1183" s="57">
        <f t="shared" si="908"/>
        <v>0</v>
      </c>
      <c r="AG1183" s="59">
        <f t="shared" si="909"/>
        <v>0</v>
      </c>
      <c r="AH1183" s="15"/>
      <c r="AI1183" s="15"/>
      <c r="AJ1183" s="15"/>
      <c r="AK1183" s="15"/>
      <c r="AL1183" s="15"/>
      <c r="AM1183" s="15"/>
      <c r="AN1183" s="15"/>
      <c r="AO1183" s="15"/>
      <c r="AP1183" s="15"/>
      <c r="AQ1183" s="15"/>
      <c r="AR1183" s="15"/>
      <c r="AS1183" s="15"/>
      <c r="AT1183" s="15"/>
      <c r="AU1183" s="15"/>
    </row>
    <row r="1184" ht="24.0" customHeight="1">
      <c r="A1184" s="45">
        <v>2608.0</v>
      </c>
      <c r="B1184" s="57"/>
      <c r="C1184" s="57"/>
      <c r="D1184" s="88" t="str">
        <f t="array" ref="D1184">IFERROR(
  LOOKUP(2, 1/((TRIM(IMS!$E$8:$E$2574)=TRIM(IMS!$E1184))*(IMS!$C$8:$C$2574&lt;IMS!$C1184)),
         IMS!$C$8:$C$2574),
"")</f>
        <v/>
      </c>
      <c r="E1184" s="57"/>
      <c r="F1184" s="57"/>
      <c r="G1184" s="77" t="str">
        <f t="shared" si="901"/>
        <v/>
      </c>
      <c r="H1184" s="78" t="str">
        <f t="shared" si="902"/>
        <v/>
      </c>
      <c r="I1184" s="79"/>
      <c r="J1184" s="80" t="str">
        <f t="shared" si="903"/>
        <v>#NAME?</v>
      </c>
      <c r="K1184" s="58"/>
      <c r="L1184" s="58"/>
      <c r="M1184" s="57"/>
      <c r="N1184" s="57"/>
      <c r="O1184" s="58"/>
      <c r="P1184" s="82"/>
      <c r="Q1184" s="81"/>
      <c r="R1184" s="81"/>
      <c r="S1184" s="57"/>
      <c r="T1184" s="82"/>
      <c r="U1184" s="82"/>
      <c r="V1184" s="57"/>
      <c r="W1184" s="57"/>
      <c r="X1184" s="57" t="str">
        <f t="shared" si="917"/>
        <v/>
      </c>
      <c r="Y1184" s="58" t="str">
        <f t="shared" ref="Y1184:AC1184" si="1024">TRIM(SUBSTITUTE(SUBSTITUTE(OFFSET($Q1184,0,COLUMN()-COLUMN($AL$1)),CHAR(160)," "),_xludf.UNICHAR(8239)," "))</f>
        <v>#NAME?</v>
      </c>
      <c r="Z1184" s="58" t="str">
        <f t="shared" si="1024"/>
        <v>#NAME?</v>
      </c>
      <c r="AA1184" s="58" t="str">
        <f t="shared" si="1024"/>
        <v>#NAME?</v>
      </c>
      <c r="AB1184" s="58" t="str">
        <f t="shared" si="1024"/>
        <v>#NAME?</v>
      </c>
      <c r="AC1184" s="58" t="str">
        <f t="shared" si="1024"/>
        <v>#NAME?</v>
      </c>
      <c r="AD1184" s="57">
        <f t="shared" si="906"/>
        <v>0</v>
      </c>
      <c r="AE1184" s="57" t="str">
        <f t="shared" si="907"/>
        <v/>
      </c>
      <c r="AF1184" s="57">
        <f t="shared" si="908"/>
        <v>0</v>
      </c>
      <c r="AG1184" s="59">
        <f t="shared" si="909"/>
        <v>0</v>
      </c>
      <c r="AH1184" s="15"/>
      <c r="AI1184" s="15"/>
      <c r="AJ1184" s="15"/>
      <c r="AK1184" s="15"/>
      <c r="AL1184" s="15"/>
      <c r="AM1184" s="15"/>
      <c r="AN1184" s="15"/>
      <c r="AO1184" s="15"/>
      <c r="AP1184" s="15"/>
      <c r="AQ1184" s="15"/>
      <c r="AR1184" s="15"/>
      <c r="AS1184" s="15"/>
      <c r="AT1184" s="15"/>
      <c r="AU1184" s="15"/>
    </row>
    <row r="1185" ht="24.0" customHeight="1">
      <c r="A1185" s="45">
        <v>2609.0</v>
      </c>
      <c r="B1185" s="57"/>
      <c r="C1185" s="57"/>
      <c r="D1185" s="88" t="str">
        <f t="array" ref="D1185">IFERROR(
  LOOKUP(2, 1/((TRIM(IMS!$E$8:$E$2574)=TRIM(IMS!$E1185))*(IMS!$C$8:$C$2574&lt;IMS!$C1185)),
         IMS!$C$8:$C$2574),
"")</f>
        <v/>
      </c>
      <c r="E1185" s="57"/>
      <c r="F1185" s="57"/>
      <c r="G1185" s="77" t="str">
        <f t="shared" si="901"/>
        <v/>
      </c>
      <c r="H1185" s="78" t="str">
        <f t="shared" si="902"/>
        <v/>
      </c>
      <c r="I1185" s="79"/>
      <c r="J1185" s="80" t="str">
        <f t="shared" si="903"/>
        <v>#NAME?</v>
      </c>
      <c r="K1185" s="58"/>
      <c r="L1185" s="58"/>
      <c r="M1185" s="57"/>
      <c r="N1185" s="57"/>
      <c r="O1185" s="58"/>
      <c r="P1185" s="82"/>
      <c r="Q1185" s="81"/>
      <c r="R1185" s="81"/>
      <c r="S1185" s="57"/>
      <c r="T1185" s="82"/>
      <c r="U1185" s="82"/>
      <c r="V1185" s="57"/>
      <c r="W1185" s="57"/>
      <c r="X1185" s="57" t="str">
        <f t="shared" si="917"/>
        <v/>
      </c>
      <c r="Y1185" s="58" t="str">
        <f t="shared" ref="Y1185:AC1185" si="1025">TRIM(SUBSTITUTE(SUBSTITUTE(OFFSET($Q1185,0,COLUMN()-COLUMN($AL$1)),CHAR(160)," "),_xludf.UNICHAR(8239)," "))</f>
        <v>#NAME?</v>
      </c>
      <c r="Z1185" s="58" t="str">
        <f t="shared" si="1025"/>
        <v>#NAME?</v>
      </c>
      <c r="AA1185" s="58" t="str">
        <f t="shared" si="1025"/>
        <v>#NAME?</v>
      </c>
      <c r="AB1185" s="58" t="str">
        <f t="shared" si="1025"/>
        <v>#NAME?</v>
      </c>
      <c r="AC1185" s="58" t="str">
        <f t="shared" si="1025"/>
        <v>#NAME?</v>
      </c>
      <c r="AD1185" s="57">
        <f t="shared" si="906"/>
        <v>0</v>
      </c>
      <c r="AE1185" s="57" t="str">
        <f t="shared" si="907"/>
        <v/>
      </c>
      <c r="AF1185" s="57">
        <f t="shared" si="908"/>
        <v>0</v>
      </c>
      <c r="AG1185" s="59">
        <f t="shared" si="909"/>
        <v>0</v>
      </c>
      <c r="AH1185" s="15"/>
      <c r="AI1185" s="15"/>
      <c r="AJ1185" s="15"/>
      <c r="AK1185" s="15"/>
      <c r="AL1185" s="15"/>
      <c r="AM1185" s="15"/>
      <c r="AN1185" s="15"/>
      <c r="AO1185" s="15"/>
      <c r="AP1185" s="15"/>
      <c r="AQ1185" s="15"/>
      <c r="AR1185" s="15"/>
      <c r="AS1185" s="15"/>
      <c r="AT1185" s="15"/>
      <c r="AU1185" s="15"/>
    </row>
    <row r="1186" ht="24.0" customHeight="1">
      <c r="A1186" s="45">
        <v>2610.0</v>
      </c>
      <c r="B1186" s="57"/>
      <c r="C1186" s="57"/>
      <c r="D1186" s="88" t="str">
        <f t="array" ref="D1186">IFERROR(
  LOOKUP(2, 1/((TRIM(IMS!$E$8:$E$2574)=TRIM(IMS!$E1186))*(IMS!$C$8:$C$2574&lt;IMS!$C1186)),
         IMS!$C$8:$C$2574),
"")</f>
        <v/>
      </c>
      <c r="E1186" s="57"/>
      <c r="F1186" s="57"/>
      <c r="G1186" s="77" t="str">
        <f t="shared" si="901"/>
        <v/>
      </c>
      <c r="H1186" s="78" t="str">
        <f t="shared" si="902"/>
        <v/>
      </c>
      <c r="I1186" s="79"/>
      <c r="J1186" s="80" t="str">
        <f t="shared" si="903"/>
        <v>#NAME?</v>
      </c>
      <c r="K1186" s="58"/>
      <c r="L1186" s="58"/>
      <c r="M1186" s="57"/>
      <c r="N1186" s="57"/>
      <c r="O1186" s="58"/>
      <c r="P1186" s="82"/>
      <c r="Q1186" s="81"/>
      <c r="R1186" s="81"/>
      <c r="S1186" s="57"/>
      <c r="T1186" s="82"/>
      <c r="U1186" s="82"/>
      <c r="V1186" s="57"/>
      <c r="W1186" s="57"/>
      <c r="X1186" s="57" t="str">
        <f t="shared" si="917"/>
        <v/>
      </c>
      <c r="Y1186" s="58" t="str">
        <f t="shared" ref="Y1186:AC1186" si="1026">TRIM(SUBSTITUTE(SUBSTITUTE(OFFSET($Q1186,0,COLUMN()-COLUMN($AL$1)),CHAR(160)," "),_xludf.UNICHAR(8239)," "))</f>
        <v>#NAME?</v>
      </c>
      <c r="Z1186" s="58" t="str">
        <f t="shared" si="1026"/>
        <v>#NAME?</v>
      </c>
      <c r="AA1186" s="58" t="str">
        <f t="shared" si="1026"/>
        <v>#NAME?</v>
      </c>
      <c r="AB1186" s="58" t="str">
        <f t="shared" si="1026"/>
        <v>#NAME?</v>
      </c>
      <c r="AC1186" s="58" t="str">
        <f t="shared" si="1026"/>
        <v>#NAME?</v>
      </c>
      <c r="AD1186" s="57">
        <f t="shared" si="906"/>
        <v>0</v>
      </c>
      <c r="AE1186" s="57" t="str">
        <f t="shared" si="907"/>
        <v/>
      </c>
      <c r="AF1186" s="57">
        <f t="shared" si="908"/>
        <v>0</v>
      </c>
      <c r="AG1186" s="59">
        <f t="shared" si="909"/>
        <v>0</v>
      </c>
      <c r="AH1186" s="15"/>
      <c r="AI1186" s="15"/>
      <c r="AJ1186" s="15"/>
      <c r="AK1186" s="15"/>
      <c r="AL1186" s="15"/>
      <c r="AM1186" s="15"/>
      <c r="AN1186" s="15"/>
      <c r="AO1186" s="15"/>
      <c r="AP1186" s="15"/>
      <c r="AQ1186" s="15"/>
      <c r="AR1186" s="15"/>
      <c r="AS1186" s="15"/>
      <c r="AT1186" s="15"/>
      <c r="AU1186" s="15"/>
    </row>
    <row r="1187" ht="24.0" customHeight="1">
      <c r="A1187" s="45">
        <v>2611.0</v>
      </c>
      <c r="B1187" s="57"/>
      <c r="C1187" s="57"/>
      <c r="D1187" s="88" t="str">
        <f t="array" ref="D1187">IFERROR(
  LOOKUP(2, 1/((TRIM(IMS!$E$8:$E$2574)=TRIM(IMS!$E1187))*(IMS!$C$8:$C$2574&lt;IMS!$C1187)),
         IMS!$C$8:$C$2574),
"")</f>
        <v/>
      </c>
      <c r="E1187" s="57"/>
      <c r="F1187" s="57"/>
      <c r="G1187" s="77" t="str">
        <f t="shared" si="901"/>
        <v/>
      </c>
      <c r="H1187" s="78" t="str">
        <f t="shared" si="902"/>
        <v/>
      </c>
      <c r="I1187" s="79"/>
      <c r="J1187" s="80" t="str">
        <f t="shared" si="903"/>
        <v>#NAME?</v>
      </c>
      <c r="K1187" s="58"/>
      <c r="L1187" s="58"/>
      <c r="M1187" s="57"/>
      <c r="N1187" s="57"/>
      <c r="O1187" s="58"/>
      <c r="P1187" s="82"/>
      <c r="Q1187" s="81"/>
      <c r="R1187" s="81"/>
      <c r="S1187" s="57"/>
      <c r="T1187" s="82"/>
      <c r="U1187" s="82"/>
      <c r="V1187" s="57"/>
      <c r="W1187" s="57"/>
      <c r="X1187" s="57" t="str">
        <f t="shared" si="917"/>
        <v/>
      </c>
      <c r="Y1187" s="58" t="str">
        <f t="shared" ref="Y1187:AC1187" si="1027">TRIM(SUBSTITUTE(SUBSTITUTE(OFFSET($Q1187,0,COLUMN()-COLUMN($AL$1)),CHAR(160)," "),_xludf.UNICHAR(8239)," "))</f>
        <v>#NAME?</v>
      </c>
      <c r="Z1187" s="58" t="str">
        <f t="shared" si="1027"/>
        <v>#NAME?</v>
      </c>
      <c r="AA1187" s="58" t="str">
        <f t="shared" si="1027"/>
        <v>#NAME?</v>
      </c>
      <c r="AB1187" s="58" t="str">
        <f t="shared" si="1027"/>
        <v>#NAME?</v>
      </c>
      <c r="AC1187" s="58" t="str">
        <f t="shared" si="1027"/>
        <v>#NAME?</v>
      </c>
      <c r="AD1187" s="57">
        <f t="shared" si="906"/>
        <v>0</v>
      </c>
      <c r="AE1187" s="57" t="str">
        <f t="shared" si="907"/>
        <v/>
      </c>
      <c r="AF1187" s="57">
        <f t="shared" si="908"/>
        <v>0</v>
      </c>
      <c r="AG1187" s="59">
        <f t="shared" si="909"/>
        <v>0</v>
      </c>
      <c r="AH1187" s="15"/>
      <c r="AI1187" s="15"/>
      <c r="AJ1187" s="15"/>
      <c r="AK1187" s="15"/>
      <c r="AL1187" s="15"/>
      <c r="AM1187" s="15"/>
      <c r="AN1187" s="15"/>
      <c r="AO1187" s="15"/>
      <c r="AP1187" s="15"/>
      <c r="AQ1187" s="15"/>
      <c r="AR1187" s="15"/>
      <c r="AS1187" s="15"/>
      <c r="AT1187" s="15"/>
      <c r="AU1187" s="15"/>
    </row>
    <row r="1188" ht="24.0" customHeight="1">
      <c r="A1188" s="45">
        <v>2612.0</v>
      </c>
      <c r="B1188" s="57"/>
      <c r="C1188" s="57"/>
      <c r="D1188" s="88" t="str">
        <f t="array" ref="D1188">IFERROR(
  LOOKUP(2, 1/((TRIM(IMS!$E$8:$E$2574)=TRIM(IMS!$E1188))*(IMS!$C$8:$C$2574&lt;IMS!$C1188)),
         IMS!$C$8:$C$2574),
"")</f>
        <v/>
      </c>
      <c r="E1188" s="57"/>
      <c r="F1188" s="57"/>
      <c r="G1188" s="77" t="str">
        <f t="shared" si="901"/>
        <v/>
      </c>
      <c r="H1188" s="78" t="str">
        <f t="shared" si="902"/>
        <v/>
      </c>
      <c r="I1188" s="79"/>
      <c r="J1188" s="80" t="str">
        <f t="shared" si="903"/>
        <v>#NAME?</v>
      </c>
      <c r="K1188" s="58"/>
      <c r="L1188" s="58"/>
      <c r="M1188" s="57"/>
      <c r="N1188" s="57"/>
      <c r="O1188" s="58"/>
      <c r="P1188" s="82"/>
      <c r="Q1188" s="81"/>
      <c r="R1188" s="81"/>
      <c r="S1188" s="57"/>
      <c r="T1188" s="82"/>
      <c r="U1188" s="82"/>
      <c r="V1188" s="57"/>
      <c r="W1188" s="57"/>
      <c r="X1188" s="57" t="str">
        <f t="shared" si="917"/>
        <v/>
      </c>
      <c r="Y1188" s="58" t="str">
        <f t="shared" ref="Y1188:AC1188" si="1028">TRIM(SUBSTITUTE(SUBSTITUTE(OFFSET($Q1188,0,COLUMN()-COLUMN($AL$1)),CHAR(160)," "),_xludf.UNICHAR(8239)," "))</f>
        <v>#NAME?</v>
      </c>
      <c r="Z1188" s="58" t="str">
        <f t="shared" si="1028"/>
        <v>#NAME?</v>
      </c>
      <c r="AA1188" s="58" t="str">
        <f t="shared" si="1028"/>
        <v>#NAME?</v>
      </c>
      <c r="AB1188" s="58" t="str">
        <f t="shared" si="1028"/>
        <v>#NAME?</v>
      </c>
      <c r="AC1188" s="58" t="str">
        <f t="shared" si="1028"/>
        <v>#NAME?</v>
      </c>
      <c r="AD1188" s="57">
        <f t="shared" si="906"/>
        <v>0</v>
      </c>
      <c r="AE1188" s="57" t="str">
        <f t="shared" si="907"/>
        <v/>
      </c>
      <c r="AF1188" s="57">
        <f t="shared" si="908"/>
        <v>0</v>
      </c>
      <c r="AG1188" s="59">
        <f t="shared" si="909"/>
        <v>0</v>
      </c>
      <c r="AH1188" s="15"/>
      <c r="AI1188" s="15"/>
      <c r="AJ1188" s="15"/>
      <c r="AK1188" s="15"/>
      <c r="AL1188" s="15"/>
      <c r="AM1188" s="15"/>
      <c r="AN1188" s="15"/>
      <c r="AO1188" s="15"/>
      <c r="AP1188" s="15"/>
      <c r="AQ1188" s="15"/>
      <c r="AR1188" s="15"/>
      <c r="AS1188" s="15"/>
      <c r="AT1188" s="15"/>
      <c r="AU1188" s="15"/>
    </row>
    <row r="1189" ht="24.0" customHeight="1">
      <c r="A1189" s="45">
        <v>2613.0</v>
      </c>
      <c r="B1189" s="57"/>
      <c r="C1189" s="57"/>
      <c r="D1189" s="88" t="str">
        <f t="array" ref="D1189">IFERROR(
  LOOKUP(2, 1/((TRIM(IMS!$E$8:$E$2574)=TRIM(IMS!$E1189))*(IMS!$C$8:$C$2574&lt;IMS!$C1189)),
         IMS!$C$8:$C$2574),
"")</f>
        <v/>
      </c>
      <c r="E1189" s="57"/>
      <c r="F1189" s="57"/>
      <c r="G1189" s="77" t="str">
        <f t="shared" si="901"/>
        <v/>
      </c>
      <c r="H1189" s="78" t="str">
        <f t="shared" si="902"/>
        <v/>
      </c>
      <c r="I1189" s="79"/>
      <c r="J1189" s="80" t="str">
        <f t="shared" si="903"/>
        <v>#NAME?</v>
      </c>
      <c r="K1189" s="58"/>
      <c r="L1189" s="58"/>
      <c r="M1189" s="57"/>
      <c r="N1189" s="57"/>
      <c r="O1189" s="58"/>
      <c r="P1189" s="82"/>
      <c r="Q1189" s="81"/>
      <c r="R1189" s="81"/>
      <c r="S1189" s="57"/>
      <c r="T1189" s="82"/>
      <c r="U1189" s="82"/>
      <c r="V1189" s="57"/>
      <c r="W1189" s="57"/>
      <c r="X1189" s="57" t="str">
        <f t="shared" si="917"/>
        <v/>
      </c>
      <c r="Y1189" s="58" t="str">
        <f t="shared" ref="Y1189:AC1189" si="1029">TRIM(SUBSTITUTE(SUBSTITUTE(OFFSET($Q1189,0,COLUMN()-COLUMN($AL$1)),CHAR(160)," "),_xludf.UNICHAR(8239)," "))</f>
        <v>#NAME?</v>
      </c>
      <c r="Z1189" s="58" t="str">
        <f t="shared" si="1029"/>
        <v>#NAME?</v>
      </c>
      <c r="AA1189" s="58" t="str">
        <f t="shared" si="1029"/>
        <v>#NAME?</v>
      </c>
      <c r="AB1189" s="58" t="str">
        <f t="shared" si="1029"/>
        <v>#NAME?</v>
      </c>
      <c r="AC1189" s="58" t="str">
        <f t="shared" si="1029"/>
        <v>#NAME?</v>
      </c>
      <c r="AD1189" s="57">
        <f t="shared" si="906"/>
        <v>0</v>
      </c>
      <c r="AE1189" s="57" t="str">
        <f t="shared" si="907"/>
        <v/>
      </c>
      <c r="AF1189" s="57">
        <f t="shared" si="908"/>
        <v>0</v>
      </c>
      <c r="AG1189" s="59">
        <f t="shared" si="909"/>
        <v>0</v>
      </c>
      <c r="AH1189" s="15"/>
      <c r="AI1189" s="15"/>
      <c r="AJ1189" s="15"/>
      <c r="AK1189" s="15"/>
      <c r="AL1189" s="15"/>
      <c r="AM1189" s="15"/>
      <c r="AN1189" s="15"/>
      <c r="AO1189" s="15"/>
      <c r="AP1189" s="15"/>
      <c r="AQ1189" s="15"/>
      <c r="AR1189" s="15"/>
      <c r="AS1189" s="15"/>
      <c r="AT1189" s="15"/>
      <c r="AU1189" s="15"/>
    </row>
    <row r="1190" ht="24.0" customHeight="1">
      <c r="A1190" s="45">
        <v>2614.0</v>
      </c>
      <c r="B1190" s="57"/>
      <c r="C1190" s="57"/>
      <c r="D1190" s="88" t="str">
        <f t="array" ref="D1190">IFERROR(
  LOOKUP(2, 1/((TRIM(IMS!$E$8:$E$2574)=TRIM(IMS!$E1190))*(IMS!$C$8:$C$2574&lt;IMS!$C1190)),
         IMS!$C$8:$C$2574),
"")</f>
        <v/>
      </c>
      <c r="E1190" s="57"/>
      <c r="F1190" s="57"/>
      <c r="G1190" s="77" t="str">
        <f t="shared" si="901"/>
        <v/>
      </c>
      <c r="H1190" s="78" t="str">
        <f t="shared" si="902"/>
        <v/>
      </c>
      <c r="I1190" s="79"/>
      <c r="J1190" s="80" t="str">
        <f t="shared" si="903"/>
        <v>#NAME?</v>
      </c>
      <c r="K1190" s="58"/>
      <c r="L1190" s="58"/>
      <c r="M1190" s="57"/>
      <c r="N1190" s="57"/>
      <c r="O1190" s="58"/>
      <c r="P1190" s="82"/>
      <c r="Q1190" s="81"/>
      <c r="R1190" s="81"/>
      <c r="S1190" s="57"/>
      <c r="T1190" s="82"/>
      <c r="U1190" s="82"/>
      <c r="V1190" s="57"/>
      <c r="W1190" s="57"/>
      <c r="X1190" s="57" t="str">
        <f t="shared" si="917"/>
        <v/>
      </c>
      <c r="Y1190" s="58" t="str">
        <f t="shared" ref="Y1190:AC1190" si="1030">TRIM(SUBSTITUTE(SUBSTITUTE(OFFSET($Q1190,0,COLUMN()-COLUMN($AL$1)),CHAR(160)," "),_xludf.UNICHAR(8239)," "))</f>
        <v>#NAME?</v>
      </c>
      <c r="Z1190" s="58" t="str">
        <f t="shared" si="1030"/>
        <v>#NAME?</v>
      </c>
      <c r="AA1190" s="58" t="str">
        <f t="shared" si="1030"/>
        <v>#NAME?</v>
      </c>
      <c r="AB1190" s="58" t="str">
        <f t="shared" si="1030"/>
        <v>#NAME?</v>
      </c>
      <c r="AC1190" s="58" t="str">
        <f t="shared" si="1030"/>
        <v>#NAME?</v>
      </c>
      <c r="AD1190" s="57">
        <f t="shared" si="906"/>
        <v>0</v>
      </c>
      <c r="AE1190" s="57" t="str">
        <f t="shared" si="907"/>
        <v/>
      </c>
      <c r="AF1190" s="57">
        <f t="shared" si="908"/>
        <v>0</v>
      </c>
      <c r="AG1190" s="59">
        <f t="shared" si="909"/>
        <v>0</v>
      </c>
      <c r="AH1190" s="15"/>
      <c r="AI1190" s="15"/>
      <c r="AJ1190" s="15"/>
      <c r="AK1190" s="15"/>
      <c r="AL1190" s="15"/>
      <c r="AM1190" s="15"/>
      <c r="AN1190" s="15"/>
      <c r="AO1190" s="15"/>
      <c r="AP1190" s="15"/>
      <c r="AQ1190" s="15"/>
      <c r="AR1190" s="15"/>
      <c r="AS1190" s="15"/>
      <c r="AT1190" s="15"/>
      <c r="AU1190" s="15"/>
    </row>
    <row r="1191" ht="24.0" customHeight="1">
      <c r="A1191" s="45">
        <v>2615.0</v>
      </c>
      <c r="B1191" s="57"/>
      <c r="C1191" s="57"/>
      <c r="D1191" s="88" t="str">
        <f t="array" ref="D1191">IFERROR(
  LOOKUP(2, 1/((TRIM(IMS!$E$8:$E$2574)=TRIM(IMS!$E1191))*(IMS!$C$8:$C$2574&lt;IMS!$C1191)),
         IMS!$C$8:$C$2574),
"")</f>
        <v/>
      </c>
      <c r="E1191" s="57"/>
      <c r="F1191" s="57"/>
      <c r="G1191" s="77" t="str">
        <f t="shared" si="901"/>
        <v/>
      </c>
      <c r="H1191" s="78" t="str">
        <f t="shared" si="902"/>
        <v/>
      </c>
      <c r="I1191" s="79"/>
      <c r="J1191" s="80" t="str">
        <f t="shared" si="903"/>
        <v>#NAME?</v>
      </c>
      <c r="K1191" s="58"/>
      <c r="L1191" s="58"/>
      <c r="M1191" s="57"/>
      <c r="N1191" s="57"/>
      <c r="O1191" s="58"/>
      <c r="P1191" s="82"/>
      <c r="Q1191" s="81"/>
      <c r="R1191" s="81"/>
      <c r="S1191" s="57"/>
      <c r="T1191" s="82"/>
      <c r="U1191" s="82"/>
      <c r="V1191" s="57"/>
      <c r="W1191" s="57"/>
      <c r="X1191" s="57" t="str">
        <f t="shared" si="917"/>
        <v/>
      </c>
      <c r="Y1191" s="58" t="str">
        <f t="shared" ref="Y1191:AC1191" si="1031">TRIM(SUBSTITUTE(SUBSTITUTE(OFFSET($Q1191,0,COLUMN()-COLUMN($AL$1)),CHAR(160)," "),_xludf.UNICHAR(8239)," "))</f>
        <v>#NAME?</v>
      </c>
      <c r="Z1191" s="58" t="str">
        <f t="shared" si="1031"/>
        <v>#NAME?</v>
      </c>
      <c r="AA1191" s="58" t="str">
        <f t="shared" si="1031"/>
        <v>#NAME?</v>
      </c>
      <c r="AB1191" s="58" t="str">
        <f t="shared" si="1031"/>
        <v>#NAME?</v>
      </c>
      <c r="AC1191" s="58" t="str">
        <f t="shared" si="1031"/>
        <v>#NAME?</v>
      </c>
      <c r="AD1191" s="57">
        <f t="shared" si="906"/>
        <v>0</v>
      </c>
      <c r="AE1191" s="57" t="str">
        <f t="shared" si="907"/>
        <v/>
      </c>
      <c r="AF1191" s="57">
        <f t="shared" si="908"/>
        <v>0</v>
      </c>
      <c r="AG1191" s="59">
        <f t="shared" si="909"/>
        <v>0</v>
      </c>
      <c r="AH1191" s="15"/>
      <c r="AI1191" s="15"/>
      <c r="AJ1191" s="15"/>
      <c r="AK1191" s="15"/>
      <c r="AL1191" s="15"/>
      <c r="AM1191" s="15"/>
      <c r="AN1191" s="15"/>
      <c r="AO1191" s="15"/>
      <c r="AP1191" s="15"/>
      <c r="AQ1191" s="15"/>
      <c r="AR1191" s="15"/>
      <c r="AS1191" s="15"/>
      <c r="AT1191" s="15"/>
      <c r="AU1191" s="15"/>
    </row>
    <row r="1192" ht="24.0" customHeight="1">
      <c r="A1192" s="45">
        <v>2616.0</v>
      </c>
      <c r="B1192" s="57"/>
      <c r="C1192" s="57"/>
      <c r="D1192" s="88" t="str">
        <f t="array" ref="D1192">IFERROR(
  LOOKUP(2, 1/((TRIM(IMS!$E$8:$E$2574)=TRIM(IMS!$E1192))*(IMS!$C$8:$C$2574&lt;IMS!$C1192)),
         IMS!$C$8:$C$2574),
"")</f>
        <v/>
      </c>
      <c r="E1192" s="57"/>
      <c r="F1192" s="57"/>
      <c r="G1192" s="77" t="str">
        <f t="shared" si="901"/>
        <v/>
      </c>
      <c r="H1192" s="78" t="str">
        <f t="shared" si="902"/>
        <v/>
      </c>
      <c r="I1192" s="79"/>
      <c r="J1192" s="80" t="str">
        <f t="shared" si="903"/>
        <v>#NAME?</v>
      </c>
      <c r="K1192" s="58"/>
      <c r="L1192" s="58"/>
      <c r="M1192" s="57"/>
      <c r="N1192" s="57"/>
      <c r="O1192" s="58"/>
      <c r="P1192" s="82"/>
      <c r="Q1192" s="81"/>
      <c r="R1192" s="81"/>
      <c r="S1192" s="57"/>
      <c r="T1192" s="82"/>
      <c r="U1192" s="82"/>
      <c r="V1192" s="57"/>
      <c r="W1192" s="57"/>
      <c r="X1192" s="57" t="str">
        <f t="shared" si="917"/>
        <v/>
      </c>
      <c r="Y1192" s="58" t="str">
        <f t="shared" ref="Y1192:AC1192" si="1032">TRIM(SUBSTITUTE(SUBSTITUTE(OFFSET($Q1192,0,COLUMN()-COLUMN($AL$1)),CHAR(160)," "),_xludf.UNICHAR(8239)," "))</f>
        <v>#NAME?</v>
      </c>
      <c r="Z1192" s="58" t="str">
        <f t="shared" si="1032"/>
        <v>#NAME?</v>
      </c>
      <c r="AA1192" s="58" t="str">
        <f t="shared" si="1032"/>
        <v>#NAME?</v>
      </c>
      <c r="AB1192" s="58" t="str">
        <f t="shared" si="1032"/>
        <v>#NAME?</v>
      </c>
      <c r="AC1192" s="58" t="str">
        <f t="shared" si="1032"/>
        <v>#NAME?</v>
      </c>
      <c r="AD1192" s="57">
        <f t="shared" si="906"/>
        <v>0</v>
      </c>
      <c r="AE1192" s="57" t="str">
        <f t="shared" si="907"/>
        <v/>
      </c>
      <c r="AF1192" s="57">
        <f t="shared" si="908"/>
        <v>0</v>
      </c>
      <c r="AG1192" s="59">
        <f t="shared" si="909"/>
        <v>0</v>
      </c>
      <c r="AH1192" s="15"/>
      <c r="AI1192" s="15"/>
      <c r="AJ1192" s="15"/>
      <c r="AK1192" s="15"/>
      <c r="AL1192" s="15"/>
      <c r="AM1192" s="15"/>
      <c r="AN1192" s="15"/>
      <c r="AO1192" s="15"/>
      <c r="AP1192" s="15"/>
      <c r="AQ1192" s="15"/>
      <c r="AR1192" s="15"/>
      <c r="AS1192" s="15"/>
      <c r="AT1192" s="15"/>
      <c r="AU1192" s="15"/>
    </row>
    <row r="1193" ht="24.0" customHeight="1">
      <c r="A1193" s="45">
        <v>2617.0</v>
      </c>
      <c r="B1193" s="57"/>
      <c r="C1193" s="57"/>
      <c r="D1193" s="88" t="str">
        <f t="array" ref="D1193">IFERROR(
  LOOKUP(2, 1/((TRIM(IMS!$E$8:$E$2574)=TRIM(IMS!$E1193))*(IMS!$C$8:$C$2574&lt;IMS!$C1193)),
         IMS!$C$8:$C$2574),
"")</f>
        <v/>
      </c>
      <c r="E1193" s="57"/>
      <c r="F1193" s="57"/>
      <c r="G1193" s="77" t="str">
        <f t="shared" si="901"/>
        <v/>
      </c>
      <c r="H1193" s="78" t="str">
        <f t="shared" si="902"/>
        <v/>
      </c>
      <c r="I1193" s="79"/>
      <c r="J1193" s="80" t="str">
        <f t="shared" si="903"/>
        <v>#NAME?</v>
      </c>
      <c r="K1193" s="58"/>
      <c r="L1193" s="58"/>
      <c r="M1193" s="57"/>
      <c r="N1193" s="57"/>
      <c r="O1193" s="58"/>
      <c r="P1193" s="82"/>
      <c r="Q1193" s="81"/>
      <c r="R1193" s="81"/>
      <c r="S1193" s="57"/>
      <c r="T1193" s="82"/>
      <c r="U1193" s="82"/>
      <c r="V1193" s="57"/>
      <c r="W1193" s="57"/>
      <c r="X1193" s="57" t="str">
        <f t="shared" si="917"/>
        <v/>
      </c>
      <c r="Y1193" s="58" t="str">
        <f t="shared" ref="Y1193:AC1193" si="1033">TRIM(SUBSTITUTE(SUBSTITUTE(OFFSET($Q1193,0,COLUMN()-COLUMN($AL$1)),CHAR(160)," "),_xludf.UNICHAR(8239)," "))</f>
        <v>#NAME?</v>
      </c>
      <c r="Z1193" s="58" t="str">
        <f t="shared" si="1033"/>
        <v>#NAME?</v>
      </c>
      <c r="AA1193" s="58" t="str">
        <f t="shared" si="1033"/>
        <v>#NAME?</v>
      </c>
      <c r="AB1193" s="58" t="str">
        <f t="shared" si="1033"/>
        <v>#NAME?</v>
      </c>
      <c r="AC1193" s="58" t="str">
        <f t="shared" si="1033"/>
        <v>#NAME?</v>
      </c>
      <c r="AD1193" s="57">
        <f t="shared" si="906"/>
        <v>0</v>
      </c>
      <c r="AE1193" s="57" t="str">
        <f t="shared" si="907"/>
        <v/>
      </c>
      <c r="AF1193" s="57">
        <f t="shared" si="908"/>
        <v>0</v>
      </c>
      <c r="AG1193" s="59">
        <f t="shared" si="909"/>
        <v>0</v>
      </c>
      <c r="AH1193" s="15"/>
      <c r="AI1193" s="15"/>
      <c r="AJ1193" s="15"/>
      <c r="AK1193" s="15"/>
      <c r="AL1193" s="15"/>
      <c r="AM1193" s="15"/>
      <c r="AN1193" s="15"/>
      <c r="AO1193" s="15"/>
      <c r="AP1193" s="15"/>
      <c r="AQ1193" s="15"/>
      <c r="AR1193" s="15"/>
      <c r="AS1193" s="15"/>
      <c r="AT1193" s="15"/>
      <c r="AU1193" s="15"/>
    </row>
    <row r="1194" ht="24.0" customHeight="1">
      <c r="A1194" s="45">
        <v>2618.0</v>
      </c>
      <c r="B1194" s="57"/>
      <c r="C1194" s="57"/>
      <c r="D1194" s="88" t="str">
        <f t="array" ref="D1194">IFERROR(
  LOOKUP(2, 1/((TRIM(IMS!$E$8:$E$2574)=TRIM(IMS!$E1194))*(IMS!$C$8:$C$2574&lt;IMS!$C1194)),
         IMS!$C$8:$C$2574),
"")</f>
        <v/>
      </c>
      <c r="E1194" s="57"/>
      <c r="F1194" s="57"/>
      <c r="G1194" s="77" t="str">
        <f t="shared" si="901"/>
        <v/>
      </c>
      <c r="H1194" s="78" t="str">
        <f t="shared" si="902"/>
        <v/>
      </c>
      <c r="I1194" s="79"/>
      <c r="J1194" s="80" t="str">
        <f t="shared" si="903"/>
        <v>#NAME?</v>
      </c>
      <c r="K1194" s="58"/>
      <c r="L1194" s="58"/>
      <c r="M1194" s="57"/>
      <c r="N1194" s="57"/>
      <c r="O1194" s="58"/>
      <c r="P1194" s="82"/>
      <c r="Q1194" s="81"/>
      <c r="R1194" s="81"/>
      <c r="S1194" s="57"/>
      <c r="T1194" s="82"/>
      <c r="U1194" s="82"/>
      <c r="V1194" s="57"/>
      <c r="W1194" s="57"/>
      <c r="X1194" s="57" t="str">
        <f t="shared" si="917"/>
        <v/>
      </c>
      <c r="Y1194" s="58" t="str">
        <f t="shared" ref="Y1194:AC1194" si="1034">TRIM(SUBSTITUTE(SUBSTITUTE(OFFSET($Q1194,0,COLUMN()-COLUMN($AL$1)),CHAR(160)," "),_xludf.UNICHAR(8239)," "))</f>
        <v>#NAME?</v>
      </c>
      <c r="Z1194" s="58" t="str">
        <f t="shared" si="1034"/>
        <v>#NAME?</v>
      </c>
      <c r="AA1194" s="58" t="str">
        <f t="shared" si="1034"/>
        <v>#NAME?</v>
      </c>
      <c r="AB1194" s="58" t="str">
        <f t="shared" si="1034"/>
        <v>#NAME?</v>
      </c>
      <c r="AC1194" s="58" t="str">
        <f t="shared" si="1034"/>
        <v>#NAME?</v>
      </c>
      <c r="AD1194" s="57">
        <f t="shared" si="906"/>
        <v>0</v>
      </c>
      <c r="AE1194" s="57" t="str">
        <f t="shared" si="907"/>
        <v/>
      </c>
      <c r="AF1194" s="57">
        <f t="shared" si="908"/>
        <v>0</v>
      </c>
      <c r="AG1194" s="59">
        <f t="shared" si="909"/>
        <v>0</v>
      </c>
      <c r="AH1194" s="15"/>
      <c r="AI1194" s="15"/>
      <c r="AJ1194" s="15"/>
      <c r="AK1194" s="15"/>
      <c r="AL1194" s="15"/>
      <c r="AM1194" s="15"/>
      <c r="AN1194" s="15"/>
      <c r="AO1194" s="15"/>
      <c r="AP1194" s="15"/>
      <c r="AQ1194" s="15"/>
      <c r="AR1194" s="15"/>
      <c r="AS1194" s="15"/>
      <c r="AT1194" s="15"/>
      <c r="AU1194" s="15"/>
    </row>
    <row r="1195" ht="24.0" customHeight="1">
      <c r="A1195" s="45">
        <v>2619.0</v>
      </c>
      <c r="B1195" s="57"/>
      <c r="C1195" s="57"/>
      <c r="D1195" s="88" t="str">
        <f t="array" ref="D1195">IFERROR(
  LOOKUP(2, 1/((TRIM(IMS!$E$8:$E$2574)=TRIM(IMS!$E1195))*(IMS!$C$8:$C$2574&lt;IMS!$C1195)),
         IMS!$C$8:$C$2574),
"")</f>
        <v/>
      </c>
      <c r="E1195" s="57"/>
      <c r="F1195" s="57"/>
      <c r="G1195" s="77" t="str">
        <f t="shared" si="901"/>
        <v/>
      </c>
      <c r="H1195" s="78" t="str">
        <f t="shared" si="902"/>
        <v/>
      </c>
      <c r="I1195" s="79"/>
      <c r="J1195" s="80" t="str">
        <f t="shared" si="903"/>
        <v>#NAME?</v>
      </c>
      <c r="K1195" s="58"/>
      <c r="L1195" s="58"/>
      <c r="M1195" s="57"/>
      <c r="N1195" s="57"/>
      <c r="O1195" s="58"/>
      <c r="P1195" s="82"/>
      <c r="Q1195" s="81"/>
      <c r="R1195" s="81"/>
      <c r="S1195" s="57"/>
      <c r="T1195" s="82"/>
      <c r="U1195" s="82"/>
      <c r="V1195" s="57"/>
      <c r="W1195" s="57"/>
      <c r="X1195" s="57" t="str">
        <f t="shared" si="917"/>
        <v/>
      </c>
      <c r="Y1195" s="58" t="str">
        <f t="shared" ref="Y1195:AC1195" si="1035">TRIM(SUBSTITUTE(SUBSTITUTE(OFFSET($Q1195,0,COLUMN()-COLUMN($AL$1)),CHAR(160)," "),_xludf.UNICHAR(8239)," "))</f>
        <v>#NAME?</v>
      </c>
      <c r="Z1195" s="58" t="str">
        <f t="shared" si="1035"/>
        <v>#NAME?</v>
      </c>
      <c r="AA1195" s="58" t="str">
        <f t="shared" si="1035"/>
        <v>#NAME?</v>
      </c>
      <c r="AB1195" s="58" t="str">
        <f t="shared" si="1035"/>
        <v>#NAME?</v>
      </c>
      <c r="AC1195" s="58" t="str">
        <f t="shared" si="1035"/>
        <v>#NAME?</v>
      </c>
      <c r="AD1195" s="57">
        <f t="shared" si="906"/>
        <v>0</v>
      </c>
      <c r="AE1195" s="57" t="str">
        <f t="shared" si="907"/>
        <v/>
      </c>
      <c r="AF1195" s="57">
        <f t="shared" si="908"/>
        <v>0</v>
      </c>
      <c r="AG1195" s="59">
        <f t="shared" si="909"/>
        <v>0</v>
      </c>
      <c r="AH1195" s="15"/>
      <c r="AI1195" s="15"/>
      <c r="AJ1195" s="15"/>
      <c r="AK1195" s="15"/>
      <c r="AL1195" s="15"/>
      <c r="AM1195" s="15"/>
      <c r="AN1195" s="15"/>
      <c r="AO1195" s="15"/>
      <c r="AP1195" s="15"/>
      <c r="AQ1195" s="15"/>
      <c r="AR1195" s="15"/>
      <c r="AS1195" s="15"/>
      <c r="AT1195" s="15"/>
      <c r="AU1195" s="15"/>
    </row>
    <row r="1196" ht="24.0" customHeight="1">
      <c r="A1196" s="45">
        <v>2620.0</v>
      </c>
      <c r="B1196" s="57"/>
      <c r="C1196" s="57"/>
      <c r="D1196" s="88" t="str">
        <f t="array" ref="D1196">IFERROR(
  LOOKUP(2, 1/((TRIM(IMS!$E$8:$E$2574)=TRIM(IMS!$E1196))*(IMS!$C$8:$C$2574&lt;IMS!$C1196)),
         IMS!$C$8:$C$2574),
"")</f>
        <v/>
      </c>
      <c r="E1196" s="57"/>
      <c r="F1196" s="57"/>
      <c r="G1196" s="77" t="str">
        <f t="shared" si="901"/>
        <v/>
      </c>
      <c r="H1196" s="78" t="str">
        <f t="shared" si="902"/>
        <v/>
      </c>
      <c r="I1196" s="79"/>
      <c r="J1196" s="80" t="str">
        <f t="shared" si="903"/>
        <v>#NAME?</v>
      </c>
      <c r="K1196" s="58"/>
      <c r="L1196" s="58"/>
      <c r="M1196" s="57"/>
      <c r="N1196" s="57"/>
      <c r="O1196" s="58"/>
      <c r="P1196" s="82"/>
      <c r="Q1196" s="81"/>
      <c r="R1196" s="81"/>
      <c r="S1196" s="57"/>
      <c r="T1196" s="82"/>
      <c r="U1196" s="82"/>
      <c r="V1196" s="57"/>
      <c r="W1196" s="57"/>
      <c r="X1196" s="57" t="str">
        <f t="shared" si="917"/>
        <v/>
      </c>
      <c r="Y1196" s="58" t="str">
        <f t="shared" ref="Y1196:AC1196" si="1036">TRIM(SUBSTITUTE(SUBSTITUTE(OFFSET($Q1196,0,COLUMN()-COLUMN($AL$1)),CHAR(160)," "),_xludf.UNICHAR(8239)," "))</f>
        <v>#NAME?</v>
      </c>
      <c r="Z1196" s="58" t="str">
        <f t="shared" si="1036"/>
        <v>#NAME?</v>
      </c>
      <c r="AA1196" s="58" t="str">
        <f t="shared" si="1036"/>
        <v>#NAME?</v>
      </c>
      <c r="AB1196" s="58" t="str">
        <f t="shared" si="1036"/>
        <v>#NAME?</v>
      </c>
      <c r="AC1196" s="58" t="str">
        <f t="shared" si="1036"/>
        <v>#NAME?</v>
      </c>
      <c r="AD1196" s="57">
        <f t="shared" si="906"/>
        <v>0</v>
      </c>
      <c r="AE1196" s="57" t="str">
        <f t="shared" si="907"/>
        <v/>
      </c>
      <c r="AF1196" s="57">
        <f t="shared" si="908"/>
        <v>0</v>
      </c>
      <c r="AG1196" s="59">
        <f t="shared" si="909"/>
        <v>0</v>
      </c>
      <c r="AH1196" s="15"/>
      <c r="AI1196" s="15"/>
      <c r="AJ1196" s="15"/>
      <c r="AK1196" s="15"/>
      <c r="AL1196" s="15"/>
      <c r="AM1196" s="15"/>
      <c r="AN1196" s="15"/>
      <c r="AO1196" s="15"/>
      <c r="AP1196" s="15"/>
      <c r="AQ1196" s="15"/>
      <c r="AR1196" s="15"/>
      <c r="AS1196" s="15"/>
      <c r="AT1196" s="15"/>
      <c r="AU1196" s="15"/>
    </row>
    <row r="1197" ht="24.0" customHeight="1">
      <c r="A1197" s="45">
        <v>2621.0</v>
      </c>
      <c r="B1197" s="57"/>
      <c r="C1197" s="57"/>
      <c r="D1197" s="88" t="str">
        <f t="array" ref="D1197">IFERROR(
  LOOKUP(2, 1/((TRIM(IMS!$E$8:$E$2574)=TRIM(IMS!$E1197))*(IMS!$C$8:$C$2574&lt;IMS!$C1197)),
         IMS!$C$8:$C$2574),
"")</f>
        <v/>
      </c>
      <c r="E1197" s="57"/>
      <c r="F1197" s="57"/>
      <c r="G1197" s="77" t="str">
        <f t="shared" si="901"/>
        <v/>
      </c>
      <c r="H1197" s="78" t="str">
        <f t="shared" si="902"/>
        <v/>
      </c>
      <c r="I1197" s="79"/>
      <c r="J1197" s="80" t="str">
        <f t="shared" si="903"/>
        <v>#NAME?</v>
      </c>
      <c r="K1197" s="58"/>
      <c r="L1197" s="58"/>
      <c r="M1197" s="57"/>
      <c r="N1197" s="57"/>
      <c r="O1197" s="58"/>
      <c r="P1197" s="82"/>
      <c r="Q1197" s="81"/>
      <c r="R1197" s="81"/>
      <c r="S1197" s="57"/>
      <c r="T1197" s="82"/>
      <c r="U1197" s="82"/>
      <c r="V1197" s="57"/>
      <c r="W1197" s="57"/>
      <c r="X1197" s="57" t="str">
        <f t="shared" si="917"/>
        <v/>
      </c>
      <c r="Y1197" s="58" t="str">
        <f t="shared" ref="Y1197:AC1197" si="1037">TRIM(SUBSTITUTE(SUBSTITUTE(OFFSET($Q1197,0,COLUMN()-COLUMN($AL$1)),CHAR(160)," "),_xludf.UNICHAR(8239)," "))</f>
        <v>#NAME?</v>
      </c>
      <c r="Z1197" s="58" t="str">
        <f t="shared" si="1037"/>
        <v>#NAME?</v>
      </c>
      <c r="AA1197" s="58" t="str">
        <f t="shared" si="1037"/>
        <v>#NAME?</v>
      </c>
      <c r="AB1197" s="58" t="str">
        <f t="shared" si="1037"/>
        <v>#NAME?</v>
      </c>
      <c r="AC1197" s="58" t="str">
        <f t="shared" si="1037"/>
        <v>#NAME?</v>
      </c>
      <c r="AD1197" s="57">
        <f t="shared" si="906"/>
        <v>0</v>
      </c>
      <c r="AE1197" s="57" t="str">
        <f t="shared" si="907"/>
        <v/>
      </c>
      <c r="AF1197" s="57">
        <f t="shared" si="908"/>
        <v>0</v>
      </c>
      <c r="AG1197" s="59">
        <f t="shared" si="909"/>
        <v>0</v>
      </c>
      <c r="AH1197" s="15"/>
      <c r="AI1197" s="15"/>
      <c r="AJ1197" s="15"/>
      <c r="AK1197" s="15"/>
      <c r="AL1197" s="15"/>
      <c r="AM1197" s="15"/>
      <c r="AN1197" s="15"/>
      <c r="AO1197" s="15"/>
      <c r="AP1197" s="15"/>
      <c r="AQ1197" s="15"/>
      <c r="AR1197" s="15"/>
      <c r="AS1197" s="15"/>
      <c r="AT1197" s="15"/>
      <c r="AU1197" s="15"/>
    </row>
    <row r="1198" ht="24.0" customHeight="1">
      <c r="A1198" s="45">
        <v>2622.0</v>
      </c>
      <c r="B1198" s="57"/>
      <c r="C1198" s="57"/>
      <c r="D1198" s="88" t="str">
        <f t="array" ref="D1198">IFERROR(
  LOOKUP(2, 1/((TRIM(IMS!$E$8:$E$2574)=TRIM(IMS!$E1198))*(IMS!$C$8:$C$2574&lt;IMS!$C1198)),
         IMS!$C$8:$C$2574),
"")</f>
        <v/>
      </c>
      <c r="E1198" s="57"/>
      <c r="F1198" s="57"/>
      <c r="G1198" s="77" t="str">
        <f t="shared" si="901"/>
        <v/>
      </c>
      <c r="H1198" s="78" t="str">
        <f t="shared" si="902"/>
        <v/>
      </c>
      <c r="I1198" s="79"/>
      <c r="J1198" s="80" t="str">
        <f t="shared" si="903"/>
        <v>#NAME?</v>
      </c>
      <c r="K1198" s="58"/>
      <c r="L1198" s="58"/>
      <c r="M1198" s="57"/>
      <c r="N1198" s="57"/>
      <c r="O1198" s="58"/>
      <c r="P1198" s="82"/>
      <c r="Q1198" s="81"/>
      <c r="R1198" s="81"/>
      <c r="S1198" s="57"/>
      <c r="T1198" s="82"/>
      <c r="U1198" s="82"/>
      <c r="V1198" s="57"/>
      <c r="W1198" s="57"/>
      <c r="X1198" s="57" t="str">
        <f t="shared" si="917"/>
        <v/>
      </c>
      <c r="Y1198" s="58" t="str">
        <f t="shared" ref="Y1198:AC1198" si="1038">TRIM(SUBSTITUTE(SUBSTITUTE(OFFSET($Q1198,0,COLUMN()-COLUMN($AL$1)),CHAR(160)," "),_xludf.UNICHAR(8239)," "))</f>
        <v>#NAME?</v>
      </c>
      <c r="Z1198" s="58" t="str">
        <f t="shared" si="1038"/>
        <v>#NAME?</v>
      </c>
      <c r="AA1198" s="58" t="str">
        <f t="shared" si="1038"/>
        <v>#NAME?</v>
      </c>
      <c r="AB1198" s="58" t="str">
        <f t="shared" si="1038"/>
        <v>#NAME?</v>
      </c>
      <c r="AC1198" s="58" t="str">
        <f t="shared" si="1038"/>
        <v>#NAME?</v>
      </c>
      <c r="AD1198" s="57">
        <f t="shared" si="906"/>
        <v>0</v>
      </c>
      <c r="AE1198" s="57" t="str">
        <f t="shared" si="907"/>
        <v/>
      </c>
      <c r="AF1198" s="57">
        <f t="shared" si="908"/>
        <v>0</v>
      </c>
      <c r="AG1198" s="59">
        <f t="shared" si="909"/>
        <v>0</v>
      </c>
      <c r="AH1198" s="15"/>
      <c r="AI1198" s="15"/>
      <c r="AJ1198" s="15"/>
      <c r="AK1198" s="15"/>
      <c r="AL1198" s="15"/>
      <c r="AM1198" s="15"/>
      <c r="AN1198" s="15"/>
      <c r="AO1198" s="15"/>
      <c r="AP1198" s="15"/>
      <c r="AQ1198" s="15"/>
      <c r="AR1198" s="15"/>
      <c r="AS1198" s="15"/>
      <c r="AT1198" s="15"/>
      <c r="AU1198" s="15"/>
    </row>
    <row r="1199" ht="24.0" customHeight="1">
      <c r="A1199" s="45">
        <v>2623.0</v>
      </c>
      <c r="B1199" s="57"/>
      <c r="C1199" s="57"/>
      <c r="D1199" s="88" t="str">
        <f t="array" ref="D1199">IFERROR(
  LOOKUP(2, 1/((TRIM(IMS!$E$8:$E$2574)=TRIM(IMS!$E1199))*(IMS!$C$8:$C$2574&lt;IMS!$C1199)),
         IMS!$C$8:$C$2574),
"")</f>
        <v/>
      </c>
      <c r="E1199" s="57"/>
      <c r="F1199" s="57"/>
      <c r="G1199" s="77" t="str">
        <f t="shared" si="901"/>
        <v/>
      </c>
      <c r="H1199" s="78" t="str">
        <f t="shared" si="902"/>
        <v/>
      </c>
      <c r="I1199" s="79"/>
      <c r="J1199" s="80" t="str">
        <f t="shared" si="903"/>
        <v>#NAME?</v>
      </c>
      <c r="K1199" s="58"/>
      <c r="L1199" s="58"/>
      <c r="M1199" s="57"/>
      <c r="N1199" s="57"/>
      <c r="O1199" s="58"/>
      <c r="P1199" s="82"/>
      <c r="Q1199" s="81"/>
      <c r="R1199" s="81"/>
      <c r="S1199" s="57"/>
      <c r="T1199" s="82"/>
      <c r="U1199" s="82"/>
      <c r="V1199" s="57"/>
      <c r="W1199" s="57"/>
      <c r="X1199" s="57" t="str">
        <f t="shared" si="917"/>
        <v/>
      </c>
      <c r="Y1199" s="58" t="str">
        <f t="shared" ref="Y1199:AC1199" si="1039">TRIM(SUBSTITUTE(SUBSTITUTE(OFFSET($Q1199,0,COLUMN()-COLUMN($AL$1)),CHAR(160)," "),_xludf.UNICHAR(8239)," "))</f>
        <v>#NAME?</v>
      </c>
      <c r="Z1199" s="58" t="str">
        <f t="shared" si="1039"/>
        <v>#NAME?</v>
      </c>
      <c r="AA1199" s="58" t="str">
        <f t="shared" si="1039"/>
        <v>#NAME?</v>
      </c>
      <c r="AB1199" s="58" t="str">
        <f t="shared" si="1039"/>
        <v>#NAME?</v>
      </c>
      <c r="AC1199" s="58" t="str">
        <f t="shared" si="1039"/>
        <v>#NAME?</v>
      </c>
      <c r="AD1199" s="57">
        <f t="shared" si="906"/>
        <v>0</v>
      </c>
      <c r="AE1199" s="57" t="str">
        <f t="shared" si="907"/>
        <v/>
      </c>
      <c r="AF1199" s="57">
        <f t="shared" si="908"/>
        <v>0</v>
      </c>
      <c r="AG1199" s="59">
        <f t="shared" si="909"/>
        <v>0</v>
      </c>
      <c r="AH1199" s="15"/>
      <c r="AI1199" s="15"/>
      <c r="AJ1199" s="15"/>
      <c r="AK1199" s="15"/>
      <c r="AL1199" s="15"/>
      <c r="AM1199" s="15"/>
      <c r="AN1199" s="15"/>
      <c r="AO1199" s="15"/>
      <c r="AP1199" s="15"/>
      <c r="AQ1199" s="15"/>
      <c r="AR1199" s="15"/>
      <c r="AS1199" s="15"/>
      <c r="AT1199" s="15"/>
      <c r="AU1199" s="15"/>
    </row>
    <row r="1200" ht="24.0" customHeight="1">
      <c r="A1200" s="45">
        <v>2624.0</v>
      </c>
      <c r="B1200" s="57"/>
      <c r="C1200" s="57"/>
      <c r="D1200" s="88" t="str">
        <f t="array" ref="D1200">IFERROR(
  LOOKUP(2, 1/((TRIM(IMS!$E$8:$E$2574)=TRIM(IMS!$E1200))*(IMS!$C$8:$C$2574&lt;IMS!$C1200)),
         IMS!$C$8:$C$2574),
"")</f>
        <v/>
      </c>
      <c r="E1200" s="57"/>
      <c r="F1200" s="57"/>
      <c r="G1200" s="77" t="str">
        <f t="shared" si="901"/>
        <v/>
      </c>
      <c r="H1200" s="78" t="str">
        <f t="shared" si="902"/>
        <v/>
      </c>
      <c r="I1200" s="79"/>
      <c r="J1200" s="80" t="str">
        <f t="shared" si="903"/>
        <v>#NAME?</v>
      </c>
      <c r="K1200" s="58"/>
      <c r="L1200" s="58"/>
      <c r="M1200" s="57"/>
      <c r="N1200" s="57"/>
      <c r="O1200" s="58"/>
      <c r="P1200" s="82"/>
      <c r="Q1200" s="81"/>
      <c r="R1200" s="81"/>
      <c r="S1200" s="57"/>
      <c r="T1200" s="82"/>
      <c r="U1200" s="82"/>
      <c r="V1200" s="57"/>
      <c r="W1200" s="57"/>
      <c r="X1200" s="57" t="str">
        <f t="shared" si="917"/>
        <v/>
      </c>
      <c r="Y1200" s="58" t="str">
        <f t="shared" ref="Y1200:AC1200" si="1040">TRIM(SUBSTITUTE(SUBSTITUTE(OFFSET($Q1200,0,COLUMN()-COLUMN($AL$1)),CHAR(160)," "),_xludf.UNICHAR(8239)," "))</f>
        <v>#NAME?</v>
      </c>
      <c r="Z1200" s="58" t="str">
        <f t="shared" si="1040"/>
        <v>#NAME?</v>
      </c>
      <c r="AA1200" s="58" t="str">
        <f t="shared" si="1040"/>
        <v>#NAME?</v>
      </c>
      <c r="AB1200" s="58" t="str">
        <f t="shared" si="1040"/>
        <v>#NAME?</v>
      </c>
      <c r="AC1200" s="58" t="str">
        <f t="shared" si="1040"/>
        <v>#NAME?</v>
      </c>
      <c r="AD1200" s="57">
        <f t="shared" si="906"/>
        <v>0</v>
      </c>
      <c r="AE1200" s="57" t="str">
        <f t="shared" si="907"/>
        <v/>
      </c>
      <c r="AF1200" s="57">
        <f t="shared" si="908"/>
        <v>0</v>
      </c>
      <c r="AG1200" s="59">
        <f t="shared" si="909"/>
        <v>0</v>
      </c>
      <c r="AH1200" s="15"/>
      <c r="AI1200" s="15"/>
      <c r="AJ1200" s="15"/>
      <c r="AK1200" s="15"/>
      <c r="AL1200" s="15"/>
      <c r="AM1200" s="15"/>
      <c r="AN1200" s="15"/>
      <c r="AO1200" s="15"/>
      <c r="AP1200" s="15"/>
      <c r="AQ1200" s="15"/>
      <c r="AR1200" s="15"/>
      <c r="AS1200" s="15"/>
      <c r="AT1200" s="15"/>
      <c r="AU1200" s="15"/>
    </row>
    <row r="1201" ht="24.0" customHeight="1">
      <c r="A1201" s="45">
        <v>2625.0</v>
      </c>
      <c r="B1201" s="57"/>
      <c r="C1201" s="57"/>
      <c r="D1201" s="88" t="str">
        <f t="array" ref="D1201">IFERROR(
  LOOKUP(2, 1/((TRIM(IMS!$E$8:$E$2574)=TRIM(IMS!$E1201))*(IMS!$C$8:$C$2574&lt;IMS!$C1201)),
         IMS!$C$8:$C$2574),
"")</f>
        <v/>
      </c>
      <c r="E1201" s="57"/>
      <c r="F1201" s="57"/>
      <c r="G1201" s="77" t="str">
        <f t="shared" si="901"/>
        <v/>
      </c>
      <c r="H1201" s="78" t="str">
        <f t="shared" si="902"/>
        <v/>
      </c>
      <c r="I1201" s="79"/>
      <c r="J1201" s="80" t="str">
        <f t="shared" si="903"/>
        <v>#NAME?</v>
      </c>
      <c r="K1201" s="58"/>
      <c r="L1201" s="58"/>
      <c r="M1201" s="57"/>
      <c r="N1201" s="57"/>
      <c r="O1201" s="58"/>
      <c r="P1201" s="82"/>
      <c r="Q1201" s="81"/>
      <c r="R1201" s="81"/>
      <c r="S1201" s="57"/>
      <c r="T1201" s="82"/>
      <c r="U1201" s="82"/>
      <c r="V1201" s="57"/>
      <c r="W1201" s="57"/>
      <c r="X1201" s="57" t="str">
        <f t="shared" si="917"/>
        <v/>
      </c>
      <c r="Y1201" s="58" t="str">
        <f t="shared" ref="Y1201:AC1201" si="1041">TRIM(SUBSTITUTE(SUBSTITUTE(OFFSET($Q1201,0,COLUMN()-COLUMN($AL$1)),CHAR(160)," "),_xludf.UNICHAR(8239)," "))</f>
        <v>#NAME?</v>
      </c>
      <c r="Z1201" s="58" t="str">
        <f t="shared" si="1041"/>
        <v>#NAME?</v>
      </c>
      <c r="AA1201" s="58" t="str">
        <f t="shared" si="1041"/>
        <v>#NAME?</v>
      </c>
      <c r="AB1201" s="58" t="str">
        <f t="shared" si="1041"/>
        <v>#NAME?</v>
      </c>
      <c r="AC1201" s="58" t="str">
        <f t="shared" si="1041"/>
        <v>#NAME?</v>
      </c>
      <c r="AD1201" s="57">
        <f t="shared" si="906"/>
        <v>0</v>
      </c>
      <c r="AE1201" s="57" t="str">
        <f t="shared" si="907"/>
        <v/>
      </c>
      <c r="AF1201" s="57">
        <f t="shared" si="908"/>
        <v>0</v>
      </c>
      <c r="AG1201" s="59">
        <f t="shared" si="909"/>
        <v>0</v>
      </c>
      <c r="AH1201" s="15"/>
      <c r="AI1201" s="15"/>
      <c r="AJ1201" s="15"/>
      <c r="AK1201" s="15"/>
      <c r="AL1201" s="15"/>
      <c r="AM1201" s="15"/>
      <c r="AN1201" s="15"/>
      <c r="AO1201" s="15"/>
      <c r="AP1201" s="15"/>
      <c r="AQ1201" s="15"/>
      <c r="AR1201" s="15"/>
      <c r="AS1201" s="15"/>
      <c r="AT1201" s="15"/>
      <c r="AU1201" s="15"/>
    </row>
    <row r="1202" ht="24.0" customHeight="1">
      <c r="A1202" s="45">
        <v>2626.0</v>
      </c>
      <c r="B1202" s="57"/>
      <c r="C1202" s="57"/>
      <c r="D1202" s="88" t="str">
        <f t="array" ref="D1202">IFERROR(
  LOOKUP(2, 1/((TRIM(IMS!$E$8:$E$2574)=TRIM(IMS!$E1202))*(IMS!$C$8:$C$2574&lt;IMS!$C1202)),
         IMS!$C$8:$C$2574),
"")</f>
        <v/>
      </c>
      <c r="E1202" s="57"/>
      <c r="F1202" s="57"/>
      <c r="G1202" s="77" t="str">
        <f t="shared" si="901"/>
        <v/>
      </c>
      <c r="H1202" s="78" t="str">
        <f t="shared" si="902"/>
        <v/>
      </c>
      <c r="I1202" s="79"/>
      <c r="J1202" s="80" t="str">
        <f t="shared" si="903"/>
        <v>#NAME?</v>
      </c>
      <c r="K1202" s="58"/>
      <c r="L1202" s="58"/>
      <c r="M1202" s="57"/>
      <c r="N1202" s="57"/>
      <c r="O1202" s="58"/>
      <c r="P1202" s="82"/>
      <c r="Q1202" s="81"/>
      <c r="R1202" s="81"/>
      <c r="S1202" s="57"/>
      <c r="T1202" s="82"/>
      <c r="U1202" s="82"/>
      <c r="V1202" s="57"/>
      <c r="W1202" s="57"/>
      <c r="X1202" s="57" t="str">
        <f t="shared" si="917"/>
        <v/>
      </c>
      <c r="Y1202" s="58" t="str">
        <f t="shared" ref="Y1202:AC1202" si="1042">TRIM(SUBSTITUTE(SUBSTITUTE(OFFSET($Q1202,0,COLUMN()-COLUMN($AL$1)),CHAR(160)," "),_xludf.UNICHAR(8239)," "))</f>
        <v>#NAME?</v>
      </c>
      <c r="Z1202" s="58" t="str">
        <f t="shared" si="1042"/>
        <v>#NAME?</v>
      </c>
      <c r="AA1202" s="58" t="str">
        <f t="shared" si="1042"/>
        <v>#NAME?</v>
      </c>
      <c r="AB1202" s="58" t="str">
        <f t="shared" si="1042"/>
        <v>#NAME?</v>
      </c>
      <c r="AC1202" s="58" t="str">
        <f t="shared" si="1042"/>
        <v>#NAME?</v>
      </c>
      <c r="AD1202" s="57">
        <f t="shared" si="906"/>
        <v>0</v>
      </c>
      <c r="AE1202" s="57" t="str">
        <f t="shared" si="907"/>
        <v/>
      </c>
      <c r="AF1202" s="57">
        <f t="shared" si="908"/>
        <v>0</v>
      </c>
      <c r="AG1202" s="59">
        <f t="shared" si="909"/>
        <v>0</v>
      </c>
      <c r="AH1202" s="15"/>
      <c r="AI1202" s="15"/>
      <c r="AJ1202" s="15"/>
      <c r="AK1202" s="15"/>
      <c r="AL1202" s="15"/>
      <c r="AM1202" s="15"/>
      <c r="AN1202" s="15"/>
      <c r="AO1202" s="15"/>
      <c r="AP1202" s="15"/>
      <c r="AQ1202" s="15"/>
      <c r="AR1202" s="15"/>
      <c r="AS1202" s="15"/>
      <c r="AT1202" s="15"/>
      <c r="AU1202" s="15"/>
    </row>
    <row r="1203" ht="24.0" customHeight="1">
      <c r="A1203" s="45">
        <v>2627.0</v>
      </c>
      <c r="B1203" s="57"/>
      <c r="C1203" s="57"/>
      <c r="D1203" s="88" t="str">
        <f t="array" ref="D1203">IFERROR(
  LOOKUP(2, 1/((TRIM(IMS!$E$8:$E$2574)=TRIM(IMS!$E1203))*(IMS!$C$8:$C$2574&lt;IMS!$C1203)),
         IMS!$C$8:$C$2574),
"")</f>
        <v/>
      </c>
      <c r="E1203" s="57"/>
      <c r="F1203" s="57"/>
      <c r="G1203" s="77" t="str">
        <f t="shared" si="901"/>
        <v/>
      </c>
      <c r="H1203" s="78" t="str">
        <f t="shared" si="902"/>
        <v/>
      </c>
      <c r="I1203" s="79"/>
      <c r="J1203" s="80" t="str">
        <f t="shared" si="903"/>
        <v>#NAME?</v>
      </c>
      <c r="K1203" s="58"/>
      <c r="L1203" s="58"/>
      <c r="M1203" s="57"/>
      <c r="N1203" s="57"/>
      <c r="O1203" s="58"/>
      <c r="P1203" s="82"/>
      <c r="Q1203" s="81"/>
      <c r="R1203" s="81"/>
      <c r="S1203" s="57"/>
      <c r="T1203" s="82"/>
      <c r="U1203" s="82"/>
      <c r="V1203" s="57"/>
      <c r="W1203" s="57"/>
      <c r="X1203" s="57" t="str">
        <f t="shared" si="917"/>
        <v/>
      </c>
      <c r="Y1203" s="58" t="str">
        <f t="shared" ref="Y1203:AC1203" si="1043">TRIM(SUBSTITUTE(SUBSTITUTE(OFFSET($Q1203,0,COLUMN()-COLUMN($AL$1)),CHAR(160)," "),_xludf.UNICHAR(8239)," "))</f>
        <v>#NAME?</v>
      </c>
      <c r="Z1203" s="58" t="str">
        <f t="shared" si="1043"/>
        <v>#NAME?</v>
      </c>
      <c r="AA1203" s="58" t="str">
        <f t="shared" si="1043"/>
        <v>#NAME?</v>
      </c>
      <c r="AB1203" s="58" t="str">
        <f t="shared" si="1043"/>
        <v>#NAME?</v>
      </c>
      <c r="AC1203" s="58" t="str">
        <f t="shared" si="1043"/>
        <v>#NAME?</v>
      </c>
      <c r="AD1203" s="57">
        <f t="shared" si="906"/>
        <v>0</v>
      </c>
      <c r="AE1203" s="57" t="str">
        <f t="shared" si="907"/>
        <v/>
      </c>
      <c r="AF1203" s="57">
        <f t="shared" si="908"/>
        <v>0</v>
      </c>
      <c r="AG1203" s="59">
        <f t="shared" si="909"/>
        <v>0</v>
      </c>
      <c r="AH1203" s="15"/>
      <c r="AI1203" s="15"/>
      <c r="AJ1203" s="15"/>
      <c r="AK1203" s="15"/>
      <c r="AL1203" s="15"/>
      <c r="AM1203" s="15"/>
      <c r="AN1203" s="15"/>
      <c r="AO1203" s="15"/>
      <c r="AP1203" s="15"/>
      <c r="AQ1203" s="15"/>
      <c r="AR1203" s="15"/>
      <c r="AS1203" s="15"/>
      <c r="AT1203" s="15"/>
      <c r="AU1203" s="15"/>
    </row>
    <row r="1204" ht="24.0" customHeight="1">
      <c r="A1204" s="45">
        <v>2628.0</v>
      </c>
      <c r="B1204" s="57"/>
      <c r="C1204" s="57"/>
      <c r="D1204" s="88" t="str">
        <f t="array" ref="D1204">IFERROR(
  LOOKUP(2, 1/((TRIM(IMS!$E$8:$E$2574)=TRIM(IMS!$E1204))*(IMS!$C$8:$C$2574&lt;IMS!$C1204)),
         IMS!$C$8:$C$2574),
"")</f>
        <v/>
      </c>
      <c r="E1204" s="57"/>
      <c r="F1204" s="57"/>
      <c r="G1204" s="77" t="str">
        <f t="shared" si="901"/>
        <v/>
      </c>
      <c r="H1204" s="78" t="str">
        <f t="shared" si="902"/>
        <v/>
      </c>
      <c r="I1204" s="79"/>
      <c r="J1204" s="80" t="str">
        <f t="shared" si="903"/>
        <v>#NAME?</v>
      </c>
      <c r="K1204" s="58"/>
      <c r="L1204" s="58"/>
      <c r="M1204" s="57"/>
      <c r="N1204" s="57"/>
      <c r="O1204" s="58"/>
      <c r="P1204" s="82"/>
      <c r="Q1204" s="81"/>
      <c r="R1204" s="81"/>
      <c r="S1204" s="57"/>
      <c r="T1204" s="82"/>
      <c r="U1204" s="82"/>
      <c r="V1204" s="57"/>
      <c r="W1204" s="57"/>
      <c r="X1204" s="57" t="str">
        <f t="shared" si="917"/>
        <v/>
      </c>
      <c r="Y1204" s="58" t="str">
        <f t="shared" ref="Y1204:AC1204" si="1044">TRIM(SUBSTITUTE(SUBSTITUTE(OFFSET($Q1204,0,COLUMN()-COLUMN($AL$1)),CHAR(160)," "),_xludf.UNICHAR(8239)," "))</f>
        <v>#NAME?</v>
      </c>
      <c r="Z1204" s="58" t="str">
        <f t="shared" si="1044"/>
        <v>#NAME?</v>
      </c>
      <c r="AA1204" s="58" t="str">
        <f t="shared" si="1044"/>
        <v>#NAME?</v>
      </c>
      <c r="AB1204" s="58" t="str">
        <f t="shared" si="1044"/>
        <v>#NAME?</v>
      </c>
      <c r="AC1204" s="58" t="str">
        <f t="shared" si="1044"/>
        <v>#NAME?</v>
      </c>
      <c r="AD1204" s="57">
        <f t="shared" si="906"/>
        <v>0</v>
      </c>
      <c r="AE1204" s="57" t="str">
        <f t="shared" si="907"/>
        <v/>
      </c>
      <c r="AF1204" s="57">
        <f t="shared" si="908"/>
        <v>0</v>
      </c>
      <c r="AG1204" s="59">
        <f t="shared" si="909"/>
        <v>0</v>
      </c>
      <c r="AH1204" s="15"/>
      <c r="AI1204" s="15"/>
      <c r="AJ1204" s="15"/>
      <c r="AK1204" s="15"/>
      <c r="AL1204" s="15"/>
      <c r="AM1204" s="15"/>
      <c r="AN1204" s="15"/>
      <c r="AO1204" s="15"/>
      <c r="AP1204" s="15"/>
      <c r="AQ1204" s="15"/>
      <c r="AR1204" s="15"/>
      <c r="AS1204" s="15"/>
      <c r="AT1204" s="15"/>
      <c r="AU1204" s="15"/>
    </row>
    <row r="1205" ht="24.0" customHeight="1">
      <c r="A1205" s="45">
        <v>2629.0</v>
      </c>
      <c r="B1205" s="57"/>
      <c r="C1205" s="57"/>
      <c r="D1205" s="88" t="str">
        <f t="array" ref="D1205">IFERROR(
  LOOKUP(2, 1/((TRIM(IMS!$E$8:$E$2574)=TRIM(IMS!$E1205))*(IMS!$C$8:$C$2574&lt;IMS!$C1205)),
         IMS!$C$8:$C$2574),
"")</f>
        <v/>
      </c>
      <c r="E1205" s="57"/>
      <c r="F1205" s="57"/>
      <c r="G1205" s="77" t="str">
        <f t="shared" si="901"/>
        <v/>
      </c>
      <c r="H1205" s="78" t="str">
        <f t="shared" si="902"/>
        <v/>
      </c>
      <c r="I1205" s="79"/>
      <c r="J1205" s="80" t="str">
        <f t="shared" si="903"/>
        <v>#NAME?</v>
      </c>
      <c r="K1205" s="58"/>
      <c r="L1205" s="58"/>
      <c r="M1205" s="57"/>
      <c r="N1205" s="57"/>
      <c r="O1205" s="58"/>
      <c r="P1205" s="82"/>
      <c r="Q1205" s="81"/>
      <c r="R1205" s="81"/>
      <c r="S1205" s="57"/>
      <c r="T1205" s="82"/>
      <c r="U1205" s="82"/>
      <c r="V1205" s="57"/>
      <c r="W1205" s="57"/>
      <c r="X1205" s="57" t="str">
        <f t="shared" si="917"/>
        <v/>
      </c>
      <c r="Y1205" s="58" t="str">
        <f t="shared" ref="Y1205:AC1205" si="1045">TRIM(SUBSTITUTE(SUBSTITUTE(OFFSET($Q1205,0,COLUMN()-COLUMN($AL$1)),CHAR(160)," "),_xludf.UNICHAR(8239)," "))</f>
        <v>#NAME?</v>
      </c>
      <c r="Z1205" s="58" t="str">
        <f t="shared" si="1045"/>
        <v>#NAME?</v>
      </c>
      <c r="AA1205" s="58" t="str">
        <f t="shared" si="1045"/>
        <v>#NAME?</v>
      </c>
      <c r="AB1205" s="58" t="str">
        <f t="shared" si="1045"/>
        <v>#NAME?</v>
      </c>
      <c r="AC1205" s="58" t="str">
        <f t="shared" si="1045"/>
        <v>#NAME?</v>
      </c>
      <c r="AD1205" s="57">
        <f t="shared" si="906"/>
        <v>0</v>
      </c>
      <c r="AE1205" s="57" t="str">
        <f t="shared" si="907"/>
        <v/>
      </c>
      <c r="AF1205" s="57">
        <f t="shared" si="908"/>
        <v>0</v>
      </c>
      <c r="AG1205" s="59">
        <f t="shared" si="909"/>
        <v>0</v>
      </c>
      <c r="AH1205" s="15"/>
      <c r="AI1205" s="15"/>
      <c r="AJ1205" s="15"/>
      <c r="AK1205" s="15"/>
      <c r="AL1205" s="15"/>
      <c r="AM1205" s="15"/>
      <c r="AN1205" s="15"/>
      <c r="AO1205" s="15"/>
      <c r="AP1205" s="15"/>
      <c r="AQ1205" s="15"/>
      <c r="AR1205" s="15"/>
      <c r="AS1205" s="15"/>
      <c r="AT1205" s="15"/>
      <c r="AU1205" s="15"/>
    </row>
    <row r="1206" ht="24.0" customHeight="1">
      <c r="A1206" s="45">
        <v>2630.0</v>
      </c>
      <c r="B1206" s="57"/>
      <c r="C1206" s="57"/>
      <c r="D1206" s="88" t="str">
        <f t="array" ref="D1206">IFERROR(
  LOOKUP(2, 1/((TRIM(IMS!$E$8:$E$2574)=TRIM(IMS!$E1206))*(IMS!$C$8:$C$2574&lt;IMS!$C1206)),
         IMS!$C$8:$C$2574),
"")</f>
        <v/>
      </c>
      <c r="E1206" s="57"/>
      <c r="F1206" s="57"/>
      <c r="G1206" s="77" t="str">
        <f t="shared" si="901"/>
        <v/>
      </c>
      <c r="H1206" s="78" t="str">
        <f t="shared" si="902"/>
        <v/>
      </c>
      <c r="I1206" s="79"/>
      <c r="J1206" s="80" t="str">
        <f t="shared" si="903"/>
        <v>#NAME?</v>
      </c>
      <c r="K1206" s="58"/>
      <c r="L1206" s="58"/>
      <c r="M1206" s="57"/>
      <c r="N1206" s="57"/>
      <c r="O1206" s="58"/>
      <c r="P1206" s="82"/>
      <c r="Q1206" s="81"/>
      <c r="R1206" s="81"/>
      <c r="S1206" s="57"/>
      <c r="T1206" s="82"/>
      <c r="U1206" s="82"/>
      <c r="V1206" s="57"/>
      <c r="W1206" s="57"/>
      <c r="X1206" s="57" t="str">
        <f t="shared" si="917"/>
        <v/>
      </c>
      <c r="Y1206" s="58" t="str">
        <f t="shared" ref="Y1206:AC1206" si="1046">TRIM(SUBSTITUTE(SUBSTITUTE(OFFSET($Q1206,0,COLUMN()-COLUMN($AL$1)),CHAR(160)," "),_xludf.UNICHAR(8239)," "))</f>
        <v>#NAME?</v>
      </c>
      <c r="Z1206" s="58" t="str">
        <f t="shared" si="1046"/>
        <v>#NAME?</v>
      </c>
      <c r="AA1206" s="58" t="str">
        <f t="shared" si="1046"/>
        <v>#NAME?</v>
      </c>
      <c r="AB1206" s="58" t="str">
        <f t="shared" si="1046"/>
        <v>#NAME?</v>
      </c>
      <c r="AC1206" s="58" t="str">
        <f t="shared" si="1046"/>
        <v>#NAME?</v>
      </c>
      <c r="AD1206" s="57">
        <f t="shared" si="906"/>
        <v>0</v>
      </c>
      <c r="AE1206" s="57" t="str">
        <f t="shared" si="907"/>
        <v/>
      </c>
      <c r="AF1206" s="57">
        <f t="shared" si="908"/>
        <v>0</v>
      </c>
      <c r="AG1206" s="59">
        <f t="shared" si="909"/>
        <v>0</v>
      </c>
      <c r="AH1206" s="15"/>
      <c r="AI1206" s="15"/>
      <c r="AJ1206" s="15"/>
      <c r="AK1206" s="15"/>
      <c r="AL1206" s="15"/>
      <c r="AM1206" s="15"/>
      <c r="AN1206" s="15"/>
      <c r="AO1206" s="15"/>
      <c r="AP1206" s="15"/>
      <c r="AQ1206" s="15"/>
      <c r="AR1206" s="15"/>
      <c r="AS1206" s="15"/>
      <c r="AT1206" s="15"/>
      <c r="AU1206" s="15"/>
    </row>
    <row r="1207" ht="24.0" customHeight="1">
      <c r="A1207" s="45">
        <v>2631.0</v>
      </c>
      <c r="B1207" s="57"/>
      <c r="C1207" s="57"/>
      <c r="D1207" s="88" t="str">
        <f t="array" ref="D1207">IFERROR(
  LOOKUP(2, 1/((TRIM(IMS!$E$8:$E$2574)=TRIM(IMS!$E1207))*(IMS!$C$8:$C$2574&lt;IMS!$C1207)),
         IMS!$C$8:$C$2574),
"")</f>
        <v/>
      </c>
      <c r="E1207" s="57"/>
      <c r="F1207" s="57"/>
      <c r="G1207" s="77" t="str">
        <f t="shared" si="901"/>
        <v/>
      </c>
      <c r="H1207" s="78" t="str">
        <f t="shared" si="902"/>
        <v/>
      </c>
      <c r="I1207" s="79"/>
      <c r="J1207" s="80" t="str">
        <f t="shared" si="903"/>
        <v>#NAME?</v>
      </c>
      <c r="K1207" s="58"/>
      <c r="L1207" s="58"/>
      <c r="M1207" s="57"/>
      <c r="N1207" s="57"/>
      <c r="O1207" s="58"/>
      <c r="P1207" s="82"/>
      <c r="Q1207" s="81"/>
      <c r="R1207" s="81"/>
      <c r="S1207" s="57"/>
      <c r="T1207" s="82"/>
      <c r="U1207" s="82"/>
      <c r="V1207" s="57"/>
      <c r="W1207" s="57"/>
      <c r="X1207" s="57" t="str">
        <f t="shared" si="917"/>
        <v/>
      </c>
      <c r="Y1207" s="58" t="str">
        <f t="shared" ref="Y1207:AC1207" si="1047">TRIM(SUBSTITUTE(SUBSTITUTE(OFFSET($Q1207,0,COLUMN()-COLUMN($AL$1)),CHAR(160)," "),_xludf.UNICHAR(8239)," "))</f>
        <v>#NAME?</v>
      </c>
      <c r="Z1207" s="58" t="str">
        <f t="shared" si="1047"/>
        <v>#NAME?</v>
      </c>
      <c r="AA1207" s="58" t="str">
        <f t="shared" si="1047"/>
        <v>#NAME?</v>
      </c>
      <c r="AB1207" s="58" t="str">
        <f t="shared" si="1047"/>
        <v>#NAME?</v>
      </c>
      <c r="AC1207" s="58" t="str">
        <f t="shared" si="1047"/>
        <v>#NAME?</v>
      </c>
      <c r="AD1207" s="57">
        <f t="shared" si="906"/>
        <v>0</v>
      </c>
      <c r="AE1207" s="57" t="str">
        <f t="shared" si="907"/>
        <v/>
      </c>
      <c r="AF1207" s="57">
        <f t="shared" si="908"/>
        <v>0</v>
      </c>
      <c r="AG1207" s="59">
        <f t="shared" si="909"/>
        <v>0</v>
      </c>
      <c r="AH1207" s="15"/>
      <c r="AI1207" s="15"/>
      <c r="AJ1207" s="15"/>
      <c r="AK1207" s="15"/>
      <c r="AL1207" s="15"/>
      <c r="AM1207" s="15"/>
      <c r="AN1207" s="15"/>
      <c r="AO1207" s="15"/>
      <c r="AP1207" s="15"/>
      <c r="AQ1207" s="15"/>
      <c r="AR1207" s="15"/>
      <c r="AS1207" s="15"/>
      <c r="AT1207" s="15"/>
      <c r="AU1207" s="15"/>
    </row>
    <row r="1208" ht="24.0" customHeight="1">
      <c r="A1208" s="45">
        <v>2632.0</v>
      </c>
      <c r="B1208" s="57"/>
      <c r="C1208" s="57"/>
      <c r="D1208" s="88" t="str">
        <f t="array" ref="D1208">IFERROR(
  LOOKUP(2, 1/((TRIM(IMS!$E$8:$E$2574)=TRIM(IMS!$E1208))*(IMS!$C$8:$C$2574&lt;IMS!$C1208)),
         IMS!$C$8:$C$2574),
"")</f>
        <v/>
      </c>
      <c r="E1208" s="57"/>
      <c r="F1208" s="57"/>
      <c r="G1208" s="77" t="str">
        <f t="shared" si="901"/>
        <v/>
      </c>
      <c r="H1208" s="78" t="str">
        <f t="shared" si="902"/>
        <v/>
      </c>
      <c r="I1208" s="79"/>
      <c r="J1208" s="80" t="str">
        <f t="shared" si="903"/>
        <v>#NAME?</v>
      </c>
      <c r="K1208" s="58"/>
      <c r="L1208" s="58"/>
      <c r="M1208" s="57"/>
      <c r="N1208" s="57"/>
      <c r="O1208" s="58"/>
      <c r="P1208" s="82"/>
      <c r="Q1208" s="81"/>
      <c r="R1208" s="81"/>
      <c r="S1208" s="57"/>
      <c r="T1208" s="82"/>
      <c r="U1208" s="82"/>
      <c r="V1208" s="57"/>
      <c r="W1208" s="57"/>
      <c r="X1208" s="57" t="str">
        <f t="shared" si="917"/>
        <v/>
      </c>
      <c r="Y1208" s="58" t="str">
        <f t="shared" ref="Y1208:AC1208" si="1048">TRIM(SUBSTITUTE(SUBSTITUTE(OFFSET($Q1208,0,COLUMN()-COLUMN($AL$1)),CHAR(160)," "),_xludf.UNICHAR(8239)," "))</f>
        <v>#NAME?</v>
      </c>
      <c r="Z1208" s="58" t="str">
        <f t="shared" si="1048"/>
        <v>#NAME?</v>
      </c>
      <c r="AA1208" s="58" t="str">
        <f t="shared" si="1048"/>
        <v>#NAME?</v>
      </c>
      <c r="AB1208" s="58" t="str">
        <f t="shared" si="1048"/>
        <v>#NAME?</v>
      </c>
      <c r="AC1208" s="58" t="str">
        <f t="shared" si="1048"/>
        <v>#NAME?</v>
      </c>
      <c r="AD1208" s="57">
        <f t="shared" si="906"/>
        <v>0</v>
      </c>
      <c r="AE1208" s="57" t="str">
        <f t="shared" si="907"/>
        <v/>
      </c>
      <c r="AF1208" s="57">
        <f t="shared" si="908"/>
        <v>0</v>
      </c>
      <c r="AG1208" s="59">
        <f t="shared" si="909"/>
        <v>0</v>
      </c>
      <c r="AH1208" s="15"/>
      <c r="AI1208" s="15"/>
      <c r="AJ1208" s="15"/>
      <c r="AK1208" s="15"/>
      <c r="AL1208" s="15"/>
      <c r="AM1208" s="15"/>
      <c r="AN1208" s="15"/>
      <c r="AO1208" s="15"/>
      <c r="AP1208" s="15"/>
      <c r="AQ1208" s="15"/>
      <c r="AR1208" s="15"/>
      <c r="AS1208" s="15"/>
      <c r="AT1208" s="15"/>
      <c r="AU1208" s="15"/>
    </row>
    <row r="1209" ht="24.0" customHeight="1">
      <c r="A1209" s="45">
        <v>2633.0</v>
      </c>
      <c r="B1209" s="57"/>
      <c r="C1209" s="57"/>
      <c r="D1209" s="88" t="str">
        <f t="array" ref="D1209">IFERROR(
  LOOKUP(2, 1/((TRIM(IMS!$E$8:$E$2574)=TRIM(IMS!$E1209))*(IMS!$C$8:$C$2574&lt;IMS!$C1209)),
         IMS!$C$8:$C$2574),
"")</f>
        <v/>
      </c>
      <c r="E1209" s="57"/>
      <c r="F1209" s="57"/>
      <c r="G1209" s="77" t="str">
        <f t="shared" si="901"/>
        <v/>
      </c>
      <c r="H1209" s="78" t="str">
        <f t="shared" si="902"/>
        <v/>
      </c>
      <c r="I1209" s="79"/>
      <c r="J1209" s="80" t="str">
        <f t="shared" si="903"/>
        <v>#NAME?</v>
      </c>
      <c r="K1209" s="58"/>
      <c r="L1209" s="58"/>
      <c r="M1209" s="57"/>
      <c r="N1209" s="57"/>
      <c r="O1209" s="58"/>
      <c r="P1209" s="82"/>
      <c r="Q1209" s="81"/>
      <c r="R1209" s="81"/>
      <c r="S1209" s="57"/>
      <c r="T1209" s="82"/>
      <c r="U1209" s="82"/>
      <c r="V1209" s="57"/>
      <c r="W1209" s="57"/>
      <c r="X1209" s="57" t="str">
        <f t="shared" si="917"/>
        <v/>
      </c>
      <c r="Y1209" s="58" t="str">
        <f t="shared" ref="Y1209:AC1209" si="1049">TRIM(SUBSTITUTE(SUBSTITUTE(OFFSET($Q1209,0,COLUMN()-COLUMN($AL$1)),CHAR(160)," "),_xludf.UNICHAR(8239)," "))</f>
        <v>#NAME?</v>
      </c>
      <c r="Z1209" s="58" t="str">
        <f t="shared" si="1049"/>
        <v>#NAME?</v>
      </c>
      <c r="AA1209" s="58" t="str">
        <f t="shared" si="1049"/>
        <v>#NAME?</v>
      </c>
      <c r="AB1209" s="58" t="str">
        <f t="shared" si="1049"/>
        <v>#NAME?</v>
      </c>
      <c r="AC1209" s="58" t="str">
        <f t="shared" si="1049"/>
        <v>#NAME?</v>
      </c>
      <c r="AD1209" s="57">
        <f t="shared" si="906"/>
        <v>0</v>
      </c>
      <c r="AE1209" s="57" t="str">
        <f t="shared" si="907"/>
        <v/>
      </c>
      <c r="AF1209" s="57">
        <f t="shared" si="908"/>
        <v>0</v>
      </c>
      <c r="AG1209" s="59">
        <f t="shared" si="909"/>
        <v>0</v>
      </c>
      <c r="AH1209" s="15"/>
      <c r="AI1209" s="15"/>
      <c r="AJ1209" s="15"/>
      <c r="AK1209" s="15"/>
      <c r="AL1209" s="15"/>
      <c r="AM1209" s="15"/>
      <c r="AN1209" s="15"/>
      <c r="AO1209" s="15"/>
      <c r="AP1209" s="15"/>
      <c r="AQ1209" s="15"/>
      <c r="AR1209" s="15"/>
      <c r="AS1209" s="15"/>
      <c r="AT1209" s="15"/>
      <c r="AU1209" s="15"/>
    </row>
    <row r="1210" ht="24.0" customHeight="1">
      <c r="A1210" s="45">
        <v>2634.0</v>
      </c>
      <c r="B1210" s="57"/>
      <c r="C1210" s="57"/>
      <c r="D1210" s="88" t="str">
        <f t="array" ref="D1210">IFERROR(
  LOOKUP(2, 1/((TRIM(IMS!$E$8:$E$2574)=TRIM(IMS!$E1210))*(IMS!$C$8:$C$2574&lt;IMS!$C1210)),
         IMS!$C$8:$C$2574),
"")</f>
        <v/>
      </c>
      <c r="E1210" s="57"/>
      <c r="F1210" s="57"/>
      <c r="G1210" s="77" t="str">
        <f t="shared" si="901"/>
        <v/>
      </c>
      <c r="H1210" s="78" t="str">
        <f t="shared" si="902"/>
        <v/>
      </c>
      <c r="I1210" s="79"/>
      <c r="J1210" s="80" t="str">
        <f t="shared" si="903"/>
        <v>#NAME?</v>
      </c>
      <c r="K1210" s="58"/>
      <c r="L1210" s="58"/>
      <c r="M1210" s="57"/>
      <c r="N1210" s="57"/>
      <c r="O1210" s="58"/>
      <c r="P1210" s="82"/>
      <c r="Q1210" s="81"/>
      <c r="R1210" s="81"/>
      <c r="S1210" s="57"/>
      <c r="T1210" s="82"/>
      <c r="U1210" s="82"/>
      <c r="V1210" s="57"/>
      <c r="W1210" s="57"/>
      <c r="X1210" s="57" t="str">
        <f t="shared" si="917"/>
        <v/>
      </c>
      <c r="Y1210" s="58" t="str">
        <f t="shared" ref="Y1210:AC1210" si="1050">TRIM(SUBSTITUTE(SUBSTITUTE(OFFSET($Q1210,0,COLUMN()-COLUMN($AL$1)),CHAR(160)," "),_xludf.UNICHAR(8239)," "))</f>
        <v>#NAME?</v>
      </c>
      <c r="Z1210" s="58" t="str">
        <f t="shared" si="1050"/>
        <v>#NAME?</v>
      </c>
      <c r="AA1210" s="58" t="str">
        <f t="shared" si="1050"/>
        <v>#NAME?</v>
      </c>
      <c r="AB1210" s="58" t="str">
        <f t="shared" si="1050"/>
        <v>#NAME?</v>
      </c>
      <c r="AC1210" s="58" t="str">
        <f t="shared" si="1050"/>
        <v>#NAME?</v>
      </c>
      <c r="AD1210" s="57">
        <f t="shared" si="906"/>
        <v>0</v>
      </c>
      <c r="AE1210" s="57" t="str">
        <f t="shared" si="907"/>
        <v/>
      </c>
      <c r="AF1210" s="57">
        <f t="shared" si="908"/>
        <v>0</v>
      </c>
      <c r="AG1210" s="59">
        <f t="shared" si="909"/>
        <v>0</v>
      </c>
      <c r="AH1210" s="15"/>
      <c r="AI1210" s="15"/>
      <c r="AJ1210" s="15"/>
      <c r="AK1210" s="15"/>
      <c r="AL1210" s="15"/>
      <c r="AM1210" s="15"/>
      <c r="AN1210" s="15"/>
      <c r="AO1210" s="15"/>
      <c r="AP1210" s="15"/>
      <c r="AQ1210" s="15"/>
      <c r="AR1210" s="15"/>
      <c r="AS1210" s="15"/>
      <c r="AT1210" s="15"/>
      <c r="AU1210" s="15"/>
    </row>
    <row r="1211" ht="24.0" customHeight="1">
      <c r="A1211" s="45">
        <v>2635.0</v>
      </c>
      <c r="B1211" s="57"/>
      <c r="C1211" s="57"/>
      <c r="D1211" s="88" t="str">
        <f t="array" ref="D1211">IFERROR(
  LOOKUP(2, 1/((TRIM(IMS!$E$8:$E$2574)=TRIM(IMS!$E1211))*(IMS!$C$8:$C$2574&lt;IMS!$C1211)),
         IMS!$C$8:$C$2574),
"")</f>
        <v/>
      </c>
      <c r="E1211" s="57"/>
      <c r="F1211" s="57"/>
      <c r="G1211" s="77" t="str">
        <f t="shared" si="901"/>
        <v/>
      </c>
      <c r="H1211" s="78" t="str">
        <f t="shared" si="902"/>
        <v/>
      </c>
      <c r="I1211" s="79"/>
      <c r="J1211" s="80" t="str">
        <f t="shared" si="903"/>
        <v>#NAME?</v>
      </c>
      <c r="K1211" s="58"/>
      <c r="L1211" s="58"/>
      <c r="M1211" s="57"/>
      <c r="N1211" s="57"/>
      <c r="O1211" s="58"/>
      <c r="P1211" s="82"/>
      <c r="Q1211" s="81"/>
      <c r="R1211" s="81"/>
      <c r="S1211" s="57"/>
      <c r="T1211" s="82"/>
      <c r="U1211" s="82"/>
      <c r="V1211" s="57"/>
      <c r="W1211" s="57"/>
      <c r="X1211" s="57" t="str">
        <f t="shared" si="917"/>
        <v/>
      </c>
      <c r="Y1211" s="58" t="str">
        <f t="shared" ref="Y1211:AC1211" si="1051">TRIM(SUBSTITUTE(SUBSTITUTE(OFFSET($Q1211,0,COLUMN()-COLUMN($AL$1)),CHAR(160)," "),_xludf.UNICHAR(8239)," "))</f>
        <v>#NAME?</v>
      </c>
      <c r="Z1211" s="58" t="str">
        <f t="shared" si="1051"/>
        <v>#NAME?</v>
      </c>
      <c r="AA1211" s="58" t="str">
        <f t="shared" si="1051"/>
        <v>#NAME?</v>
      </c>
      <c r="AB1211" s="58" t="str">
        <f t="shared" si="1051"/>
        <v>#NAME?</v>
      </c>
      <c r="AC1211" s="58" t="str">
        <f t="shared" si="1051"/>
        <v>#NAME?</v>
      </c>
      <c r="AD1211" s="57">
        <f t="shared" si="906"/>
        <v>0</v>
      </c>
      <c r="AE1211" s="57" t="str">
        <f t="shared" si="907"/>
        <v/>
      </c>
      <c r="AF1211" s="57">
        <f t="shared" si="908"/>
        <v>0</v>
      </c>
      <c r="AG1211" s="59">
        <f t="shared" si="909"/>
        <v>0</v>
      </c>
      <c r="AH1211" s="15"/>
      <c r="AI1211" s="15"/>
      <c r="AJ1211" s="15"/>
      <c r="AK1211" s="15"/>
      <c r="AL1211" s="15"/>
      <c r="AM1211" s="15"/>
      <c r="AN1211" s="15"/>
      <c r="AO1211" s="15"/>
      <c r="AP1211" s="15"/>
      <c r="AQ1211" s="15"/>
      <c r="AR1211" s="15"/>
      <c r="AS1211" s="15"/>
      <c r="AT1211" s="15"/>
      <c r="AU1211" s="15"/>
    </row>
    <row r="1212" ht="24.0" customHeight="1">
      <c r="A1212" s="45">
        <v>2636.0</v>
      </c>
      <c r="B1212" s="57"/>
      <c r="C1212" s="57"/>
      <c r="D1212" s="88" t="str">
        <f t="array" ref="D1212">IFERROR(
  LOOKUP(2, 1/((TRIM(IMS!$E$8:$E$2574)=TRIM(IMS!$E1212))*(IMS!$C$8:$C$2574&lt;IMS!$C1212)),
         IMS!$C$8:$C$2574),
"")</f>
        <v/>
      </c>
      <c r="E1212" s="57"/>
      <c r="F1212" s="57"/>
      <c r="G1212" s="77" t="str">
        <f t="shared" si="901"/>
        <v/>
      </c>
      <c r="H1212" s="78" t="str">
        <f t="shared" si="902"/>
        <v/>
      </c>
      <c r="I1212" s="79"/>
      <c r="J1212" s="80" t="str">
        <f t="shared" si="903"/>
        <v>#NAME?</v>
      </c>
      <c r="K1212" s="58"/>
      <c r="L1212" s="58"/>
      <c r="M1212" s="57"/>
      <c r="N1212" s="57"/>
      <c r="O1212" s="58"/>
      <c r="P1212" s="82"/>
      <c r="Q1212" s="81"/>
      <c r="R1212" s="81"/>
      <c r="S1212" s="57"/>
      <c r="T1212" s="82"/>
      <c r="U1212" s="82"/>
      <c r="V1212" s="57"/>
      <c r="W1212" s="57"/>
      <c r="X1212" s="57" t="str">
        <f t="shared" si="917"/>
        <v/>
      </c>
      <c r="Y1212" s="58" t="str">
        <f t="shared" ref="Y1212:AC1212" si="1052">TRIM(SUBSTITUTE(SUBSTITUTE(OFFSET($Q1212,0,COLUMN()-COLUMN($AL$1)),CHAR(160)," "),_xludf.UNICHAR(8239)," "))</f>
        <v>#NAME?</v>
      </c>
      <c r="Z1212" s="58" t="str">
        <f t="shared" si="1052"/>
        <v>#NAME?</v>
      </c>
      <c r="AA1212" s="58" t="str">
        <f t="shared" si="1052"/>
        <v>#NAME?</v>
      </c>
      <c r="AB1212" s="58" t="str">
        <f t="shared" si="1052"/>
        <v>#NAME?</v>
      </c>
      <c r="AC1212" s="58" t="str">
        <f t="shared" si="1052"/>
        <v>#NAME?</v>
      </c>
      <c r="AD1212" s="57">
        <f t="shared" si="906"/>
        <v>0</v>
      </c>
      <c r="AE1212" s="57" t="str">
        <f t="shared" si="907"/>
        <v/>
      </c>
      <c r="AF1212" s="57">
        <f t="shared" si="908"/>
        <v>0</v>
      </c>
      <c r="AG1212" s="59">
        <f t="shared" si="909"/>
        <v>0</v>
      </c>
      <c r="AH1212" s="15"/>
      <c r="AI1212" s="15"/>
      <c r="AJ1212" s="15"/>
      <c r="AK1212" s="15"/>
      <c r="AL1212" s="15"/>
      <c r="AM1212" s="15"/>
      <c r="AN1212" s="15"/>
      <c r="AO1212" s="15"/>
      <c r="AP1212" s="15"/>
      <c r="AQ1212" s="15"/>
      <c r="AR1212" s="15"/>
      <c r="AS1212" s="15"/>
      <c r="AT1212" s="15"/>
      <c r="AU1212" s="15"/>
    </row>
    <row r="1213" ht="24.0" customHeight="1">
      <c r="A1213" s="45">
        <v>2637.0</v>
      </c>
      <c r="B1213" s="57"/>
      <c r="C1213" s="57"/>
      <c r="D1213" s="88" t="str">
        <f t="array" ref="D1213">IFERROR(
  LOOKUP(2, 1/((TRIM(IMS!$E$8:$E$2574)=TRIM(IMS!$E1213))*(IMS!$C$8:$C$2574&lt;IMS!$C1213)),
         IMS!$C$8:$C$2574),
"")</f>
        <v/>
      </c>
      <c r="E1213" s="57"/>
      <c r="F1213" s="57"/>
      <c r="G1213" s="77" t="str">
        <f t="shared" si="901"/>
        <v/>
      </c>
      <c r="H1213" s="78" t="str">
        <f t="shared" si="902"/>
        <v/>
      </c>
      <c r="I1213" s="79"/>
      <c r="J1213" s="80" t="str">
        <f t="shared" si="903"/>
        <v>#NAME?</v>
      </c>
      <c r="K1213" s="58"/>
      <c r="L1213" s="58"/>
      <c r="M1213" s="57"/>
      <c r="N1213" s="57"/>
      <c r="O1213" s="58"/>
      <c r="P1213" s="82"/>
      <c r="Q1213" s="81"/>
      <c r="R1213" s="81"/>
      <c r="S1213" s="57"/>
      <c r="T1213" s="82"/>
      <c r="U1213" s="82"/>
      <c r="V1213" s="57"/>
      <c r="W1213" s="57"/>
      <c r="X1213" s="57" t="str">
        <f t="shared" si="917"/>
        <v/>
      </c>
      <c r="Y1213" s="58" t="str">
        <f t="shared" ref="Y1213:AC1213" si="1053">TRIM(SUBSTITUTE(SUBSTITUTE(OFFSET($Q1213,0,COLUMN()-COLUMN($AL$1)),CHAR(160)," "),_xludf.UNICHAR(8239)," "))</f>
        <v>#NAME?</v>
      </c>
      <c r="Z1213" s="58" t="str">
        <f t="shared" si="1053"/>
        <v>#NAME?</v>
      </c>
      <c r="AA1213" s="58" t="str">
        <f t="shared" si="1053"/>
        <v>#NAME?</v>
      </c>
      <c r="AB1213" s="58" t="str">
        <f t="shared" si="1053"/>
        <v>#NAME?</v>
      </c>
      <c r="AC1213" s="58" t="str">
        <f t="shared" si="1053"/>
        <v>#NAME?</v>
      </c>
      <c r="AD1213" s="57">
        <f t="shared" si="906"/>
        <v>0</v>
      </c>
      <c r="AE1213" s="57" t="str">
        <f t="shared" si="907"/>
        <v/>
      </c>
      <c r="AF1213" s="57">
        <f t="shared" si="908"/>
        <v>0</v>
      </c>
      <c r="AG1213" s="59">
        <f t="shared" si="909"/>
        <v>0</v>
      </c>
      <c r="AH1213" s="15"/>
      <c r="AI1213" s="15"/>
      <c r="AJ1213" s="15"/>
      <c r="AK1213" s="15"/>
      <c r="AL1213" s="15"/>
      <c r="AM1213" s="15"/>
      <c r="AN1213" s="15"/>
      <c r="AO1213" s="15"/>
      <c r="AP1213" s="15"/>
      <c r="AQ1213" s="15"/>
      <c r="AR1213" s="15"/>
      <c r="AS1213" s="15"/>
      <c r="AT1213" s="15"/>
      <c r="AU1213" s="15"/>
    </row>
    <row r="1214" ht="24.0" customHeight="1">
      <c r="A1214" s="45">
        <v>2638.0</v>
      </c>
      <c r="B1214" s="57"/>
      <c r="C1214" s="57"/>
      <c r="D1214" s="88" t="str">
        <f t="array" ref="D1214">IFERROR(
  LOOKUP(2, 1/((TRIM(IMS!$E$8:$E$2574)=TRIM(IMS!$E1214))*(IMS!$C$8:$C$2574&lt;IMS!$C1214)),
         IMS!$C$8:$C$2574),
"")</f>
        <v/>
      </c>
      <c r="E1214" s="57"/>
      <c r="F1214" s="57"/>
      <c r="G1214" s="77" t="str">
        <f t="shared" si="901"/>
        <v/>
      </c>
      <c r="H1214" s="78" t="str">
        <f t="shared" si="902"/>
        <v/>
      </c>
      <c r="I1214" s="79"/>
      <c r="J1214" s="80" t="str">
        <f t="shared" si="903"/>
        <v>#NAME?</v>
      </c>
      <c r="K1214" s="58"/>
      <c r="L1214" s="58"/>
      <c r="M1214" s="57"/>
      <c r="N1214" s="57"/>
      <c r="O1214" s="58"/>
      <c r="P1214" s="82"/>
      <c r="Q1214" s="81"/>
      <c r="R1214" s="81"/>
      <c r="S1214" s="57"/>
      <c r="T1214" s="82"/>
      <c r="U1214" s="82"/>
      <c r="V1214" s="57"/>
      <c r="W1214" s="57"/>
      <c r="X1214" s="57" t="str">
        <f t="shared" si="917"/>
        <v/>
      </c>
      <c r="Y1214" s="58" t="str">
        <f t="shared" ref="Y1214:AC1214" si="1054">TRIM(SUBSTITUTE(SUBSTITUTE(OFFSET($Q1214,0,COLUMN()-COLUMN($AL$1)),CHAR(160)," "),_xludf.UNICHAR(8239)," "))</f>
        <v>#NAME?</v>
      </c>
      <c r="Z1214" s="58" t="str">
        <f t="shared" si="1054"/>
        <v>#NAME?</v>
      </c>
      <c r="AA1214" s="58" t="str">
        <f t="shared" si="1054"/>
        <v>#NAME?</v>
      </c>
      <c r="AB1214" s="58" t="str">
        <f t="shared" si="1054"/>
        <v>#NAME?</v>
      </c>
      <c r="AC1214" s="58" t="str">
        <f t="shared" si="1054"/>
        <v>#NAME?</v>
      </c>
      <c r="AD1214" s="57">
        <f t="shared" si="906"/>
        <v>0</v>
      </c>
      <c r="AE1214" s="57" t="str">
        <f t="shared" si="907"/>
        <v/>
      </c>
      <c r="AF1214" s="57">
        <f t="shared" si="908"/>
        <v>0</v>
      </c>
      <c r="AG1214" s="59">
        <f t="shared" si="909"/>
        <v>0</v>
      </c>
      <c r="AH1214" s="15"/>
      <c r="AI1214" s="15"/>
      <c r="AJ1214" s="15"/>
      <c r="AK1214" s="15"/>
      <c r="AL1214" s="15"/>
      <c r="AM1214" s="15"/>
      <c r="AN1214" s="15"/>
      <c r="AO1214" s="15"/>
      <c r="AP1214" s="15"/>
      <c r="AQ1214" s="15"/>
      <c r="AR1214" s="15"/>
      <c r="AS1214" s="15"/>
      <c r="AT1214" s="15"/>
      <c r="AU1214" s="15"/>
    </row>
    <row r="1215" ht="24.0" customHeight="1">
      <c r="A1215" s="45">
        <v>2639.0</v>
      </c>
      <c r="B1215" s="57"/>
      <c r="C1215" s="57"/>
      <c r="D1215" s="88" t="str">
        <f t="array" ref="D1215">IFERROR(
  LOOKUP(2, 1/((TRIM(IMS!$E$8:$E$2574)=TRIM(IMS!$E1215))*(IMS!$C$8:$C$2574&lt;IMS!$C1215)),
         IMS!$C$8:$C$2574),
"")</f>
        <v/>
      </c>
      <c r="E1215" s="57"/>
      <c r="F1215" s="57"/>
      <c r="G1215" s="77" t="str">
        <f t="shared" si="901"/>
        <v/>
      </c>
      <c r="H1215" s="78" t="str">
        <f t="shared" si="902"/>
        <v/>
      </c>
      <c r="I1215" s="79"/>
      <c r="J1215" s="80" t="str">
        <f t="shared" si="903"/>
        <v>#NAME?</v>
      </c>
      <c r="K1215" s="58"/>
      <c r="L1215" s="58"/>
      <c r="M1215" s="57"/>
      <c r="N1215" s="57"/>
      <c r="O1215" s="58"/>
      <c r="P1215" s="82"/>
      <c r="Q1215" s="81"/>
      <c r="R1215" s="81"/>
      <c r="S1215" s="57"/>
      <c r="T1215" s="82"/>
      <c r="U1215" s="82"/>
      <c r="V1215" s="57"/>
      <c r="W1215" s="57"/>
      <c r="X1215" s="57" t="str">
        <f t="shared" si="917"/>
        <v/>
      </c>
      <c r="Y1215" s="58" t="str">
        <f t="shared" ref="Y1215:AC1215" si="1055">TRIM(SUBSTITUTE(SUBSTITUTE(OFFSET($Q1215,0,COLUMN()-COLUMN($AL$1)),CHAR(160)," "),_xludf.UNICHAR(8239)," "))</f>
        <v>#NAME?</v>
      </c>
      <c r="Z1215" s="58" t="str">
        <f t="shared" si="1055"/>
        <v>#NAME?</v>
      </c>
      <c r="AA1215" s="58" t="str">
        <f t="shared" si="1055"/>
        <v>#NAME?</v>
      </c>
      <c r="AB1215" s="58" t="str">
        <f t="shared" si="1055"/>
        <v>#NAME?</v>
      </c>
      <c r="AC1215" s="58" t="str">
        <f t="shared" si="1055"/>
        <v>#NAME?</v>
      </c>
      <c r="AD1215" s="57">
        <f t="shared" si="906"/>
        <v>0</v>
      </c>
      <c r="AE1215" s="57" t="str">
        <f t="shared" si="907"/>
        <v/>
      </c>
      <c r="AF1215" s="57">
        <f t="shared" si="908"/>
        <v>0</v>
      </c>
      <c r="AG1215" s="59">
        <f t="shared" si="909"/>
        <v>0</v>
      </c>
      <c r="AH1215" s="15"/>
      <c r="AI1215" s="15"/>
      <c r="AJ1215" s="15"/>
      <c r="AK1215" s="15"/>
      <c r="AL1215" s="15"/>
      <c r="AM1215" s="15"/>
      <c r="AN1215" s="15"/>
      <c r="AO1215" s="15"/>
      <c r="AP1215" s="15"/>
      <c r="AQ1215" s="15"/>
      <c r="AR1215" s="15"/>
      <c r="AS1215" s="15"/>
      <c r="AT1215" s="15"/>
      <c r="AU1215" s="15"/>
    </row>
    <row r="1216" ht="24.0" customHeight="1">
      <c r="A1216" s="45">
        <v>2640.0</v>
      </c>
      <c r="B1216" s="57"/>
      <c r="C1216" s="57"/>
      <c r="D1216" s="88" t="str">
        <f t="array" ref="D1216">IFERROR(
  LOOKUP(2, 1/((TRIM(IMS!$E$8:$E$2574)=TRIM(IMS!$E1216))*(IMS!$C$8:$C$2574&lt;IMS!$C1216)),
         IMS!$C$8:$C$2574),
"")</f>
        <v/>
      </c>
      <c r="E1216" s="57"/>
      <c r="F1216" s="57"/>
      <c r="G1216" s="77" t="str">
        <f t="shared" si="901"/>
        <v/>
      </c>
      <c r="H1216" s="78" t="str">
        <f t="shared" si="902"/>
        <v/>
      </c>
      <c r="I1216" s="79"/>
      <c r="J1216" s="80" t="str">
        <f t="shared" si="903"/>
        <v>#NAME?</v>
      </c>
      <c r="K1216" s="58"/>
      <c r="L1216" s="58"/>
      <c r="M1216" s="57"/>
      <c r="N1216" s="57"/>
      <c r="O1216" s="58"/>
      <c r="P1216" s="82"/>
      <c r="Q1216" s="81"/>
      <c r="R1216" s="81"/>
      <c r="S1216" s="57"/>
      <c r="T1216" s="82"/>
      <c r="U1216" s="82"/>
      <c r="V1216" s="57"/>
      <c r="W1216" s="57"/>
      <c r="X1216" s="57" t="str">
        <f t="shared" si="917"/>
        <v/>
      </c>
      <c r="Y1216" s="58" t="str">
        <f t="shared" ref="Y1216:AC1216" si="1056">TRIM(SUBSTITUTE(SUBSTITUTE(OFFSET($Q1216,0,COLUMN()-COLUMN($AL$1)),CHAR(160)," "),_xludf.UNICHAR(8239)," "))</f>
        <v>#NAME?</v>
      </c>
      <c r="Z1216" s="58" t="str">
        <f t="shared" si="1056"/>
        <v>#NAME?</v>
      </c>
      <c r="AA1216" s="58" t="str">
        <f t="shared" si="1056"/>
        <v>#NAME?</v>
      </c>
      <c r="AB1216" s="58" t="str">
        <f t="shared" si="1056"/>
        <v>#NAME?</v>
      </c>
      <c r="AC1216" s="58" t="str">
        <f t="shared" si="1056"/>
        <v>#NAME?</v>
      </c>
      <c r="AD1216" s="57">
        <f t="shared" si="906"/>
        <v>0</v>
      </c>
      <c r="AE1216" s="57" t="str">
        <f t="shared" si="907"/>
        <v/>
      </c>
      <c r="AF1216" s="57">
        <f t="shared" si="908"/>
        <v>0</v>
      </c>
      <c r="AG1216" s="59">
        <f t="shared" si="909"/>
        <v>0</v>
      </c>
      <c r="AH1216" s="15"/>
      <c r="AI1216" s="15"/>
      <c r="AJ1216" s="15"/>
      <c r="AK1216" s="15"/>
      <c r="AL1216" s="15"/>
      <c r="AM1216" s="15"/>
      <c r="AN1216" s="15"/>
      <c r="AO1216" s="15"/>
      <c r="AP1216" s="15"/>
      <c r="AQ1216" s="15"/>
      <c r="AR1216" s="15"/>
      <c r="AS1216" s="15"/>
      <c r="AT1216" s="15"/>
      <c r="AU1216" s="15"/>
    </row>
    <row r="1217" ht="24.0" customHeight="1">
      <c r="A1217" s="45">
        <v>2641.0</v>
      </c>
      <c r="B1217" s="57"/>
      <c r="C1217" s="57"/>
      <c r="D1217" s="88" t="str">
        <f t="array" ref="D1217">IFERROR(
  LOOKUP(2, 1/((TRIM(IMS!$E$8:$E$2574)=TRIM(IMS!$E1217))*(IMS!$C$8:$C$2574&lt;IMS!$C1217)),
         IMS!$C$8:$C$2574),
"")</f>
        <v/>
      </c>
      <c r="E1217" s="57"/>
      <c r="F1217" s="57"/>
      <c r="G1217" s="77" t="str">
        <f t="shared" si="901"/>
        <v/>
      </c>
      <c r="H1217" s="78" t="str">
        <f t="shared" si="902"/>
        <v/>
      </c>
      <c r="I1217" s="79"/>
      <c r="J1217" s="80" t="str">
        <f t="shared" si="903"/>
        <v>#NAME?</v>
      </c>
      <c r="K1217" s="58"/>
      <c r="L1217" s="58"/>
      <c r="M1217" s="57"/>
      <c r="N1217" s="57"/>
      <c r="O1217" s="58"/>
      <c r="P1217" s="82"/>
      <c r="Q1217" s="81"/>
      <c r="R1217" s="81"/>
      <c r="S1217" s="57"/>
      <c r="T1217" s="82"/>
      <c r="U1217" s="82"/>
      <c r="V1217" s="57"/>
      <c r="W1217" s="57"/>
      <c r="X1217" s="57" t="str">
        <f t="shared" si="917"/>
        <v/>
      </c>
      <c r="Y1217" s="58" t="str">
        <f t="shared" ref="Y1217:AC1217" si="1057">TRIM(SUBSTITUTE(SUBSTITUTE(OFFSET($Q1217,0,COLUMN()-COLUMN($AL$1)),CHAR(160)," "),_xludf.UNICHAR(8239)," "))</f>
        <v>#NAME?</v>
      </c>
      <c r="Z1217" s="58" t="str">
        <f t="shared" si="1057"/>
        <v>#NAME?</v>
      </c>
      <c r="AA1217" s="58" t="str">
        <f t="shared" si="1057"/>
        <v>#NAME?</v>
      </c>
      <c r="AB1217" s="58" t="str">
        <f t="shared" si="1057"/>
        <v>#NAME?</v>
      </c>
      <c r="AC1217" s="58" t="str">
        <f t="shared" si="1057"/>
        <v>#NAME?</v>
      </c>
      <c r="AD1217" s="57">
        <f t="shared" si="906"/>
        <v>0</v>
      </c>
      <c r="AE1217" s="57" t="str">
        <f t="shared" si="907"/>
        <v/>
      </c>
      <c r="AF1217" s="57">
        <f t="shared" si="908"/>
        <v>0</v>
      </c>
      <c r="AG1217" s="59">
        <f t="shared" si="909"/>
        <v>0</v>
      </c>
      <c r="AH1217" s="15"/>
      <c r="AI1217" s="15"/>
      <c r="AJ1217" s="15"/>
      <c r="AK1217" s="15"/>
      <c r="AL1217" s="15"/>
      <c r="AM1217" s="15"/>
      <c r="AN1217" s="15"/>
      <c r="AO1217" s="15"/>
      <c r="AP1217" s="15"/>
      <c r="AQ1217" s="15"/>
      <c r="AR1217" s="15"/>
      <c r="AS1217" s="15"/>
      <c r="AT1217" s="15"/>
      <c r="AU1217" s="15"/>
    </row>
    <row r="1218" ht="24.0" customHeight="1">
      <c r="A1218" s="45">
        <v>2642.0</v>
      </c>
      <c r="B1218" s="57"/>
      <c r="C1218" s="57"/>
      <c r="D1218" s="88" t="str">
        <f t="array" ref="D1218">IFERROR(
  LOOKUP(2, 1/((TRIM(IMS!$E$8:$E$2574)=TRIM(IMS!$E1218))*(IMS!$C$8:$C$2574&lt;IMS!$C1218)),
         IMS!$C$8:$C$2574),
"")</f>
        <v/>
      </c>
      <c r="E1218" s="57"/>
      <c r="F1218" s="57"/>
      <c r="G1218" s="77" t="str">
        <f t="shared" si="901"/>
        <v/>
      </c>
      <c r="H1218" s="78" t="str">
        <f t="shared" si="902"/>
        <v/>
      </c>
      <c r="I1218" s="79"/>
      <c r="J1218" s="80" t="str">
        <f t="shared" si="903"/>
        <v>#NAME?</v>
      </c>
      <c r="K1218" s="58"/>
      <c r="L1218" s="58"/>
      <c r="M1218" s="57"/>
      <c r="N1218" s="57"/>
      <c r="O1218" s="58"/>
      <c r="P1218" s="82"/>
      <c r="Q1218" s="81"/>
      <c r="R1218" s="81"/>
      <c r="S1218" s="57"/>
      <c r="T1218" s="82"/>
      <c r="U1218" s="82"/>
      <c r="V1218" s="57"/>
      <c r="W1218" s="57"/>
      <c r="X1218" s="57" t="str">
        <f t="shared" si="917"/>
        <v/>
      </c>
      <c r="Y1218" s="58" t="str">
        <f t="shared" ref="Y1218:AC1218" si="1058">TRIM(SUBSTITUTE(SUBSTITUTE(OFFSET($Q1218,0,COLUMN()-COLUMN($AL$1)),CHAR(160)," "),_xludf.UNICHAR(8239)," "))</f>
        <v>#NAME?</v>
      </c>
      <c r="Z1218" s="58" t="str">
        <f t="shared" si="1058"/>
        <v>#NAME?</v>
      </c>
      <c r="AA1218" s="58" t="str">
        <f t="shared" si="1058"/>
        <v>#NAME?</v>
      </c>
      <c r="AB1218" s="58" t="str">
        <f t="shared" si="1058"/>
        <v>#NAME?</v>
      </c>
      <c r="AC1218" s="58" t="str">
        <f t="shared" si="1058"/>
        <v>#NAME?</v>
      </c>
      <c r="AD1218" s="57">
        <f t="shared" si="906"/>
        <v>0</v>
      </c>
      <c r="AE1218" s="57" t="str">
        <f t="shared" si="907"/>
        <v/>
      </c>
      <c r="AF1218" s="57">
        <f t="shared" si="908"/>
        <v>0</v>
      </c>
      <c r="AG1218" s="59">
        <f t="shared" si="909"/>
        <v>0</v>
      </c>
      <c r="AH1218" s="15"/>
      <c r="AI1218" s="15"/>
      <c r="AJ1218" s="15"/>
      <c r="AK1218" s="15"/>
      <c r="AL1218" s="15"/>
      <c r="AM1218" s="15"/>
      <c r="AN1218" s="15"/>
      <c r="AO1218" s="15"/>
      <c r="AP1218" s="15"/>
      <c r="AQ1218" s="15"/>
      <c r="AR1218" s="15"/>
      <c r="AS1218" s="15"/>
      <c r="AT1218" s="15"/>
      <c r="AU1218" s="15"/>
    </row>
    <row r="1219" ht="24.0" customHeight="1">
      <c r="A1219" s="45">
        <v>2643.0</v>
      </c>
      <c r="B1219" s="57"/>
      <c r="C1219" s="57"/>
      <c r="D1219" s="88" t="str">
        <f t="array" ref="D1219">IFERROR(
  LOOKUP(2, 1/((TRIM(IMS!$E$8:$E$2574)=TRIM(IMS!$E1219))*(IMS!$C$8:$C$2574&lt;IMS!$C1219)),
         IMS!$C$8:$C$2574),
"")</f>
        <v/>
      </c>
      <c r="E1219" s="57"/>
      <c r="F1219" s="57"/>
      <c r="G1219" s="77" t="str">
        <f t="shared" si="901"/>
        <v/>
      </c>
      <c r="H1219" s="78" t="str">
        <f t="shared" si="902"/>
        <v/>
      </c>
      <c r="I1219" s="79"/>
      <c r="J1219" s="80" t="str">
        <f t="shared" si="903"/>
        <v>#NAME?</v>
      </c>
      <c r="K1219" s="58"/>
      <c r="L1219" s="58"/>
      <c r="M1219" s="57"/>
      <c r="N1219" s="57"/>
      <c r="O1219" s="58"/>
      <c r="P1219" s="82"/>
      <c r="Q1219" s="81"/>
      <c r="R1219" s="81"/>
      <c r="S1219" s="57"/>
      <c r="T1219" s="82"/>
      <c r="U1219" s="82"/>
      <c r="V1219" s="57"/>
      <c r="W1219" s="57"/>
      <c r="X1219" s="57" t="str">
        <f t="shared" si="917"/>
        <v/>
      </c>
      <c r="Y1219" s="58" t="str">
        <f t="shared" ref="Y1219:AC1219" si="1059">TRIM(SUBSTITUTE(SUBSTITUTE(OFFSET($Q1219,0,COLUMN()-COLUMN($AL$1)),CHAR(160)," "),_xludf.UNICHAR(8239)," "))</f>
        <v>#NAME?</v>
      </c>
      <c r="Z1219" s="58" t="str">
        <f t="shared" si="1059"/>
        <v>#NAME?</v>
      </c>
      <c r="AA1219" s="58" t="str">
        <f t="shared" si="1059"/>
        <v>#NAME?</v>
      </c>
      <c r="AB1219" s="58" t="str">
        <f t="shared" si="1059"/>
        <v>#NAME?</v>
      </c>
      <c r="AC1219" s="58" t="str">
        <f t="shared" si="1059"/>
        <v>#NAME?</v>
      </c>
      <c r="AD1219" s="57">
        <f t="shared" si="906"/>
        <v>0</v>
      </c>
      <c r="AE1219" s="57" t="str">
        <f t="shared" si="907"/>
        <v/>
      </c>
      <c r="AF1219" s="57">
        <f t="shared" si="908"/>
        <v>0</v>
      </c>
      <c r="AG1219" s="59">
        <f t="shared" si="909"/>
        <v>0</v>
      </c>
      <c r="AH1219" s="15"/>
      <c r="AI1219" s="15"/>
      <c r="AJ1219" s="15"/>
      <c r="AK1219" s="15"/>
      <c r="AL1219" s="15"/>
      <c r="AM1219" s="15"/>
      <c r="AN1219" s="15"/>
      <c r="AO1219" s="15"/>
      <c r="AP1219" s="15"/>
      <c r="AQ1219" s="15"/>
      <c r="AR1219" s="15"/>
      <c r="AS1219" s="15"/>
      <c r="AT1219" s="15"/>
      <c r="AU1219" s="15"/>
    </row>
    <row r="1220" ht="24.0" customHeight="1">
      <c r="A1220" s="45">
        <v>2644.0</v>
      </c>
      <c r="B1220" s="57"/>
      <c r="C1220" s="57"/>
      <c r="D1220" s="88" t="str">
        <f t="array" ref="D1220">IFERROR(
  LOOKUP(2, 1/((TRIM(IMS!$E$8:$E$2574)=TRIM(IMS!$E1220))*(IMS!$C$8:$C$2574&lt;IMS!$C1220)),
         IMS!$C$8:$C$2574),
"")</f>
        <v/>
      </c>
      <c r="E1220" s="57"/>
      <c r="F1220" s="57"/>
      <c r="G1220" s="77" t="str">
        <f t="shared" si="901"/>
        <v/>
      </c>
      <c r="H1220" s="78" t="str">
        <f t="shared" si="902"/>
        <v/>
      </c>
      <c r="I1220" s="79"/>
      <c r="J1220" s="80" t="str">
        <f t="shared" si="903"/>
        <v>#NAME?</v>
      </c>
      <c r="K1220" s="58"/>
      <c r="L1220" s="58"/>
      <c r="M1220" s="57"/>
      <c r="N1220" s="57"/>
      <c r="O1220" s="58"/>
      <c r="P1220" s="82"/>
      <c r="Q1220" s="81"/>
      <c r="R1220" s="81"/>
      <c r="S1220" s="57"/>
      <c r="T1220" s="82"/>
      <c r="U1220" s="82"/>
      <c r="V1220" s="57"/>
      <c r="W1220" s="57"/>
      <c r="X1220" s="57" t="str">
        <f t="shared" si="917"/>
        <v/>
      </c>
      <c r="Y1220" s="58" t="str">
        <f t="shared" ref="Y1220:AC1220" si="1060">TRIM(SUBSTITUTE(SUBSTITUTE(OFFSET($Q1220,0,COLUMN()-COLUMN($AL$1)),CHAR(160)," "),_xludf.UNICHAR(8239)," "))</f>
        <v>#NAME?</v>
      </c>
      <c r="Z1220" s="58" t="str">
        <f t="shared" si="1060"/>
        <v>#NAME?</v>
      </c>
      <c r="AA1220" s="58" t="str">
        <f t="shared" si="1060"/>
        <v>#NAME?</v>
      </c>
      <c r="AB1220" s="58" t="str">
        <f t="shared" si="1060"/>
        <v>#NAME?</v>
      </c>
      <c r="AC1220" s="58" t="str">
        <f t="shared" si="1060"/>
        <v>#NAME?</v>
      </c>
      <c r="AD1220" s="57">
        <f t="shared" si="906"/>
        <v>0</v>
      </c>
      <c r="AE1220" s="57" t="str">
        <f t="shared" si="907"/>
        <v/>
      </c>
      <c r="AF1220" s="57">
        <f t="shared" si="908"/>
        <v>0</v>
      </c>
      <c r="AG1220" s="59">
        <f t="shared" si="909"/>
        <v>0</v>
      </c>
      <c r="AH1220" s="15"/>
      <c r="AI1220" s="15"/>
      <c r="AJ1220" s="15"/>
      <c r="AK1220" s="15"/>
      <c r="AL1220" s="15"/>
      <c r="AM1220" s="15"/>
      <c r="AN1220" s="15"/>
      <c r="AO1220" s="15"/>
      <c r="AP1220" s="15"/>
      <c r="AQ1220" s="15"/>
      <c r="AR1220" s="15"/>
      <c r="AS1220" s="15"/>
      <c r="AT1220" s="15"/>
      <c r="AU1220" s="15"/>
    </row>
    <row r="1221" ht="24.0" customHeight="1">
      <c r="A1221" s="45">
        <v>2645.0</v>
      </c>
      <c r="B1221" s="57"/>
      <c r="C1221" s="57"/>
      <c r="D1221" s="88" t="str">
        <f t="array" ref="D1221">IFERROR(
  LOOKUP(2, 1/((TRIM(IMS!$E$8:$E$2574)=TRIM(IMS!$E1221))*(IMS!$C$8:$C$2574&lt;IMS!$C1221)),
         IMS!$C$8:$C$2574),
"")</f>
        <v/>
      </c>
      <c r="E1221" s="57"/>
      <c r="F1221" s="57"/>
      <c r="G1221" s="77" t="str">
        <f t="shared" si="901"/>
        <v/>
      </c>
      <c r="H1221" s="78" t="str">
        <f t="shared" si="902"/>
        <v/>
      </c>
      <c r="I1221" s="79"/>
      <c r="J1221" s="80" t="str">
        <f t="shared" si="903"/>
        <v>#NAME?</v>
      </c>
      <c r="K1221" s="58"/>
      <c r="L1221" s="58"/>
      <c r="M1221" s="57"/>
      <c r="N1221" s="57"/>
      <c r="O1221" s="58"/>
      <c r="P1221" s="82"/>
      <c r="Q1221" s="81"/>
      <c r="R1221" s="81"/>
      <c r="S1221" s="57"/>
      <c r="T1221" s="82"/>
      <c r="U1221" s="82"/>
      <c r="V1221" s="57"/>
      <c r="W1221" s="57"/>
      <c r="X1221" s="57" t="str">
        <f t="shared" si="917"/>
        <v/>
      </c>
      <c r="Y1221" s="58" t="str">
        <f t="shared" ref="Y1221:AC1221" si="1061">TRIM(SUBSTITUTE(SUBSTITUTE(OFFSET($Q1221,0,COLUMN()-COLUMN($AL$1)),CHAR(160)," "),_xludf.UNICHAR(8239)," "))</f>
        <v>#NAME?</v>
      </c>
      <c r="Z1221" s="58" t="str">
        <f t="shared" si="1061"/>
        <v>#NAME?</v>
      </c>
      <c r="AA1221" s="58" t="str">
        <f t="shared" si="1061"/>
        <v>#NAME?</v>
      </c>
      <c r="AB1221" s="58" t="str">
        <f t="shared" si="1061"/>
        <v>#NAME?</v>
      </c>
      <c r="AC1221" s="58" t="str">
        <f t="shared" si="1061"/>
        <v>#NAME?</v>
      </c>
      <c r="AD1221" s="57">
        <f t="shared" si="906"/>
        <v>0</v>
      </c>
      <c r="AE1221" s="57" t="str">
        <f t="shared" si="907"/>
        <v/>
      </c>
      <c r="AF1221" s="57">
        <f t="shared" si="908"/>
        <v>0</v>
      </c>
      <c r="AG1221" s="59">
        <f t="shared" si="909"/>
        <v>0</v>
      </c>
      <c r="AH1221" s="15"/>
      <c r="AI1221" s="15"/>
      <c r="AJ1221" s="15"/>
      <c r="AK1221" s="15"/>
      <c r="AL1221" s="15"/>
      <c r="AM1221" s="15"/>
      <c r="AN1221" s="15"/>
      <c r="AO1221" s="15"/>
      <c r="AP1221" s="15"/>
      <c r="AQ1221" s="15"/>
      <c r="AR1221" s="15"/>
      <c r="AS1221" s="15"/>
      <c r="AT1221" s="15"/>
      <c r="AU1221" s="15"/>
    </row>
    <row r="1222" ht="24.0" customHeight="1">
      <c r="A1222" s="45">
        <v>2646.0</v>
      </c>
      <c r="B1222" s="57"/>
      <c r="C1222" s="57"/>
      <c r="D1222" s="88" t="str">
        <f t="array" ref="D1222">IFERROR(
  LOOKUP(2, 1/((TRIM(IMS!$E$8:$E$2574)=TRIM(IMS!$E1222))*(IMS!$C$8:$C$2574&lt;IMS!$C1222)),
         IMS!$C$8:$C$2574),
"")</f>
        <v/>
      </c>
      <c r="E1222" s="57"/>
      <c r="F1222" s="57"/>
      <c r="G1222" s="77" t="str">
        <f t="shared" si="901"/>
        <v/>
      </c>
      <c r="H1222" s="78" t="str">
        <f t="shared" si="902"/>
        <v/>
      </c>
      <c r="I1222" s="79"/>
      <c r="J1222" s="80" t="str">
        <f t="shared" si="903"/>
        <v>#NAME?</v>
      </c>
      <c r="K1222" s="58"/>
      <c r="L1222" s="58"/>
      <c r="M1222" s="57"/>
      <c r="N1222" s="57"/>
      <c r="O1222" s="58"/>
      <c r="P1222" s="82"/>
      <c r="Q1222" s="81"/>
      <c r="R1222" s="81"/>
      <c r="S1222" s="57"/>
      <c r="T1222" s="82"/>
      <c r="U1222" s="82"/>
      <c r="V1222" s="57"/>
      <c r="W1222" s="57"/>
      <c r="X1222" s="57" t="str">
        <f t="shared" si="917"/>
        <v/>
      </c>
      <c r="Y1222" s="58" t="str">
        <f t="shared" ref="Y1222:AC1222" si="1062">TRIM(SUBSTITUTE(SUBSTITUTE(OFFSET($Q1222,0,COLUMN()-COLUMN($AL$1)),CHAR(160)," "),_xludf.UNICHAR(8239)," "))</f>
        <v>#NAME?</v>
      </c>
      <c r="Z1222" s="58" t="str">
        <f t="shared" si="1062"/>
        <v>#NAME?</v>
      </c>
      <c r="AA1222" s="58" t="str">
        <f t="shared" si="1062"/>
        <v>#NAME?</v>
      </c>
      <c r="AB1222" s="58" t="str">
        <f t="shared" si="1062"/>
        <v>#NAME?</v>
      </c>
      <c r="AC1222" s="58" t="str">
        <f t="shared" si="1062"/>
        <v>#NAME?</v>
      </c>
      <c r="AD1222" s="57">
        <f t="shared" si="906"/>
        <v>0</v>
      </c>
      <c r="AE1222" s="57" t="str">
        <f t="shared" si="907"/>
        <v/>
      </c>
      <c r="AF1222" s="57">
        <f t="shared" si="908"/>
        <v>0</v>
      </c>
      <c r="AG1222" s="59">
        <f t="shared" si="909"/>
        <v>0</v>
      </c>
      <c r="AH1222" s="15"/>
      <c r="AI1222" s="15"/>
      <c r="AJ1222" s="15"/>
      <c r="AK1222" s="15"/>
      <c r="AL1222" s="15"/>
      <c r="AM1222" s="15"/>
      <c r="AN1222" s="15"/>
      <c r="AO1222" s="15"/>
      <c r="AP1222" s="15"/>
      <c r="AQ1222" s="15"/>
      <c r="AR1222" s="15"/>
      <c r="AS1222" s="15"/>
      <c r="AT1222" s="15"/>
      <c r="AU1222" s="15"/>
    </row>
    <row r="1223" ht="24.0" customHeight="1">
      <c r="A1223" s="45">
        <v>2647.0</v>
      </c>
      <c r="B1223" s="57"/>
      <c r="C1223" s="57"/>
      <c r="D1223" s="88" t="str">
        <f t="array" ref="D1223">IFERROR(
  LOOKUP(2, 1/((TRIM(IMS!$E$8:$E$2574)=TRIM(IMS!$E1223))*(IMS!$C$8:$C$2574&lt;IMS!$C1223)),
         IMS!$C$8:$C$2574),
"")</f>
        <v/>
      </c>
      <c r="E1223" s="57"/>
      <c r="F1223" s="57"/>
      <c r="G1223" s="77" t="str">
        <f t="shared" si="901"/>
        <v/>
      </c>
      <c r="H1223" s="78" t="str">
        <f t="shared" si="902"/>
        <v/>
      </c>
      <c r="I1223" s="79"/>
      <c r="J1223" s="80" t="str">
        <f t="shared" si="903"/>
        <v>#NAME?</v>
      </c>
      <c r="K1223" s="58"/>
      <c r="L1223" s="58"/>
      <c r="M1223" s="57"/>
      <c r="N1223" s="57"/>
      <c r="O1223" s="58"/>
      <c r="P1223" s="82"/>
      <c r="Q1223" s="81"/>
      <c r="R1223" s="81"/>
      <c r="S1223" s="57"/>
      <c r="T1223" s="82"/>
      <c r="U1223" s="82"/>
      <c r="V1223" s="57"/>
      <c r="W1223" s="57"/>
      <c r="X1223" s="57" t="str">
        <f t="shared" si="917"/>
        <v/>
      </c>
      <c r="Y1223" s="58" t="str">
        <f t="shared" ref="Y1223:AC1223" si="1063">TRIM(SUBSTITUTE(SUBSTITUTE(OFFSET($Q1223,0,COLUMN()-COLUMN($AL$1)),CHAR(160)," "),_xludf.UNICHAR(8239)," "))</f>
        <v>#NAME?</v>
      </c>
      <c r="Z1223" s="58" t="str">
        <f t="shared" si="1063"/>
        <v>#NAME?</v>
      </c>
      <c r="AA1223" s="58" t="str">
        <f t="shared" si="1063"/>
        <v>#NAME?</v>
      </c>
      <c r="AB1223" s="58" t="str">
        <f t="shared" si="1063"/>
        <v>#NAME?</v>
      </c>
      <c r="AC1223" s="58" t="str">
        <f t="shared" si="1063"/>
        <v>#NAME?</v>
      </c>
      <c r="AD1223" s="57">
        <f t="shared" si="906"/>
        <v>0</v>
      </c>
      <c r="AE1223" s="57" t="str">
        <f t="shared" si="907"/>
        <v/>
      </c>
      <c r="AF1223" s="57">
        <f t="shared" si="908"/>
        <v>0</v>
      </c>
      <c r="AG1223" s="59">
        <f t="shared" si="909"/>
        <v>0</v>
      </c>
      <c r="AH1223" s="15"/>
      <c r="AI1223" s="15"/>
      <c r="AJ1223" s="15"/>
      <c r="AK1223" s="15"/>
      <c r="AL1223" s="15"/>
      <c r="AM1223" s="15"/>
      <c r="AN1223" s="15"/>
      <c r="AO1223" s="15"/>
      <c r="AP1223" s="15"/>
      <c r="AQ1223" s="15"/>
      <c r="AR1223" s="15"/>
      <c r="AS1223" s="15"/>
      <c r="AT1223" s="15"/>
      <c r="AU1223" s="15"/>
    </row>
    <row r="1224" ht="24.0" customHeight="1">
      <c r="A1224" s="45">
        <v>2648.0</v>
      </c>
      <c r="B1224" s="57"/>
      <c r="C1224" s="57"/>
      <c r="D1224" s="88" t="str">
        <f t="array" ref="D1224">IFERROR(
  LOOKUP(2, 1/((TRIM(IMS!$E$8:$E$2574)=TRIM(IMS!$E1224))*(IMS!$C$8:$C$2574&lt;IMS!$C1224)),
         IMS!$C$8:$C$2574),
"")</f>
        <v/>
      </c>
      <c r="E1224" s="57"/>
      <c r="F1224" s="57"/>
      <c r="G1224" s="77" t="str">
        <f t="shared" si="901"/>
        <v/>
      </c>
      <c r="H1224" s="78" t="str">
        <f t="shared" si="902"/>
        <v/>
      </c>
      <c r="I1224" s="79"/>
      <c r="J1224" s="80" t="str">
        <f t="shared" si="903"/>
        <v>#NAME?</v>
      </c>
      <c r="K1224" s="58"/>
      <c r="L1224" s="58"/>
      <c r="M1224" s="57"/>
      <c r="N1224" s="57"/>
      <c r="O1224" s="58"/>
      <c r="P1224" s="82"/>
      <c r="Q1224" s="81"/>
      <c r="R1224" s="81"/>
      <c r="S1224" s="57"/>
      <c r="T1224" s="82"/>
      <c r="U1224" s="82"/>
      <c r="V1224" s="57"/>
      <c r="W1224" s="57"/>
      <c r="X1224" s="57" t="str">
        <f t="shared" si="917"/>
        <v/>
      </c>
      <c r="Y1224" s="58" t="str">
        <f t="shared" ref="Y1224:AC1224" si="1064">TRIM(SUBSTITUTE(SUBSTITUTE(OFFSET($Q1224,0,COLUMN()-COLUMN($AL$1)),CHAR(160)," "),_xludf.UNICHAR(8239)," "))</f>
        <v>#NAME?</v>
      </c>
      <c r="Z1224" s="58" t="str">
        <f t="shared" si="1064"/>
        <v>#NAME?</v>
      </c>
      <c r="AA1224" s="58" t="str">
        <f t="shared" si="1064"/>
        <v>#NAME?</v>
      </c>
      <c r="AB1224" s="58" t="str">
        <f t="shared" si="1064"/>
        <v>#NAME?</v>
      </c>
      <c r="AC1224" s="58" t="str">
        <f t="shared" si="1064"/>
        <v>#NAME?</v>
      </c>
      <c r="AD1224" s="57">
        <f t="shared" si="906"/>
        <v>0</v>
      </c>
      <c r="AE1224" s="57" t="str">
        <f t="shared" si="907"/>
        <v/>
      </c>
      <c r="AF1224" s="57">
        <f t="shared" si="908"/>
        <v>0</v>
      </c>
      <c r="AG1224" s="59">
        <f t="shared" si="909"/>
        <v>0</v>
      </c>
      <c r="AH1224" s="15"/>
      <c r="AI1224" s="15"/>
      <c r="AJ1224" s="15"/>
      <c r="AK1224" s="15"/>
      <c r="AL1224" s="15"/>
      <c r="AM1224" s="15"/>
      <c r="AN1224" s="15"/>
      <c r="AO1224" s="15"/>
      <c r="AP1224" s="15"/>
      <c r="AQ1224" s="15"/>
      <c r="AR1224" s="15"/>
      <c r="AS1224" s="15"/>
      <c r="AT1224" s="15"/>
      <c r="AU1224" s="15"/>
    </row>
    <row r="1225" ht="24.0" customHeight="1">
      <c r="A1225" s="45">
        <v>2649.0</v>
      </c>
      <c r="B1225" s="57"/>
      <c r="C1225" s="57"/>
      <c r="D1225" s="88" t="str">
        <f t="array" ref="D1225">IFERROR(
  LOOKUP(2, 1/((TRIM(IMS!$E$8:$E$2574)=TRIM(IMS!$E1225))*(IMS!$C$8:$C$2574&lt;IMS!$C1225)),
         IMS!$C$8:$C$2574),
"")</f>
        <v/>
      </c>
      <c r="E1225" s="57"/>
      <c r="F1225" s="57"/>
      <c r="G1225" s="77" t="str">
        <f t="shared" si="901"/>
        <v/>
      </c>
      <c r="H1225" s="78" t="str">
        <f t="shared" si="902"/>
        <v/>
      </c>
      <c r="I1225" s="79"/>
      <c r="J1225" s="80" t="str">
        <f t="shared" si="903"/>
        <v>#NAME?</v>
      </c>
      <c r="K1225" s="58"/>
      <c r="L1225" s="58"/>
      <c r="M1225" s="57"/>
      <c r="N1225" s="57"/>
      <c r="O1225" s="58"/>
      <c r="P1225" s="82"/>
      <c r="Q1225" s="81"/>
      <c r="R1225" s="81"/>
      <c r="S1225" s="57"/>
      <c r="T1225" s="82"/>
      <c r="U1225" s="82"/>
      <c r="V1225" s="57"/>
      <c r="W1225" s="57"/>
      <c r="X1225" s="57" t="str">
        <f t="shared" si="917"/>
        <v/>
      </c>
      <c r="Y1225" s="58" t="str">
        <f t="shared" ref="Y1225:AC1225" si="1065">TRIM(SUBSTITUTE(SUBSTITUTE(OFFSET($Q1225,0,COLUMN()-COLUMN($AL$1)),CHAR(160)," "),_xludf.UNICHAR(8239)," "))</f>
        <v>#NAME?</v>
      </c>
      <c r="Z1225" s="58" t="str">
        <f t="shared" si="1065"/>
        <v>#NAME?</v>
      </c>
      <c r="AA1225" s="58" t="str">
        <f t="shared" si="1065"/>
        <v>#NAME?</v>
      </c>
      <c r="AB1225" s="58" t="str">
        <f t="shared" si="1065"/>
        <v>#NAME?</v>
      </c>
      <c r="AC1225" s="58" t="str">
        <f t="shared" si="1065"/>
        <v>#NAME?</v>
      </c>
      <c r="AD1225" s="57">
        <f t="shared" si="906"/>
        <v>0</v>
      </c>
      <c r="AE1225" s="57" t="str">
        <f t="shared" si="907"/>
        <v/>
      </c>
      <c r="AF1225" s="57">
        <f t="shared" si="908"/>
        <v>0</v>
      </c>
      <c r="AG1225" s="59">
        <f t="shared" si="909"/>
        <v>0</v>
      </c>
      <c r="AH1225" s="15"/>
      <c r="AI1225" s="15"/>
      <c r="AJ1225" s="15"/>
      <c r="AK1225" s="15"/>
      <c r="AL1225" s="15"/>
      <c r="AM1225" s="15"/>
      <c r="AN1225" s="15"/>
      <c r="AO1225" s="15"/>
      <c r="AP1225" s="15"/>
      <c r="AQ1225" s="15"/>
      <c r="AR1225" s="15"/>
      <c r="AS1225" s="15"/>
      <c r="AT1225" s="15"/>
      <c r="AU1225" s="15"/>
    </row>
    <row r="1226" ht="24.0" customHeight="1">
      <c r="A1226" s="45">
        <v>2650.0</v>
      </c>
      <c r="B1226" s="57"/>
      <c r="C1226" s="57"/>
      <c r="D1226" s="88" t="str">
        <f t="array" ref="D1226">IFERROR(
  LOOKUP(2, 1/((TRIM(IMS!$E$8:$E$2574)=TRIM(IMS!$E1226))*(IMS!$C$8:$C$2574&lt;IMS!$C1226)),
         IMS!$C$8:$C$2574),
"")</f>
        <v/>
      </c>
      <c r="E1226" s="57"/>
      <c r="F1226" s="57"/>
      <c r="G1226" s="77" t="str">
        <f t="shared" si="901"/>
        <v/>
      </c>
      <c r="H1226" s="78" t="str">
        <f t="shared" si="902"/>
        <v/>
      </c>
      <c r="I1226" s="79"/>
      <c r="J1226" s="80" t="str">
        <f t="shared" si="903"/>
        <v>#NAME?</v>
      </c>
      <c r="K1226" s="58"/>
      <c r="L1226" s="58"/>
      <c r="M1226" s="57"/>
      <c r="N1226" s="57"/>
      <c r="O1226" s="58"/>
      <c r="P1226" s="82"/>
      <c r="Q1226" s="81"/>
      <c r="R1226" s="81"/>
      <c r="S1226" s="57"/>
      <c r="T1226" s="82"/>
      <c r="U1226" s="82"/>
      <c r="V1226" s="57"/>
      <c r="W1226" s="57"/>
      <c r="X1226" s="57" t="str">
        <f t="shared" si="917"/>
        <v/>
      </c>
      <c r="Y1226" s="58" t="str">
        <f t="shared" ref="Y1226:AC1226" si="1066">TRIM(SUBSTITUTE(SUBSTITUTE(OFFSET($Q1226,0,COLUMN()-COLUMN($AL$1)),CHAR(160)," "),_xludf.UNICHAR(8239)," "))</f>
        <v>#NAME?</v>
      </c>
      <c r="Z1226" s="58" t="str">
        <f t="shared" si="1066"/>
        <v>#NAME?</v>
      </c>
      <c r="AA1226" s="58" t="str">
        <f t="shared" si="1066"/>
        <v>#NAME?</v>
      </c>
      <c r="AB1226" s="58" t="str">
        <f t="shared" si="1066"/>
        <v>#NAME?</v>
      </c>
      <c r="AC1226" s="58" t="str">
        <f t="shared" si="1066"/>
        <v>#NAME?</v>
      </c>
      <c r="AD1226" s="57">
        <f t="shared" si="906"/>
        <v>0</v>
      </c>
      <c r="AE1226" s="57" t="str">
        <f t="shared" si="907"/>
        <v/>
      </c>
      <c r="AF1226" s="57">
        <f t="shared" si="908"/>
        <v>0</v>
      </c>
      <c r="AG1226" s="59">
        <f t="shared" si="909"/>
        <v>0</v>
      </c>
      <c r="AH1226" s="15"/>
      <c r="AI1226" s="15"/>
      <c r="AJ1226" s="15"/>
      <c r="AK1226" s="15"/>
      <c r="AL1226" s="15"/>
      <c r="AM1226" s="15"/>
      <c r="AN1226" s="15"/>
      <c r="AO1226" s="15"/>
      <c r="AP1226" s="15"/>
      <c r="AQ1226" s="15"/>
      <c r="AR1226" s="15"/>
      <c r="AS1226" s="15"/>
      <c r="AT1226" s="15"/>
      <c r="AU1226" s="15"/>
    </row>
    <row r="1227" ht="24.0" customHeight="1">
      <c r="A1227" s="45">
        <v>2651.0</v>
      </c>
      <c r="B1227" s="57"/>
      <c r="C1227" s="57"/>
      <c r="D1227" s="88" t="str">
        <f t="array" ref="D1227">IFERROR(
  LOOKUP(2, 1/((TRIM(IMS!$E$8:$E$2574)=TRIM(IMS!$E1227))*(IMS!$C$8:$C$2574&lt;IMS!$C1227)),
         IMS!$C$8:$C$2574),
"")</f>
        <v/>
      </c>
      <c r="E1227" s="57"/>
      <c r="F1227" s="57"/>
      <c r="G1227" s="77" t="str">
        <f t="shared" si="901"/>
        <v/>
      </c>
      <c r="H1227" s="78" t="str">
        <f t="shared" si="902"/>
        <v/>
      </c>
      <c r="I1227" s="79"/>
      <c r="J1227" s="80" t="str">
        <f t="shared" si="903"/>
        <v>#NAME?</v>
      </c>
      <c r="K1227" s="58"/>
      <c r="L1227" s="58"/>
      <c r="M1227" s="57"/>
      <c r="N1227" s="57"/>
      <c r="O1227" s="58"/>
      <c r="P1227" s="82"/>
      <c r="Q1227" s="81"/>
      <c r="R1227" s="81"/>
      <c r="S1227" s="57"/>
      <c r="T1227" s="82"/>
      <c r="U1227" s="82"/>
      <c r="V1227" s="57"/>
      <c r="W1227" s="57"/>
      <c r="X1227" s="57" t="str">
        <f t="shared" si="917"/>
        <v/>
      </c>
      <c r="Y1227" s="58" t="str">
        <f t="shared" ref="Y1227:AC1227" si="1067">TRIM(SUBSTITUTE(SUBSTITUTE(OFFSET($Q1227,0,COLUMN()-COLUMN($AL$1)),CHAR(160)," "),_xludf.UNICHAR(8239)," "))</f>
        <v>#NAME?</v>
      </c>
      <c r="Z1227" s="58" t="str">
        <f t="shared" si="1067"/>
        <v>#NAME?</v>
      </c>
      <c r="AA1227" s="58" t="str">
        <f t="shared" si="1067"/>
        <v>#NAME?</v>
      </c>
      <c r="AB1227" s="58" t="str">
        <f t="shared" si="1067"/>
        <v>#NAME?</v>
      </c>
      <c r="AC1227" s="58" t="str">
        <f t="shared" si="1067"/>
        <v>#NAME?</v>
      </c>
      <c r="AD1227" s="57">
        <f t="shared" si="906"/>
        <v>0</v>
      </c>
      <c r="AE1227" s="57" t="str">
        <f t="shared" si="907"/>
        <v/>
      </c>
      <c r="AF1227" s="57">
        <f t="shared" si="908"/>
        <v>0</v>
      </c>
      <c r="AG1227" s="59">
        <f t="shared" si="909"/>
        <v>0</v>
      </c>
      <c r="AH1227" s="15"/>
      <c r="AI1227" s="15"/>
      <c r="AJ1227" s="15"/>
      <c r="AK1227" s="15"/>
      <c r="AL1227" s="15"/>
      <c r="AM1227" s="15"/>
      <c r="AN1227" s="15"/>
      <c r="AO1227" s="15"/>
      <c r="AP1227" s="15"/>
      <c r="AQ1227" s="15"/>
      <c r="AR1227" s="15"/>
      <c r="AS1227" s="15"/>
      <c r="AT1227" s="15"/>
      <c r="AU1227" s="15"/>
    </row>
    <row r="1228" ht="24.0" customHeight="1">
      <c r="A1228" s="45">
        <v>2652.0</v>
      </c>
      <c r="B1228" s="57"/>
      <c r="C1228" s="57"/>
      <c r="D1228" s="88" t="str">
        <f t="array" ref="D1228">IFERROR(
  LOOKUP(2, 1/((TRIM(IMS!$E$8:$E$2574)=TRIM(IMS!$E1228))*(IMS!$C$8:$C$2574&lt;IMS!$C1228)),
         IMS!$C$8:$C$2574),
"")</f>
        <v/>
      </c>
      <c r="E1228" s="57"/>
      <c r="F1228" s="57"/>
      <c r="G1228" s="77" t="str">
        <f t="shared" si="901"/>
        <v/>
      </c>
      <c r="H1228" s="78" t="str">
        <f t="shared" si="902"/>
        <v/>
      </c>
      <c r="I1228" s="79"/>
      <c r="J1228" s="80" t="str">
        <f t="shared" si="903"/>
        <v>#NAME?</v>
      </c>
      <c r="K1228" s="58"/>
      <c r="L1228" s="58"/>
      <c r="M1228" s="57"/>
      <c r="N1228" s="57"/>
      <c r="O1228" s="58"/>
      <c r="P1228" s="82"/>
      <c r="Q1228" s="81"/>
      <c r="R1228" s="81"/>
      <c r="S1228" s="57"/>
      <c r="T1228" s="82"/>
      <c r="U1228" s="82"/>
      <c r="V1228" s="57"/>
      <c r="W1228" s="57"/>
      <c r="X1228" s="57" t="str">
        <f t="shared" si="917"/>
        <v/>
      </c>
      <c r="Y1228" s="58" t="str">
        <f t="shared" ref="Y1228:AC1228" si="1068">TRIM(SUBSTITUTE(SUBSTITUTE(OFFSET($Q1228,0,COLUMN()-COLUMN($AL$1)),CHAR(160)," "),_xludf.UNICHAR(8239)," "))</f>
        <v>#NAME?</v>
      </c>
      <c r="Z1228" s="58" t="str">
        <f t="shared" si="1068"/>
        <v>#NAME?</v>
      </c>
      <c r="AA1228" s="58" t="str">
        <f t="shared" si="1068"/>
        <v>#NAME?</v>
      </c>
      <c r="AB1228" s="58" t="str">
        <f t="shared" si="1068"/>
        <v>#NAME?</v>
      </c>
      <c r="AC1228" s="58" t="str">
        <f t="shared" si="1068"/>
        <v>#NAME?</v>
      </c>
      <c r="AD1228" s="57">
        <f t="shared" si="906"/>
        <v>0</v>
      </c>
      <c r="AE1228" s="57" t="str">
        <f t="shared" si="907"/>
        <v/>
      </c>
      <c r="AF1228" s="57">
        <f t="shared" si="908"/>
        <v>0</v>
      </c>
      <c r="AG1228" s="59">
        <f t="shared" si="909"/>
        <v>0</v>
      </c>
      <c r="AH1228" s="15"/>
      <c r="AI1228" s="15"/>
      <c r="AJ1228" s="15"/>
      <c r="AK1228" s="15"/>
      <c r="AL1228" s="15"/>
      <c r="AM1228" s="15"/>
      <c r="AN1228" s="15"/>
      <c r="AO1228" s="15"/>
      <c r="AP1228" s="15"/>
      <c r="AQ1228" s="15"/>
      <c r="AR1228" s="15"/>
      <c r="AS1228" s="15"/>
      <c r="AT1228" s="15"/>
      <c r="AU1228" s="15"/>
    </row>
    <row r="1229" ht="24.0" customHeight="1">
      <c r="A1229" s="45">
        <v>2653.0</v>
      </c>
      <c r="B1229" s="57"/>
      <c r="C1229" s="57"/>
      <c r="D1229" s="88" t="str">
        <f t="array" ref="D1229">IFERROR(
  LOOKUP(2, 1/((TRIM(IMS!$E$8:$E$2574)=TRIM(IMS!$E1229))*(IMS!$C$8:$C$2574&lt;IMS!$C1229)),
         IMS!$C$8:$C$2574),
"")</f>
        <v/>
      </c>
      <c r="E1229" s="57"/>
      <c r="F1229" s="57"/>
      <c r="G1229" s="77" t="str">
        <f t="shared" si="901"/>
        <v/>
      </c>
      <c r="H1229" s="78" t="str">
        <f t="shared" si="902"/>
        <v/>
      </c>
      <c r="I1229" s="79"/>
      <c r="J1229" s="80" t="str">
        <f t="shared" si="903"/>
        <v>#NAME?</v>
      </c>
      <c r="K1229" s="58"/>
      <c r="L1229" s="58"/>
      <c r="M1229" s="57"/>
      <c r="N1229" s="57"/>
      <c r="O1229" s="58"/>
      <c r="P1229" s="82"/>
      <c r="Q1229" s="81"/>
      <c r="R1229" s="81"/>
      <c r="S1229" s="57"/>
      <c r="T1229" s="82"/>
      <c r="U1229" s="82"/>
      <c r="V1229" s="57"/>
      <c r="W1229" s="57"/>
      <c r="X1229" s="57" t="str">
        <f t="shared" si="917"/>
        <v/>
      </c>
      <c r="Y1229" s="58" t="str">
        <f t="shared" ref="Y1229:AC1229" si="1069">TRIM(SUBSTITUTE(SUBSTITUTE(OFFSET($Q1229,0,COLUMN()-COLUMN($AL$1)),CHAR(160)," "),_xludf.UNICHAR(8239)," "))</f>
        <v>#NAME?</v>
      </c>
      <c r="Z1229" s="58" t="str">
        <f t="shared" si="1069"/>
        <v>#NAME?</v>
      </c>
      <c r="AA1229" s="58" t="str">
        <f t="shared" si="1069"/>
        <v>#NAME?</v>
      </c>
      <c r="AB1229" s="58" t="str">
        <f t="shared" si="1069"/>
        <v>#NAME?</v>
      </c>
      <c r="AC1229" s="58" t="str">
        <f t="shared" si="1069"/>
        <v>#NAME?</v>
      </c>
      <c r="AD1229" s="57">
        <f t="shared" si="906"/>
        <v>0</v>
      </c>
      <c r="AE1229" s="57" t="str">
        <f t="shared" si="907"/>
        <v/>
      </c>
      <c r="AF1229" s="57">
        <f t="shared" si="908"/>
        <v>0</v>
      </c>
      <c r="AG1229" s="59">
        <f t="shared" si="909"/>
        <v>0</v>
      </c>
      <c r="AH1229" s="15"/>
      <c r="AI1229" s="15"/>
      <c r="AJ1229" s="15"/>
      <c r="AK1229" s="15"/>
      <c r="AL1229" s="15"/>
      <c r="AM1229" s="15"/>
      <c r="AN1229" s="15"/>
      <c r="AO1229" s="15"/>
      <c r="AP1229" s="15"/>
      <c r="AQ1229" s="15"/>
      <c r="AR1229" s="15"/>
      <c r="AS1229" s="15"/>
      <c r="AT1229" s="15"/>
      <c r="AU1229" s="15"/>
    </row>
    <row r="1230" ht="24.0" customHeight="1">
      <c r="A1230" s="45">
        <v>2654.0</v>
      </c>
      <c r="B1230" s="57"/>
      <c r="C1230" s="57"/>
      <c r="D1230" s="88" t="str">
        <f t="array" ref="D1230">IFERROR(
  LOOKUP(2, 1/((TRIM(IMS!$E$8:$E$2574)=TRIM(IMS!$E1230))*(IMS!$C$8:$C$2574&lt;IMS!$C1230)),
         IMS!$C$8:$C$2574),
"")</f>
        <v/>
      </c>
      <c r="E1230" s="57"/>
      <c r="F1230" s="57"/>
      <c r="G1230" s="77" t="str">
        <f t="shared" si="901"/>
        <v/>
      </c>
      <c r="H1230" s="78" t="str">
        <f t="shared" si="902"/>
        <v/>
      </c>
      <c r="I1230" s="79"/>
      <c r="J1230" s="80" t="str">
        <f t="shared" si="903"/>
        <v>#NAME?</v>
      </c>
      <c r="K1230" s="58"/>
      <c r="L1230" s="58"/>
      <c r="M1230" s="57"/>
      <c r="N1230" s="57"/>
      <c r="O1230" s="58"/>
      <c r="P1230" s="82"/>
      <c r="Q1230" s="81"/>
      <c r="R1230" s="81"/>
      <c r="S1230" s="57"/>
      <c r="T1230" s="82"/>
      <c r="U1230" s="82"/>
      <c r="V1230" s="57"/>
      <c r="W1230" s="57"/>
      <c r="X1230" s="57" t="str">
        <f t="shared" si="917"/>
        <v/>
      </c>
      <c r="Y1230" s="58" t="str">
        <f t="shared" ref="Y1230:AC1230" si="1070">TRIM(SUBSTITUTE(SUBSTITUTE(OFFSET($Q1230,0,COLUMN()-COLUMN($AL$1)),CHAR(160)," "),_xludf.UNICHAR(8239)," "))</f>
        <v>#NAME?</v>
      </c>
      <c r="Z1230" s="58" t="str">
        <f t="shared" si="1070"/>
        <v>#NAME?</v>
      </c>
      <c r="AA1230" s="58" t="str">
        <f t="shared" si="1070"/>
        <v>#NAME?</v>
      </c>
      <c r="AB1230" s="58" t="str">
        <f t="shared" si="1070"/>
        <v>#NAME?</v>
      </c>
      <c r="AC1230" s="58" t="str">
        <f t="shared" si="1070"/>
        <v>#NAME?</v>
      </c>
      <c r="AD1230" s="57">
        <f t="shared" si="906"/>
        <v>0</v>
      </c>
      <c r="AE1230" s="57" t="str">
        <f t="shared" si="907"/>
        <v/>
      </c>
      <c r="AF1230" s="57">
        <f t="shared" si="908"/>
        <v>0</v>
      </c>
      <c r="AG1230" s="59">
        <f t="shared" si="909"/>
        <v>0</v>
      </c>
      <c r="AH1230" s="15"/>
      <c r="AI1230" s="15"/>
      <c r="AJ1230" s="15"/>
      <c r="AK1230" s="15"/>
      <c r="AL1230" s="15"/>
      <c r="AM1230" s="15"/>
      <c r="AN1230" s="15"/>
      <c r="AO1230" s="15"/>
      <c r="AP1230" s="15"/>
      <c r="AQ1230" s="15"/>
      <c r="AR1230" s="15"/>
      <c r="AS1230" s="15"/>
      <c r="AT1230" s="15"/>
      <c r="AU1230" s="15"/>
    </row>
    <row r="1231" ht="24.0" customHeight="1">
      <c r="A1231" s="45">
        <v>2655.0</v>
      </c>
      <c r="B1231" s="57"/>
      <c r="C1231" s="57"/>
      <c r="D1231" s="88" t="str">
        <f t="array" ref="D1231">IFERROR(
  LOOKUP(2, 1/((TRIM(IMS!$E$8:$E$2574)=TRIM(IMS!$E1231))*(IMS!$C$8:$C$2574&lt;IMS!$C1231)),
         IMS!$C$8:$C$2574),
"")</f>
        <v/>
      </c>
      <c r="E1231" s="57"/>
      <c r="F1231" s="57"/>
      <c r="G1231" s="77" t="str">
        <f t="shared" si="901"/>
        <v/>
      </c>
      <c r="H1231" s="78" t="str">
        <f t="shared" si="902"/>
        <v/>
      </c>
      <c r="I1231" s="79"/>
      <c r="J1231" s="80" t="str">
        <f t="shared" si="903"/>
        <v>#NAME?</v>
      </c>
      <c r="K1231" s="58"/>
      <c r="L1231" s="58"/>
      <c r="M1231" s="57"/>
      <c r="N1231" s="57"/>
      <c r="O1231" s="58"/>
      <c r="P1231" s="82"/>
      <c r="Q1231" s="81"/>
      <c r="R1231" s="81"/>
      <c r="S1231" s="57"/>
      <c r="T1231" s="82"/>
      <c r="U1231" s="82"/>
      <c r="V1231" s="57"/>
      <c r="W1231" s="57"/>
      <c r="X1231" s="57" t="str">
        <f t="shared" si="917"/>
        <v/>
      </c>
      <c r="Y1231" s="58" t="str">
        <f t="shared" ref="Y1231:AC1231" si="1071">TRIM(SUBSTITUTE(SUBSTITUTE(OFFSET($Q1231,0,COLUMN()-COLUMN($AL$1)),CHAR(160)," "),_xludf.UNICHAR(8239)," "))</f>
        <v>#NAME?</v>
      </c>
      <c r="Z1231" s="58" t="str">
        <f t="shared" si="1071"/>
        <v>#NAME?</v>
      </c>
      <c r="AA1231" s="58" t="str">
        <f t="shared" si="1071"/>
        <v>#NAME?</v>
      </c>
      <c r="AB1231" s="58" t="str">
        <f t="shared" si="1071"/>
        <v>#NAME?</v>
      </c>
      <c r="AC1231" s="58" t="str">
        <f t="shared" si="1071"/>
        <v>#NAME?</v>
      </c>
      <c r="AD1231" s="57">
        <f t="shared" si="906"/>
        <v>0</v>
      </c>
      <c r="AE1231" s="57" t="str">
        <f t="shared" si="907"/>
        <v/>
      </c>
      <c r="AF1231" s="57">
        <f t="shared" si="908"/>
        <v>0</v>
      </c>
      <c r="AG1231" s="59">
        <f t="shared" si="909"/>
        <v>0</v>
      </c>
      <c r="AH1231" s="15"/>
      <c r="AI1231" s="15"/>
      <c r="AJ1231" s="15"/>
      <c r="AK1231" s="15"/>
      <c r="AL1231" s="15"/>
      <c r="AM1231" s="15"/>
      <c r="AN1231" s="15"/>
      <c r="AO1231" s="15"/>
      <c r="AP1231" s="15"/>
      <c r="AQ1231" s="15"/>
      <c r="AR1231" s="15"/>
      <c r="AS1231" s="15"/>
      <c r="AT1231" s="15"/>
      <c r="AU1231" s="15"/>
    </row>
    <row r="1232" ht="24.0" customHeight="1">
      <c r="A1232" s="45">
        <v>2656.0</v>
      </c>
      <c r="B1232" s="57"/>
      <c r="C1232" s="57"/>
      <c r="D1232" s="88" t="str">
        <f t="array" ref="D1232">IFERROR(
  LOOKUP(2, 1/((TRIM(IMS!$E$8:$E$2574)=TRIM(IMS!$E1232))*(IMS!$C$8:$C$2574&lt;IMS!$C1232)),
         IMS!$C$8:$C$2574),
"")</f>
        <v/>
      </c>
      <c r="E1232" s="57"/>
      <c r="F1232" s="57"/>
      <c r="G1232" s="77" t="str">
        <f t="shared" si="901"/>
        <v/>
      </c>
      <c r="H1232" s="78" t="str">
        <f t="shared" si="902"/>
        <v/>
      </c>
      <c r="I1232" s="79"/>
      <c r="J1232" s="80" t="str">
        <f t="shared" si="903"/>
        <v>#NAME?</v>
      </c>
      <c r="K1232" s="58"/>
      <c r="L1232" s="58"/>
      <c r="M1232" s="57"/>
      <c r="N1232" s="57"/>
      <c r="O1232" s="58"/>
      <c r="P1232" s="82"/>
      <c r="Q1232" s="81"/>
      <c r="R1232" s="81"/>
      <c r="S1232" s="57"/>
      <c r="T1232" s="82"/>
      <c r="U1232" s="82"/>
      <c r="V1232" s="57"/>
      <c r="W1232" s="57"/>
      <c r="X1232" s="57" t="str">
        <f t="shared" si="917"/>
        <v/>
      </c>
      <c r="Y1232" s="58" t="str">
        <f t="shared" ref="Y1232:AC1232" si="1072">TRIM(SUBSTITUTE(SUBSTITUTE(OFFSET($Q1232,0,COLUMN()-COLUMN($AL$1)),CHAR(160)," "),_xludf.UNICHAR(8239)," "))</f>
        <v>#NAME?</v>
      </c>
      <c r="Z1232" s="58" t="str">
        <f t="shared" si="1072"/>
        <v>#NAME?</v>
      </c>
      <c r="AA1232" s="58" t="str">
        <f t="shared" si="1072"/>
        <v>#NAME?</v>
      </c>
      <c r="AB1232" s="58" t="str">
        <f t="shared" si="1072"/>
        <v>#NAME?</v>
      </c>
      <c r="AC1232" s="58" t="str">
        <f t="shared" si="1072"/>
        <v>#NAME?</v>
      </c>
      <c r="AD1232" s="57">
        <f t="shared" si="906"/>
        <v>0</v>
      </c>
      <c r="AE1232" s="57" t="str">
        <f t="shared" si="907"/>
        <v/>
      </c>
      <c r="AF1232" s="57">
        <f t="shared" si="908"/>
        <v>0</v>
      </c>
      <c r="AG1232" s="59">
        <f t="shared" si="909"/>
        <v>0</v>
      </c>
      <c r="AH1232" s="15"/>
      <c r="AI1232" s="15"/>
      <c r="AJ1232" s="15"/>
      <c r="AK1232" s="15"/>
      <c r="AL1232" s="15"/>
      <c r="AM1232" s="15"/>
      <c r="AN1232" s="15"/>
      <c r="AO1232" s="15"/>
      <c r="AP1232" s="15"/>
      <c r="AQ1232" s="15"/>
      <c r="AR1232" s="15"/>
      <c r="AS1232" s="15"/>
      <c r="AT1232" s="15"/>
      <c r="AU1232" s="15"/>
    </row>
    <row r="1233" ht="24.0" customHeight="1">
      <c r="A1233" s="45">
        <v>2657.0</v>
      </c>
      <c r="B1233" s="57"/>
      <c r="C1233" s="57"/>
      <c r="D1233" s="88" t="str">
        <f t="array" ref="D1233">IFERROR(
  LOOKUP(2, 1/((TRIM(IMS!$E$8:$E$2574)=TRIM(IMS!$E1233))*(IMS!$C$8:$C$2574&lt;IMS!$C1233)),
         IMS!$C$8:$C$2574),
"")</f>
        <v/>
      </c>
      <c r="E1233" s="57"/>
      <c r="F1233" s="57"/>
      <c r="G1233" s="77" t="str">
        <f t="shared" si="901"/>
        <v/>
      </c>
      <c r="H1233" s="78" t="str">
        <f t="shared" si="902"/>
        <v/>
      </c>
      <c r="I1233" s="79"/>
      <c r="J1233" s="80" t="str">
        <f t="shared" si="903"/>
        <v>#NAME?</v>
      </c>
      <c r="K1233" s="58"/>
      <c r="L1233" s="58"/>
      <c r="M1233" s="57"/>
      <c r="N1233" s="57"/>
      <c r="O1233" s="58"/>
      <c r="P1233" s="82"/>
      <c r="Q1233" s="81"/>
      <c r="R1233" s="81"/>
      <c r="S1233" s="57"/>
      <c r="T1233" s="82"/>
      <c r="U1233" s="82"/>
      <c r="V1233" s="57"/>
      <c r="W1233" s="57"/>
      <c r="X1233" s="57" t="str">
        <f t="shared" si="917"/>
        <v/>
      </c>
      <c r="Y1233" s="58" t="str">
        <f t="shared" ref="Y1233:AC1233" si="1073">TRIM(SUBSTITUTE(SUBSTITUTE(OFFSET($Q1233,0,COLUMN()-COLUMN($AL$1)),CHAR(160)," "),_xludf.UNICHAR(8239)," "))</f>
        <v>#NAME?</v>
      </c>
      <c r="Z1233" s="58" t="str">
        <f t="shared" si="1073"/>
        <v>#NAME?</v>
      </c>
      <c r="AA1233" s="58" t="str">
        <f t="shared" si="1073"/>
        <v>#NAME?</v>
      </c>
      <c r="AB1233" s="58" t="str">
        <f t="shared" si="1073"/>
        <v>#NAME?</v>
      </c>
      <c r="AC1233" s="58" t="str">
        <f t="shared" si="1073"/>
        <v>#NAME?</v>
      </c>
      <c r="AD1233" s="57">
        <f t="shared" si="906"/>
        <v>0</v>
      </c>
      <c r="AE1233" s="57" t="str">
        <f t="shared" si="907"/>
        <v/>
      </c>
      <c r="AF1233" s="57">
        <f t="shared" si="908"/>
        <v>0</v>
      </c>
      <c r="AG1233" s="59">
        <f t="shared" si="909"/>
        <v>0</v>
      </c>
      <c r="AH1233" s="15"/>
      <c r="AI1233" s="15"/>
      <c r="AJ1233" s="15"/>
      <c r="AK1233" s="15"/>
      <c r="AL1233" s="15"/>
      <c r="AM1233" s="15"/>
      <c r="AN1233" s="15"/>
      <c r="AO1233" s="15"/>
      <c r="AP1233" s="15"/>
      <c r="AQ1233" s="15"/>
      <c r="AR1233" s="15"/>
      <c r="AS1233" s="15"/>
      <c r="AT1233" s="15"/>
      <c r="AU1233" s="15"/>
    </row>
    <row r="1234" ht="24.0" customHeight="1">
      <c r="A1234" s="45">
        <v>2658.0</v>
      </c>
      <c r="B1234" s="57"/>
      <c r="C1234" s="57"/>
      <c r="D1234" s="88" t="str">
        <f t="array" ref="D1234">IFERROR(
  LOOKUP(2, 1/((TRIM(IMS!$E$8:$E$2574)=TRIM(IMS!$E1234))*(IMS!$C$8:$C$2574&lt;IMS!$C1234)),
         IMS!$C$8:$C$2574),
"")</f>
        <v/>
      </c>
      <c r="E1234" s="57"/>
      <c r="F1234" s="57"/>
      <c r="G1234" s="77" t="str">
        <f t="shared" si="901"/>
        <v/>
      </c>
      <c r="H1234" s="78" t="str">
        <f t="shared" si="902"/>
        <v/>
      </c>
      <c r="I1234" s="79"/>
      <c r="J1234" s="80" t="str">
        <f t="shared" si="903"/>
        <v>#NAME?</v>
      </c>
      <c r="K1234" s="58"/>
      <c r="L1234" s="58"/>
      <c r="M1234" s="57"/>
      <c r="N1234" s="57"/>
      <c r="O1234" s="58"/>
      <c r="P1234" s="82"/>
      <c r="Q1234" s="81"/>
      <c r="R1234" s="81"/>
      <c r="S1234" s="57"/>
      <c r="T1234" s="82"/>
      <c r="U1234" s="82"/>
      <c r="V1234" s="57"/>
      <c r="W1234" s="57"/>
      <c r="X1234" s="57" t="str">
        <f t="shared" si="917"/>
        <v/>
      </c>
      <c r="Y1234" s="58" t="str">
        <f t="shared" ref="Y1234:AC1234" si="1074">TRIM(SUBSTITUTE(SUBSTITUTE(OFFSET($Q1234,0,COLUMN()-COLUMN($AL$1)),CHAR(160)," "),_xludf.UNICHAR(8239)," "))</f>
        <v>#NAME?</v>
      </c>
      <c r="Z1234" s="58" t="str">
        <f t="shared" si="1074"/>
        <v>#NAME?</v>
      </c>
      <c r="AA1234" s="58" t="str">
        <f t="shared" si="1074"/>
        <v>#NAME?</v>
      </c>
      <c r="AB1234" s="58" t="str">
        <f t="shared" si="1074"/>
        <v>#NAME?</v>
      </c>
      <c r="AC1234" s="58" t="str">
        <f t="shared" si="1074"/>
        <v>#NAME?</v>
      </c>
      <c r="AD1234" s="57">
        <f t="shared" si="906"/>
        <v>0</v>
      </c>
      <c r="AE1234" s="57" t="str">
        <f t="shared" si="907"/>
        <v/>
      </c>
      <c r="AF1234" s="57">
        <f t="shared" si="908"/>
        <v>0</v>
      </c>
      <c r="AG1234" s="59">
        <f t="shared" si="909"/>
        <v>0</v>
      </c>
      <c r="AH1234" s="15"/>
      <c r="AI1234" s="15"/>
      <c r="AJ1234" s="15"/>
      <c r="AK1234" s="15"/>
      <c r="AL1234" s="15"/>
      <c r="AM1234" s="15"/>
      <c r="AN1234" s="15"/>
      <c r="AO1234" s="15"/>
      <c r="AP1234" s="15"/>
      <c r="AQ1234" s="15"/>
      <c r="AR1234" s="15"/>
      <c r="AS1234" s="15"/>
      <c r="AT1234" s="15"/>
      <c r="AU1234" s="15"/>
    </row>
    <row r="1235" ht="24.0" customHeight="1">
      <c r="A1235" s="45">
        <v>2659.0</v>
      </c>
      <c r="B1235" s="57"/>
      <c r="C1235" s="57"/>
      <c r="D1235" s="88" t="str">
        <f t="array" ref="D1235">IFERROR(
  LOOKUP(2, 1/((TRIM(IMS!$E$8:$E$2574)=TRIM(IMS!$E1235))*(IMS!$C$8:$C$2574&lt;IMS!$C1235)),
         IMS!$C$8:$C$2574),
"")</f>
        <v/>
      </c>
      <c r="E1235" s="57"/>
      <c r="F1235" s="57"/>
      <c r="G1235" s="77" t="str">
        <f t="shared" si="901"/>
        <v/>
      </c>
      <c r="H1235" s="78" t="str">
        <f t="shared" si="902"/>
        <v/>
      </c>
      <c r="I1235" s="79"/>
      <c r="J1235" s="80" t="str">
        <f t="shared" si="903"/>
        <v>#NAME?</v>
      </c>
      <c r="K1235" s="58"/>
      <c r="L1235" s="58"/>
      <c r="M1235" s="57"/>
      <c r="N1235" s="57"/>
      <c r="O1235" s="58"/>
      <c r="P1235" s="82"/>
      <c r="Q1235" s="81"/>
      <c r="R1235" s="81"/>
      <c r="S1235" s="57"/>
      <c r="T1235" s="82"/>
      <c r="U1235" s="82"/>
      <c r="V1235" s="57"/>
      <c r="W1235" s="57"/>
      <c r="X1235" s="57" t="str">
        <f t="shared" si="917"/>
        <v/>
      </c>
      <c r="Y1235" s="58" t="str">
        <f t="shared" ref="Y1235:AC1235" si="1075">TRIM(SUBSTITUTE(SUBSTITUTE(OFFSET($Q1235,0,COLUMN()-COLUMN($AL$1)),CHAR(160)," "),_xludf.UNICHAR(8239)," "))</f>
        <v>#NAME?</v>
      </c>
      <c r="Z1235" s="58" t="str">
        <f t="shared" si="1075"/>
        <v>#NAME?</v>
      </c>
      <c r="AA1235" s="58" t="str">
        <f t="shared" si="1075"/>
        <v>#NAME?</v>
      </c>
      <c r="AB1235" s="58" t="str">
        <f t="shared" si="1075"/>
        <v>#NAME?</v>
      </c>
      <c r="AC1235" s="58" t="str">
        <f t="shared" si="1075"/>
        <v>#NAME?</v>
      </c>
      <c r="AD1235" s="57">
        <f t="shared" si="906"/>
        <v>0</v>
      </c>
      <c r="AE1235" s="57" t="str">
        <f t="shared" si="907"/>
        <v/>
      </c>
      <c r="AF1235" s="57">
        <f t="shared" si="908"/>
        <v>0</v>
      </c>
      <c r="AG1235" s="59">
        <f t="shared" si="909"/>
        <v>0</v>
      </c>
      <c r="AH1235" s="15"/>
      <c r="AI1235" s="15"/>
      <c r="AJ1235" s="15"/>
      <c r="AK1235" s="15"/>
      <c r="AL1235" s="15"/>
      <c r="AM1235" s="15"/>
      <c r="AN1235" s="15"/>
      <c r="AO1235" s="15"/>
      <c r="AP1235" s="15"/>
      <c r="AQ1235" s="15"/>
      <c r="AR1235" s="15"/>
      <c r="AS1235" s="15"/>
      <c r="AT1235" s="15"/>
      <c r="AU1235" s="15"/>
    </row>
    <row r="1236" ht="24.0" customHeight="1">
      <c r="A1236" s="45">
        <v>2660.0</v>
      </c>
      <c r="B1236" s="57"/>
      <c r="C1236" s="57"/>
      <c r="D1236" s="88" t="str">
        <f t="array" ref="D1236">IFERROR(
  LOOKUP(2, 1/((TRIM(IMS!$E$8:$E$2574)=TRIM(IMS!$E1236))*(IMS!$C$8:$C$2574&lt;IMS!$C1236)),
         IMS!$C$8:$C$2574),
"")</f>
        <v/>
      </c>
      <c r="E1236" s="57"/>
      <c r="F1236" s="57"/>
      <c r="G1236" s="77" t="str">
        <f t="shared" si="901"/>
        <v/>
      </c>
      <c r="H1236" s="78" t="str">
        <f t="shared" si="902"/>
        <v/>
      </c>
      <c r="I1236" s="79"/>
      <c r="J1236" s="80" t="str">
        <f t="shared" si="903"/>
        <v>#NAME?</v>
      </c>
      <c r="K1236" s="58"/>
      <c r="L1236" s="58"/>
      <c r="M1236" s="57"/>
      <c r="N1236" s="57"/>
      <c r="O1236" s="58"/>
      <c r="P1236" s="82"/>
      <c r="Q1236" s="81"/>
      <c r="R1236" s="81"/>
      <c r="S1236" s="57"/>
      <c r="T1236" s="82"/>
      <c r="U1236" s="82"/>
      <c r="V1236" s="57"/>
      <c r="W1236" s="57"/>
      <c r="X1236" s="57" t="str">
        <f t="shared" si="917"/>
        <v/>
      </c>
      <c r="Y1236" s="58" t="str">
        <f t="shared" ref="Y1236:AC1236" si="1076">TRIM(SUBSTITUTE(SUBSTITUTE(OFFSET($Q1236,0,COLUMN()-COLUMN($AL$1)),CHAR(160)," "),_xludf.UNICHAR(8239)," "))</f>
        <v>#NAME?</v>
      </c>
      <c r="Z1236" s="58" t="str">
        <f t="shared" si="1076"/>
        <v>#NAME?</v>
      </c>
      <c r="AA1236" s="58" t="str">
        <f t="shared" si="1076"/>
        <v>#NAME?</v>
      </c>
      <c r="AB1236" s="58" t="str">
        <f t="shared" si="1076"/>
        <v>#NAME?</v>
      </c>
      <c r="AC1236" s="58" t="str">
        <f t="shared" si="1076"/>
        <v>#NAME?</v>
      </c>
      <c r="AD1236" s="57">
        <f t="shared" si="906"/>
        <v>0</v>
      </c>
      <c r="AE1236" s="57" t="str">
        <f t="shared" si="907"/>
        <v/>
      </c>
      <c r="AF1236" s="57">
        <f t="shared" si="908"/>
        <v>0</v>
      </c>
      <c r="AG1236" s="59">
        <f t="shared" si="909"/>
        <v>0</v>
      </c>
      <c r="AH1236" s="15"/>
      <c r="AI1236" s="15"/>
      <c r="AJ1236" s="15"/>
      <c r="AK1236" s="15"/>
      <c r="AL1236" s="15"/>
      <c r="AM1236" s="15"/>
      <c r="AN1236" s="15"/>
      <c r="AO1236" s="15"/>
      <c r="AP1236" s="15"/>
      <c r="AQ1236" s="15"/>
      <c r="AR1236" s="15"/>
      <c r="AS1236" s="15"/>
      <c r="AT1236" s="15"/>
      <c r="AU1236" s="15"/>
    </row>
    <row r="1237" ht="24.0" customHeight="1">
      <c r="A1237" s="45">
        <v>2661.0</v>
      </c>
      <c r="B1237" s="57"/>
      <c r="C1237" s="57"/>
      <c r="D1237" s="88" t="str">
        <f t="array" ref="D1237">IFERROR(
  LOOKUP(2, 1/((TRIM(IMS!$E$8:$E$2574)=TRIM(IMS!$E1237))*(IMS!$C$8:$C$2574&lt;IMS!$C1237)),
         IMS!$C$8:$C$2574),
"")</f>
        <v/>
      </c>
      <c r="E1237" s="57"/>
      <c r="F1237" s="57"/>
      <c r="G1237" s="77" t="str">
        <f t="shared" si="901"/>
        <v/>
      </c>
      <c r="H1237" s="78" t="str">
        <f t="shared" si="902"/>
        <v/>
      </c>
      <c r="I1237" s="79"/>
      <c r="J1237" s="80" t="str">
        <f t="shared" si="903"/>
        <v>#NAME?</v>
      </c>
      <c r="K1237" s="58"/>
      <c r="L1237" s="58"/>
      <c r="M1237" s="57"/>
      <c r="N1237" s="57"/>
      <c r="O1237" s="58"/>
      <c r="P1237" s="82"/>
      <c r="Q1237" s="81"/>
      <c r="R1237" s="81"/>
      <c r="S1237" s="57"/>
      <c r="T1237" s="82"/>
      <c r="U1237" s="82"/>
      <c r="V1237" s="57"/>
      <c r="W1237" s="57"/>
      <c r="X1237" s="57" t="str">
        <f t="shared" si="917"/>
        <v/>
      </c>
      <c r="Y1237" s="58" t="str">
        <f t="shared" ref="Y1237:AC1237" si="1077">TRIM(SUBSTITUTE(SUBSTITUTE(OFFSET($Q1237,0,COLUMN()-COLUMN($AL$1)),CHAR(160)," "),_xludf.UNICHAR(8239)," "))</f>
        <v>#NAME?</v>
      </c>
      <c r="Z1237" s="58" t="str">
        <f t="shared" si="1077"/>
        <v>#NAME?</v>
      </c>
      <c r="AA1237" s="58" t="str">
        <f t="shared" si="1077"/>
        <v>#NAME?</v>
      </c>
      <c r="AB1237" s="58" t="str">
        <f t="shared" si="1077"/>
        <v>#NAME?</v>
      </c>
      <c r="AC1237" s="58" t="str">
        <f t="shared" si="1077"/>
        <v>#NAME?</v>
      </c>
      <c r="AD1237" s="57">
        <f t="shared" si="906"/>
        <v>0</v>
      </c>
      <c r="AE1237" s="57" t="str">
        <f t="shared" si="907"/>
        <v/>
      </c>
      <c r="AF1237" s="57">
        <f t="shared" si="908"/>
        <v>0</v>
      </c>
      <c r="AG1237" s="59">
        <f t="shared" si="909"/>
        <v>0</v>
      </c>
      <c r="AH1237" s="15"/>
      <c r="AI1237" s="15"/>
      <c r="AJ1237" s="15"/>
      <c r="AK1237" s="15"/>
      <c r="AL1237" s="15"/>
      <c r="AM1237" s="15"/>
      <c r="AN1237" s="15"/>
      <c r="AO1237" s="15"/>
      <c r="AP1237" s="15"/>
      <c r="AQ1237" s="15"/>
      <c r="AR1237" s="15"/>
      <c r="AS1237" s="15"/>
      <c r="AT1237" s="15"/>
      <c r="AU1237" s="15"/>
    </row>
    <row r="1238" ht="24.0" customHeight="1">
      <c r="A1238" s="45">
        <v>2662.0</v>
      </c>
      <c r="B1238" s="57"/>
      <c r="C1238" s="57"/>
      <c r="D1238" s="88" t="str">
        <f t="array" ref="D1238">IFERROR(
  LOOKUP(2, 1/((TRIM(IMS!$E$8:$E$2574)=TRIM(IMS!$E1238))*(IMS!$C$8:$C$2574&lt;IMS!$C1238)),
         IMS!$C$8:$C$2574),
"")</f>
        <v/>
      </c>
      <c r="E1238" s="57"/>
      <c r="F1238" s="57"/>
      <c r="G1238" s="77" t="str">
        <f t="shared" si="901"/>
        <v/>
      </c>
      <c r="H1238" s="78" t="str">
        <f t="shared" si="902"/>
        <v/>
      </c>
      <c r="I1238" s="79"/>
      <c r="J1238" s="80" t="str">
        <f t="shared" si="903"/>
        <v>#NAME?</v>
      </c>
      <c r="K1238" s="58"/>
      <c r="L1238" s="58"/>
      <c r="M1238" s="57"/>
      <c r="N1238" s="57"/>
      <c r="O1238" s="58"/>
      <c r="P1238" s="82"/>
      <c r="Q1238" s="81"/>
      <c r="R1238" s="81"/>
      <c r="S1238" s="57"/>
      <c r="T1238" s="82"/>
      <c r="U1238" s="82"/>
      <c r="V1238" s="57"/>
      <c r="W1238" s="57"/>
      <c r="X1238" s="57" t="str">
        <f t="shared" si="917"/>
        <v/>
      </c>
      <c r="Y1238" s="58" t="str">
        <f t="shared" ref="Y1238:AC1238" si="1078">TRIM(SUBSTITUTE(SUBSTITUTE(OFFSET($Q1238,0,COLUMN()-COLUMN($AL$1)),CHAR(160)," "),_xludf.UNICHAR(8239)," "))</f>
        <v>#NAME?</v>
      </c>
      <c r="Z1238" s="58" t="str">
        <f t="shared" si="1078"/>
        <v>#NAME?</v>
      </c>
      <c r="AA1238" s="58" t="str">
        <f t="shared" si="1078"/>
        <v>#NAME?</v>
      </c>
      <c r="AB1238" s="58" t="str">
        <f t="shared" si="1078"/>
        <v>#NAME?</v>
      </c>
      <c r="AC1238" s="58" t="str">
        <f t="shared" si="1078"/>
        <v>#NAME?</v>
      </c>
      <c r="AD1238" s="57">
        <f t="shared" si="906"/>
        <v>0</v>
      </c>
      <c r="AE1238" s="57" t="str">
        <f t="shared" si="907"/>
        <v/>
      </c>
      <c r="AF1238" s="57">
        <f t="shared" si="908"/>
        <v>0</v>
      </c>
      <c r="AG1238" s="59">
        <f t="shared" si="909"/>
        <v>0</v>
      </c>
      <c r="AH1238" s="15"/>
      <c r="AI1238" s="15"/>
      <c r="AJ1238" s="15"/>
      <c r="AK1238" s="15"/>
      <c r="AL1238" s="15"/>
      <c r="AM1238" s="15"/>
      <c r="AN1238" s="15"/>
      <c r="AO1238" s="15"/>
      <c r="AP1238" s="15"/>
      <c r="AQ1238" s="15"/>
      <c r="AR1238" s="15"/>
      <c r="AS1238" s="15"/>
      <c r="AT1238" s="15"/>
      <c r="AU1238" s="15"/>
    </row>
    <row r="1239" ht="24.0" customHeight="1">
      <c r="A1239" s="45">
        <v>2663.0</v>
      </c>
      <c r="B1239" s="57"/>
      <c r="C1239" s="57"/>
      <c r="D1239" s="88" t="str">
        <f t="array" ref="D1239">IFERROR(
  LOOKUP(2, 1/((TRIM(IMS!$E$8:$E$2574)=TRIM(IMS!$E1239))*(IMS!$C$8:$C$2574&lt;IMS!$C1239)),
         IMS!$C$8:$C$2574),
"")</f>
        <v/>
      </c>
      <c r="E1239" s="57"/>
      <c r="F1239" s="57"/>
      <c r="G1239" s="77" t="str">
        <f t="shared" si="901"/>
        <v/>
      </c>
      <c r="H1239" s="78" t="str">
        <f t="shared" si="902"/>
        <v/>
      </c>
      <c r="I1239" s="79"/>
      <c r="J1239" s="80" t="str">
        <f t="shared" si="903"/>
        <v>#NAME?</v>
      </c>
      <c r="K1239" s="58"/>
      <c r="L1239" s="58"/>
      <c r="M1239" s="57"/>
      <c r="N1239" s="57"/>
      <c r="O1239" s="58"/>
      <c r="P1239" s="82"/>
      <c r="Q1239" s="81"/>
      <c r="R1239" s="81"/>
      <c r="S1239" s="57"/>
      <c r="T1239" s="82"/>
      <c r="U1239" s="82"/>
      <c r="V1239" s="57"/>
      <c r="W1239" s="57"/>
      <c r="X1239" s="57" t="str">
        <f t="shared" si="917"/>
        <v/>
      </c>
      <c r="Y1239" s="58" t="str">
        <f t="shared" ref="Y1239:AC1239" si="1079">TRIM(SUBSTITUTE(SUBSTITUTE(OFFSET($Q1239,0,COLUMN()-COLUMN($AL$1)),CHAR(160)," "),_xludf.UNICHAR(8239)," "))</f>
        <v>#NAME?</v>
      </c>
      <c r="Z1239" s="58" t="str">
        <f t="shared" si="1079"/>
        <v>#NAME?</v>
      </c>
      <c r="AA1239" s="58" t="str">
        <f t="shared" si="1079"/>
        <v>#NAME?</v>
      </c>
      <c r="AB1239" s="58" t="str">
        <f t="shared" si="1079"/>
        <v>#NAME?</v>
      </c>
      <c r="AC1239" s="58" t="str">
        <f t="shared" si="1079"/>
        <v>#NAME?</v>
      </c>
      <c r="AD1239" s="57">
        <f t="shared" si="906"/>
        <v>0</v>
      </c>
      <c r="AE1239" s="57" t="str">
        <f t="shared" si="907"/>
        <v/>
      </c>
      <c r="AF1239" s="57">
        <f t="shared" si="908"/>
        <v>0</v>
      </c>
      <c r="AG1239" s="59">
        <f t="shared" si="909"/>
        <v>0</v>
      </c>
      <c r="AH1239" s="15"/>
      <c r="AI1239" s="15"/>
      <c r="AJ1239" s="15"/>
      <c r="AK1239" s="15"/>
      <c r="AL1239" s="15"/>
      <c r="AM1239" s="15"/>
      <c r="AN1239" s="15"/>
      <c r="AO1239" s="15"/>
      <c r="AP1239" s="15"/>
      <c r="AQ1239" s="15"/>
      <c r="AR1239" s="15"/>
      <c r="AS1239" s="15"/>
      <c r="AT1239" s="15"/>
      <c r="AU1239" s="15"/>
    </row>
    <row r="1240" ht="24.0" customHeight="1">
      <c r="A1240" s="45">
        <v>2664.0</v>
      </c>
      <c r="B1240" s="57"/>
      <c r="C1240" s="57"/>
      <c r="D1240" s="88" t="str">
        <f t="array" ref="D1240">IFERROR(
  LOOKUP(2, 1/((TRIM(IMS!$E$8:$E$2574)=TRIM(IMS!$E1240))*(IMS!$C$8:$C$2574&lt;IMS!$C1240)),
         IMS!$C$8:$C$2574),
"")</f>
        <v/>
      </c>
      <c r="E1240" s="57"/>
      <c r="F1240" s="57"/>
      <c r="G1240" s="77" t="str">
        <f t="shared" si="901"/>
        <v/>
      </c>
      <c r="H1240" s="78" t="str">
        <f t="shared" si="902"/>
        <v/>
      </c>
      <c r="I1240" s="79"/>
      <c r="J1240" s="80" t="str">
        <f t="shared" si="903"/>
        <v>#NAME?</v>
      </c>
      <c r="K1240" s="58"/>
      <c r="L1240" s="58"/>
      <c r="M1240" s="57"/>
      <c r="N1240" s="57"/>
      <c r="O1240" s="58"/>
      <c r="P1240" s="82"/>
      <c r="Q1240" s="81"/>
      <c r="R1240" s="81"/>
      <c r="S1240" s="57"/>
      <c r="T1240" s="82"/>
      <c r="U1240" s="82"/>
      <c r="V1240" s="57"/>
      <c r="W1240" s="57"/>
      <c r="X1240" s="57" t="str">
        <f t="shared" si="917"/>
        <v/>
      </c>
      <c r="Y1240" s="58" t="str">
        <f t="shared" ref="Y1240:AC1240" si="1080">TRIM(SUBSTITUTE(SUBSTITUTE(OFFSET($Q1240,0,COLUMN()-COLUMN($AL$1)),CHAR(160)," "),_xludf.UNICHAR(8239)," "))</f>
        <v>#NAME?</v>
      </c>
      <c r="Z1240" s="58" t="str">
        <f t="shared" si="1080"/>
        <v>#NAME?</v>
      </c>
      <c r="AA1240" s="58" t="str">
        <f t="shared" si="1080"/>
        <v>#NAME?</v>
      </c>
      <c r="AB1240" s="58" t="str">
        <f t="shared" si="1080"/>
        <v>#NAME?</v>
      </c>
      <c r="AC1240" s="58" t="str">
        <f t="shared" si="1080"/>
        <v>#NAME?</v>
      </c>
      <c r="AD1240" s="57">
        <f t="shared" si="906"/>
        <v>0</v>
      </c>
      <c r="AE1240" s="57" t="str">
        <f t="shared" si="907"/>
        <v/>
      </c>
      <c r="AF1240" s="57">
        <f t="shared" si="908"/>
        <v>0</v>
      </c>
      <c r="AG1240" s="59">
        <f t="shared" si="909"/>
        <v>0</v>
      </c>
      <c r="AH1240" s="15"/>
      <c r="AI1240" s="15"/>
      <c r="AJ1240" s="15"/>
      <c r="AK1240" s="15"/>
      <c r="AL1240" s="15"/>
      <c r="AM1240" s="15"/>
      <c r="AN1240" s="15"/>
      <c r="AO1240" s="15"/>
      <c r="AP1240" s="15"/>
      <c r="AQ1240" s="15"/>
      <c r="AR1240" s="15"/>
      <c r="AS1240" s="15"/>
      <c r="AT1240" s="15"/>
      <c r="AU1240" s="15"/>
    </row>
    <row r="1241" ht="24.0" customHeight="1">
      <c r="A1241" s="45">
        <v>2665.0</v>
      </c>
      <c r="B1241" s="57"/>
      <c r="C1241" s="57"/>
      <c r="D1241" s="88" t="str">
        <f t="array" ref="D1241">IFERROR(
  LOOKUP(2, 1/((TRIM(IMS!$E$8:$E$2574)=TRIM(IMS!$E1241))*(IMS!$C$8:$C$2574&lt;IMS!$C1241)),
         IMS!$C$8:$C$2574),
"")</f>
        <v/>
      </c>
      <c r="E1241" s="57"/>
      <c r="F1241" s="57"/>
      <c r="G1241" s="77" t="str">
        <f t="shared" si="901"/>
        <v/>
      </c>
      <c r="H1241" s="78" t="str">
        <f t="shared" si="902"/>
        <v/>
      </c>
      <c r="I1241" s="79"/>
      <c r="J1241" s="80" t="str">
        <f t="shared" si="903"/>
        <v>#NAME?</v>
      </c>
      <c r="K1241" s="58"/>
      <c r="L1241" s="58"/>
      <c r="M1241" s="57"/>
      <c r="N1241" s="57"/>
      <c r="O1241" s="58"/>
      <c r="P1241" s="82"/>
      <c r="Q1241" s="81"/>
      <c r="R1241" s="81"/>
      <c r="S1241" s="57"/>
      <c r="T1241" s="82"/>
      <c r="U1241" s="82"/>
      <c r="V1241" s="57"/>
      <c r="W1241" s="57"/>
      <c r="X1241" s="57" t="str">
        <f t="shared" si="917"/>
        <v/>
      </c>
      <c r="Y1241" s="58" t="str">
        <f t="shared" ref="Y1241:AC1241" si="1081">TRIM(SUBSTITUTE(SUBSTITUTE(OFFSET($Q1241,0,COLUMN()-COLUMN($AL$1)),CHAR(160)," "),_xludf.UNICHAR(8239)," "))</f>
        <v>#NAME?</v>
      </c>
      <c r="Z1241" s="58" t="str">
        <f t="shared" si="1081"/>
        <v>#NAME?</v>
      </c>
      <c r="AA1241" s="58" t="str">
        <f t="shared" si="1081"/>
        <v>#NAME?</v>
      </c>
      <c r="AB1241" s="58" t="str">
        <f t="shared" si="1081"/>
        <v>#NAME?</v>
      </c>
      <c r="AC1241" s="58" t="str">
        <f t="shared" si="1081"/>
        <v>#NAME?</v>
      </c>
      <c r="AD1241" s="57">
        <f t="shared" si="906"/>
        <v>0</v>
      </c>
      <c r="AE1241" s="57" t="str">
        <f t="shared" si="907"/>
        <v/>
      </c>
      <c r="AF1241" s="57">
        <f t="shared" si="908"/>
        <v>0</v>
      </c>
      <c r="AG1241" s="59">
        <f t="shared" si="909"/>
        <v>0</v>
      </c>
      <c r="AH1241" s="15"/>
      <c r="AI1241" s="15"/>
      <c r="AJ1241" s="15"/>
      <c r="AK1241" s="15"/>
      <c r="AL1241" s="15"/>
      <c r="AM1241" s="15"/>
      <c r="AN1241" s="15"/>
      <c r="AO1241" s="15"/>
      <c r="AP1241" s="15"/>
      <c r="AQ1241" s="15"/>
      <c r="AR1241" s="15"/>
      <c r="AS1241" s="15"/>
      <c r="AT1241" s="15"/>
      <c r="AU1241" s="15"/>
    </row>
    <row r="1242" ht="24.0" customHeight="1">
      <c r="A1242" s="45">
        <v>2666.0</v>
      </c>
      <c r="B1242" s="57"/>
      <c r="C1242" s="57"/>
      <c r="D1242" s="88" t="str">
        <f t="array" ref="D1242">IFERROR(
  LOOKUP(2, 1/((TRIM(IMS!$E$8:$E$2574)=TRIM(IMS!$E1242))*(IMS!$C$8:$C$2574&lt;IMS!$C1242)),
         IMS!$C$8:$C$2574),
"")</f>
        <v/>
      </c>
      <c r="E1242" s="57"/>
      <c r="F1242" s="57"/>
      <c r="G1242" s="77" t="str">
        <f t="shared" si="901"/>
        <v/>
      </c>
      <c r="H1242" s="78" t="str">
        <f t="shared" si="902"/>
        <v/>
      </c>
      <c r="I1242" s="79"/>
      <c r="J1242" s="80" t="str">
        <f t="shared" si="903"/>
        <v>#NAME?</v>
      </c>
      <c r="K1242" s="58"/>
      <c r="L1242" s="58"/>
      <c r="M1242" s="57"/>
      <c r="N1242" s="57"/>
      <c r="O1242" s="58"/>
      <c r="P1242" s="82"/>
      <c r="Q1242" s="81"/>
      <c r="R1242" s="81"/>
      <c r="S1242" s="57"/>
      <c r="T1242" s="82"/>
      <c r="U1242" s="82"/>
      <c r="V1242" s="57"/>
      <c r="W1242" s="57"/>
      <c r="X1242" s="57" t="str">
        <f t="shared" si="917"/>
        <v/>
      </c>
      <c r="Y1242" s="58" t="str">
        <f t="shared" ref="Y1242:AC1242" si="1082">TRIM(SUBSTITUTE(SUBSTITUTE(OFFSET($Q1242,0,COLUMN()-COLUMN($AL$1)),CHAR(160)," "),_xludf.UNICHAR(8239)," "))</f>
        <v>#NAME?</v>
      </c>
      <c r="Z1242" s="58" t="str">
        <f t="shared" si="1082"/>
        <v>#NAME?</v>
      </c>
      <c r="AA1242" s="58" t="str">
        <f t="shared" si="1082"/>
        <v>#NAME?</v>
      </c>
      <c r="AB1242" s="58" t="str">
        <f t="shared" si="1082"/>
        <v>#NAME?</v>
      </c>
      <c r="AC1242" s="58" t="str">
        <f t="shared" si="1082"/>
        <v>#NAME?</v>
      </c>
      <c r="AD1242" s="57">
        <f t="shared" si="906"/>
        <v>0</v>
      </c>
      <c r="AE1242" s="57" t="str">
        <f t="shared" si="907"/>
        <v/>
      </c>
      <c r="AF1242" s="57">
        <f t="shared" si="908"/>
        <v>0</v>
      </c>
      <c r="AG1242" s="59">
        <f t="shared" si="909"/>
        <v>0</v>
      </c>
      <c r="AH1242" s="15"/>
      <c r="AI1242" s="15"/>
      <c r="AJ1242" s="15"/>
      <c r="AK1242" s="15"/>
      <c r="AL1242" s="15"/>
      <c r="AM1242" s="15"/>
      <c r="AN1242" s="15"/>
      <c r="AO1242" s="15"/>
      <c r="AP1242" s="15"/>
      <c r="AQ1242" s="15"/>
      <c r="AR1242" s="15"/>
      <c r="AS1242" s="15"/>
      <c r="AT1242" s="15"/>
      <c r="AU1242" s="15"/>
    </row>
    <row r="1243" ht="24.0" customHeight="1">
      <c r="A1243" s="45">
        <v>2667.0</v>
      </c>
      <c r="B1243" s="57"/>
      <c r="C1243" s="57"/>
      <c r="D1243" s="88" t="str">
        <f t="array" ref="D1243">IFERROR(
  LOOKUP(2, 1/((TRIM(IMS!$E$8:$E$2574)=TRIM(IMS!$E1243))*(IMS!$C$8:$C$2574&lt;IMS!$C1243)),
         IMS!$C$8:$C$2574),
"")</f>
        <v/>
      </c>
      <c r="E1243" s="57"/>
      <c r="F1243" s="57"/>
      <c r="G1243" s="77" t="str">
        <f t="shared" si="901"/>
        <v/>
      </c>
      <c r="H1243" s="78" t="str">
        <f t="shared" si="902"/>
        <v/>
      </c>
      <c r="I1243" s="79"/>
      <c r="J1243" s="80" t="str">
        <f t="shared" si="903"/>
        <v>#NAME?</v>
      </c>
      <c r="K1243" s="58"/>
      <c r="L1243" s="58"/>
      <c r="M1243" s="57"/>
      <c r="N1243" s="57"/>
      <c r="O1243" s="58"/>
      <c r="P1243" s="82"/>
      <c r="Q1243" s="81"/>
      <c r="R1243" s="81"/>
      <c r="S1243" s="57"/>
      <c r="T1243" s="82"/>
      <c r="U1243" s="82"/>
      <c r="V1243" s="57"/>
      <c r="W1243" s="57"/>
      <c r="X1243" s="57" t="str">
        <f t="shared" si="917"/>
        <v/>
      </c>
      <c r="Y1243" s="58" t="str">
        <f t="shared" ref="Y1243:AC1243" si="1083">TRIM(SUBSTITUTE(SUBSTITUTE(OFFSET($Q1243,0,COLUMN()-COLUMN($AL$1)),CHAR(160)," "),_xludf.UNICHAR(8239)," "))</f>
        <v>#NAME?</v>
      </c>
      <c r="Z1243" s="58" t="str">
        <f t="shared" si="1083"/>
        <v>#NAME?</v>
      </c>
      <c r="AA1243" s="58" t="str">
        <f t="shared" si="1083"/>
        <v>#NAME?</v>
      </c>
      <c r="AB1243" s="58" t="str">
        <f t="shared" si="1083"/>
        <v>#NAME?</v>
      </c>
      <c r="AC1243" s="58" t="str">
        <f t="shared" si="1083"/>
        <v>#NAME?</v>
      </c>
      <c r="AD1243" s="57">
        <f t="shared" si="906"/>
        <v>0</v>
      </c>
      <c r="AE1243" s="57" t="str">
        <f t="shared" si="907"/>
        <v/>
      </c>
      <c r="AF1243" s="57">
        <f t="shared" si="908"/>
        <v>0</v>
      </c>
      <c r="AG1243" s="59">
        <f t="shared" si="909"/>
        <v>0</v>
      </c>
      <c r="AH1243" s="15"/>
      <c r="AI1243" s="15"/>
      <c r="AJ1243" s="15"/>
      <c r="AK1243" s="15"/>
      <c r="AL1243" s="15"/>
      <c r="AM1243" s="15"/>
      <c r="AN1243" s="15"/>
      <c r="AO1243" s="15"/>
      <c r="AP1243" s="15"/>
      <c r="AQ1243" s="15"/>
      <c r="AR1243" s="15"/>
      <c r="AS1243" s="15"/>
      <c r="AT1243" s="15"/>
      <c r="AU1243" s="15"/>
    </row>
    <row r="1244" ht="24.0" customHeight="1">
      <c r="A1244" s="45">
        <v>2668.0</v>
      </c>
      <c r="B1244" s="57"/>
      <c r="C1244" s="57"/>
      <c r="D1244" s="88" t="str">
        <f t="array" ref="D1244">IFERROR(
  LOOKUP(2, 1/((TRIM(IMS!$E$8:$E$2574)=TRIM(IMS!$E1244))*(IMS!$C$8:$C$2574&lt;IMS!$C1244)),
         IMS!$C$8:$C$2574),
"")</f>
        <v/>
      </c>
      <c r="E1244" s="57"/>
      <c r="F1244" s="57"/>
      <c r="G1244" s="77" t="str">
        <f t="shared" si="901"/>
        <v/>
      </c>
      <c r="H1244" s="78" t="str">
        <f t="shared" si="902"/>
        <v/>
      </c>
      <c r="I1244" s="79"/>
      <c r="J1244" s="80" t="str">
        <f t="shared" si="903"/>
        <v>#NAME?</v>
      </c>
      <c r="K1244" s="58"/>
      <c r="L1244" s="58"/>
      <c r="M1244" s="57"/>
      <c r="N1244" s="57"/>
      <c r="O1244" s="58"/>
      <c r="P1244" s="82"/>
      <c r="Q1244" s="81"/>
      <c r="R1244" s="81"/>
      <c r="S1244" s="57"/>
      <c r="T1244" s="82"/>
      <c r="U1244" s="82"/>
      <c r="V1244" s="57"/>
      <c r="W1244" s="57"/>
      <c r="X1244" s="57" t="str">
        <f t="shared" si="917"/>
        <v/>
      </c>
      <c r="Y1244" s="58" t="str">
        <f t="shared" ref="Y1244:AC1244" si="1084">TRIM(SUBSTITUTE(SUBSTITUTE(OFFSET($Q1244,0,COLUMN()-COLUMN($AL$1)),CHAR(160)," "),_xludf.UNICHAR(8239)," "))</f>
        <v>#NAME?</v>
      </c>
      <c r="Z1244" s="58" t="str">
        <f t="shared" si="1084"/>
        <v>#NAME?</v>
      </c>
      <c r="AA1244" s="58" t="str">
        <f t="shared" si="1084"/>
        <v>#NAME?</v>
      </c>
      <c r="AB1244" s="58" t="str">
        <f t="shared" si="1084"/>
        <v>#NAME?</v>
      </c>
      <c r="AC1244" s="58" t="str">
        <f t="shared" si="1084"/>
        <v>#NAME?</v>
      </c>
      <c r="AD1244" s="57">
        <f t="shared" si="906"/>
        <v>0</v>
      </c>
      <c r="AE1244" s="57" t="str">
        <f t="shared" si="907"/>
        <v/>
      </c>
      <c r="AF1244" s="57">
        <f t="shared" si="908"/>
        <v>0</v>
      </c>
      <c r="AG1244" s="59">
        <f t="shared" si="909"/>
        <v>0</v>
      </c>
      <c r="AH1244" s="15"/>
      <c r="AI1244" s="15"/>
      <c r="AJ1244" s="15"/>
      <c r="AK1244" s="15"/>
      <c r="AL1244" s="15"/>
      <c r="AM1244" s="15"/>
      <c r="AN1244" s="15"/>
      <c r="AO1244" s="15"/>
      <c r="AP1244" s="15"/>
      <c r="AQ1244" s="15"/>
      <c r="AR1244" s="15"/>
      <c r="AS1244" s="15"/>
      <c r="AT1244" s="15"/>
      <c r="AU1244" s="15"/>
    </row>
    <row r="1245" ht="24.0" customHeight="1">
      <c r="A1245" s="45">
        <v>2669.0</v>
      </c>
      <c r="B1245" s="57"/>
      <c r="C1245" s="57"/>
      <c r="D1245" s="88" t="str">
        <f t="array" ref="D1245">IFERROR(
  LOOKUP(2, 1/((TRIM(IMS!$E$8:$E$2574)=TRIM(IMS!$E1245))*(IMS!$C$8:$C$2574&lt;IMS!$C1245)),
         IMS!$C$8:$C$2574),
"")</f>
        <v/>
      </c>
      <c r="E1245" s="57"/>
      <c r="F1245" s="57"/>
      <c r="G1245" s="77" t="str">
        <f t="shared" si="901"/>
        <v/>
      </c>
      <c r="H1245" s="78" t="str">
        <f t="shared" si="902"/>
        <v/>
      </c>
      <c r="I1245" s="79"/>
      <c r="J1245" s="80" t="str">
        <f t="shared" si="903"/>
        <v>#NAME?</v>
      </c>
      <c r="K1245" s="58"/>
      <c r="L1245" s="58"/>
      <c r="M1245" s="57"/>
      <c r="N1245" s="57"/>
      <c r="O1245" s="58"/>
      <c r="P1245" s="82"/>
      <c r="Q1245" s="81"/>
      <c r="R1245" s="81"/>
      <c r="S1245" s="57"/>
      <c r="T1245" s="82"/>
      <c r="U1245" s="82"/>
      <c r="V1245" s="57"/>
      <c r="W1245" s="57"/>
      <c r="X1245" s="57" t="str">
        <f t="shared" si="917"/>
        <v/>
      </c>
      <c r="Y1245" s="58" t="str">
        <f t="shared" ref="Y1245:AC1245" si="1085">TRIM(SUBSTITUTE(SUBSTITUTE(OFFSET($Q1245,0,COLUMN()-COLUMN($AL$1)),CHAR(160)," "),_xludf.UNICHAR(8239)," "))</f>
        <v>#NAME?</v>
      </c>
      <c r="Z1245" s="58" t="str">
        <f t="shared" si="1085"/>
        <v>#NAME?</v>
      </c>
      <c r="AA1245" s="58" t="str">
        <f t="shared" si="1085"/>
        <v>#NAME?</v>
      </c>
      <c r="AB1245" s="58" t="str">
        <f t="shared" si="1085"/>
        <v>#NAME?</v>
      </c>
      <c r="AC1245" s="58" t="str">
        <f t="shared" si="1085"/>
        <v>#NAME?</v>
      </c>
      <c r="AD1245" s="57">
        <f t="shared" si="906"/>
        <v>0</v>
      </c>
      <c r="AE1245" s="57" t="str">
        <f t="shared" si="907"/>
        <v/>
      </c>
      <c r="AF1245" s="57">
        <f t="shared" si="908"/>
        <v>0</v>
      </c>
      <c r="AG1245" s="59">
        <f t="shared" si="909"/>
        <v>0</v>
      </c>
      <c r="AH1245" s="15"/>
      <c r="AI1245" s="15"/>
      <c r="AJ1245" s="15"/>
      <c r="AK1245" s="15"/>
      <c r="AL1245" s="15"/>
      <c r="AM1245" s="15"/>
      <c r="AN1245" s="15"/>
      <c r="AO1245" s="15"/>
      <c r="AP1245" s="15"/>
      <c r="AQ1245" s="15"/>
      <c r="AR1245" s="15"/>
      <c r="AS1245" s="15"/>
      <c r="AT1245" s="15"/>
      <c r="AU1245" s="15"/>
    </row>
    <row r="1246" ht="24.0" customHeight="1">
      <c r="A1246" s="45">
        <v>2670.0</v>
      </c>
      <c r="B1246" s="57"/>
      <c r="C1246" s="57"/>
      <c r="D1246" s="88" t="str">
        <f t="array" ref="D1246">IFERROR(
  LOOKUP(2, 1/((TRIM(IMS!$E$8:$E$2574)=TRIM(IMS!$E1246))*(IMS!$C$8:$C$2574&lt;IMS!$C1246)),
         IMS!$C$8:$C$2574),
"")</f>
        <v/>
      </c>
      <c r="E1246" s="57"/>
      <c r="F1246" s="57"/>
      <c r="G1246" s="77" t="str">
        <f t="shared" si="901"/>
        <v/>
      </c>
      <c r="H1246" s="78" t="str">
        <f t="shared" si="902"/>
        <v/>
      </c>
      <c r="I1246" s="79"/>
      <c r="J1246" s="80" t="str">
        <f t="shared" si="903"/>
        <v>#NAME?</v>
      </c>
      <c r="K1246" s="58"/>
      <c r="L1246" s="58"/>
      <c r="M1246" s="57"/>
      <c r="N1246" s="57"/>
      <c r="O1246" s="58"/>
      <c r="P1246" s="82"/>
      <c r="Q1246" s="81"/>
      <c r="R1246" s="81"/>
      <c r="S1246" s="57"/>
      <c r="T1246" s="82"/>
      <c r="U1246" s="82"/>
      <c r="V1246" s="57"/>
      <c r="W1246" s="57"/>
      <c r="X1246" s="57" t="str">
        <f t="shared" si="917"/>
        <v/>
      </c>
      <c r="Y1246" s="58" t="str">
        <f t="shared" ref="Y1246:AC1246" si="1086">TRIM(SUBSTITUTE(SUBSTITUTE(OFFSET($Q1246,0,COLUMN()-COLUMN($AL$1)),CHAR(160)," "),_xludf.UNICHAR(8239)," "))</f>
        <v>#NAME?</v>
      </c>
      <c r="Z1246" s="58" t="str">
        <f t="shared" si="1086"/>
        <v>#NAME?</v>
      </c>
      <c r="AA1246" s="58" t="str">
        <f t="shared" si="1086"/>
        <v>#NAME?</v>
      </c>
      <c r="AB1246" s="58" t="str">
        <f t="shared" si="1086"/>
        <v>#NAME?</v>
      </c>
      <c r="AC1246" s="58" t="str">
        <f t="shared" si="1086"/>
        <v>#NAME?</v>
      </c>
      <c r="AD1246" s="57">
        <f t="shared" si="906"/>
        <v>0</v>
      </c>
      <c r="AE1246" s="57" t="str">
        <f t="shared" si="907"/>
        <v/>
      </c>
      <c r="AF1246" s="57">
        <f t="shared" si="908"/>
        <v>0</v>
      </c>
      <c r="AG1246" s="59">
        <f t="shared" si="909"/>
        <v>0</v>
      </c>
      <c r="AH1246" s="15"/>
      <c r="AI1246" s="15"/>
      <c r="AJ1246" s="15"/>
      <c r="AK1246" s="15"/>
      <c r="AL1246" s="15"/>
      <c r="AM1246" s="15"/>
      <c r="AN1246" s="15"/>
      <c r="AO1246" s="15"/>
      <c r="AP1246" s="15"/>
      <c r="AQ1246" s="15"/>
      <c r="AR1246" s="15"/>
      <c r="AS1246" s="15"/>
      <c r="AT1246" s="15"/>
      <c r="AU1246" s="15"/>
    </row>
    <row r="1247" ht="24.0" customHeight="1">
      <c r="A1247" s="45">
        <v>2671.0</v>
      </c>
      <c r="B1247" s="57"/>
      <c r="C1247" s="57"/>
      <c r="D1247" s="88" t="str">
        <f t="array" ref="D1247">IFERROR(
  LOOKUP(2, 1/((TRIM(IMS!$E$8:$E$2574)=TRIM(IMS!$E1247))*(IMS!$C$8:$C$2574&lt;IMS!$C1247)),
         IMS!$C$8:$C$2574),
"")</f>
        <v/>
      </c>
      <c r="E1247" s="57"/>
      <c r="F1247" s="57"/>
      <c r="G1247" s="77" t="str">
        <f t="shared" si="901"/>
        <v/>
      </c>
      <c r="H1247" s="78" t="str">
        <f t="shared" si="902"/>
        <v/>
      </c>
      <c r="I1247" s="79"/>
      <c r="J1247" s="80" t="str">
        <f t="shared" si="903"/>
        <v>#NAME?</v>
      </c>
      <c r="K1247" s="58"/>
      <c r="L1247" s="58"/>
      <c r="M1247" s="57"/>
      <c r="N1247" s="57"/>
      <c r="O1247" s="58"/>
      <c r="P1247" s="82"/>
      <c r="Q1247" s="81"/>
      <c r="R1247" s="81"/>
      <c r="S1247" s="57"/>
      <c r="T1247" s="82"/>
      <c r="U1247" s="82"/>
      <c r="V1247" s="57"/>
      <c r="W1247" s="57"/>
      <c r="X1247" s="57" t="str">
        <f t="shared" si="917"/>
        <v/>
      </c>
      <c r="Y1247" s="58" t="str">
        <f t="shared" ref="Y1247:AC1247" si="1087">TRIM(SUBSTITUTE(SUBSTITUTE(OFFSET($Q1247,0,COLUMN()-COLUMN($AL$1)),CHAR(160)," "),_xludf.UNICHAR(8239)," "))</f>
        <v>#NAME?</v>
      </c>
      <c r="Z1247" s="58" t="str">
        <f t="shared" si="1087"/>
        <v>#NAME?</v>
      </c>
      <c r="AA1247" s="58" t="str">
        <f t="shared" si="1087"/>
        <v>#NAME?</v>
      </c>
      <c r="AB1247" s="58" t="str">
        <f t="shared" si="1087"/>
        <v>#NAME?</v>
      </c>
      <c r="AC1247" s="58" t="str">
        <f t="shared" si="1087"/>
        <v>#NAME?</v>
      </c>
      <c r="AD1247" s="57">
        <f t="shared" si="906"/>
        <v>0</v>
      </c>
      <c r="AE1247" s="57" t="str">
        <f t="shared" si="907"/>
        <v/>
      </c>
      <c r="AF1247" s="57">
        <f t="shared" si="908"/>
        <v>0</v>
      </c>
      <c r="AG1247" s="59">
        <f t="shared" si="909"/>
        <v>0</v>
      </c>
      <c r="AH1247" s="15"/>
      <c r="AI1247" s="15"/>
      <c r="AJ1247" s="15"/>
      <c r="AK1247" s="15"/>
      <c r="AL1247" s="15"/>
      <c r="AM1247" s="15"/>
      <c r="AN1247" s="15"/>
      <c r="AO1247" s="15"/>
      <c r="AP1247" s="15"/>
      <c r="AQ1247" s="15"/>
      <c r="AR1247" s="15"/>
      <c r="AS1247" s="15"/>
      <c r="AT1247" s="15"/>
      <c r="AU1247" s="15"/>
    </row>
    <row r="1248" ht="24.0" customHeight="1">
      <c r="A1248" s="45">
        <v>2672.0</v>
      </c>
      <c r="B1248" s="57"/>
      <c r="C1248" s="57"/>
      <c r="D1248" s="88" t="str">
        <f t="array" ref="D1248">IFERROR(
  LOOKUP(2, 1/((TRIM(IMS!$E$8:$E$2574)=TRIM(IMS!$E1248))*(IMS!$C$8:$C$2574&lt;IMS!$C1248)),
         IMS!$C$8:$C$2574),
"")</f>
        <v/>
      </c>
      <c r="E1248" s="57"/>
      <c r="F1248" s="57"/>
      <c r="G1248" s="77" t="str">
        <f t="shared" si="901"/>
        <v/>
      </c>
      <c r="H1248" s="78" t="str">
        <f t="shared" si="902"/>
        <v/>
      </c>
      <c r="I1248" s="79"/>
      <c r="J1248" s="80" t="str">
        <f t="shared" si="903"/>
        <v>#NAME?</v>
      </c>
      <c r="K1248" s="58"/>
      <c r="L1248" s="58"/>
      <c r="M1248" s="57"/>
      <c r="N1248" s="57"/>
      <c r="O1248" s="58"/>
      <c r="P1248" s="82"/>
      <c r="Q1248" s="81"/>
      <c r="R1248" s="81"/>
      <c r="S1248" s="57"/>
      <c r="T1248" s="82"/>
      <c r="U1248" s="82"/>
      <c r="V1248" s="57"/>
      <c r="W1248" s="57"/>
      <c r="X1248" s="57" t="str">
        <f t="shared" si="917"/>
        <v/>
      </c>
      <c r="Y1248" s="58" t="str">
        <f t="shared" ref="Y1248:AC1248" si="1088">TRIM(SUBSTITUTE(SUBSTITUTE(OFFSET($Q1248,0,COLUMN()-COLUMN($AL$1)),CHAR(160)," "),_xludf.UNICHAR(8239)," "))</f>
        <v>#NAME?</v>
      </c>
      <c r="Z1248" s="58" t="str">
        <f t="shared" si="1088"/>
        <v>#NAME?</v>
      </c>
      <c r="AA1248" s="58" t="str">
        <f t="shared" si="1088"/>
        <v>#NAME?</v>
      </c>
      <c r="AB1248" s="58" t="str">
        <f t="shared" si="1088"/>
        <v>#NAME?</v>
      </c>
      <c r="AC1248" s="58" t="str">
        <f t="shared" si="1088"/>
        <v>#NAME?</v>
      </c>
      <c r="AD1248" s="57">
        <f t="shared" si="906"/>
        <v>0</v>
      </c>
      <c r="AE1248" s="57" t="str">
        <f t="shared" si="907"/>
        <v/>
      </c>
      <c r="AF1248" s="57">
        <f t="shared" si="908"/>
        <v>0</v>
      </c>
      <c r="AG1248" s="59">
        <f t="shared" si="909"/>
        <v>0</v>
      </c>
      <c r="AH1248" s="15"/>
      <c r="AI1248" s="15"/>
      <c r="AJ1248" s="15"/>
      <c r="AK1248" s="15"/>
      <c r="AL1248" s="15"/>
      <c r="AM1248" s="15"/>
      <c r="AN1248" s="15"/>
      <c r="AO1248" s="15"/>
      <c r="AP1248" s="15"/>
      <c r="AQ1248" s="15"/>
      <c r="AR1248" s="15"/>
      <c r="AS1248" s="15"/>
      <c r="AT1248" s="15"/>
      <c r="AU1248" s="15"/>
    </row>
    <row r="1249" ht="24.0" customHeight="1">
      <c r="A1249" s="45">
        <v>2673.0</v>
      </c>
      <c r="B1249" s="57"/>
      <c r="C1249" s="57"/>
      <c r="D1249" s="88" t="str">
        <f t="array" ref="D1249">IFERROR(
  LOOKUP(2, 1/((TRIM(IMS!$E$8:$E$2574)=TRIM(IMS!$E1249))*(IMS!$C$8:$C$2574&lt;IMS!$C1249)),
         IMS!$C$8:$C$2574),
"")</f>
        <v/>
      </c>
      <c r="E1249" s="57"/>
      <c r="F1249" s="57"/>
      <c r="G1249" s="77" t="str">
        <f t="shared" si="901"/>
        <v/>
      </c>
      <c r="H1249" s="78" t="str">
        <f t="shared" si="902"/>
        <v/>
      </c>
      <c r="I1249" s="79"/>
      <c r="J1249" s="80" t="str">
        <f t="shared" si="903"/>
        <v>#NAME?</v>
      </c>
      <c r="K1249" s="58"/>
      <c r="L1249" s="58"/>
      <c r="M1249" s="57"/>
      <c r="N1249" s="57"/>
      <c r="O1249" s="58"/>
      <c r="P1249" s="82"/>
      <c r="Q1249" s="81"/>
      <c r="R1249" s="81"/>
      <c r="S1249" s="57"/>
      <c r="T1249" s="82"/>
      <c r="U1249" s="82"/>
      <c r="V1249" s="57"/>
      <c r="W1249" s="57"/>
      <c r="X1249" s="57" t="str">
        <f t="shared" si="917"/>
        <v/>
      </c>
      <c r="Y1249" s="58" t="str">
        <f t="shared" ref="Y1249:AC1249" si="1089">TRIM(SUBSTITUTE(SUBSTITUTE(OFFSET($Q1249,0,COLUMN()-COLUMN($AL$1)),CHAR(160)," "),_xludf.UNICHAR(8239)," "))</f>
        <v>#NAME?</v>
      </c>
      <c r="Z1249" s="58" t="str">
        <f t="shared" si="1089"/>
        <v>#NAME?</v>
      </c>
      <c r="AA1249" s="58" t="str">
        <f t="shared" si="1089"/>
        <v>#NAME?</v>
      </c>
      <c r="AB1249" s="58" t="str">
        <f t="shared" si="1089"/>
        <v>#NAME?</v>
      </c>
      <c r="AC1249" s="58" t="str">
        <f t="shared" si="1089"/>
        <v>#NAME?</v>
      </c>
      <c r="AD1249" s="57">
        <f t="shared" si="906"/>
        <v>0</v>
      </c>
      <c r="AE1249" s="57" t="str">
        <f t="shared" si="907"/>
        <v/>
      </c>
      <c r="AF1249" s="57">
        <f t="shared" si="908"/>
        <v>0</v>
      </c>
      <c r="AG1249" s="59">
        <f t="shared" si="909"/>
        <v>0</v>
      </c>
      <c r="AH1249" s="15"/>
      <c r="AI1249" s="15"/>
      <c r="AJ1249" s="15"/>
      <c r="AK1249" s="15"/>
      <c r="AL1249" s="15"/>
      <c r="AM1249" s="15"/>
      <c r="AN1249" s="15"/>
      <c r="AO1249" s="15"/>
      <c r="AP1249" s="15"/>
      <c r="AQ1249" s="15"/>
      <c r="AR1249" s="15"/>
      <c r="AS1249" s="15"/>
      <c r="AT1249" s="15"/>
      <c r="AU1249" s="15"/>
    </row>
    <row r="1250" ht="24.0" customHeight="1">
      <c r="A1250" s="45">
        <v>2674.0</v>
      </c>
      <c r="B1250" s="57"/>
      <c r="C1250" s="57"/>
      <c r="D1250" s="88" t="str">
        <f t="array" ref="D1250">IFERROR(
  LOOKUP(2, 1/((TRIM(IMS!$E$8:$E$2574)=TRIM(IMS!$E1250))*(IMS!$C$8:$C$2574&lt;IMS!$C1250)),
         IMS!$C$8:$C$2574),
"")</f>
        <v/>
      </c>
      <c r="E1250" s="57"/>
      <c r="F1250" s="57"/>
      <c r="G1250" s="77" t="str">
        <f t="shared" si="901"/>
        <v/>
      </c>
      <c r="H1250" s="78" t="str">
        <f t="shared" si="902"/>
        <v/>
      </c>
      <c r="I1250" s="79"/>
      <c r="J1250" s="80" t="str">
        <f t="shared" si="903"/>
        <v>#NAME?</v>
      </c>
      <c r="K1250" s="58"/>
      <c r="L1250" s="58"/>
      <c r="M1250" s="57"/>
      <c r="N1250" s="57"/>
      <c r="O1250" s="58"/>
      <c r="P1250" s="82"/>
      <c r="Q1250" s="81"/>
      <c r="R1250" s="81"/>
      <c r="S1250" s="57"/>
      <c r="T1250" s="82"/>
      <c r="U1250" s="82"/>
      <c r="V1250" s="57"/>
      <c r="W1250" s="57"/>
      <c r="X1250" s="57" t="str">
        <f t="shared" si="917"/>
        <v/>
      </c>
      <c r="Y1250" s="58" t="str">
        <f t="shared" ref="Y1250:AC1250" si="1090">TRIM(SUBSTITUTE(SUBSTITUTE(OFFSET($Q1250,0,COLUMN()-COLUMN($AL$1)),CHAR(160)," "),_xludf.UNICHAR(8239)," "))</f>
        <v>#NAME?</v>
      </c>
      <c r="Z1250" s="58" t="str">
        <f t="shared" si="1090"/>
        <v>#NAME?</v>
      </c>
      <c r="AA1250" s="58" t="str">
        <f t="shared" si="1090"/>
        <v>#NAME?</v>
      </c>
      <c r="AB1250" s="58" t="str">
        <f t="shared" si="1090"/>
        <v>#NAME?</v>
      </c>
      <c r="AC1250" s="58" t="str">
        <f t="shared" si="1090"/>
        <v>#NAME?</v>
      </c>
      <c r="AD1250" s="57">
        <f t="shared" si="906"/>
        <v>0</v>
      </c>
      <c r="AE1250" s="57" t="str">
        <f t="shared" si="907"/>
        <v/>
      </c>
      <c r="AF1250" s="57">
        <f t="shared" si="908"/>
        <v>0</v>
      </c>
      <c r="AG1250" s="59">
        <f t="shared" si="909"/>
        <v>0</v>
      </c>
      <c r="AH1250" s="15"/>
      <c r="AI1250" s="15"/>
      <c r="AJ1250" s="15"/>
      <c r="AK1250" s="15"/>
      <c r="AL1250" s="15"/>
      <c r="AM1250" s="15"/>
      <c r="AN1250" s="15"/>
      <c r="AO1250" s="15"/>
      <c r="AP1250" s="15"/>
      <c r="AQ1250" s="15"/>
      <c r="AR1250" s="15"/>
      <c r="AS1250" s="15"/>
      <c r="AT1250" s="15"/>
      <c r="AU1250" s="15"/>
    </row>
    <row r="1251" ht="24.0" customHeight="1">
      <c r="A1251" s="45">
        <v>2675.0</v>
      </c>
      <c r="B1251" s="57"/>
      <c r="C1251" s="57"/>
      <c r="D1251" s="88" t="str">
        <f t="array" ref="D1251">IFERROR(
  LOOKUP(2, 1/((TRIM(IMS!$E$8:$E$2574)=TRIM(IMS!$E1251))*(IMS!$C$8:$C$2574&lt;IMS!$C1251)),
         IMS!$C$8:$C$2574),
"")</f>
        <v/>
      </c>
      <c r="E1251" s="57"/>
      <c r="F1251" s="57"/>
      <c r="G1251" s="77" t="str">
        <f t="shared" si="901"/>
        <v/>
      </c>
      <c r="H1251" s="78" t="str">
        <f t="shared" si="902"/>
        <v/>
      </c>
      <c r="I1251" s="79"/>
      <c r="J1251" s="80" t="str">
        <f t="shared" si="903"/>
        <v>#NAME?</v>
      </c>
      <c r="K1251" s="58"/>
      <c r="L1251" s="58"/>
      <c r="M1251" s="57"/>
      <c r="N1251" s="57"/>
      <c r="O1251" s="58"/>
      <c r="P1251" s="82"/>
      <c r="Q1251" s="81"/>
      <c r="R1251" s="81"/>
      <c r="S1251" s="57"/>
      <c r="T1251" s="82"/>
      <c r="U1251" s="82"/>
      <c r="V1251" s="57"/>
      <c r="W1251" s="57"/>
      <c r="X1251" s="57" t="str">
        <f t="shared" si="917"/>
        <v/>
      </c>
      <c r="Y1251" s="58" t="str">
        <f t="shared" ref="Y1251:AC1251" si="1091">TRIM(SUBSTITUTE(SUBSTITUTE(OFFSET($Q1251,0,COLUMN()-COLUMN($AL$1)),CHAR(160)," "),_xludf.UNICHAR(8239)," "))</f>
        <v>#NAME?</v>
      </c>
      <c r="Z1251" s="58" t="str">
        <f t="shared" si="1091"/>
        <v>#NAME?</v>
      </c>
      <c r="AA1251" s="58" t="str">
        <f t="shared" si="1091"/>
        <v>#NAME?</v>
      </c>
      <c r="AB1251" s="58" t="str">
        <f t="shared" si="1091"/>
        <v>#NAME?</v>
      </c>
      <c r="AC1251" s="58" t="str">
        <f t="shared" si="1091"/>
        <v>#NAME?</v>
      </c>
      <c r="AD1251" s="57">
        <f t="shared" si="906"/>
        <v>0</v>
      </c>
      <c r="AE1251" s="57" t="str">
        <f t="shared" si="907"/>
        <v/>
      </c>
      <c r="AF1251" s="57">
        <f t="shared" si="908"/>
        <v>0</v>
      </c>
      <c r="AG1251" s="59">
        <f t="shared" si="909"/>
        <v>0</v>
      </c>
      <c r="AH1251" s="15"/>
      <c r="AI1251" s="15"/>
      <c r="AJ1251" s="15"/>
      <c r="AK1251" s="15"/>
      <c r="AL1251" s="15"/>
      <c r="AM1251" s="15"/>
      <c r="AN1251" s="15"/>
      <c r="AO1251" s="15"/>
      <c r="AP1251" s="15"/>
      <c r="AQ1251" s="15"/>
      <c r="AR1251" s="15"/>
      <c r="AS1251" s="15"/>
      <c r="AT1251" s="15"/>
      <c r="AU1251" s="15"/>
    </row>
    <row r="1252" ht="24.0" customHeight="1">
      <c r="A1252" s="45">
        <v>2676.0</v>
      </c>
      <c r="B1252" s="57"/>
      <c r="C1252" s="57"/>
      <c r="D1252" s="88" t="str">
        <f t="array" ref="D1252">IFERROR(
  LOOKUP(2, 1/((TRIM(IMS!$E$8:$E$2574)=TRIM(IMS!$E1252))*(IMS!$C$8:$C$2574&lt;IMS!$C1252)),
         IMS!$C$8:$C$2574),
"")</f>
        <v/>
      </c>
      <c r="E1252" s="57"/>
      <c r="F1252" s="57"/>
      <c r="G1252" s="77" t="str">
        <f t="shared" si="901"/>
        <v/>
      </c>
      <c r="H1252" s="78" t="str">
        <f t="shared" si="902"/>
        <v/>
      </c>
      <c r="I1252" s="79"/>
      <c r="J1252" s="80" t="str">
        <f t="shared" si="903"/>
        <v>#NAME?</v>
      </c>
      <c r="K1252" s="58"/>
      <c r="L1252" s="58"/>
      <c r="M1252" s="57"/>
      <c r="N1252" s="57"/>
      <c r="O1252" s="58"/>
      <c r="P1252" s="82"/>
      <c r="Q1252" s="81"/>
      <c r="R1252" s="81"/>
      <c r="S1252" s="57"/>
      <c r="T1252" s="82"/>
      <c r="U1252" s="82"/>
      <c r="V1252" s="57"/>
      <c r="W1252" s="57"/>
      <c r="X1252" s="57" t="str">
        <f t="shared" si="917"/>
        <v/>
      </c>
      <c r="Y1252" s="58" t="str">
        <f t="shared" ref="Y1252:AC1252" si="1092">TRIM(SUBSTITUTE(SUBSTITUTE(OFFSET($Q1252,0,COLUMN()-COLUMN($AL$1)),CHAR(160)," "),_xludf.UNICHAR(8239)," "))</f>
        <v>#NAME?</v>
      </c>
      <c r="Z1252" s="58" t="str">
        <f t="shared" si="1092"/>
        <v>#NAME?</v>
      </c>
      <c r="AA1252" s="58" t="str">
        <f t="shared" si="1092"/>
        <v>#NAME?</v>
      </c>
      <c r="AB1252" s="58" t="str">
        <f t="shared" si="1092"/>
        <v>#NAME?</v>
      </c>
      <c r="AC1252" s="58" t="str">
        <f t="shared" si="1092"/>
        <v>#NAME?</v>
      </c>
      <c r="AD1252" s="57">
        <f t="shared" si="906"/>
        <v>0</v>
      </c>
      <c r="AE1252" s="57" t="str">
        <f t="shared" si="907"/>
        <v/>
      </c>
      <c r="AF1252" s="57">
        <f t="shared" si="908"/>
        <v>0</v>
      </c>
      <c r="AG1252" s="59">
        <f t="shared" si="909"/>
        <v>0</v>
      </c>
      <c r="AH1252" s="15"/>
      <c r="AI1252" s="15"/>
      <c r="AJ1252" s="15"/>
      <c r="AK1252" s="15"/>
      <c r="AL1252" s="15"/>
      <c r="AM1252" s="15"/>
      <c r="AN1252" s="15"/>
      <c r="AO1252" s="15"/>
      <c r="AP1252" s="15"/>
      <c r="AQ1252" s="15"/>
      <c r="AR1252" s="15"/>
      <c r="AS1252" s="15"/>
      <c r="AT1252" s="15"/>
      <c r="AU1252" s="15"/>
    </row>
    <row r="1253" ht="24.0" customHeight="1">
      <c r="A1253" s="45">
        <v>2677.0</v>
      </c>
      <c r="B1253" s="57"/>
      <c r="C1253" s="57"/>
      <c r="D1253" s="88" t="str">
        <f t="array" ref="D1253">IFERROR(
  LOOKUP(2, 1/((TRIM(IMS!$E$8:$E$2574)=TRIM(IMS!$E1253))*(IMS!$C$8:$C$2574&lt;IMS!$C1253)),
         IMS!$C$8:$C$2574),
"")</f>
        <v/>
      </c>
      <c r="E1253" s="57"/>
      <c r="F1253" s="57"/>
      <c r="G1253" s="77" t="str">
        <f t="shared" si="901"/>
        <v/>
      </c>
      <c r="H1253" s="78" t="str">
        <f t="shared" si="902"/>
        <v/>
      </c>
      <c r="I1253" s="79"/>
      <c r="J1253" s="80" t="str">
        <f t="shared" si="903"/>
        <v>#NAME?</v>
      </c>
      <c r="K1253" s="58"/>
      <c r="L1253" s="58"/>
      <c r="M1253" s="57"/>
      <c r="N1253" s="57"/>
      <c r="O1253" s="58"/>
      <c r="P1253" s="82"/>
      <c r="Q1253" s="81"/>
      <c r="R1253" s="81"/>
      <c r="S1253" s="57"/>
      <c r="T1253" s="82"/>
      <c r="U1253" s="82"/>
      <c r="V1253" s="57"/>
      <c r="W1253" s="57"/>
      <c r="X1253" s="57" t="str">
        <f t="shared" si="917"/>
        <v/>
      </c>
      <c r="Y1253" s="58" t="str">
        <f t="shared" ref="Y1253:AC1253" si="1093">TRIM(SUBSTITUTE(SUBSTITUTE(OFFSET($Q1253,0,COLUMN()-COLUMN($AL$1)),CHAR(160)," "),_xludf.UNICHAR(8239)," "))</f>
        <v>#NAME?</v>
      </c>
      <c r="Z1253" s="58" t="str">
        <f t="shared" si="1093"/>
        <v>#NAME?</v>
      </c>
      <c r="AA1253" s="58" t="str">
        <f t="shared" si="1093"/>
        <v>#NAME?</v>
      </c>
      <c r="AB1253" s="58" t="str">
        <f t="shared" si="1093"/>
        <v>#NAME?</v>
      </c>
      <c r="AC1253" s="58" t="str">
        <f t="shared" si="1093"/>
        <v>#NAME?</v>
      </c>
      <c r="AD1253" s="57">
        <f t="shared" si="906"/>
        <v>0</v>
      </c>
      <c r="AE1253" s="57" t="str">
        <f t="shared" si="907"/>
        <v/>
      </c>
      <c r="AF1253" s="57">
        <f t="shared" si="908"/>
        <v>0</v>
      </c>
      <c r="AG1253" s="59">
        <f t="shared" si="909"/>
        <v>0</v>
      </c>
      <c r="AH1253" s="15"/>
      <c r="AI1253" s="15"/>
      <c r="AJ1253" s="15"/>
      <c r="AK1253" s="15"/>
      <c r="AL1253" s="15"/>
      <c r="AM1253" s="15"/>
      <c r="AN1253" s="15"/>
      <c r="AO1253" s="15"/>
      <c r="AP1253" s="15"/>
      <c r="AQ1253" s="15"/>
      <c r="AR1253" s="15"/>
      <c r="AS1253" s="15"/>
      <c r="AT1253" s="15"/>
      <c r="AU1253" s="15"/>
    </row>
    <row r="1254" ht="24.0" customHeight="1">
      <c r="A1254" s="45">
        <v>2678.0</v>
      </c>
      <c r="B1254" s="57"/>
      <c r="C1254" s="57"/>
      <c r="D1254" s="88" t="str">
        <f t="array" ref="D1254">IFERROR(
  LOOKUP(2, 1/((TRIM(IMS!$E$8:$E$2574)=TRIM(IMS!$E1254))*(IMS!$C$8:$C$2574&lt;IMS!$C1254)),
         IMS!$C$8:$C$2574),
"")</f>
        <v/>
      </c>
      <c r="E1254" s="57"/>
      <c r="F1254" s="57"/>
      <c r="G1254" s="77" t="str">
        <f t="shared" si="901"/>
        <v/>
      </c>
      <c r="H1254" s="78" t="str">
        <f t="shared" si="902"/>
        <v/>
      </c>
      <c r="I1254" s="79"/>
      <c r="J1254" s="80" t="str">
        <f t="shared" si="903"/>
        <v>#NAME?</v>
      </c>
      <c r="K1254" s="58"/>
      <c r="L1254" s="58"/>
      <c r="M1254" s="57"/>
      <c r="N1254" s="57"/>
      <c r="O1254" s="58"/>
      <c r="P1254" s="82"/>
      <c r="Q1254" s="81"/>
      <c r="R1254" s="81"/>
      <c r="S1254" s="57"/>
      <c r="T1254" s="82"/>
      <c r="U1254" s="82"/>
      <c r="V1254" s="57"/>
      <c r="W1254" s="57"/>
      <c r="X1254" s="57" t="str">
        <f t="shared" si="917"/>
        <v/>
      </c>
      <c r="Y1254" s="58" t="str">
        <f t="shared" ref="Y1254:AC1254" si="1094">TRIM(SUBSTITUTE(SUBSTITUTE(OFFSET($Q1254,0,COLUMN()-COLUMN($AL$1)),CHAR(160)," "),_xludf.UNICHAR(8239)," "))</f>
        <v>#NAME?</v>
      </c>
      <c r="Z1254" s="58" t="str">
        <f t="shared" si="1094"/>
        <v>#NAME?</v>
      </c>
      <c r="AA1254" s="58" t="str">
        <f t="shared" si="1094"/>
        <v>#NAME?</v>
      </c>
      <c r="AB1254" s="58" t="str">
        <f t="shared" si="1094"/>
        <v>#NAME?</v>
      </c>
      <c r="AC1254" s="58" t="str">
        <f t="shared" si="1094"/>
        <v>#NAME?</v>
      </c>
      <c r="AD1254" s="57">
        <f t="shared" si="906"/>
        <v>0</v>
      </c>
      <c r="AE1254" s="57" t="str">
        <f t="shared" si="907"/>
        <v/>
      </c>
      <c r="AF1254" s="57">
        <f t="shared" si="908"/>
        <v>0</v>
      </c>
      <c r="AG1254" s="59">
        <f t="shared" si="909"/>
        <v>0</v>
      </c>
      <c r="AH1254" s="15"/>
      <c r="AI1254" s="15"/>
      <c r="AJ1254" s="15"/>
      <c r="AK1254" s="15"/>
      <c r="AL1254" s="15"/>
      <c r="AM1254" s="15"/>
      <c r="AN1254" s="15"/>
      <c r="AO1254" s="15"/>
      <c r="AP1254" s="15"/>
      <c r="AQ1254" s="15"/>
      <c r="AR1254" s="15"/>
      <c r="AS1254" s="15"/>
      <c r="AT1254" s="15"/>
      <c r="AU1254" s="15"/>
    </row>
    <row r="1255" ht="24.0" customHeight="1">
      <c r="A1255" s="45">
        <v>2679.0</v>
      </c>
      <c r="B1255" s="57"/>
      <c r="C1255" s="57"/>
      <c r="D1255" s="88" t="str">
        <f t="array" ref="D1255">IFERROR(
  LOOKUP(2, 1/((TRIM(IMS!$E$8:$E$2574)=TRIM(IMS!$E1255))*(IMS!$C$8:$C$2574&lt;IMS!$C1255)),
         IMS!$C$8:$C$2574),
"")</f>
        <v/>
      </c>
      <c r="E1255" s="57"/>
      <c r="F1255" s="57"/>
      <c r="G1255" s="77" t="str">
        <f t="shared" si="901"/>
        <v/>
      </c>
      <c r="H1255" s="78" t="str">
        <f t="shared" si="902"/>
        <v/>
      </c>
      <c r="I1255" s="79"/>
      <c r="J1255" s="80" t="str">
        <f t="shared" si="903"/>
        <v>#NAME?</v>
      </c>
      <c r="K1255" s="58"/>
      <c r="L1255" s="58"/>
      <c r="M1255" s="57"/>
      <c r="N1255" s="57"/>
      <c r="O1255" s="58"/>
      <c r="P1255" s="82"/>
      <c r="Q1255" s="81"/>
      <c r="R1255" s="81"/>
      <c r="S1255" s="57"/>
      <c r="T1255" s="82"/>
      <c r="U1255" s="82"/>
      <c r="V1255" s="57"/>
      <c r="W1255" s="57"/>
      <c r="X1255" s="57" t="str">
        <f t="shared" si="917"/>
        <v/>
      </c>
      <c r="Y1255" s="58" t="str">
        <f t="shared" ref="Y1255:AC1255" si="1095">TRIM(SUBSTITUTE(SUBSTITUTE(OFFSET($Q1255,0,COLUMN()-COLUMN($AL$1)),CHAR(160)," "),_xludf.UNICHAR(8239)," "))</f>
        <v>#NAME?</v>
      </c>
      <c r="Z1255" s="58" t="str">
        <f t="shared" si="1095"/>
        <v>#NAME?</v>
      </c>
      <c r="AA1255" s="58" t="str">
        <f t="shared" si="1095"/>
        <v>#NAME?</v>
      </c>
      <c r="AB1255" s="58" t="str">
        <f t="shared" si="1095"/>
        <v>#NAME?</v>
      </c>
      <c r="AC1255" s="58" t="str">
        <f t="shared" si="1095"/>
        <v>#NAME?</v>
      </c>
      <c r="AD1255" s="57">
        <f t="shared" si="906"/>
        <v>0</v>
      </c>
      <c r="AE1255" s="57" t="str">
        <f t="shared" si="907"/>
        <v/>
      </c>
      <c r="AF1255" s="57">
        <f t="shared" si="908"/>
        <v>0</v>
      </c>
      <c r="AG1255" s="59">
        <f t="shared" si="909"/>
        <v>0</v>
      </c>
      <c r="AH1255" s="15"/>
      <c r="AI1255" s="15"/>
      <c r="AJ1255" s="15"/>
      <c r="AK1255" s="15"/>
      <c r="AL1255" s="15"/>
      <c r="AM1255" s="15"/>
      <c r="AN1255" s="15"/>
      <c r="AO1255" s="15"/>
      <c r="AP1255" s="15"/>
      <c r="AQ1255" s="15"/>
      <c r="AR1255" s="15"/>
      <c r="AS1255" s="15"/>
      <c r="AT1255" s="15"/>
      <c r="AU1255" s="15"/>
    </row>
    <row r="1256" ht="24.0" customHeight="1">
      <c r="A1256" s="45">
        <v>2680.0</v>
      </c>
      <c r="B1256" s="57"/>
      <c r="C1256" s="57"/>
      <c r="D1256" s="88" t="str">
        <f t="array" ref="D1256">IFERROR(
  LOOKUP(2, 1/((TRIM(IMS!$E$8:$E$2574)=TRIM(IMS!$E1256))*(IMS!$C$8:$C$2574&lt;IMS!$C1256)),
         IMS!$C$8:$C$2574),
"")</f>
        <v/>
      </c>
      <c r="E1256" s="57"/>
      <c r="F1256" s="57"/>
      <c r="G1256" s="77" t="str">
        <f t="shared" si="901"/>
        <v/>
      </c>
      <c r="H1256" s="78" t="str">
        <f t="shared" si="902"/>
        <v/>
      </c>
      <c r="I1256" s="79"/>
      <c r="J1256" s="80" t="str">
        <f t="shared" si="903"/>
        <v>#NAME?</v>
      </c>
      <c r="K1256" s="58"/>
      <c r="L1256" s="58"/>
      <c r="M1256" s="57"/>
      <c r="N1256" s="57"/>
      <c r="O1256" s="58"/>
      <c r="P1256" s="82"/>
      <c r="Q1256" s="81"/>
      <c r="R1256" s="81"/>
      <c r="S1256" s="57"/>
      <c r="T1256" s="82"/>
      <c r="U1256" s="82"/>
      <c r="V1256" s="57"/>
      <c r="W1256" s="57"/>
      <c r="X1256" s="57" t="str">
        <f t="shared" si="917"/>
        <v/>
      </c>
      <c r="Y1256" s="58" t="str">
        <f t="shared" ref="Y1256:AC1256" si="1096">TRIM(SUBSTITUTE(SUBSTITUTE(OFFSET($Q1256,0,COLUMN()-COLUMN($AL$1)),CHAR(160)," "),_xludf.UNICHAR(8239)," "))</f>
        <v>#NAME?</v>
      </c>
      <c r="Z1256" s="58" t="str">
        <f t="shared" si="1096"/>
        <v>#NAME?</v>
      </c>
      <c r="AA1256" s="58" t="str">
        <f t="shared" si="1096"/>
        <v>#NAME?</v>
      </c>
      <c r="AB1256" s="58" t="str">
        <f t="shared" si="1096"/>
        <v>#NAME?</v>
      </c>
      <c r="AC1256" s="58" t="str">
        <f t="shared" si="1096"/>
        <v>#NAME?</v>
      </c>
      <c r="AD1256" s="57">
        <f t="shared" si="906"/>
        <v>0</v>
      </c>
      <c r="AE1256" s="57" t="str">
        <f t="shared" si="907"/>
        <v/>
      </c>
      <c r="AF1256" s="57">
        <f t="shared" si="908"/>
        <v>0</v>
      </c>
      <c r="AG1256" s="59">
        <f t="shared" si="909"/>
        <v>0</v>
      </c>
      <c r="AH1256" s="15"/>
      <c r="AI1256" s="15"/>
      <c r="AJ1256" s="15"/>
      <c r="AK1256" s="15"/>
      <c r="AL1256" s="15"/>
      <c r="AM1256" s="15"/>
      <c r="AN1256" s="15"/>
      <c r="AO1256" s="15"/>
      <c r="AP1256" s="15"/>
      <c r="AQ1256" s="15"/>
      <c r="AR1256" s="15"/>
      <c r="AS1256" s="15"/>
      <c r="AT1256" s="15"/>
      <c r="AU1256" s="15"/>
    </row>
    <row r="1257" ht="24.0" customHeight="1">
      <c r="A1257" s="45">
        <v>2681.0</v>
      </c>
      <c r="B1257" s="57"/>
      <c r="C1257" s="57"/>
      <c r="D1257" s="88" t="str">
        <f t="array" ref="D1257">IFERROR(
  LOOKUP(2, 1/((TRIM(IMS!$E$8:$E$2574)=TRIM(IMS!$E1257))*(IMS!$C$8:$C$2574&lt;IMS!$C1257)),
         IMS!$C$8:$C$2574),
"")</f>
        <v/>
      </c>
      <c r="E1257" s="57"/>
      <c r="F1257" s="57"/>
      <c r="G1257" s="77" t="str">
        <f t="shared" si="901"/>
        <v/>
      </c>
      <c r="H1257" s="78" t="str">
        <f t="shared" si="902"/>
        <v/>
      </c>
      <c r="I1257" s="79"/>
      <c r="J1257" s="80" t="str">
        <f t="shared" si="903"/>
        <v>#NAME?</v>
      </c>
      <c r="K1257" s="58"/>
      <c r="L1257" s="58"/>
      <c r="M1257" s="57"/>
      <c r="N1257" s="57"/>
      <c r="O1257" s="58"/>
      <c r="P1257" s="82"/>
      <c r="Q1257" s="81"/>
      <c r="R1257" s="81"/>
      <c r="S1257" s="57"/>
      <c r="T1257" s="82"/>
      <c r="U1257" s="82"/>
      <c r="V1257" s="57"/>
      <c r="W1257" s="57"/>
      <c r="X1257" s="57" t="str">
        <f t="shared" si="917"/>
        <v/>
      </c>
      <c r="Y1257" s="58" t="str">
        <f t="shared" ref="Y1257:AC1257" si="1097">TRIM(SUBSTITUTE(SUBSTITUTE(OFFSET($Q1257,0,COLUMN()-COLUMN($AL$1)),CHAR(160)," "),_xludf.UNICHAR(8239)," "))</f>
        <v>#NAME?</v>
      </c>
      <c r="Z1257" s="58" t="str">
        <f t="shared" si="1097"/>
        <v>#NAME?</v>
      </c>
      <c r="AA1257" s="58" t="str">
        <f t="shared" si="1097"/>
        <v>#NAME?</v>
      </c>
      <c r="AB1257" s="58" t="str">
        <f t="shared" si="1097"/>
        <v>#NAME?</v>
      </c>
      <c r="AC1257" s="58" t="str">
        <f t="shared" si="1097"/>
        <v>#NAME?</v>
      </c>
      <c r="AD1257" s="57">
        <f t="shared" si="906"/>
        <v>0</v>
      </c>
      <c r="AE1257" s="57" t="str">
        <f t="shared" si="907"/>
        <v/>
      </c>
      <c r="AF1257" s="57">
        <f t="shared" si="908"/>
        <v>0</v>
      </c>
      <c r="AG1257" s="59">
        <f t="shared" si="909"/>
        <v>0</v>
      </c>
      <c r="AH1257" s="15"/>
      <c r="AI1257" s="15"/>
      <c r="AJ1257" s="15"/>
      <c r="AK1257" s="15"/>
      <c r="AL1257" s="15"/>
      <c r="AM1257" s="15"/>
      <c r="AN1257" s="15"/>
      <c r="AO1257" s="15"/>
      <c r="AP1257" s="15"/>
      <c r="AQ1257" s="15"/>
      <c r="AR1257" s="15"/>
      <c r="AS1257" s="15"/>
      <c r="AT1257" s="15"/>
      <c r="AU1257" s="15"/>
    </row>
    <row r="1258" ht="24.0" customHeight="1">
      <c r="A1258" s="45">
        <v>2682.0</v>
      </c>
      <c r="B1258" s="57"/>
      <c r="C1258" s="57"/>
      <c r="D1258" s="88" t="str">
        <f t="array" ref="D1258">IFERROR(
  LOOKUP(2, 1/((TRIM(IMS!$E$8:$E$2574)=TRIM(IMS!$E1258))*(IMS!$C$8:$C$2574&lt;IMS!$C1258)),
         IMS!$C$8:$C$2574),
"")</f>
        <v/>
      </c>
      <c r="E1258" s="57"/>
      <c r="F1258" s="57"/>
      <c r="G1258" s="77" t="str">
        <f t="shared" si="901"/>
        <v/>
      </c>
      <c r="H1258" s="78" t="str">
        <f t="shared" si="902"/>
        <v/>
      </c>
      <c r="I1258" s="79"/>
      <c r="J1258" s="80" t="str">
        <f t="shared" si="903"/>
        <v>#NAME?</v>
      </c>
      <c r="K1258" s="58"/>
      <c r="L1258" s="58"/>
      <c r="M1258" s="57"/>
      <c r="N1258" s="57"/>
      <c r="O1258" s="58"/>
      <c r="P1258" s="82"/>
      <c r="Q1258" s="81"/>
      <c r="R1258" s="81"/>
      <c r="S1258" s="57"/>
      <c r="T1258" s="82"/>
      <c r="U1258" s="82"/>
      <c r="V1258" s="57"/>
      <c r="W1258" s="57"/>
      <c r="X1258" s="57" t="str">
        <f t="shared" si="917"/>
        <v/>
      </c>
      <c r="Y1258" s="58" t="str">
        <f t="shared" ref="Y1258:AC1258" si="1098">TRIM(SUBSTITUTE(SUBSTITUTE(OFFSET($Q1258,0,COLUMN()-COLUMN($AL$1)),CHAR(160)," "),_xludf.UNICHAR(8239)," "))</f>
        <v>#NAME?</v>
      </c>
      <c r="Z1258" s="58" t="str">
        <f t="shared" si="1098"/>
        <v>#NAME?</v>
      </c>
      <c r="AA1258" s="58" t="str">
        <f t="shared" si="1098"/>
        <v>#NAME?</v>
      </c>
      <c r="AB1258" s="58" t="str">
        <f t="shared" si="1098"/>
        <v>#NAME?</v>
      </c>
      <c r="AC1258" s="58" t="str">
        <f t="shared" si="1098"/>
        <v>#NAME?</v>
      </c>
      <c r="AD1258" s="57">
        <f t="shared" si="906"/>
        <v>0</v>
      </c>
      <c r="AE1258" s="57" t="str">
        <f t="shared" si="907"/>
        <v/>
      </c>
      <c r="AF1258" s="57">
        <f t="shared" si="908"/>
        <v>0</v>
      </c>
      <c r="AG1258" s="59">
        <f t="shared" si="909"/>
        <v>0</v>
      </c>
      <c r="AH1258" s="15"/>
      <c r="AI1258" s="15"/>
      <c r="AJ1258" s="15"/>
      <c r="AK1258" s="15"/>
      <c r="AL1258" s="15"/>
      <c r="AM1258" s="15"/>
      <c r="AN1258" s="15"/>
      <c r="AO1258" s="15"/>
      <c r="AP1258" s="15"/>
      <c r="AQ1258" s="15"/>
      <c r="AR1258" s="15"/>
      <c r="AS1258" s="15"/>
      <c r="AT1258" s="15"/>
      <c r="AU1258" s="15"/>
    </row>
    <row r="1259" ht="24.0" customHeight="1">
      <c r="A1259" s="45">
        <v>2683.0</v>
      </c>
      <c r="B1259" s="57"/>
      <c r="C1259" s="57"/>
      <c r="D1259" s="88" t="str">
        <f t="array" ref="D1259">IFERROR(
  LOOKUP(2, 1/((TRIM(IMS!$E$8:$E$2574)=TRIM(IMS!$E1259))*(IMS!$C$8:$C$2574&lt;IMS!$C1259)),
         IMS!$C$8:$C$2574),
"")</f>
        <v/>
      </c>
      <c r="E1259" s="57"/>
      <c r="F1259" s="57"/>
      <c r="G1259" s="77" t="str">
        <f t="shared" si="901"/>
        <v/>
      </c>
      <c r="H1259" s="78" t="str">
        <f t="shared" si="902"/>
        <v/>
      </c>
      <c r="I1259" s="79"/>
      <c r="J1259" s="80" t="str">
        <f t="shared" si="903"/>
        <v>#NAME?</v>
      </c>
      <c r="K1259" s="58"/>
      <c r="L1259" s="58"/>
      <c r="M1259" s="57"/>
      <c r="N1259" s="57"/>
      <c r="O1259" s="58"/>
      <c r="P1259" s="82"/>
      <c r="Q1259" s="81"/>
      <c r="R1259" s="81"/>
      <c r="S1259" s="57"/>
      <c r="T1259" s="82"/>
      <c r="U1259" s="82"/>
      <c r="V1259" s="57"/>
      <c r="W1259" s="57"/>
      <c r="X1259" s="57" t="str">
        <f t="shared" si="917"/>
        <v/>
      </c>
      <c r="Y1259" s="58" t="str">
        <f t="shared" ref="Y1259:AC1259" si="1099">TRIM(SUBSTITUTE(SUBSTITUTE(OFFSET($Q1259,0,COLUMN()-COLUMN($AL$1)),CHAR(160)," "),_xludf.UNICHAR(8239)," "))</f>
        <v>#NAME?</v>
      </c>
      <c r="Z1259" s="58" t="str">
        <f t="shared" si="1099"/>
        <v>#NAME?</v>
      </c>
      <c r="AA1259" s="58" t="str">
        <f t="shared" si="1099"/>
        <v>#NAME?</v>
      </c>
      <c r="AB1259" s="58" t="str">
        <f t="shared" si="1099"/>
        <v>#NAME?</v>
      </c>
      <c r="AC1259" s="58" t="str">
        <f t="shared" si="1099"/>
        <v>#NAME?</v>
      </c>
      <c r="AD1259" s="57">
        <f t="shared" si="906"/>
        <v>0</v>
      </c>
      <c r="AE1259" s="57" t="str">
        <f t="shared" si="907"/>
        <v/>
      </c>
      <c r="AF1259" s="57">
        <f t="shared" si="908"/>
        <v>0</v>
      </c>
      <c r="AG1259" s="59">
        <f t="shared" si="909"/>
        <v>0</v>
      </c>
      <c r="AH1259" s="15"/>
      <c r="AI1259" s="15"/>
      <c r="AJ1259" s="15"/>
      <c r="AK1259" s="15"/>
      <c r="AL1259" s="15"/>
      <c r="AM1259" s="15"/>
      <c r="AN1259" s="15"/>
      <c r="AO1259" s="15"/>
      <c r="AP1259" s="15"/>
      <c r="AQ1259" s="15"/>
      <c r="AR1259" s="15"/>
      <c r="AS1259" s="15"/>
      <c r="AT1259" s="15"/>
      <c r="AU1259" s="15"/>
    </row>
    <row r="1260" ht="24.0" customHeight="1">
      <c r="A1260" s="45">
        <v>2684.0</v>
      </c>
      <c r="B1260" s="57"/>
      <c r="C1260" s="57"/>
      <c r="D1260" s="88" t="str">
        <f t="array" ref="D1260">IFERROR(
  LOOKUP(2, 1/((TRIM(IMS!$E$8:$E$2574)=TRIM(IMS!$E1260))*(IMS!$C$8:$C$2574&lt;IMS!$C1260)),
         IMS!$C$8:$C$2574),
"")</f>
        <v/>
      </c>
      <c r="E1260" s="57"/>
      <c r="F1260" s="57"/>
      <c r="G1260" s="77" t="str">
        <f t="shared" si="901"/>
        <v/>
      </c>
      <c r="H1260" s="78" t="str">
        <f t="shared" si="902"/>
        <v/>
      </c>
      <c r="I1260" s="79"/>
      <c r="J1260" s="80" t="str">
        <f t="shared" si="903"/>
        <v>#NAME?</v>
      </c>
      <c r="K1260" s="58"/>
      <c r="L1260" s="58"/>
      <c r="M1260" s="57"/>
      <c r="N1260" s="57"/>
      <c r="O1260" s="58"/>
      <c r="P1260" s="82"/>
      <c r="Q1260" s="81"/>
      <c r="R1260" s="81"/>
      <c r="S1260" s="57"/>
      <c r="T1260" s="82"/>
      <c r="U1260" s="82"/>
      <c r="V1260" s="57"/>
      <c r="W1260" s="57"/>
      <c r="X1260" s="57" t="str">
        <f t="shared" si="917"/>
        <v/>
      </c>
      <c r="Y1260" s="58" t="str">
        <f t="shared" ref="Y1260:AC1260" si="1100">TRIM(SUBSTITUTE(SUBSTITUTE(OFFSET($Q1260,0,COLUMN()-COLUMN($AL$1)),CHAR(160)," "),_xludf.UNICHAR(8239)," "))</f>
        <v>#NAME?</v>
      </c>
      <c r="Z1260" s="58" t="str">
        <f t="shared" si="1100"/>
        <v>#NAME?</v>
      </c>
      <c r="AA1260" s="58" t="str">
        <f t="shared" si="1100"/>
        <v>#NAME?</v>
      </c>
      <c r="AB1260" s="58" t="str">
        <f t="shared" si="1100"/>
        <v>#NAME?</v>
      </c>
      <c r="AC1260" s="58" t="str">
        <f t="shared" si="1100"/>
        <v>#NAME?</v>
      </c>
      <c r="AD1260" s="57">
        <f t="shared" si="906"/>
        <v>0</v>
      </c>
      <c r="AE1260" s="57" t="str">
        <f t="shared" si="907"/>
        <v/>
      </c>
      <c r="AF1260" s="57">
        <f t="shared" si="908"/>
        <v>0</v>
      </c>
      <c r="AG1260" s="59">
        <f t="shared" si="909"/>
        <v>0</v>
      </c>
      <c r="AH1260" s="15"/>
      <c r="AI1260" s="15"/>
      <c r="AJ1260" s="15"/>
      <c r="AK1260" s="15"/>
      <c r="AL1260" s="15"/>
      <c r="AM1260" s="15"/>
      <c r="AN1260" s="15"/>
      <c r="AO1260" s="15"/>
      <c r="AP1260" s="15"/>
      <c r="AQ1260" s="15"/>
      <c r="AR1260" s="15"/>
      <c r="AS1260" s="15"/>
      <c r="AT1260" s="15"/>
      <c r="AU1260" s="15"/>
    </row>
    <row r="1261" ht="24.0" customHeight="1">
      <c r="A1261" s="45">
        <v>2685.0</v>
      </c>
      <c r="B1261" s="57"/>
      <c r="C1261" s="57"/>
      <c r="D1261" s="88" t="str">
        <f t="array" ref="D1261">IFERROR(
  LOOKUP(2, 1/((TRIM(IMS!$E$8:$E$2574)=TRIM(IMS!$E1261))*(IMS!$C$8:$C$2574&lt;IMS!$C1261)),
         IMS!$C$8:$C$2574),
"")</f>
        <v/>
      </c>
      <c r="E1261" s="57"/>
      <c r="F1261" s="57"/>
      <c r="G1261" s="77" t="str">
        <f t="shared" si="901"/>
        <v/>
      </c>
      <c r="H1261" s="78" t="str">
        <f t="shared" si="902"/>
        <v/>
      </c>
      <c r="I1261" s="79"/>
      <c r="J1261" s="80" t="str">
        <f t="shared" si="903"/>
        <v>#NAME?</v>
      </c>
      <c r="K1261" s="58"/>
      <c r="L1261" s="58"/>
      <c r="M1261" s="57"/>
      <c r="N1261" s="57"/>
      <c r="O1261" s="58"/>
      <c r="P1261" s="82"/>
      <c r="Q1261" s="81"/>
      <c r="R1261" s="81"/>
      <c r="S1261" s="57"/>
      <c r="T1261" s="82"/>
      <c r="U1261" s="82"/>
      <c r="V1261" s="57"/>
      <c r="W1261" s="57"/>
      <c r="X1261" s="57" t="str">
        <f t="shared" si="917"/>
        <v/>
      </c>
      <c r="Y1261" s="58" t="str">
        <f t="shared" ref="Y1261:AC1261" si="1101">TRIM(SUBSTITUTE(SUBSTITUTE(OFFSET($Q1261,0,COLUMN()-COLUMN($AL$1)),CHAR(160)," "),_xludf.UNICHAR(8239)," "))</f>
        <v>#NAME?</v>
      </c>
      <c r="Z1261" s="58" t="str">
        <f t="shared" si="1101"/>
        <v>#NAME?</v>
      </c>
      <c r="AA1261" s="58" t="str">
        <f t="shared" si="1101"/>
        <v>#NAME?</v>
      </c>
      <c r="AB1261" s="58" t="str">
        <f t="shared" si="1101"/>
        <v>#NAME?</v>
      </c>
      <c r="AC1261" s="58" t="str">
        <f t="shared" si="1101"/>
        <v>#NAME?</v>
      </c>
      <c r="AD1261" s="57">
        <f t="shared" si="906"/>
        <v>0</v>
      </c>
      <c r="AE1261" s="57" t="str">
        <f t="shared" si="907"/>
        <v/>
      </c>
      <c r="AF1261" s="57">
        <f t="shared" si="908"/>
        <v>0</v>
      </c>
      <c r="AG1261" s="59">
        <f t="shared" si="909"/>
        <v>0</v>
      </c>
      <c r="AH1261" s="15"/>
      <c r="AI1261" s="15"/>
      <c r="AJ1261" s="15"/>
      <c r="AK1261" s="15"/>
      <c r="AL1261" s="15"/>
      <c r="AM1261" s="15"/>
      <c r="AN1261" s="15"/>
      <c r="AO1261" s="15"/>
      <c r="AP1261" s="15"/>
      <c r="AQ1261" s="15"/>
      <c r="AR1261" s="15"/>
      <c r="AS1261" s="15"/>
      <c r="AT1261" s="15"/>
      <c r="AU1261" s="15"/>
    </row>
    <row r="1262" ht="24.0" customHeight="1">
      <c r="A1262" s="45">
        <v>2686.0</v>
      </c>
      <c r="B1262" s="57"/>
      <c r="C1262" s="57"/>
      <c r="D1262" s="88" t="str">
        <f t="array" ref="D1262">IFERROR(
  LOOKUP(2, 1/((TRIM(IMS!$E$8:$E$2574)=TRIM(IMS!$E1262))*(IMS!$C$8:$C$2574&lt;IMS!$C1262)),
         IMS!$C$8:$C$2574),
"")</f>
        <v/>
      </c>
      <c r="E1262" s="57"/>
      <c r="F1262" s="57"/>
      <c r="G1262" s="77" t="str">
        <f t="shared" si="901"/>
        <v/>
      </c>
      <c r="H1262" s="78" t="str">
        <f t="shared" si="902"/>
        <v/>
      </c>
      <c r="I1262" s="79"/>
      <c r="J1262" s="80" t="str">
        <f t="shared" si="903"/>
        <v>#NAME?</v>
      </c>
      <c r="K1262" s="58"/>
      <c r="L1262" s="58"/>
      <c r="M1262" s="57"/>
      <c r="N1262" s="57"/>
      <c r="O1262" s="58"/>
      <c r="P1262" s="82"/>
      <c r="Q1262" s="81"/>
      <c r="R1262" s="81"/>
      <c r="S1262" s="57"/>
      <c r="T1262" s="82"/>
      <c r="U1262" s="82"/>
      <c r="V1262" s="57"/>
      <c r="W1262" s="57"/>
      <c r="X1262" s="57" t="str">
        <f t="shared" si="917"/>
        <v/>
      </c>
      <c r="Y1262" s="58" t="str">
        <f t="shared" ref="Y1262:AC1262" si="1102">TRIM(SUBSTITUTE(SUBSTITUTE(OFFSET($Q1262,0,COLUMN()-COLUMN($AL$1)),CHAR(160)," "),_xludf.UNICHAR(8239)," "))</f>
        <v>#NAME?</v>
      </c>
      <c r="Z1262" s="58" t="str">
        <f t="shared" si="1102"/>
        <v>#NAME?</v>
      </c>
      <c r="AA1262" s="58" t="str">
        <f t="shared" si="1102"/>
        <v>#NAME?</v>
      </c>
      <c r="AB1262" s="58" t="str">
        <f t="shared" si="1102"/>
        <v>#NAME?</v>
      </c>
      <c r="AC1262" s="58" t="str">
        <f t="shared" si="1102"/>
        <v>#NAME?</v>
      </c>
      <c r="AD1262" s="57">
        <f t="shared" si="906"/>
        <v>0</v>
      </c>
      <c r="AE1262" s="57" t="str">
        <f t="shared" si="907"/>
        <v/>
      </c>
      <c r="AF1262" s="57">
        <f t="shared" si="908"/>
        <v>0</v>
      </c>
      <c r="AG1262" s="59">
        <f t="shared" si="909"/>
        <v>0</v>
      </c>
      <c r="AH1262" s="15"/>
      <c r="AI1262" s="15"/>
      <c r="AJ1262" s="15"/>
      <c r="AK1262" s="15"/>
      <c r="AL1262" s="15"/>
      <c r="AM1262" s="15"/>
      <c r="AN1262" s="15"/>
      <c r="AO1262" s="15"/>
      <c r="AP1262" s="15"/>
      <c r="AQ1262" s="15"/>
      <c r="AR1262" s="15"/>
      <c r="AS1262" s="15"/>
      <c r="AT1262" s="15"/>
      <c r="AU1262" s="15"/>
    </row>
    <row r="1263" ht="24.0" customHeight="1">
      <c r="A1263" s="45">
        <v>2687.0</v>
      </c>
      <c r="B1263" s="57"/>
      <c r="C1263" s="57"/>
      <c r="D1263" s="88" t="str">
        <f t="array" ref="D1263">IFERROR(
  LOOKUP(2, 1/((TRIM(IMS!$E$8:$E$2574)=TRIM(IMS!$E1263))*(IMS!$C$8:$C$2574&lt;IMS!$C1263)),
         IMS!$C$8:$C$2574),
"")</f>
        <v/>
      </c>
      <c r="E1263" s="57"/>
      <c r="F1263" s="57"/>
      <c r="G1263" s="77" t="str">
        <f t="shared" si="901"/>
        <v/>
      </c>
      <c r="H1263" s="78" t="str">
        <f t="shared" si="902"/>
        <v/>
      </c>
      <c r="I1263" s="79"/>
      <c r="J1263" s="80" t="str">
        <f t="shared" si="903"/>
        <v>#NAME?</v>
      </c>
      <c r="K1263" s="58"/>
      <c r="L1263" s="58"/>
      <c r="M1263" s="57"/>
      <c r="N1263" s="57"/>
      <c r="O1263" s="58"/>
      <c r="P1263" s="82"/>
      <c r="Q1263" s="81"/>
      <c r="R1263" s="81"/>
      <c r="S1263" s="57"/>
      <c r="T1263" s="82"/>
      <c r="U1263" s="82"/>
      <c r="V1263" s="57"/>
      <c r="W1263" s="57"/>
      <c r="X1263" s="57" t="str">
        <f t="shared" si="917"/>
        <v/>
      </c>
      <c r="Y1263" s="58" t="str">
        <f t="shared" ref="Y1263:AC1263" si="1103">TRIM(SUBSTITUTE(SUBSTITUTE(OFFSET($Q1263,0,COLUMN()-COLUMN($AL$1)),CHAR(160)," "),_xludf.UNICHAR(8239)," "))</f>
        <v>#NAME?</v>
      </c>
      <c r="Z1263" s="58" t="str">
        <f t="shared" si="1103"/>
        <v>#NAME?</v>
      </c>
      <c r="AA1263" s="58" t="str">
        <f t="shared" si="1103"/>
        <v>#NAME?</v>
      </c>
      <c r="AB1263" s="58" t="str">
        <f t="shared" si="1103"/>
        <v>#NAME?</v>
      </c>
      <c r="AC1263" s="58" t="str">
        <f t="shared" si="1103"/>
        <v>#NAME?</v>
      </c>
      <c r="AD1263" s="57">
        <f t="shared" si="906"/>
        <v>0</v>
      </c>
      <c r="AE1263" s="57" t="str">
        <f t="shared" si="907"/>
        <v/>
      </c>
      <c r="AF1263" s="57">
        <f t="shared" si="908"/>
        <v>0</v>
      </c>
      <c r="AG1263" s="59">
        <f t="shared" si="909"/>
        <v>0</v>
      </c>
      <c r="AH1263" s="15"/>
      <c r="AI1263" s="15"/>
      <c r="AJ1263" s="15"/>
      <c r="AK1263" s="15"/>
      <c r="AL1263" s="15"/>
      <c r="AM1263" s="15"/>
      <c r="AN1263" s="15"/>
      <c r="AO1263" s="15"/>
      <c r="AP1263" s="15"/>
      <c r="AQ1263" s="15"/>
      <c r="AR1263" s="15"/>
      <c r="AS1263" s="15"/>
      <c r="AT1263" s="15"/>
      <c r="AU1263" s="15"/>
    </row>
    <row r="1264" ht="24.0" customHeight="1">
      <c r="A1264" s="45">
        <v>2688.0</v>
      </c>
      <c r="B1264" s="57"/>
      <c r="C1264" s="57"/>
      <c r="D1264" s="88" t="str">
        <f t="array" ref="D1264">IFERROR(
  LOOKUP(2, 1/((TRIM(IMS!$E$8:$E$2574)=TRIM(IMS!$E1264))*(IMS!$C$8:$C$2574&lt;IMS!$C1264)),
         IMS!$C$8:$C$2574),
"")</f>
        <v/>
      </c>
      <c r="E1264" s="57"/>
      <c r="F1264" s="57"/>
      <c r="G1264" s="77" t="str">
        <f t="shared" si="901"/>
        <v/>
      </c>
      <c r="H1264" s="78" t="str">
        <f t="shared" si="902"/>
        <v/>
      </c>
      <c r="I1264" s="79"/>
      <c r="J1264" s="80" t="str">
        <f t="shared" si="903"/>
        <v>#NAME?</v>
      </c>
      <c r="K1264" s="58"/>
      <c r="L1264" s="58"/>
      <c r="M1264" s="57"/>
      <c r="N1264" s="57"/>
      <c r="O1264" s="58"/>
      <c r="P1264" s="82"/>
      <c r="Q1264" s="81"/>
      <c r="R1264" s="81"/>
      <c r="S1264" s="57"/>
      <c r="T1264" s="82"/>
      <c r="U1264" s="82"/>
      <c r="V1264" s="57"/>
      <c r="W1264" s="57"/>
      <c r="X1264" s="57" t="str">
        <f t="shared" si="917"/>
        <v/>
      </c>
      <c r="Y1264" s="58" t="str">
        <f t="shared" ref="Y1264:AC1264" si="1104">TRIM(SUBSTITUTE(SUBSTITUTE(OFFSET($Q1264,0,COLUMN()-COLUMN($AL$1)),CHAR(160)," "),_xludf.UNICHAR(8239)," "))</f>
        <v>#NAME?</v>
      </c>
      <c r="Z1264" s="58" t="str">
        <f t="shared" si="1104"/>
        <v>#NAME?</v>
      </c>
      <c r="AA1264" s="58" t="str">
        <f t="shared" si="1104"/>
        <v>#NAME?</v>
      </c>
      <c r="AB1264" s="58" t="str">
        <f t="shared" si="1104"/>
        <v>#NAME?</v>
      </c>
      <c r="AC1264" s="58" t="str">
        <f t="shared" si="1104"/>
        <v>#NAME?</v>
      </c>
      <c r="AD1264" s="57">
        <f t="shared" si="906"/>
        <v>0</v>
      </c>
      <c r="AE1264" s="57" t="str">
        <f t="shared" si="907"/>
        <v/>
      </c>
      <c r="AF1264" s="57">
        <f t="shared" si="908"/>
        <v>0</v>
      </c>
      <c r="AG1264" s="59">
        <f t="shared" si="909"/>
        <v>0</v>
      </c>
      <c r="AH1264" s="15"/>
      <c r="AI1264" s="15"/>
      <c r="AJ1264" s="15"/>
      <c r="AK1264" s="15"/>
      <c r="AL1264" s="15"/>
      <c r="AM1264" s="15"/>
      <c r="AN1264" s="15"/>
      <c r="AO1264" s="15"/>
      <c r="AP1264" s="15"/>
      <c r="AQ1264" s="15"/>
      <c r="AR1264" s="15"/>
      <c r="AS1264" s="15"/>
      <c r="AT1264" s="15"/>
      <c r="AU1264" s="15"/>
    </row>
    <row r="1265" ht="24.0" customHeight="1">
      <c r="A1265" s="45">
        <v>2689.0</v>
      </c>
      <c r="B1265" s="57"/>
      <c r="C1265" s="57"/>
      <c r="D1265" s="88" t="str">
        <f t="array" ref="D1265">IFERROR(
  LOOKUP(2, 1/((TRIM(IMS!$E$8:$E$2574)=TRIM(IMS!$E1265))*(IMS!$C$8:$C$2574&lt;IMS!$C1265)),
         IMS!$C$8:$C$2574),
"")</f>
        <v/>
      </c>
      <c r="E1265" s="57"/>
      <c r="F1265" s="57"/>
      <c r="G1265" s="77" t="str">
        <f t="shared" si="901"/>
        <v/>
      </c>
      <c r="H1265" s="78" t="str">
        <f t="shared" si="902"/>
        <v/>
      </c>
      <c r="I1265" s="79"/>
      <c r="J1265" s="80" t="str">
        <f t="shared" si="903"/>
        <v>#NAME?</v>
      </c>
      <c r="K1265" s="58"/>
      <c r="L1265" s="58"/>
      <c r="M1265" s="57"/>
      <c r="N1265" s="57"/>
      <c r="O1265" s="58"/>
      <c r="P1265" s="82"/>
      <c r="Q1265" s="81"/>
      <c r="R1265" s="81"/>
      <c r="S1265" s="57"/>
      <c r="T1265" s="82"/>
      <c r="U1265" s="82"/>
      <c r="V1265" s="57"/>
      <c r="W1265" s="57"/>
      <c r="X1265" s="57" t="str">
        <f t="shared" si="917"/>
        <v/>
      </c>
      <c r="Y1265" s="58" t="str">
        <f t="shared" ref="Y1265:AC1265" si="1105">TRIM(SUBSTITUTE(SUBSTITUTE(OFFSET($Q1265,0,COLUMN()-COLUMN($AL$1)),CHAR(160)," "),_xludf.UNICHAR(8239)," "))</f>
        <v>#NAME?</v>
      </c>
      <c r="Z1265" s="58" t="str">
        <f t="shared" si="1105"/>
        <v>#NAME?</v>
      </c>
      <c r="AA1265" s="58" t="str">
        <f t="shared" si="1105"/>
        <v>#NAME?</v>
      </c>
      <c r="AB1265" s="58" t="str">
        <f t="shared" si="1105"/>
        <v>#NAME?</v>
      </c>
      <c r="AC1265" s="58" t="str">
        <f t="shared" si="1105"/>
        <v>#NAME?</v>
      </c>
      <c r="AD1265" s="57">
        <f t="shared" si="906"/>
        <v>0</v>
      </c>
      <c r="AE1265" s="57" t="str">
        <f t="shared" si="907"/>
        <v/>
      </c>
      <c r="AF1265" s="57">
        <f t="shared" si="908"/>
        <v>0</v>
      </c>
      <c r="AG1265" s="59">
        <f t="shared" si="909"/>
        <v>0</v>
      </c>
      <c r="AH1265" s="15"/>
      <c r="AI1265" s="15"/>
      <c r="AJ1265" s="15"/>
      <c r="AK1265" s="15"/>
      <c r="AL1265" s="15"/>
      <c r="AM1265" s="15"/>
      <c r="AN1265" s="15"/>
      <c r="AO1265" s="15"/>
      <c r="AP1265" s="15"/>
      <c r="AQ1265" s="15"/>
      <c r="AR1265" s="15"/>
      <c r="AS1265" s="15"/>
      <c r="AT1265" s="15"/>
      <c r="AU1265" s="15"/>
    </row>
    <row r="1266" ht="24.0" customHeight="1">
      <c r="A1266" s="45">
        <v>2690.0</v>
      </c>
      <c r="B1266" s="57"/>
      <c r="C1266" s="57"/>
      <c r="D1266" s="88" t="str">
        <f t="array" ref="D1266">IFERROR(
  LOOKUP(2, 1/((TRIM(IMS!$E$8:$E$2574)=TRIM(IMS!$E1266))*(IMS!$C$8:$C$2574&lt;IMS!$C1266)),
         IMS!$C$8:$C$2574),
"")</f>
        <v/>
      </c>
      <c r="E1266" s="57"/>
      <c r="F1266" s="57"/>
      <c r="G1266" s="77" t="str">
        <f t="shared" si="901"/>
        <v/>
      </c>
      <c r="H1266" s="78" t="str">
        <f t="shared" si="902"/>
        <v/>
      </c>
      <c r="I1266" s="79"/>
      <c r="J1266" s="80" t="str">
        <f t="shared" si="903"/>
        <v>#NAME?</v>
      </c>
      <c r="K1266" s="58"/>
      <c r="L1266" s="58"/>
      <c r="M1266" s="57"/>
      <c r="N1266" s="57"/>
      <c r="O1266" s="58"/>
      <c r="P1266" s="82"/>
      <c r="Q1266" s="81"/>
      <c r="R1266" s="81"/>
      <c r="S1266" s="57"/>
      <c r="T1266" s="82"/>
      <c r="U1266" s="82"/>
      <c r="V1266" s="57"/>
      <c r="W1266" s="57"/>
      <c r="X1266" s="57" t="str">
        <f t="shared" si="917"/>
        <v/>
      </c>
      <c r="Y1266" s="58" t="str">
        <f t="shared" ref="Y1266:AC1266" si="1106">TRIM(SUBSTITUTE(SUBSTITUTE(OFFSET($Q1266,0,COLUMN()-COLUMN($AL$1)),CHAR(160)," "),_xludf.UNICHAR(8239)," "))</f>
        <v>#NAME?</v>
      </c>
      <c r="Z1266" s="58" t="str">
        <f t="shared" si="1106"/>
        <v>#NAME?</v>
      </c>
      <c r="AA1266" s="58" t="str">
        <f t="shared" si="1106"/>
        <v>#NAME?</v>
      </c>
      <c r="AB1266" s="58" t="str">
        <f t="shared" si="1106"/>
        <v>#NAME?</v>
      </c>
      <c r="AC1266" s="58" t="str">
        <f t="shared" si="1106"/>
        <v>#NAME?</v>
      </c>
      <c r="AD1266" s="57">
        <f t="shared" si="906"/>
        <v>0</v>
      </c>
      <c r="AE1266" s="57" t="str">
        <f t="shared" si="907"/>
        <v/>
      </c>
      <c r="AF1266" s="57">
        <f t="shared" si="908"/>
        <v>0</v>
      </c>
      <c r="AG1266" s="59">
        <f t="shared" si="909"/>
        <v>0</v>
      </c>
      <c r="AH1266" s="15"/>
      <c r="AI1266" s="15"/>
      <c r="AJ1266" s="15"/>
      <c r="AK1266" s="15"/>
      <c r="AL1266" s="15"/>
      <c r="AM1266" s="15"/>
      <c r="AN1266" s="15"/>
      <c r="AO1266" s="15"/>
      <c r="AP1266" s="15"/>
      <c r="AQ1266" s="15"/>
      <c r="AR1266" s="15"/>
      <c r="AS1266" s="15"/>
      <c r="AT1266" s="15"/>
      <c r="AU1266" s="15"/>
    </row>
    <row r="1267" ht="24.0" customHeight="1">
      <c r="A1267" s="45">
        <v>2691.0</v>
      </c>
      <c r="B1267" s="57"/>
      <c r="C1267" s="57"/>
      <c r="D1267" s="88" t="str">
        <f t="array" ref="D1267">IFERROR(
  LOOKUP(2, 1/((TRIM(IMS!$E$8:$E$2574)=TRIM(IMS!$E1267))*(IMS!$C$8:$C$2574&lt;IMS!$C1267)),
         IMS!$C$8:$C$2574),
"")</f>
        <v/>
      </c>
      <c r="E1267" s="57"/>
      <c r="F1267" s="57"/>
      <c r="G1267" s="77" t="str">
        <f t="shared" si="901"/>
        <v/>
      </c>
      <c r="H1267" s="78" t="str">
        <f t="shared" si="902"/>
        <v/>
      </c>
      <c r="I1267" s="79"/>
      <c r="J1267" s="80" t="str">
        <f t="shared" si="903"/>
        <v>#NAME?</v>
      </c>
      <c r="K1267" s="58"/>
      <c r="L1267" s="58"/>
      <c r="M1267" s="57"/>
      <c r="N1267" s="57"/>
      <c r="O1267" s="58"/>
      <c r="P1267" s="82"/>
      <c r="Q1267" s="81"/>
      <c r="R1267" s="81"/>
      <c r="S1267" s="57"/>
      <c r="T1267" s="82"/>
      <c r="U1267" s="82"/>
      <c r="V1267" s="57"/>
      <c r="W1267" s="57"/>
      <c r="X1267" s="57" t="str">
        <f t="shared" si="917"/>
        <v/>
      </c>
      <c r="Y1267" s="58" t="str">
        <f t="shared" ref="Y1267:AC1267" si="1107">TRIM(SUBSTITUTE(SUBSTITUTE(OFFSET($Q1267,0,COLUMN()-COLUMN($AL$1)),CHAR(160)," "),_xludf.UNICHAR(8239)," "))</f>
        <v>#NAME?</v>
      </c>
      <c r="Z1267" s="58" t="str">
        <f t="shared" si="1107"/>
        <v>#NAME?</v>
      </c>
      <c r="AA1267" s="58" t="str">
        <f t="shared" si="1107"/>
        <v>#NAME?</v>
      </c>
      <c r="AB1267" s="58" t="str">
        <f t="shared" si="1107"/>
        <v>#NAME?</v>
      </c>
      <c r="AC1267" s="58" t="str">
        <f t="shared" si="1107"/>
        <v>#NAME?</v>
      </c>
      <c r="AD1267" s="57">
        <f t="shared" si="906"/>
        <v>0</v>
      </c>
      <c r="AE1267" s="57" t="str">
        <f t="shared" si="907"/>
        <v/>
      </c>
      <c r="AF1267" s="57">
        <f t="shared" si="908"/>
        <v>0</v>
      </c>
      <c r="AG1267" s="59">
        <f t="shared" si="909"/>
        <v>0</v>
      </c>
      <c r="AH1267" s="15"/>
      <c r="AI1267" s="15"/>
      <c r="AJ1267" s="15"/>
      <c r="AK1267" s="15"/>
      <c r="AL1267" s="15"/>
      <c r="AM1267" s="15"/>
      <c r="AN1267" s="15"/>
      <c r="AO1267" s="15"/>
      <c r="AP1267" s="15"/>
      <c r="AQ1267" s="15"/>
      <c r="AR1267" s="15"/>
      <c r="AS1267" s="15"/>
      <c r="AT1267" s="15"/>
      <c r="AU1267" s="15"/>
    </row>
    <row r="1268" ht="24.0" customHeight="1">
      <c r="A1268" s="45">
        <v>2692.0</v>
      </c>
      <c r="B1268" s="57"/>
      <c r="C1268" s="57"/>
      <c r="D1268" s="88" t="str">
        <f t="array" ref="D1268">IFERROR(
  LOOKUP(2, 1/((TRIM(IMS!$E$8:$E$2574)=TRIM(IMS!$E1268))*(IMS!$C$8:$C$2574&lt;IMS!$C1268)),
         IMS!$C$8:$C$2574),
"")</f>
        <v/>
      </c>
      <c r="E1268" s="57"/>
      <c r="F1268" s="57"/>
      <c r="G1268" s="77" t="str">
        <f t="shared" si="901"/>
        <v/>
      </c>
      <c r="H1268" s="78" t="str">
        <f t="shared" si="902"/>
        <v/>
      </c>
      <c r="I1268" s="79"/>
      <c r="J1268" s="80" t="str">
        <f t="shared" si="903"/>
        <v>#NAME?</v>
      </c>
      <c r="K1268" s="58"/>
      <c r="L1268" s="58"/>
      <c r="M1268" s="57"/>
      <c r="N1268" s="57"/>
      <c r="O1268" s="58"/>
      <c r="P1268" s="82"/>
      <c r="Q1268" s="81"/>
      <c r="R1268" s="81"/>
      <c r="S1268" s="57"/>
      <c r="T1268" s="82"/>
      <c r="U1268" s="82"/>
      <c r="V1268" s="57"/>
      <c r="W1268" s="57"/>
      <c r="X1268" s="57" t="str">
        <f t="shared" si="917"/>
        <v/>
      </c>
      <c r="Y1268" s="58" t="str">
        <f t="shared" ref="Y1268:AC1268" si="1108">TRIM(SUBSTITUTE(SUBSTITUTE(OFFSET($Q1268,0,COLUMN()-COLUMN($AL$1)),CHAR(160)," "),_xludf.UNICHAR(8239)," "))</f>
        <v>#NAME?</v>
      </c>
      <c r="Z1268" s="58" t="str">
        <f t="shared" si="1108"/>
        <v>#NAME?</v>
      </c>
      <c r="AA1268" s="58" t="str">
        <f t="shared" si="1108"/>
        <v>#NAME?</v>
      </c>
      <c r="AB1268" s="58" t="str">
        <f t="shared" si="1108"/>
        <v>#NAME?</v>
      </c>
      <c r="AC1268" s="58" t="str">
        <f t="shared" si="1108"/>
        <v>#NAME?</v>
      </c>
      <c r="AD1268" s="57">
        <f t="shared" si="906"/>
        <v>0</v>
      </c>
      <c r="AE1268" s="57" t="str">
        <f t="shared" si="907"/>
        <v/>
      </c>
      <c r="AF1268" s="57">
        <f t="shared" si="908"/>
        <v>0</v>
      </c>
      <c r="AG1268" s="59">
        <f t="shared" si="909"/>
        <v>0</v>
      </c>
      <c r="AH1268" s="15"/>
      <c r="AI1268" s="15"/>
      <c r="AJ1268" s="15"/>
      <c r="AK1268" s="15"/>
      <c r="AL1268" s="15"/>
      <c r="AM1268" s="15"/>
      <c r="AN1268" s="15"/>
      <c r="AO1268" s="15"/>
      <c r="AP1268" s="15"/>
      <c r="AQ1268" s="15"/>
      <c r="AR1268" s="15"/>
      <c r="AS1268" s="15"/>
      <c r="AT1268" s="15"/>
      <c r="AU1268" s="15"/>
    </row>
    <row r="1269" ht="24.0" customHeight="1">
      <c r="A1269" s="45">
        <v>2693.0</v>
      </c>
      <c r="B1269" s="57"/>
      <c r="C1269" s="57"/>
      <c r="D1269" s="88" t="str">
        <f t="array" ref="D1269">IFERROR(
  LOOKUP(2, 1/((TRIM(IMS!$E$8:$E$2574)=TRIM(IMS!$E1269))*(IMS!$C$8:$C$2574&lt;IMS!$C1269)),
         IMS!$C$8:$C$2574),
"")</f>
        <v/>
      </c>
      <c r="E1269" s="57"/>
      <c r="F1269" s="57"/>
      <c r="G1269" s="77" t="str">
        <f t="shared" si="901"/>
        <v/>
      </c>
      <c r="H1269" s="78" t="str">
        <f t="shared" si="902"/>
        <v/>
      </c>
      <c r="I1269" s="79"/>
      <c r="J1269" s="80" t="str">
        <f t="shared" si="903"/>
        <v>#NAME?</v>
      </c>
      <c r="K1269" s="58"/>
      <c r="L1269" s="58"/>
      <c r="M1269" s="57"/>
      <c r="N1269" s="57"/>
      <c r="O1269" s="58"/>
      <c r="P1269" s="82"/>
      <c r="Q1269" s="81"/>
      <c r="R1269" s="81"/>
      <c r="S1269" s="57"/>
      <c r="T1269" s="82"/>
      <c r="U1269" s="82"/>
      <c r="V1269" s="57"/>
      <c r="W1269" s="57"/>
      <c r="X1269" s="57" t="str">
        <f t="shared" si="917"/>
        <v/>
      </c>
      <c r="Y1269" s="58" t="str">
        <f t="shared" ref="Y1269:AC1269" si="1109">TRIM(SUBSTITUTE(SUBSTITUTE(OFFSET($Q1269,0,COLUMN()-COLUMN($AL$1)),CHAR(160)," "),_xludf.UNICHAR(8239)," "))</f>
        <v>#NAME?</v>
      </c>
      <c r="Z1269" s="58" t="str">
        <f t="shared" si="1109"/>
        <v>#NAME?</v>
      </c>
      <c r="AA1269" s="58" t="str">
        <f t="shared" si="1109"/>
        <v>#NAME?</v>
      </c>
      <c r="AB1269" s="58" t="str">
        <f t="shared" si="1109"/>
        <v>#NAME?</v>
      </c>
      <c r="AC1269" s="58" t="str">
        <f t="shared" si="1109"/>
        <v>#NAME?</v>
      </c>
      <c r="AD1269" s="57">
        <f t="shared" si="906"/>
        <v>0</v>
      </c>
      <c r="AE1269" s="57" t="str">
        <f t="shared" si="907"/>
        <v/>
      </c>
      <c r="AF1269" s="57">
        <f t="shared" si="908"/>
        <v>0</v>
      </c>
      <c r="AG1269" s="59">
        <f t="shared" si="909"/>
        <v>0</v>
      </c>
      <c r="AH1269" s="15"/>
      <c r="AI1269" s="15"/>
      <c r="AJ1269" s="15"/>
      <c r="AK1269" s="15"/>
      <c r="AL1269" s="15"/>
      <c r="AM1269" s="15"/>
      <c r="AN1269" s="15"/>
      <c r="AO1269" s="15"/>
      <c r="AP1269" s="15"/>
      <c r="AQ1269" s="15"/>
      <c r="AR1269" s="15"/>
      <c r="AS1269" s="15"/>
      <c r="AT1269" s="15"/>
      <c r="AU1269" s="15"/>
    </row>
    <row r="1270" ht="24.0" customHeight="1">
      <c r="A1270" s="45">
        <v>2694.0</v>
      </c>
      <c r="B1270" s="57"/>
      <c r="C1270" s="57"/>
      <c r="D1270" s="88" t="str">
        <f t="array" ref="D1270">IFERROR(
  LOOKUP(2, 1/((TRIM(IMS!$E$8:$E$2574)=TRIM(IMS!$E1270))*(IMS!$C$8:$C$2574&lt;IMS!$C1270)),
         IMS!$C$8:$C$2574),
"")</f>
        <v/>
      </c>
      <c r="E1270" s="57"/>
      <c r="F1270" s="57"/>
      <c r="G1270" s="77" t="str">
        <f t="shared" si="901"/>
        <v/>
      </c>
      <c r="H1270" s="78" t="str">
        <f t="shared" si="902"/>
        <v/>
      </c>
      <c r="I1270" s="79"/>
      <c r="J1270" s="80" t="str">
        <f t="shared" si="903"/>
        <v>#NAME?</v>
      </c>
      <c r="K1270" s="58"/>
      <c r="L1270" s="58"/>
      <c r="M1270" s="57"/>
      <c r="N1270" s="57"/>
      <c r="O1270" s="58"/>
      <c r="P1270" s="82"/>
      <c r="Q1270" s="81"/>
      <c r="R1270" s="81"/>
      <c r="S1270" s="57"/>
      <c r="T1270" s="82"/>
      <c r="U1270" s="82"/>
      <c r="V1270" s="57"/>
      <c r="W1270" s="57"/>
      <c r="X1270" s="57" t="str">
        <f t="shared" si="917"/>
        <v/>
      </c>
      <c r="Y1270" s="58" t="str">
        <f t="shared" ref="Y1270:AC1270" si="1110">TRIM(SUBSTITUTE(SUBSTITUTE(OFFSET($Q1270,0,COLUMN()-COLUMN($AL$1)),CHAR(160)," "),_xludf.UNICHAR(8239)," "))</f>
        <v>#NAME?</v>
      </c>
      <c r="Z1270" s="58" t="str">
        <f t="shared" si="1110"/>
        <v>#NAME?</v>
      </c>
      <c r="AA1270" s="58" t="str">
        <f t="shared" si="1110"/>
        <v>#NAME?</v>
      </c>
      <c r="AB1270" s="58" t="str">
        <f t="shared" si="1110"/>
        <v>#NAME?</v>
      </c>
      <c r="AC1270" s="58" t="str">
        <f t="shared" si="1110"/>
        <v>#NAME?</v>
      </c>
      <c r="AD1270" s="57">
        <f t="shared" si="906"/>
        <v>0</v>
      </c>
      <c r="AE1270" s="57" t="str">
        <f t="shared" si="907"/>
        <v/>
      </c>
      <c r="AF1270" s="57">
        <f t="shared" si="908"/>
        <v>0</v>
      </c>
      <c r="AG1270" s="59">
        <f t="shared" si="909"/>
        <v>0</v>
      </c>
      <c r="AH1270" s="15"/>
      <c r="AI1270" s="15"/>
      <c r="AJ1270" s="15"/>
      <c r="AK1270" s="15"/>
      <c r="AL1270" s="15"/>
      <c r="AM1270" s="15"/>
      <c r="AN1270" s="15"/>
      <c r="AO1270" s="15"/>
      <c r="AP1270" s="15"/>
      <c r="AQ1270" s="15"/>
      <c r="AR1270" s="15"/>
      <c r="AS1270" s="15"/>
      <c r="AT1270" s="15"/>
      <c r="AU1270" s="15"/>
    </row>
    <row r="1271" ht="24.0" customHeight="1">
      <c r="A1271" s="45">
        <v>2695.0</v>
      </c>
      <c r="B1271" s="57"/>
      <c r="C1271" s="57"/>
      <c r="D1271" s="88" t="str">
        <f t="array" ref="D1271">IFERROR(
  LOOKUP(2, 1/((TRIM(IMS!$E$8:$E$2574)=TRIM(IMS!$E1271))*(IMS!$C$8:$C$2574&lt;IMS!$C1271)),
         IMS!$C$8:$C$2574),
"")</f>
        <v/>
      </c>
      <c r="E1271" s="57"/>
      <c r="F1271" s="57"/>
      <c r="G1271" s="77" t="str">
        <f t="shared" si="901"/>
        <v/>
      </c>
      <c r="H1271" s="78" t="str">
        <f t="shared" si="902"/>
        <v/>
      </c>
      <c r="I1271" s="79"/>
      <c r="J1271" s="80" t="str">
        <f t="shared" si="903"/>
        <v>#NAME?</v>
      </c>
      <c r="K1271" s="58"/>
      <c r="L1271" s="58"/>
      <c r="M1271" s="57"/>
      <c r="N1271" s="57"/>
      <c r="O1271" s="58"/>
      <c r="P1271" s="82"/>
      <c r="Q1271" s="81"/>
      <c r="R1271" s="81"/>
      <c r="S1271" s="57"/>
      <c r="T1271" s="82"/>
      <c r="U1271" s="82"/>
      <c r="V1271" s="57"/>
      <c r="W1271" s="57"/>
      <c r="X1271" s="57" t="str">
        <f t="shared" si="917"/>
        <v/>
      </c>
      <c r="Y1271" s="58" t="str">
        <f t="shared" ref="Y1271:AC1271" si="1111">TRIM(SUBSTITUTE(SUBSTITUTE(OFFSET($Q1271,0,COLUMN()-COLUMN($AL$1)),CHAR(160)," "),_xludf.UNICHAR(8239)," "))</f>
        <v>#NAME?</v>
      </c>
      <c r="Z1271" s="58" t="str">
        <f t="shared" si="1111"/>
        <v>#NAME?</v>
      </c>
      <c r="AA1271" s="58" t="str">
        <f t="shared" si="1111"/>
        <v>#NAME?</v>
      </c>
      <c r="AB1271" s="58" t="str">
        <f t="shared" si="1111"/>
        <v>#NAME?</v>
      </c>
      <c r="AC1271" s="58" t="str">
        <f t="shared" si="1111"/>
        <v>#NAME?</v>
      </c>
      <c r="AD1271" s="57">
        <f t="shared" si="906"/>
        <v>0</v>
      </c>
      <c r="AE1271" s="57" t="str">
        <f t="shared" si="907"/>
        <v/>
      </c>
      <c r="AF1271" s="57">
        <f t="shared" si="908"/>
        <v>0</v>
      </c>
      <c r="AG1271" s="59">
        <f t="shared" si="909"/>
        <v>0</v>
      </c>
      <c r="AH1271" s="15"/>
      <c r="AI1271" s="15"/>
      <c r="AJ1271" s="15"/>
      <c r="AK1271" s="15"/>
      <c r="AL1271" s="15"/>
      <c r="AM1271" s="15"/>
      <c r="AN1271" s="15"/>
      <c r="AO1271" s="15"/>
      <c r="AP1271" s="15"/>
      <c r="AQ1271" s="15"/>
      <c r="AR1271" s="15"/>
      <c r="AS1271" s="15"/>
      <c r="AT1271" s="15"/>
      <c r="AU1271" s="15"/>
    </row>
    <row r="1272" ht="24.0" customHeight="1">
      <c r="A1272" s="45">
        <v>2696.0</v>
      </c>
      <c r="B1272" s="57"/>
      <c r="C1272" s="57"/>
      <c r="D1272" s="88" t="str">
        <f t="array" ref="D1272">IFERROR(
  LOOKUP(2, 1/((TRIM(IMS!$E$8:$E$2574)=TRIM(IMS!$E1272))*(IMS!$C$8:$C$2574&lt;IMS!$C1272)),
         IMS!$C$8:$C$2574),
"")</f>
        <v/>
      </c>
      <c r="E1272" s="57"/>
      <c r="F1272" s="57"/>
      <c r="G1272" s="77" t="str">
        <f t="shared" si="901"/>
        <v/>
      </c>
      <c r="H1272" s="78" t="str">
        <f t="shared" si="902"/>
        <v/>
      </c>
      <c r="I1272" s="79"/>
      <c r="J1272" s="80" t="str">
        <f t="shared" si="903"/>
        <v>#NAME?</v>
      </c>
      <c r="K1272" s="58"/>
      <c r="L1272" s="58"/>
      <c r="M1272" s="57"/>
      <c r="N1272" s="57"/>
      <c r="O1272" s="58"/>
      <c r="P1272" s="82"/>
      <c r="Q1272" s="81"/>
      <c r="R1272" s="81"/>
      <c r="S1272" s="57"/>
      <c r="T1272" s="82"/>
      <c r="U1272" s="82"/>
      <c r="V1272" s="57"/>
      <c r="W1272" s="57"/>
      <c r="X1272" s="57" t="str">
        <f t="shared" si="917"/>
        <v/>
      </c>
      <c r="Y1272" s="58" t="str">
        <f t="shared" ref="Y1272:AC1272" si="1112">TRIM(SUBSTITUTE(SUBSTITUTE(OFFSET($Q1272,0,COLUMN()-COLUMN($AL$1)),CHAR(160)," "),_xludf.UNICHAR(8239)," "))</f>
        <v>#NAME?</v>
      </c>
      <c r="Z1272" s="58" t="str">
        <f t="shared" si="1112"/>
        <v>#NAME?</v>
      </c>
      <c r="AA1272" s="58" t="str">
        <f t="shared" si="1112"/>
        <v>#NAME?</v>
      </c>
      <c r="AB1272" s="58" t="str">
        <f t="shared" si="1112"/>
        <v>#NAME?</v>
      </c>
      <c r="AC1272" s="58" t="str">
        <f t="shared" si="1112"/>
        <v>#NAME?</v>
      </c>
      <c r="AD1272" s="57">
        <f t="shared" si="906"/>
        <v>0</v>
      </c>
      <c r="AE1272" s="57" t="str">
        <f t="shared" si="907"/>
        <v/>
      </c>
      <c r="AF1272" s="57">
        <f t="shared" si="908"/>
        <v>0</v>
      </c>
      <c r="AG1272" s="59">
        <f t="shared" si="909"/>
        <v>0</v>
      </c>
      <c r="AH1272" s="15"/>
      <c r="AI1272" s="15"/>
      <c r="AJ1272" s="15"/>
      <c r="AK1272" s="15"/>
      <c r="AL1272" s="15"/>
      <c r="AM1272" s="15"/>
      <c r="AN1272" s="15"/>
      <c r="AO1272" s="15"/>
      <c r="AP1272" s="15"/>
      <c r="AQ1272" s="15"/>
      <c r="AR1272" s="15"/>
      <c r="AS1272" s="15"/>
      <c r="AT1272" s="15"/>
      <c r="AU1272" s="15"/>
    </row>
    <row r="1273" ht="24.0" customHeight="1">
      <c r="A1273" s="45">
        <v>2697.0</v>
      </c>
      <c r="B1273" s="57"/>
      <c r="C1273" s="57"/>
      <c r="D1273" s="88" t="str">
        <f t="array" ref="D1273">IFERROR(
  LOOKUP(2, 1/((TRIM(IMS!$E$8:$E$2574)=TRIM(IMS!$E1273))*(IMS!$C$8:$C$2574&lt;IMS!$C1273)),
         IMS!$C$8:$C$2574),
"")</f>
        <v/>
      </c>
      <c r="E1273" s="57"/>
      <c r="F1273" s="57"/>
      <c r="G1273" s="77" t="str">
        <f t="shared" si="901"/>
        <v/>
      </c>
      <c r="H1273" s="78" t="str">
        <f t="shared" si="902"/>
        <v/>
      </c>
      <c r="I1273" s="79"/>
      <c r="J1273" s="80" t="str">
        <f t="shared" si="903"/>
        <v>#NAME?</v>
      </c>
      <c r="K1273" s="58"/>
      <c r="L1273" s="58"/>
      <c r="M1273" s="57"/>
      <c r="N1273" s="57"/>
      <c r="O1273" s="58"/>
      <c r="P1273" s="82"/>
      <c r="Q1273" s="81"/>
      <c r="R1273" s="81"/>
      <c r="S1273" s="57"/>
      <c r="T1273" s="82"/>
      <c r="U1273" s="82"/>
      <c r="V1273" s="57"/>
      <c r="W1273" s="57"/>
      <c r="X1273" s="57" t="str">
        <f t="shared" si="917"/>
        <v/>
      </c>
      <c r="Y1273" s="58" t="str">
        <f t="shared" ref="Y1273:AC1273" si="1113">TRIM(SUBSTITUTE(SUBSTITUTE(OFFSET($Q1273,0,COLUMN()-COLUMN($AL$1)),CHAR(160)," "),_xludf.UNICHAR(8239)," "))</f>
        <v>#NAME?</v>
      </c>
      <c r="Z1273" s="58" t="str">
        <f t="shared" si="1113"/>
        <v>#NAME?</v>
      </c>
      <c r="AA1273" s="58" t="str">
        <f t="shared" si="1113"/>
        <v>#NAME?</v>
      </c>
      <c r="AB1273" s="58" t="str">
        <f t="shared" si="1113"/>
        <v>#NAME?</v>
      </c>
      <c r="AC1273" s="58" t="str">
        <f t="shared" si="1113"/>
        <v>#NAME?</v>
      </c>
      <c r="AD1273" s="57">
        <f t="shared" si="906"/>
        <v>0</v>
      </c>
      <c r="AE1273" s="57" t="str">
        <f t="shared" si="907"/>
        <v/>
      </c>
      <c r="AF1273" s="57">
        <f t="shared" si="908"/>
        <v>0</v>
      </c>
      <c r="AG1273" s="59">
        <f t="shared" si="909"/>
        <v>0</v>
      </c>
      <c r="AH1273" s="15"/>
      <c r="AI1273" s="15"/>
      <c r="AJ1273" s="15"/>
      <c r="AK1273" s="15"/>
      <c r="AL1273" s="15"/>
      <c r="AM1273" s="15"/>
      <c r="AN1273" s="15"/>
      <c r="AO1273" s="15"/>
      <c r="AP1273" s="15"/>
      <c r="AQ1273" s="15"/>
      <c r="AR1273" s="15"/>
      <c r="AS1273" s="15"/>
      <c r="AT1273" s="15"/>
      <c r="AU1273" s="15"/>
    </row>
    <row r="1274" ht="24.0" customHeight="1">
      <c r="A1274" s="45">
        <v>2698.0</v>
      </c>
      <c r="B1274" s="57"/>
      <c r="C1274" s="57"/>
      <c r="D1274" s="88" t="str">
        <f t="array" ref="D1274">IFERROR(
  LOOKUP(2, 1/((TRIM(IMS!$E$8:$E$2574)=TRIM(IMS!$E1274))*(IMS!$C$8:$C$2574&lt;IMS!$C1274)),
         IMS!$C$8:$C$2574),
"")</f>
        <v/>
      </c>
      <c r="E1274" s="57"/>
      <c r="F1274" s="57"/>
      <c r="G1274" s="77" t="str">
        <f t="shared" si="901"/>
        <v/>
      </c>
      <c r="H1274" s="78" t="str">
        <f t="shared" si="902"/>
        <v/>
      </c>
      <c r="I1274" s="79"/>
      <c r="J1274" s="80" t="str">
        <f t="shared" si="903"/>
        <v>#NAME?</v>
      </c>
      <c r="K1274" s="58"/>
      <c r="L1274" s="58"/>
      <c r="M1274" s="57"/>
      <c r="N1274" s="57"/>
      <c r="O1274" s="58"/>
      <c r="P1274" s="82"/>
      <c r="Q1274" s="81"/>
      <c r="R1274" s="81"/>
      <c r="S1274" s="57"/>
      <c r="T1274" s="82"/>
      <c r="U1274" s="82"/>
      <c r="V1274" s="57"/>
      <c r="W1274" s="57"/>
      <c r="X1274" s="57" t="str">
        <f t="shared" si="917"/>
        <v/>
      </c>
      <c r="Y1274" s="58" t="str">
        <f t="shared" ref="Y1274:AC1274" si="1114">TRIM(SUBSTITUTE(SUBSTITUTE(OFFSET($Q1274,0,COLUMN()-COLUMN($AL$1)),CHAR(160)," "),_xludf.UNICHAR(8239)," "))</f>
        <v>#NAME?</v>
      </c>
      <c r="Z1274" s="58" t="str">
        <f t="shared" si="1114"/>
        <v>#NAME?</v>
      </c>
      <c r="AA1274" s="58" t="str">
        <f t="shared" si="1114"/>
        <v>#NAME?</v>
      </c>
      <c r="AB1274" s="58" t="str">
        <f t="shared" si="1114"/>
        <v>#NAME?</v>
      </c>
      <c r="AC1274" s="58" t="str">
        <f t="shared" si="1114"/>
        <v>#NAME?</v>
      </c>
      <c r="AD1274" s="57">
        <f t="shared" si="906"/>
        <v>0</v>
      </c>
      <c r="AE1274" s="57" t="str">
        <f t="shared" si="907"/>
        <v/>
      </c>
      <c r="AF1274" s="57">
        <f t="shared" si="908"/>
        <v>0</v>
      </c>
      <c r="AG1274" s="59">
        <f t="shared" si="909"/>
        <v>0</v>
      </c>
      <c r="AH1274" s="15"/>
      <c r="AI1274" s="15"/>
      <c r="AJ1274" s="15"/>
      <c r="AK1274" s="15"/>
      <c r="AL1274" s="15"/>
      <c r="AM1274" s="15"/>
      <c r="AN1274" s="15"/>
      <c r="AO1274" s="15"/>
      <c r="AP1274" s="15"/>
      <c r="AQ1274" s="15"/>
      <c r="AR1274" s="15"/>
      <c r="AS1274" s="15"/>
      <c r="AT1274" s="15"/>
      <c r="AU1274" s="15"/>
    </row>
    <row r="1275" ht="24.0" customHeight="1">
      <c r="A1275" s="45">
        <v>2699.0</v>
      </c>
      <c r="B1275" s="57"/>
      <c r="C1275" s="57"/>
      <c r="D1275" s="88" t="str">
        <f t="array" ref="D1275">IFERROR(
  LOOKUP(2, 1/((TRIM(IMS!$E$8:$E$2574)=TRIM(IMS!$E1275))*(IMS!$C$8:$C$2574&lt;IMS!$C1275)),
         IMS!$C$8:$C$2574),
"")</f>
        <v/>
      </c>
      <c r="E1275" s="57"/>
      <c r="F1275" s="57"/>
      <c r="G1275" s="77" t="str">
        <f t="shared" si="901"/>
        <v/>
      </c>
      <c r="H1275" s="78" t="str">
        <f t="shared" si="902"/>
        <v/>
      </c>
      <c r="I1275" s="79"/>
      <c r="J1275" s="80" t="str">
        <f t="shared" si="903"/>
        <v>#NAME?</v>
      </c>
      <c r="K1275" s="58"/>
      <c r="L1275" s="58"/>
      <c r="M1275" s="57"/>
      <c r="N1275" s="57"/>
      <c r="O1275" s="58"/>
      <c r="P1275" s="82"/>
      <c r="Q1275" s="81"/>
      <c r="R1275" s="81"/>
      <c r="S1275" s="57"/>
      <c r="T1275" s="82"/>
      <c r="U1275" s="82"/>
      <c r="V1275" s="57"/>
      <c r="W1275" s="57"/>
      <c r="X1275" s="57" t="str">
        <f t="shared" si="917"/>
        <v/>
      </c>
      <c r="Y1275" s="58" t="str">
        <f t="shared" ref="Y1275:AC1275" si="1115">TRIM(SUBSTITUTE(SUBSTITUTE(OFFSET($Q1275,0,COLUMN()-COLUMN($AL$1)),CHAR(160)," "),_xludf.UNICHAR(8239)," "))</f>
        <v>#NAME?</v>
      </c>
      <c r="Z1275" s="58" t="str">
        <f t="shared" si="1115"/>
        <v>#NAME?</v>
      </c>
      <c r="AA1275" s="58" t="str">
        <f t="shared" si="1115"/>
        <v>#NAME?</v>
      </c>
      <c r="AB1275" s="58" t="str">
        <f t="shared" si="1115"/>
        <v>#NAME?</v>
      </c>
      <c r="AC1275" s="58" t="str">
        <f t="shared" si="1115"/>
        <v>#NAME?</v>
      </c>
      <c r="AD1275" s="57">
        <f t="shared" si="906"/>
        <v>0</v>
      </c>
      <c r="AE1275" s="57" t="str">
        <f t="shared" si="907"/>
        <v/>
      </c>
      <c r="AF1275" s="57">
        <f t="shared" si="908"/>
        <v>0</v>
      </c>
      <c r="AG1275" s="59">
        <f t="shared" si="909"/>
        <v>0</v>
      </c>
      <c r="AH1275" s="15"/>
      <c r="AI1275" s="15"/>
      <c r="AJ1275" s="15"/>
      <c r="AK1275" s="15"/>
      <c r="AL1275" s="15"/>
      <c r="AM1275" s="15"/>
      <c r="AN1275" s="15"/>
      <c r="AO1275" s="15"/>
      <c r="AP1275" s="15"/>
      <c r="AQ1275" s="15"/>
      <c r="AR1275" s="15"/>
      <c r="AS1275" s="15"/>
      <c r="AT1275" s="15"/>
      <c r="AU1275" s="15"/>
    </row>
    <row r="1276" ht="24.0" customHeight="1">
      <c r="A1276" s="45">
        <v>2700.0</v>
      </c>
      <c r="B1276" s="57"/>
      <c r="C1276" s="57"/>
      <c r="D1276" s="88" t="str">
        <f t="array" ref="D1276">IFERROR(
  LOOKUP(2, 1/((TRIM(IMS!$E$8:$E$2574)=TRIM(IMS!$E1276))*(IMS!$C$8:$C$2574&lt;IMS!$C1276)),
         IMS!$C$8:$C$2574),
"")</f>
        <v/>
      </c>
      <c r="E1276" s="57"/>
      <c r="F1276" s="57"/>
      <c r="G1276" s="77" t="str">
        <f t="shared" si="901"/>
        <v/>
      </c>
      <c r="H1276" s="78" t="str">
        <f t="shared" si="902"/>
        <v/>
      </c>
      <c r="I1276" s="79"/>
      <c r="J1276" s="80" t="str">
        <f t="shared" si="903"/>
        <v>#NAME?</v>
      </c>
      <c r="K1276" s="58"/>
      <c r="L1276" s="58"/>
      <c r="M1276" s="57"/>
      <c r="N1276" s="57"/>
      <c r="O1276" s="58"/>
      <c r="P1276" s="82"/>
      <c r="Q1276" s="81"/>
      <c r="R1276" s="81"/>
      <c r="S1276" s="57"/>
      <c r="T1276" s="82"/>
      <c r="U1276" s="82"/>
      <c r="V1276" s="57"/>
      <c r="W1276" s="57"/>
      <c r="X1276" s="57" t="str">
        <f t="shared" si="917"/>
        <v/>
      </c>
      <c r="Y1276" s="58" t="str">
        <f t="shared" ref="Y1276:AC1276" si="1116">TRIM(SUBSTITUTE(SUBSTITUTE(OFFSET($Q1276,0,COLUMN()-COLUMN($AL$1)),CHAR(160)," "),_xludf.UNICHAR(8239)," "))</f>
        <v>#NAME?</v>
      </c>
      <c r="Z1276" s="58" t="str">
        <f t="shared" si="1116"/>
        <v>#NAME?</v>
      </c>
      <c r="AA1276" s="58" t="str">
        <f t="shared" si="1116"/>
        <v>#NAME?</v>
      </c>
      <c r="AB1276" s="58" t="str">
        <f t="shared" si="1116"/>
        <v>#NAME?</v>
      </c>
      <c r="AC1276" s="58" t="str">
        <f t="shared" si="1116"/>
        <v>#NAME?</v>
      </c>
      <c r="AD1276" s="57">
        <f t="shared" si="906"/>
        <v>0</v>
      </c>
      <c r="AE1276" s="57" t="str">
        <f t="shared" si="907"/>
        <v/>
      </c>
      <c r="AF1276" s="57">
        <f t="shared" si="908"/>
        <v>0</v>
      </c>
      <c r="AG1276" s="59">
        <f t="shared" si="909"/>
        <v>0</v>
      </c>
      <c r="AH1276" s="15"/>
      <c r="AI1276" s="15"/>
      <c r="AJ1276" s="15"/>
      <c r="AK1276" s="15"/>
      <c r="AL1276" s="15"/>
      <c r="AM1276" s="15"/>
      <c r="AN1276" s="15"/>
      <c r="AO1276" s="15"/>
      <c r="AP1276" s="15"/>
      <c r="AQ1276" s="15"/>
      <c r="AR1276" s="15"/>
      <c r="AS1276" s="15"/>
      <c r="AT1276" s="15"/>
      <c r="AU1276" s="15"/>
    </row>
    <row r="1277" ht="24.0" customHeight="1">
      <c r="A1277" s="45">
        <v>2701.0</v>
      </c>
      <c r="B1277" s="57"/>
      <c r="C1277" s="57"/>
      <c r="D1277" s="88" t="str">
        <f t="array" ref="D1277">IFERROR(
  LOOKUP(2, 1/((TRIM(IMS!$E$8:$E$2574)=TRIM(IMS!$E1277))*(IMS!$C$8:$C$2574&lt;IMS!$C1277)),
         IMS!$C$8:$C$2574),
"")</f>
        <v/>
      </c>
      <c r="E1277" s="57"/>
      <c r="F1277" s="57"/>
      <c r="G1277" s="77" t="str">
        <f t="shared" si="901"/>
        <v/>
      </c>
      <c r="H1277" s="78" t="str">
        <f t="shared" si="902"/>
        <v/>
      </c>
      <c r="I1277" s="79"/>
      <c r="J1277" s="80" t="str">
        <f t="shared" si="903"/>
        <v>#NAME?</v>
      </c>
      <c r="K1277" s="58"/>
      <c r="L1277" s="58"/>
      <c r="M1277" s="57"/>
      <c r="N1277" s="57"/>
      <c r="O1277" s="58"/>
      <c r="P1277" s="82"/>
      <c r="Q1277" s="81"/>
      <c r="R1277" s="81"/>
      <c r="S1277" s="57"/>
      <c r="T1277" s="82"/>
      <c r="U1277" s="82"/>
      <c r="V1277" s="57"/>
      <c r="W1277" s="57"/>
      <c r="X1277" s="57" t="str">
        <f t="shared" si="917"/>
        <v/>
      </c>
      <c r="Y1277" s="58" t="str">
        <f t="shared" ref="Y1277:AC1277" si="1117">TRIM(SUBSTITUTE(SUBSTITUTE(OFFSET($Q1277,0,COLUMN()-COLUMN($AL$1)),CHAR(160)," "),_xludf.UNICHAR(8239)," "))</f>
        <v>#NAME?</v>
      </c>
      <c r="Z1277" s="58" t="str">
        <f t="shared" si="1117"/>
        <v>#NAME?</v>
      </c>
      <c r="AA1277" s="58" t="str">
        <f t="shared" si="1117"/>
        <v>#NAME?</v>
      </c>
      <c r="AB1277" s="58" t="str">
        <f t="shared" si="1117"/>
        <v>#NAME?</v>
      </c>
      <c r="AC1277" s="58" t="str">
        <f t="shared" si="1117"/>
        <v>#NAME?</v>
      </c>
      <c r="AD1277" s="57">
        <f t="shared" si="906"/>
        <v>0</v>
      </c>
      <c r="AE1277" s="57" t="str">
        <f t="shared" si="907"/>
        <v/>
      </c>
      <c r="AF1277" s="57">
        <f t="shared" si="908"/>
        <v>0</v>
      </c>
      <c r="AG1277" s="59">
        <f t="shared" si="909"/>
        <v>0</v>
      </c>
      <c r="AH1277" s="15"/>
      <c r="AI1277" s="15"/>
      <c r="AJ1277" s="15"/>
      <c r="AK1277" s="15"/>
      <c r="AL1277" s="15"/>
      <c r="AM1277" s="15"/>
      <c r="AN1277" s="15"/>
      <c r="AO1277" s="15"/>
      <c r="AP1277" s="15"/>
      <c r="AQ1277" s="15"/>
      <c r="AR1277" s="15"/>
      <c r="AS1277" s="15"/>
      <c r="AT1277" s="15"/>
      <c r="AU1277" s="15"/>
    </row>
    <row r="1278" ht="24.0" customHeight="1">
      <c r="A1278" s="45">
        <v>2702.0</v>
      </c>
      <c r="B1278" s="57"/>
      <c r="C1278" s="57"/>
      <c r="D1278" s="88" t="str">
        <f t="array" ref="D1278">IFERROR(
  LOOKUP(2, 1/((TRIM(IMS!$E$8:$E$2574)=TRIM(IMS!$E1278))*(IMS!$C$8:$C$2574&lt;IMS!$C1278)),
         IMS!$C$8:$C$2574),
"")</f>
        <v/>
      </c>
      <c r="E1278" s="57"/>
      <c r="F1278" s="57"/>
      <c r="G1278" s="77" t="str">
        <f t="shared" si="901"/>
        <v/>
      </c>
      <c r="H1278" s="78" t="str">
        <f t="shared" si="902"/>
        <v/>
      </c>
      <c r="I1278" s="79"/>
      <c r="J1278" s="80" t="str">
        <f t="shared" si="903"/>
        <v>#NAME?</v>
      </c>
      <c r="K1278" s="58"/>
      <c r="L1278" s="58"/>
      <c r="M1278" s="57"/>
      <c r="N1278" s="57"/>
      <c r="O1278" s="58"/>
      <c r="P1278" s="82"/>
      <c r="Q1278" s="81"/>
      <c r="R1278" s="81"/>
      <c r="S1278" s="57"/>
      <c r="T1278" s="82"/>
      <c r="U1278" s="82"/>
      <c r="V1278" s="57"/>
      <c r="W1278" s="57"/>
      <c r="X1278" s="57" t="str">
        <f t="shared" si="917"/>
        <v/>
      </c>
      <c r="Y1278" s="58" t="str">
        <f t="shared" ref="Y1278:AC1278" si="1118">TRIM(SUBSTITUTE(SUBSTITUTE(OFFSET($Q1278,0,COLUMN()-COLUMN($AL$1)),CHAR(160)," "),_xludf.UNICHAR(8239)," "))</f>
        <v>#NAME?</v>
      </c>
      <c r="Z1278" s="58" t="str">
        <f t="shared" si="1118"/>
        <v>#NAME?</v>
      </c>
      <c r="AA1278" s="58" t="str">
        <f t="shared" si="1118"/>
        <v>#NAME?</v>
      </c>
      <c r="AB1278" s="58" t="str">
        <f t="shared" si="1118"/>
        <v>#NAME?</v>
      </c>
      <c r="AC1278" s="58" t="str">
        <f t="shared" si="1118"/>
        <v>#NAME?</v>
      </c>
      <c r="AD1278" s="57">
        <f t="shared" si="906"/>
        <v>0</v>
      </c>
      <c r="AE1278" s="57" t="str">
        <f t="shared" si="907"/>
        <v/>
      </c>
      <c r="AF1278" s="57">
        <f t="shared" si="908"/>
        <v>0</v>
      </c>
      <c r="AG1278" s="59">
        <f t="shared" si="909"/>
        <v>0</v>
      </c>
      <c r="AH1278" s="15"/>
      <c r="AI1278" s="15"/>
      <c r="AJ1278" s="15"/>
      <c r="AK1278" s="15"/>
      <c r="AL1278" s="15"/>
      <c r="AM1278" s="15"/>
      <c r="AN1278" s="15"/>
      <c r="AO1278" s="15"/>
      <c r="AP1278" s="15"/>
      <c r="AQ1278" s="15"/>
      <c r="AR1278" s="15"/>
      <c r="AS1278" s="15"/>
      <c r="AT1278" s="15"/>
      <c r="AU1278" s="15"/>
    </row>
    <row r="1279" ht="24.0" customHeight="1">
      <c r="A1279" s="45">
        <v>2703.0</v>
      </c>
      <c r="B1279" s="57"/>
      <c r="C1279" s="57"/>
      <c r="D1279" s="88" t="str">
        <f t="array" ref="D1279">IFERROR(
  LOOKUP(2, 1/((TRIM(IMS!$E$8:$E$2574)=TRIM(IMS!$E1279))*(IMS!$C$8:$C$2574&lt;IMS!$C1279)),
         IMS!$C$8:$C$2574),
"")</f>
        <v/>
      </c>
      <c r="E1279" s="57"/>
      <c r="F1279" s="57"/>
      <c r="G1279" s="77" t="str">
        <f t="shared" si="901"/>
        <v/>
      </c>
      <c r="H1279" s="78" t="str">
        <f t="shared" si="902"/>
        <v/>
      </c>
      <c r="I1279" s="79"/>
      <c r="J1279" s="80" t="str">
        <f t="shared" si="903"/>
        <v>#NAME?</v>
      </c>
      <c r="K1279" s="58"/>
      <c r="L1279" s="58"/>
      <c r="M1279" s="57"/>
      <c r="N1279" s="57"/>
      <c r="O1279" s="58"/>
      <c r="P1279" s="82"/>
      <c r="Q1279" s="81"/>
      <c r="R1279" s="81"/>
      <c r="S1279" s="57"/>
      <c r="T1279" s="82"/>
      <c r="U1279" s="82"/>
      <c r="V1279" s="57"/>
      <c r="W1279" s="57"/>
      <c r="X1279" s="57" t="str">
        <f t="shared" si="917"/>
        <v/>
      </c>
      <c r="Y1279" s="58" t="str">
        <f t="shared" ref="Y1279:AC1279" si="1119">TRIM(SUBSTITUTE(SUBSTITUTE(OFFSET($Q1279,0,COLUMN()-COLUMN($AL$1)),CHAR(160)," "),_xludf.UNICHAR(8239)," "))</f>
        <v>#NAME?</v>
      </c>
      <c r="Z1279" s="58" t="str">
        <f t="shared" si="1119"/>
        <v>#NAME?</v>
      </c>
      <c r="AA1279" s="58" t="str">
        <f t="shared" si="1119"/>
        <v>#NAME?</v>
      </c>
      <c r="AB1279" s="58" t="str">
        <f t="shared" si="1119"/>
        <v>#NAME?</v>
      </c>
      <c r="AC1279" s="58" t="str">
        <f t="shared" si="1119"/>
        <v>#NAME?</v>
      </c>
      <c r="AD1279" s="57">
        <f t="shared" si="906"/>
        <v>0</v>
      </c>
      <c r="AE1279" s="57" t="str">
        <f t="shared" si="907"/>
        <v/>
      </c>
      <c r="AF1279" s="57">
        <f t="shared" si="908"/>
        <v>0</v>
      </c>
      <c r="AG1279" s="59">
        <f t="shared" si="909"/>
        <v>0</v>
      </c>
      <c r="AH1279" s="15"/>
      <c r="AI1279" s="15"/>
      <c r="AJ1279" s="15"/>
      <c r="AK1279" s="15"/>
      <c r="AL1279" s="15"/>
      <c r="AM1279" s="15"/>
      <c r="AN1279" s="15"/>
      <c r="AO1279" s="15"/>
      <c r="AP1279" s="15"/>
      <c r="AQ1279" s="15"/>
      <c r="AR1279" s="15"/>
      <c r="AS1279" s="15"/>
      <c r="AT1279" s="15"/>
      <c r="AU1279" s="15"/>
    </row>
    <row r="1280" ht="24.0" customHeight="1">
      <c r="A1280" s="45">
        <v>2704.0</v>
      </c>
      <c r="B1280" s="57"/>
      <c r="C1280" s="57"/>
      <c r="D1280" s="88" t="str">
        <f t="array" ref="D1280">IFERROR(
  LOOKUP(2, 1/((TRIM(IMS!$E$8:$E$2574)=TRIM(IMS!$E1280))*(IMS!$C$8:$C$2574&lt;IMS!$C1280)),
         IMS!$C$8:$C$2574),
"")</f>
        <v/>
      </c>
      <c r="E1280" s="57"/>
      <c r="F1280" s="57"/>
      <c r="G1280" s="77" t="str">
        <f t="shared" si="901"/>
        <v/>
      </c>
      <c r="H1280" s="78" t="str">
        <f t="shared" si="902"/>
        <v/>
      </c>
      <c r="I1280" s="79"/>
      <c r="J1280" s="80" t="str">
        <f t="shared" si="903"/>
        <v>#NAME?</v>
      </c>
      <c r="K1280" s="58"/>
      <c r="L1280" s="58"/>
      <c r="M1280" s="57"/>
      <c r="N1280" s="57"/>
      <c r="O1280" s="58"/>
      <c r="P1280" s="82"/>
      <c r="Q1280" s="81"/>
      <c r="R1280" s="81"/>
      <c r="S1280" s="57"/>
      <c r="T1280" s="82"/>
      <c r="U1280" s="82"/>
      <c r="V1280" s="57"/>
      <c r="W1280" s="57"/>
      <c r="X1280" s="57" t="str">
        <f t="shared" si="917"/>
        <v/>
      </c>
      <c r="Y1280" s="58" t="str">
        <f t="shared" ref="Y1280:AC1280" si="1120">TRIM(SUBSTITUTE(SUBSTITUTE(OFFSET($Q1280,0,COLUMN()-COLUMN($AL$1)),CHAR(160)," "),_xludf.UNICHAR(8239)," "))</f>
        <v>#NAME?</v>
      </c>
      <c r="Z1280" s="58" t="str">
        <f t="shared" si="1120"/>
        <v>#NAME?</v>
      </c>
      <c r="AA1280" s="58" t="str">
        <f t="shared" si="1120"/>
        <v>#NAME?</v>
      </c>
      <c r="AB1280" s="58" t="str">
        <f t="shared" si="1120"/>
        <v>#NAME?</v>
      </c>
      <c r="AC1280" s="58" t="str">
        <f t="shared" si="1120"/>
        <v>#NAME?</v>
      </c>
      <c r="AD1280" s="57">
        <f t="shared" si="906"/>
        <v>0</v>
      </c>
      <c r="AE1280" s="57" t="str">
        <f t="shared" si="907"/>
        <v/>
      </c>
      <c r="AF1280" s="57">
        <f t="shared" si="908"/>
        <v>0</v>
      </c>
      <c r="AG1280" s="59">
        <f t="shared" si="909"/>
        <v>0</v>
      </c>
      <c r="AH1280" s="15"/>
      <c r="AI1280" s="15"/>
      <c r="AJ1280" s="15"/>
      <c r="AK1280" s="15"/>
      <c r="AL1280" s="15"/>
      <c r="AM1280" s="15"/>
      <c r="AN1280" s="15"/>
      <c r="AO1280" s="15"/>
      <c r="AP1280" s="15"/>
      <c r="AQ1280" s="15"/>
      <c r="AR1280" s="15"/>
      <c r="AS1280" s="15"/>
      <c r="AT1280" s="15"/>
      <c r="AU1280" s="15"/>
    </row>
    <row r="1281" ht="24.0" customHeight="1">
      <c r="A1281" s="45">
        <v>2705.0</v>
      </c>
      <c r="B1281" s="57"/>
      <c r="C1281" s="57"/>
      <c r="D1281" s="88" t="str">
        <f t="array" ref="D1281">IFERROR(
  LOOKUP(2, 1/((TRIM(IMS!$E$8:$E$2574)=TRIM(IMS!$E1281))*(IMS!$C$8:$C$2574&lt;IMS!$C1281)),
         IMS!$C$8:$C$2574),
"")</f>
        <v/>
      </c>
      <c r="E1281" s="57"/>
      <c r="F1281" s="57"/>
      <c r="G1281" s="77" t="str">
        <f t="shared" si="901"/>
        <v/>
      </c>
      <c r="H1281" s="78" t="str">
        <f t="shared" si="902"/>
        <v/>
      </c>
      <c r="I1281" s="79"/>
      <c r="J1281" s="80" t="str">
        <f t="shared" si="903"/>
        <v>#NAME?</v>
      </c>
      <c r="K1281" s="58"/>
      <c r="L1281" s="58"/>
      <c r="M1281" s="57"/>
      <c r="N1281" s="57"/>
      <c r="O1281" s="58"/>
      <c r="P1281" s="82"/>
      <c r="Q1281" s="81"/>
      <c r="R1281" s="81"/>
      <c r="S1281" s="57"/>
      <c r="T1281" s="82"/>
      <c r="U1281" s="82"/>
      <c r="V1281" s="57"/>
      <c r="W1281" s="57"/>
      <c r="X1281" s="57" t="str">
        <f t="shared" si="917"/>
        <v/>
      </c>
      <c r="Y1281" s="58" t="str">
        <f t="shared" ref="Y1281:AC1281" si="1121">TRIM(SUBSTITUTE(SUBSTITUTE(OFFSET($Q1281,0,COLUMN()-COLUMN($AL$1)),CHAR(160)," "),_xludf.UNICHAR(8239)," "))</f>
        <v>#NAME?</v>
      </c>
      <c r="Z1281" s="58" t="str">
        <f t="shared" si="1121"/>
        <v>#NAME?</v>
      </c>
      <c r="AA1281" s="58" t="str">
        <f t="shared" si="1121"/>
        <v>#NAME?</v>
      </c>
      <c r="AB1281" s="58" t="str">
        <f t="shared" si="1121"/>
        <v>#NAME?</v>
      </c>
      <c r="AC1281" s="58" t="str">
        <f t="shared" si="1121"/>
        <v>#NAME?</v>
      </c>
      <c r="AD1281" s="57">
        <f t="shared" si="906"/>
        <v>0</v>
      </c>
      <c r="AE1281" s="57" t="str">
        <f t="shared" si="907"/>
        <v/>
      </c>
      <c r="AF1281" s="57">
        <f t="shared" si="908"/>
        <v>0</v>
      </c>
      <c r="AG1281" s="59">
        <f t="shared" si="909"/>
        <v>0</v>
      </c>
      <c r="AH1281" s="15"/>
      <c r="AI1281" s="15"/>
      <c r="AJ1281" s="15"/>
      <c r="AK1281" s="15"/>
      <c r="AL1281" s="15"/>
      <c r="AM1281" s="15"/>
      <c r="AN1281" s="15"/>
      <c r="AO1281" s="15"/>
      <c r="AP1281" s="15"/>
      <c r="AQ1281" s="15"/>
      <c r="AR1281" s="15"/>
      <c r="AS1281" s="15"/>
      <c r="AT1281" s="15"/>
      <c r="AU1281" s="15"/>
    </row>
    <row r="1282" ht="24.0" customHeight="1">
      <c r="A1282" s="45">
        <v>2706.0</v>
      </c>
      <c r="B1282" s="57"/>
      <c r="C1282" s="57"/>
      <c r="D1282" s="88" t="str">
        <f t="array" ref="D1282">IFERROR(
  LOOKUP(2, 1/((TRIM(IMS!$E$8:$E$2574)=TRIM(IMS!$E1282))*(IMS!$C$8:$C$2574&lt;IMS!$C1282)),
         IMS!$C$8:$C$2574),
"")</f>
        <v/>
      </c>
      <c r="E1282" s="57"/>
      <c r="F1282" s="57"/>
      <c r="G1282" s="77" t="str">
        <f t="shared" si="901"/>
        <v/>
      </c>
      <c r="H1282" s="78" t="str">
        <f t="shared" si="902"/>
        <v/>
      </c>
      <c r="I1282" s="79"/>
      <c r="J1282" s="80" t="str">
        <f t="shared" si="903"/>
        <v>#NAME?</v>
      </c>
      <c r="K1282" s="58"/>
      <c r="L1282" s="58"/>
      <c r="M1282" s="57"/>
      <c r="N1282" s="57"/>
      <c r="O1282" s="58"/>
      <c r="P1282" s="82"/>
      <c r="Q1282" s="81"/>
      <c r="R1282" s="81"/>
      <c r="S1282" s="57"/>
      <c r="T1282" s="82"/>
      <c r="U1282" s="82"/>
      <c r="V1282" s="57"/>
      <c r="W1282" s="57"/>
      <c r="X1282" s="57" t="str">
        <f t="shared" si="917"/>
        <v/>
      </c>
      <c r="Y1282" s="58" t="str">
        <f t="shared" ref="Y1282:AC1282" si="1122">TRIM(SUBSTITUTE(SUBSTITUTE(OFFSET($Q1282,0,COLUMN()-COLUMN($AL$1)),CHAR(160)," "),_xludf.UNICHAR(8239)," "))</f>
        <v>#NAME?</v>
      </c>
      <c r="Z1282" s="58" t="str">
        <f t="shared" si="1122"/>
        <v>#NAME?</v>
      </c>
      <c r="AA1282" s="58" t="str">
        <f t="shared" si="1122"/>
        <v>#NAME?</v>
      </c>
      <c r="AB1282" s="58" t="str">
        <f t="shared" si="1122"/>
        <v>#NAME?</v>
      </c>
      <c r="AC1282" s="58" t="str">
        <f t="shared" si="1122"/>
        <v>#NAME?</v>
      </c>
      <c r="AD1282" s="57">
        <f t="shared" si="906"/>
        <v>0</v>
      </c>
      <c r="AE1282" s="57" t="str">
        <f t="shared" si="907"/>
        <v/>
      </c>
      <c r="AF1282" s="57">
        <f t="shared" si="908"/>
        <v>0</v>
      </c>
      <c r="AG1282" s="59">
        <f t="shared" si="909"/>
        <v>0</v>
      </c>
      <c r="AH1282" s="15"/>
      <c r="AI1282" s="15"/>
      <c r="AJ1282" s="15"/>
      <c r="AK1282" s="15"/>
      <c r="AL1282" s="15"/>
      <c r="AM1282" s="15"/>
      <c r="AN1282" s="15"/>
      <c r="AO1282" s="15"/>
      <c r="AP1282" s="15"/>
      <c r="AQ1282" s="15"/>
      <c r="AR1282" s="15"/>
      <c r="AS1282" s="15"/>
      <c r="AT1282" s="15"/>
      <c r="AU1282" s="15"/>
    </row>
    <row r="1283" ht="24.0" customHeight="1">
      <c r="A1283" s="45">
        <v>2707.0</v>
      </c>
      <c r="B1283" s="57"/>
      <c r="C1283" s="57"/>
      <c r="D1283" s="88" t="str">
        <f t="array" ref="D1283">IFERROR(
  LOOKUP(2, 1/((TRIM(IMS!$E$8:$E$2574)=TRIM(IMS!$E1283))*(IMS!$C$8:$C$2574&lt;IMS!$C1283)),
         IMS!$C$8:$C$2574),
"")</f>
        <v/>
      </c>
      <c r="E1283" s="57"/>
      <c r="F1283" s="57"/>
      <c r="G1283" s="77" t="str">
        <f t="shared" si="901"/>
        <v/>
      </c>
      <c r="H1283" s="78" t="str">
        <f t="shared" si="902"/>
        <v/>
      </c>
      <c r="I1283" s="79"/>
      <c r="J1283" s="80" t="str">
        <f t="shared" si="903"/>
        <v>#NAME?</v>
      </c>
      <c r="K1283" s="58"/>
      <c r="L1283" s="58"/>
      <c r="M1283" s="57"/>
      <c r="N1283" s="57"/>
      <c r="O1283" s="58"/>
      <c r="P1283" s="82"/>
      <c r="Q1283" s="81"/>
      <c r="R1283" s="81"/>
      <c r="S1283" s="57"/>
      <c r="T1283" s="82"/>
      <c r="U1283" s="82"/>
      <c r="V1283" s="57"/>
      <c r="W1283" s="57"/>
      <c r="X1283" s="57" t="str">
        <f t="shared" si="917"/>
        <v/>
      </c>
      <c r="Y1283" s="58" t="str">
        <f t="shared" ref="Y1283:AC1283" si="1123">TRIM(SUBSTITUTE(SUBSTITUTE(OFFSET($Q1283,0,COLUMN()-COLUMN($AL$1)),CHAR(160)," "),_xludf.UNICHAR(8239)," "))</f>
        <v>#NAME?</v>
      </c>
      <c r="Z1283" s="58" t="str">
        <f t="shared" si="1123"/>
        <v>#NAME?</v>
      </c>
      <c r="AA1283" s="58" t="str">
        <f t="shared" si="1123"/>
        <v>#NAME?</v>
      </c>
      <c r="AB1283" s="58" t="str">
        <f t="shared" si="1123"/>
        <v>#NAME?</v>
      </c>
      <c r="AC1283" s="58" t="str">
        <f t="shared" si="1123"/>
        <v>#NAME?</v>
      </c>
      <c r="AD1283" s="57">
        <f t="shared" si="906"/>
        <v>0</v>
      </c>
      <c r="AE1283" s="57" t="str">
        <f t="shared" si="907"/>
        <v/>
      </c>
      <c r="AF1283" s="57">
        <f t="shared" si="908"/>
        <v>0</v>
      </c>
      <c r="AG1283" s="59">
        <f t="shared" si="909"/>
        <v>0</v>
      </c>
      <c r="AH1283" s="15"/>
      <c r="AI1283" s="15"/>
      <c r="AJ1283" s="15"/>
      <c r="AK1283" s="15"/>
      <c r="AL1283" s="15"/>
      <c r="AM1283" s="15"/>
      <c r="AN1283" s="15"/>
      <c r="AO1283" s="15"/>
      <c r="AP1283" s="15"/>
      <c r="AQ1283" s="15"/>
      <c r="AR1283" s="15"/>
      <c r="AS1283" s="15"/>
      <c r="AT1283" s="15"/>
      <c r="AU1283" s="15"/>
    </row>
    <row r="1284" ht="24.0" customHeight="1">
      <c r="A1284" s="45">
        <v>2708.0</v>
      </c>
      <c r="B1284" s="57"/>
      <c r="C1284" s="57"/>
      <c r="D1284" s="88" t="str">
        <f t="array" ref="D1284">IFERROR(
  LOOKUP(2, 1/((TRIM(IMS!$E$8:$E$2574)=TRIM(IMS!$E1284))*(IMS!$C$8:$C$2574&lt;IMS!$C1284)),
         IMS!$C$8:$C$2574),
"")</f>
        <v/>
      </c>
      <c r="E1284" s="57"/>
      <c r="F1284" s="57"/>
      <c r="G1284" s="77" t="str">
        <f t="shared" si="901"/>
        <v/>
      </c>
      <c r="H1284" s="78" t="str">
        <f t="shared" si="902"/>
        <v/>
      </c>
      <c r="I1284" s="79"/>
      <c r="J1284" s="80" t="str">
        <f t="shared" si="903"/>
        <v>#NAME?</v>
      </c>
      <c r="K1284" s="58"/>
      <c r="L1284" s="58"/>
      <c r="M1284" s="57"/>
      <c r="N1284" s="57"/>
      <c r="O1284" s="58"/>
      <c r="P1284" s="82"/>
      <c r="Q1284" s="81"/>
      <c r="R1284" s="81"/>
      <c r="S1284" s="57"/>
      <c r="T1284" s="82"/>
      <c r="U1284" s="82"/>
      <c r="V1284" s="57"/>
      <c r="W1284" s="57"/>
      <c r="X1284" s="57" t="str">
        <f t="shared" si="917"/>
        <v/>
      </c>
      <c r="Y1284" s="58" t="str">
        <f t="shared" ref="Y1284:AC1284" si="1124">TRIM(SUBSTITUTE(SUBSTITUTE(OFFSET($Q1284,0,COLUMN()-COLUMN($AL$1)),CHAR(160)," "),_xludf.UNICHAR(8239)," "))</f>
        <v>#NAME?</v>
      </c>
      <c r="Z1284" s="58" t="str">
        <f t="shared" si="1124"/>
        <v>#NAME?</v>
      </c>
      <c r="AA1284" s="58" t="str">
        <f t="shared" si="1124"/>
        <v>#NAME?</v>
      </c>
      <c r="AB1284" s="58" t="str">
        <f t="shared" si="1124"/>
        <v>#NAME?</v>
      </c>
      <c r="AC1284" s="58" t="str">
        <f t="shared" si="1124"/>
        <v>#NAME?</v>
      </c>
      <c r="AD1284" s="57">
        <f t="shared" si="906"/>
        <v>0</v>
      </c>
      <c r="AE1284" s="57" t="str">
        <f t="shared" si="907"/>
        <v/>
      </c>
      <c r="AF1284" s="57">
        <f t="shared" si="908"/>
        <v>0</v>
      </c>
      <c r="AG1284" s="59">
        <f t="shared" si="909"/>
        <v>0</v>
      </c>
      <c r="AH1284" s="15"/>
      <c r="AI1284" s="15"/>
      <c r="AJ1284" s="15"/>
      <c r="AK1284" s="15"/>
      <c r="AL1284" s="15"/>
      <c r="AM1284" s="15"/>
      <c r="AN1284" s="15"/>
      <c r="AO1284" s="15"/>
      <c r="AP1284" s="15"/>
      <c r="AQ1284" s="15"/>
      <c r="AR1284" s="15"/>
      <c r="AS1284" s="15"/>
      <c r="AT1284" s="15"/>
      <c r="AU1284" s="15"/>
    </row>
    <row r="1285" ht="24.0" customHeight="1">
      <c r="A1285" s="45">
        <v>2709.0</v>
      </c>
      <c r="B1285" s="57"/>
      <c r="C1285" s="57"/>
      <c r="D1285" s="88" t="str">
        <f t="array" ref="D1285">IFERROR(
  LOOKUP(2, 1/((TRIM(IMS!$E$8:$E$2574)=TRIM(IMS!$E1285))*(IMS!$C$8:$C$2574&lt;IMS!$C1285)),
         IMS!$C$8:$C$2574),
"")</f>
        <v/>
      </c>
      <c r="E1285" s="57"/>
      <c r="F1285" s="57"/>
      <c r="G1285" s="77" t="str">
        <f t="shared" si="901"/>
        <v/>
      </c>
      <c r="H1285" s="78" t="str">
        <f t="shared" si="902"/>
        <v/>
      </c>
      <c r="I1285" s="79"/>
      <c r="J1285" s="80" t="str">
        <f t="shared" si="903"/>
        <v>#NAME?</v>
      </c>
      <c r="K1285" s="58"/>
      <c r="L1285" s="58"/>
      <c r="M1285" s="57"/>
      <c r="N1285" s="57"/>
      <c r="O1285" s="58"/>
      <c r="P1285" s="82"/>
      <c r="Q1285" s="81"/>
      <c r="R1285" s="81"/>
      <c r="S1285" s="57"/>
      <c r="T1285" s="82"/>
      <c r="U1285" s="82"/>
      <c r="V1285" s="57"/>
      <c r="W1285" s="57"/>
      <c r="X1285" s="57" t="str">
        <f t="shared" si="917"/>
        <v/>
      </c>
      <c r="Y1285" s="58" t="str">
        <f t="shared" ref="Y1285:AC1285" si="1125">TRIM(SUBSTITUTE(SUBSTITUTE(OFFSET($Q1285,0,COLUMN()-COLUMN($AL$1)),CHAR(160)," "),_xludf.UNICHAR(8239)," "))</f>
        <v>#NAME?</v>
      </c>
      <c r="Z1285" s="58" t="str">
        <f t="shared" si="1125"/>
        <v>#NAME?</v>
      </c>
      <c r="AA1285" s="58" t="str">
        <f t="shared" si="1125"/>
        <v>#NAME?</v>
      </c>
      <c r="AB1285" s="58" t="str">
        <f t="shared" si="1125"/>
        <v>#NAME?</v>
      </c>
      <c r="AC1285" s="58" t="str">
        <f t="shared" si="1125"/>
        <v>#NAME?</v>
      </c>
      <c r="AD1285" s="57">
        <f t="shared" si="906"/>
        <v>0</v>
      </c>
      <c r="AE1285" s="57" t="str">
        <f t="shared" si="907"/>
        <v/>
      </c>
      <c r="AF1285" s="57">
        <f t="shared" si="908"/>
        <v>0</v>
      </c>
      <c r="AG1285" s="59">
        <f t="shared" si="909"/>
        <v>0</v>
      </c>
      <c r="AH1285" s="15"/>
      <c r="AI1285" s="15"/>
      <c r="AJ1285" s="15"/>
      <c r="AK1285" s="15"/>
      <c r="AL1285" s="15"/>
      <c r="AM1285" s="15"/>
      <c r="AN1285" s="15"/>
      <c r="AO1285" s="15"/>
      <c r="AP1285" s="15"/>
      <c r="AQ1285" s="15"/>
      <c r="AR1285" s="15"/>
      <c r="AS1285" s="15"/>
      <c r="AT1285" s="15"/>
      <c r="AU1285" s="15"/>
    </row>
    <row r="1286" ht="24.0" customHeight="1">
      <c r="A1286" s="45">
        <v>2710.0</v>
      </c>
      <c r="B1286" s="57"/>
      <c r="C1286" s="57"/>
      <c r="D1286" s="88" t="str">
        <f t="array" ref="D1286">IFERROR(
  LOOKUP(2, 1/((TRIM(IMS!$E$8:$E$2574)=TRIM(IMS!$E1286))*(IMS!$C$8:$C$2574&lt;IMS!$C1286)),
         IMS!$C$8:$C$2574),
"")</f>
        <v/>
      </c>
      <c r="E1286" s="57"/>
      <c r="F1286" s="57"/>
      <c r="G1286" s="77" t="str">
        <f t="shared" si="901"/>
        <v/>
      </c>
      <c r="H1286" s="78" t="str">
        <f t="shared" si="902"/>
        <v/>
      </c>
      <c r="I1286" s="79"/>
      <c r="J1286" s="80" t="str">
        <f t="shared" si="903"/>
        <v>#NAME?</v>
      </c>
      <c r="K1286" s="58"/>
      <c r="L1286" s="58"/>
      <c r="M1286" s="57"/>
      <c r="N1286" s="57"/>
      <c r="O1286" s="58"/>
      <c r="P1286" s="82"/>
      <c r="Q1286" s="81"/>
      <c r="R1286" s="81"/>
      <c r="S1286" s="57"/>
      <c r="T1286" s="82"/>
      <c r="U1286" s="82"/>
      <c r="V1286" s="57"/>
      <c r="W1286" s="57"/>
      <c r="X1286" s="57" t="str">
        <f t="shared" si="917"/>
        <v/>
      </c>
      <c r="Y1286" s="58" t="str">
        <f t="shared" ref="Y1286:AC1286" si="1126">TRIM(SUBSTITUTE(SUBSTITUTE(OFFSET($Q1286,0,COLUMN()-COLUMN($AL$1)),CHAR(160)," "),_xludf.UNICHAR(8239)," "))</f>
        <v>#NAME?</v>
      </c>
      <c r="Z1286" s="58" t="str">
        <f t="shared" si="1126"/>
        <v>#NAME?</v>
      </c>
      <c r="AA1286" s="58" t="str">
        <f t="shared" si="1126"/>
        <v>#NAME?</v>
      </c>
      <c r="AB1286" s="58" t="str">
        <f t="shared" si="1126"/>
        <v>#NAME?</v>
      </c>
      <c r="AC1286" s="58" t="str">
        <f t="shared" si="1126"/>
        <v>#NAME?</v>
      </c>
      <c r="AD1286" s="57">
        <f t="shared" si="906"/>
        <v>0</v>
      </c>
      <c r="AE1286" s="57" t="str">
        <f t="shared" si="907"/>
        <v/>
      </c>
      <c r="AF1286" s="57">
        <f t="shared" si="908"/>
        <v>0</v>
      </c>
      <c r="AG1286" s="59">
        <f t="shared" si="909"/>
        <v>0</v>
      </c>
      <c r="AH1286" s="15"/>
      <c r="AI1286" s="15"/>
      <c r="AJ1286" s="15"/>
      <c r="AK1286" s="15"/>
      <c r="AL1286" s="15"/>
      <c r="AM1286" s="15"/>
      <c r="AN1286" s="15"/>
      <c r="AO1286" s="15"/>
      <c r="AP1286" s="15"/>
      <c r="AQ1286" s="15"/>
      <c r="AR1286" s="15"/>
      <c r="AS1286" s="15"/>
      <c r="AT1286" s="15"/>
      <c r="AU1286" s="15"/>
    </row>
    <row r="1287" ht="24.0" customHeight="1">
      <c r="A1287" s="45">
        <v>2711.0</v>
      </c>
      <c r="B1287" s="57"/>
      <c r="C1287" s="57"/>
      <c r="D1287" s="88" t="str">
        <f t="array" ref="D1287">IFERROR(
  LOOKUP(2, 1/((TRIM(IMS!$E$8:$E$2574)=TRIM(IMS!$E1287))*(IMS!$C$8:$C$2574&lt;IMS!$C1287)),
         IMS!$C$8:$C$2574),
"")</f>
        <v/>
      </c>
      <c r="E1287" s="57"/>
      <c r="F1287" s="57"/>
      <c r="G1287" s="77" t="str">
        <f t="shared" si="901"/>
        <v/>
      </c>
      <c r="H1287" s="78" t="str">
        <f t="shared" si="902"/>
        <v/>
      </c>
      <c r="I1287" s="79"/>
      <c r="J1287" s="80" t="str">
        <f t="shared" si="903"/>
        <v>#NAME?</v>
      </c>
      <c r="K1287" s="58"/>
      <c r="L1287" s="58"/>
      <c r="M1287" s="57"/>
      <c r="N1287" s="57"/>
      <c r="O1287" s="58"/>
      <c r="P1287" s="82"/>
      <c r="Q1287" s="81"/>
      <c r="R1287" s="81"/>
      <c r="S1287" s="57"/>
      <c r="T1287" s="82"/>
      <c r="U1287" s="82"/>
      <c r="V1287" s="57"/>
      <c r="W1287" s="57"/>
      <c r="X1287" s="57" t="str">
        <f t="shared" si="917"/>
        <v/>
      </c>
      <c r="Y1287" s="58" t="str">
        <f t="shared" ref="Y1287:AC1287" si="1127">TRIM(SUBSTITUTE(SUBSTITUTE(OFFSET($Q1287,0,COLUMN()-COLUMN($AL$1)),CHAR(160)," "),_xludf.UNICHAR(8239)," "))</f>
        <v>#NAME?</v>
      </c>
      <c r="Z1287" s="58" t="str">
        <f t="shared" si="1127"/>
        <v>#NAME?</v>
      </c>
      <c r="AA1287" s="58" t="str">
        <f t="shared" si="1127"/>
        <v>#NAME?</v>
      </c>
      <c r="AB1287" s="58" t="str">
        <f t="shared" si="1127"/>
        <v>#NAME?</v>
      </c>
      <c r="AC1287" s="58" t="str">
        <f t="shared" si="1127"/>
        <v>#NAME?</v>
      </c>
      <c r="AD1287" s="57">
        <f t="shared" si="906"/>
        <v>0</v>
      </c>
      <c r="AE1287" s="57" t="str">
        <f t="shared" si="907"/>
        <v/>
      </c>
      <c r="AF1287" s="57">
        <f t="shared" si="908"/>
        <v>0</v>
      </c>
      <c r="AG1287" s="59">
        <f t="shared" si="909"/>
        <v>0</v>
      </c>
      <c r="AH1287" s="15"/>
      <c r="AI1287" s="15"/>
      <c r="AJ1287" s="15"/>
      <c r="AK1287" s="15"/>
      <c r="AL1287" s="15"/>
      <c r="AM1287" s="15"/>
      <c r="AN1287" s="15"/>
      <c r="AO1287" s="15"/>
      <c r="AP1287" s="15"/>
      <c r="AQ1287" s="15"/>
      <c r="AR1287" s="15"/>
      <c r="AS1287" s="15"/>
      <c r="AT1287" s="15"/>
      <c r="AU1287" s="15"/>
    </row>
    <row r="1288" ht="24.0" customHeight="1">
      <c r="A1288" s="45">
        <v>2712.0</v>
      </c>
      <c r="B1288" s="57"/>
      <c r="C1288" s="57"/>
      <c r="D1288" s="88" t="str">
        <f t="array" ref="D1288">IFERROR(
  LOOKUP(2, 1/((TRIM(IMS!$E$8:$E$2574)=TRIM(IMS!$E1288))*(IMS!$C$8:$C$2574&lt;IMS!$C1288)),
         IMS!$C$8:$C$2574),
"")</f>
        <v/>
      </c>
      <c r="E1288" s="57"/>
      <c r="F1288" s="57"/>
      <c r="G1288" s="77" t="str">
        <f t="shared" si="901"/>
        <v/>
      </c>
      <c r="H1288" s="78" t="str">
        <f t="shared" si="902"/>
        <v/>
      </c>
      <c r="I1288" s="79"/>
      <c r="J1288" s="80" t="str">
        <f t="shared" si="903"/>
        <v>#NAME?</v>
      </c>
      <c r="K1288" s="58"/>
      <c r="L1288" s="58"/>
      <c r="M1288" s="57"/>
      <c r="N1288" s="57"/>
      <c r="O1288" s="58"/>
      <c r="P1288" s="82"/>
      <c r="Q1288" s="81"/>
      <c r="R1288" s="81"/>
      <c r="S1288" s="57"/>
      <c r="T1288" s="82"/>
      <c r="U1288" s="82"/>
      <c r="V1288" s="57"/>
      <c r="W1288" s="57"/>
      <c r="X1288" s="57" t="str">
        <f t="shared" si="917"/>
        <v/>
      </c>
      <c r="Y1288" s="58" t="str">
        <f t="shared" ref="Y1288:AC1288" si="1128">TRIM(SUBSTITUTE(SUBSTITUTE(OFFSET($Q1288,0,COLUMN()-COLUMN($AL$1)),CHAR(160)," "),_xludf.UNICHAR(8239)," "))</f>
        <v>#NAME?</v>
      </c>
      <c r="Z1288" s="58" t="str">
        <f t="shared" si="1128"/>
        <v>#NAME?</v>
      </c>
      <c r="AA1288" s="58" t="str">
        <f t="shared" si="1128"/>
        <v>#NAME?</v>
      </c>
      <c r="AB1288" s="58" t="str">
        <f t="shared" si="1128"/>
        <v>#NAME?</v>
      </c>
      <c r="AC1288" s="58" t="str">
        <f t="shared" si="1128"/>
        <v>#NAME?</v>
      </c>
      <c r="AD1288" s="57">
        <f t="shared" si="906"/>
        <v>0</v>
      </c>
      <c r="AE1288" s="57" t="str">
        <f t="shared" si="907"/>
        <v/>
      </c>
      <c r="AF1288" s="57">
        <f t="shared" si="908"/>
        <v>0</v>
      </c>
      <c r="AG1288" s="59">
        <f t="shared" si="909"/>
        <v>0</v>
      </c>
      <c r="AH1288" s="15"/>
      <c r="AI1288" s="15"/>
      <c r="AJ1288" s="15"/>
      <c r="AK1288" s="15"/>
      <c r="AL1288" s="15"/>
      <c r="AM1288" s="15"/>
      <c r="AN1288" s="15"/>
      <c r="AO1288" s="15"/>
      <c r="AP1288" s="15"/>
      <c r="AQ1288" s="15"/>
      <c r="AR1288" s="15"/>
      <c r="AS1288" s="15"/>
      <c r="AT1288" s="15"/>
      <c r="AU1288" s="15"/>
    </row>
    <row r="1289" ht="24.0" customHeight="1">
      <c r="A1289" s="45">
        <v>2713.0</v>
      </c>
      <c r="B1289" s="57"/>
      <c r="C1289" s="57"/>
      <c r="D1289" s="88" t="str">
        <f t="array" ref="D1289">IFERROR(
  LOOKUP(2, 1/((TRIM(IMS!$E$8:$E$2574)=TRIM(IMS!$E1289))*(IMS!$C$8:$C$2574&lt;IMS!$C1289)),
         IMS!$C$8:$C$2574),
"")</f>
        <v/>
      </c>
      <c r="E1289" s="57"/>
      <c r="F1289" s="57"/>
      <c r="G1289" s="77" t="str">
        <f t="shared" si="901"/>
        <v/>
      </c>
      <c r="H1289" s="78" t="str">
        <f t="shared" si="902"/>
        <v/>
      </c>
      <c r="I1289" s="79"/>
      <c r="J1289" s="80" t="str">
        <f t="shared" si="903"/>
        <v>#NAME?</v>
      </c>
      <c r="K1289" s="58"/>
      <c r="L1289" s="58"/>
      <c r="M1289" s="57"/>
      <c r="N1289" s="57"/>
      <c r="O1289" s="58"/>
      <c r="P1289" s="82"/>
      <c r="Q1289" s="81"/>
      <c r="R1289" s="81"/>
      <c r="S1289" s="57"/>
      <c r="T1289" s="82"/>
      <c r="U1289" s="82"/>
      <c r="V1289" s="57"/>
      <c r="W1289" s="57"/>
      <c r="X1289" s="57" t="str">
        <f t="shared" si="917"/>
        <v/>
      </c>
      <c r="Y1289" s="58" t="str">
        <f t="shared" ref="Y1289:AC1289" si="1129">TRIM(SUBSTITUTE(SUBSTITUTE(OFFSET($Q1289,0,COLUMN()-COLUMN($AL$1)),CHAR(160)," "),_xludf.UNICHAR(8239)," "))</f>
        <v>#NAME?</v>
      </c>
      <c r="Z1289" s="58" t="str">
        <f t="shared" si="1129"/>
        <v>#NAME?</v>
      </c>
      <c r="AA1289" s="58" t="str">
        <f t="shared" si="1129"/>
        <v>#NAME?</v>
      </c>
      <c r="AB1289" s="58" t="str">
        <f t="shared" si="1129"/>
        <v>#NAME?</v>
      </c>
      <c r="AC1289" s="58" t="str">
        <f t="shared" si="1129"/>
        <v>#NAME?</v>
      </c>
      <c r="AD1289" s="57">
        <f t="shared" si="906"/>
        <v>0</v>
      </c>
      <c r="AE1289" s="57" t="str">
        <f t="shared" si="907"/>
        <v/>
      </c>
      <c r="AF1289" s="57">
        <f t="shared" si="908"/>
        <v>0</v>
      </c>
      <c r="AG1289" s="59">
        <f t="shared" si="909"/>
        <v>0</v>
      </c>
      <c r="AH1289" s="15"/>
      <c r="AI1289" s="15"/>
      <c r="AJ1289" s="15"/>
      <c r="AK1289" s="15"/>
      <c r="AL1289" s="15"/>
      <c r="AM1289" s="15"/>
      <c r="AN1289" s="15"/>
      <c r="AO1289" s="15"/>
      <c r="AP1289" s="15"/>
      <c r="AQ1289" s="15"/>
      <c r="AR1289" s="15"/>
      <c r="AS1289" s="15"/>
      <c r="AT1289" s="15"/>
      <c r="AU1289" s="15"/>
    </row>
    <row r="1290" ht="24.0" customHeight="1">
      <c r="A1290" s="45">
        <v>2714.0</v>
      </c>
      <c r="B1290" s="57"/>
      <c r="C1290" s="57"/>
      <c r="D1290" s="88" t="str">
        <f t="array" ref="D1290">IFERROR(
  LOOKUP(2, 1/((TRIM(IMS!$E$8:$E$2574)=TRIM(IMS!$E1290))*(IMS!$C$8:$C$2574&lt;IMS!$C1290)),
         IMS!$C$8:$C$2574),
"")</f>
        <v/>
      </c>
      <c r="E1290" s="57"/>
      <c r="F1290" s="57"/>
      <c r="G1290" s="77" t="str">
        <f t="shared" si="901"/>
        <v/>
      </c>
      <c r="H1290" s="78" t="str">
        <f t="shared" si="902"/>
        <v/>
      </c>
      <c r="I1290" s="79"/>
      <c r="J1290" s="80" t="str">
        <f t="shared" si="903"/>
        <v>#NAME?</v>
      </c>
      <c r="K1290" s="58"/>
      <c r="L1290" s="58"/>
      <c r="M1290" s="57"/>
      <c r="N1290" s="57"/>
      <c r="O1290" s="58"/>
      <c r="P1290" s="82"/>
      <c r="Q1290" s="81"/>
      <c r="R1290" s="81"/>
      <c r="S1290" s="57"/>
      <c r="T1290" s="82"/>
      <c r="U1290" s="82"/>
      <c r="V1290" s="57"/>
      <c r="W1290" s="57"/>
      <c r="X1290" s="57" t="str">
        <f t="shared" si="917"/>
        <v/>
      </c>
      <c r="Y1290" s="58" t="str">
        <f t="shared" ref="Y1290:AC1290" si="1130">TRIM(SUBSTITUTE(SUBSTITUTE(OFFSET($Q1290,0,COLUMN()-COLUMN($AL$1)),CHAR(160)," "),_xludf.UNICHAR(8239)," "))</f>
        <v>#NAME?</v>
      </c>
      <c r="Z1290" s="58" t="str">
        <f t="shared" si="1130"/>
        <v>#NAME?</v>
      </c>
      <c r="AA1290" s="58" t="str">
        <f t="shared" si="1130"/>
        <v>#NAME?</v>
      </c>
      <c r="AB1290" s="58" t="str">
        <f t="shared" si="1130"/>
        <v>#NAME?</v>
      </c>
      <c r="AC1290" s="58" t="str">
        <f t="shared" si="1130"/>
        <v>#NAME?</v>
      </c>
      <c r="AD1290" s="57">
        <f t="shared" si="906"/>
        <v>0</v>
      </c>
      <c r="AE1290" s="57" t="str">
        <f t="shared" si="907"/>
        <v/>
      </c>
      <c r="AF1290" s="57">
        <f t="shared" si="908"/>
        <v>0</v>
      </c>
      <c r="AG1290" s="59">
        <f t="shared" si="909"/>
        <v>0</v>
      </c>
      <c r="AH1290" s="15"/>
      <c r="AI1290" s="15"/>
      <c r="AJ1290" s="15"/>
      <c r="AK1290" s="15"/>
      <c r="AL1290" s="15"/>
      <c r="AM1290" s="15"/>
      <c r="AN1290" s="15"/>
      <c r="AO1290" s="15"/>
      <c r="AP1290" s="15"/>
      <c r="AQ1290" s="15"/>
      <c r="AR1290" s="15"/>
      <c r="AS1290" s="15"/>
      <c r="AT1290" s="15"/>
      <c r="AU1290" s="15"/>
    </row>
    <row r="1291" ht="24.0" customHeight="1">
      <c r="A1291" s="45">
        <v>2715.0</v>
      </c>
      <c r="B1291" s="57"/>
      <c r="C1291" s="57"/>
      <c r="D1291" s="88" t="str">
        <f t="array" ref="D1291">IFERROR(
  LOOKUP(2, 1/((TRIM(IMS!$E$8:$E$2574)=TRIM(IMS!$E1291))*(IMS!$C$8:$C$2574&lt;IMS!$C1291)),
         IMS!$C$8:$C$2574),
"")</f>
        <v/>
      </c>
      <c r="E1291" s="57"/>
      <c r="F1291" s="57"/>
      <c r="G1291" s="77" t="str">
        <f t="shared" si="901"/>
        <v/>
      </c>
      <c r="H1291" s="78" t="str">
        <f t="shared" si="902"/>
        <v/>
      </c>
      <c r="I1291" s="79"/>
      <c r="J1291" s="80" t="str">
        <f t="shared" si="903"/>
        <v>#NAME?</v>
      </c>
      <c r="K1291" s="58"/>
      <c r="L1291" s="58"/>
      <c r="M1291" s="57"/>
      <c r="N1291" s="57"/>
      <c r="O1291" s="58"/>
      <c r="P1291" s="82"/>
      <c r="Q1291" s="81"/>
      <c r="R1291" s="81"/>
      <c r="S1291" s="57"/>
      <c r="T1291" s="82"/>
      <c r="U1291" s="82"/>
      <c r="V1291" s="57"/>
      <c r="W1291" s="57"/>
      <c r="X1291" s="57" t="str">
        <f t="shared" si="917"/>
        <v/>
      </c>
      <c r="Y1291" s="58" t="str">
        <f t="shared" ref="Y1291:AC1291" si="1131">TRIM(SUBSTITUTE(SUBSTITUTE(OFFSET($Q1291,0,COLUMN()-COLUMN($AL$1)),CHAR(160)," "),_xludf.UNICHAR(8239)," "))</f>
        <v>#NAME?</v>
      </c>
      <c r="Z1291" s="58" t="str">
        <f t="shared" si="1131"/>
        <v>#NAME?</v>
      </c>
      <c r="AA1291" s="58" t="str">
        <f t="shared" si="1131"/>
        <v>#NAME?</v>
      </c>
      <c r="AB1291" s="58" t="str">
        <f t="shared" si="1131"/>
        <v>#NAME?</v>
      </c>
      <c r="AC1291" s="58" t="str">
        <f t="shared" si="1131"/>
        <v>#NAME?</v>
      </c>
      <c r="AD1291" s="57">
        <f t="shared" si="906"/>
        <v>0</v>
      </c>
      <c r="AE1291" s="57" t="str">
        <f t="shared" si="907"/>
        <v/>
      </c>
      <c r="AF1291" s="57">
        <f t="shared" si="908"/>
        <v>0</v>
      </c>
      <c r="AG1291" s="59">
        <f t="shared" si="909"/>
        <v>0</v>
      </c>
      <c r="AH1291" s="15"/>
      <c r="AI1291" s="15"/>
      <c r="AJ1291" s="15"/>
      <c r="AK1291" s="15"/>
      <c r="AL1291" s="15"/>
      <c r="AM1291" s="15"/>
      <c r="AN1291" s="15"/>
      <c r="AO1291" s="15"/>
      <c r="AP1291" s="15"/>
      <c r="AQ1291" s="15"/>
      <c r="AR1291" s="15"/>
      <c r="AS1291" s="15"/>
      <c r="AT1291" s="15"/>
      <c r="AU1291" s="15"/>
    </row>
    <row r="1292" ht="24.0" customHeight="1">
      <c r="A1292" s="45">
        <v>2716.0</v>
      </c>
      <c r="B1292" s="57"/>
      <c r="C1292" s="57"/>
      <c r="D1292" s="88" t="str">
        <f t="array" ref="D1292">IFERROR(
  LOOKUP(2, 1/((TRIM(IMS!$E$8:$E$2574)=TRIM(IMS!$E1292))*(IMS!$C$8:$C$2574&lt;IMS!$C1292)),
         IMS!$C$8:$C$2574),
"")</f>
        <v/>
      </c>
      <c r="E1292" s="57"/>
      <c r="F1292" s="57"/>
      <c r="G1292" s="77" t="str">
        <f t="shared" si="901"/>
        <v/>
      </c>
      <c r="H1292" s="78" t="str">
        <f t="shared" si="902"/>
        <v/>
      </c>
      <c r="I1292" s="79"/>
      <c r="J1292" s="80" t="str">
        <f t="shared" si="903"/>
        <v>#NAME?</v>
      </c>
      <c r="K1292" s="58"/>
      <c r="L1292" s="58"/>
      <c r="M1292" s="57"/>
      <c r="N1292" s="57"/>
      <c r="O1292" s="58"/>
      <c r="P1292" s="82"/>
      <c r="Q1292" s="81"/>
      <c r="R1292" s="81"/>
      <c r="S1292" s="57"/>
      <c r="T1292" s="82"/>
      <c r="U1292" s="82"/>
      <c r="V1292" s="57"/>
      <c r="W1292" s="57"/>
      <c r="X1292" s="57" t="str">
        <f t="shared" si="917"/>
        <v/>
      </c>
      <c r="Y1292" s="58" t="str">
        <f t="shared" ref="Y1292:AC1292" si="1132">TRIM(SUBSTITUTE(SUBSTITUTE(OFFSET($Q1292,0,COLUMN()-COLUMN($AL$1)),CHAR(160)," "),_xludf.UNICHAR(8239)," "))</f>
        <v>#NAME?</v>
      </c>
      <c r="Z1292" s="58" t="str">
        <f t="shared" si="1132"/>
        <v>#NAME?</v>
      </c>
      <c r="AA1292" s="58" t="str">
        <f t="shared" si="1132"/>
        <v>#NAME?</v>
      </c>
      <c r="AB1292" s="58" t="str">
        <f t="shared" si="1132"/>
        <v>#NAME?</v>
      </c>
      <c r="AC1292" s="58" t="str">
        <f t="shared" si="1132"/>
        <v>#NAME?</v>
      </c>
      <c r="AD1292" s="57">
        <f t="shared" si="906"/>
        <v>0</v>
      </c>
      <c r="AE1292" s="57" t="str">
        <f t="shared" si="907"/>
        <v/>
      </c>
      <c r="AF1292" s="57">
        <f t="shared" si="908"/>
        <v>0</v>
      </c>
      <c r="AG1292" s="59">
        <f t="shared" si="909"/>
        <v>0</v>
      </c>
      <c r="AH1292" s="15"/>
      <c r="AI1292" s="15"/>
      <c r="AJ1292" s="15"/>
      <c r="AK1292" s="15"/>
      <c r="AL1292" s="15"/>
      <c r="AM1292" s="15"/>
      <c r="AN1292" s="15"/>
      <c r="AO1292" s="15"/>
      <c r="AP1292" s="15"/>
      <c r="AQ1292" s="15"/>
      <c r="AR1292" s="15"/>
      <c r="AS1292" s="15"/>
      <c r="AT1292" s="15"/>
      <c r="AU1292" s="15"/>
    </row>
    <row r="1293" ht="24.0" customHeight="1">
      <c r="A1293" s="45">
        <v>2717.0</v>
      </c>
      <c r="B1293" s="57"/>
      <c r="C1293" s="57"/>
      <c r="D1293" s="88" t="str">
        <f t="array" ref="D1293">IFERROR(
  LOOKUP(2, 1/((TRIM(IMS!$E$8:$E$2574)=TRIM(IMS!$E1293))*(IMS!$C$8:$C$2574&lt;IMS!$C1293)),
         IMS!$C$8:$C$2574),
"")</f>
        <v/>
      </c>
      <c r="E1293" s="57"/>
      <c r="F1293" s="57"/>
      <c r="G1293" s="77" t="str">
        <f t="shared" si="901"/>
        <v/>
      </c>
      <c r="H1293" s="78" t="str">
        <f t="shared" si="902"/>
        <v/>
      </c>
      <c r="I1293" s="79"/>
      <c r="J1293" s="80" t="str">
        <f t="shared" si="903"/>
        <v>#NAME?</v>
      </c>
      <c r="K1293" s="58"/>
      <c r="L1293" s="58"/>
      <c r="M1293" s="57"/>
      <c r="N1293" s="57"/>
      <c r="O1293" s="58"/>
      <c r="P1293" s="82"/>
      <c r="Q1293" s="81"/>
      <c r="R1293" s="81"/>
      <c r="S1293" s="57"/>
      <c r="T1293" s="82"/>
      <c r="U1293" s="82"/>
      <c r="V1293" s="57"/>
      <c r="W1293" s="57"/>
      <c r="X1293" s="57" t="str">
        <f t="shared" si="917"/>
        <v/>
      </c>
      <c r="Y1293" s="58" t="str">
        <f t="shared" ref="Y1293:AC1293" si="1133">TRIM(SUBSTITUTE(SUBSTITUTE(OFFSET($Q1293,0,COLUMN()-COLUMN($AL$1)),CHAR(160)," "),_xludf.UNICHAR(8239)," "))</f>
        <v>#NAME?</v>
      </c>
      <c r="Z1293" s="58" t="str">
        <f t="shared" si="1133"/>
        <v>#NAME?</v>
      </c>
      <c r="AA1293" s="58" t="str">
        <f t="shared" si="1133"/>
        <v>#NAME?</v>
      </c>
      <c r="AB1293" s="58" t="str">
        <f t="shared" si="1133"/>
        <v>#NAME?</v>
      </c>
      <c r="AC1293" s="58" t="str">
        <f t="shared" si="1133"/>
        <v>#NAME?</v>
      </c>
      <c r="AD1293" s="57">
        <f t="shared" si="906"/>
        <v>0</v>
      </c>
      <c r="AE1293" s="57" t="str">
        <f t="shared" si="907"/>
        <v/>
      </c>
      <c r="AF1293" s="57">
        <f t="shared" si="908"/>
        <v>0</v>
      </c>
      <c r="AG1293" s="59">
        <f t="shared" si="909"/>
        <v>0</v>
      </c>
      <c r="AH1293" s="15"/>
      <c r="AI1293" s="15"/>
      <c r="AJ1293" s="15"/>
      <c r="AK1293" s="15"/>
      <c r="AL1293" s="15"/>
      <c r="AM1293" s="15"/>
      <c r="AN1293" s="15"/>
      <c r="AO1293" s="15"/>
      <c r="AP1293" s="15"/>
      <c r="AQ1293" s="15"/>
      <c r="AR1293" s="15"/>
      <c r="AS1293" s="15"/>
      <c r="AT1293" s="15"/>
      <c r="AU1293" s="15"/>
    </row>
    <row r="1294" ht="24.0" customHeight="1">
      <c r="A1294" s="45">
        <v>2718.0</v>
      </c>
      <c r="B1294" s="57"/>
      <c r="C1294" s="57"/>
      <c r="D1294" s="88" t="str">
        <f t="array" ref="D1294">IFERROR(
  LOOKUP(2, 1/((TRIM(IMS!$E$8:$E$2574)=TRIM(IMS!$E1294))*(IMS!$C$8:$C$2574&lt;IMS!$C1294)),
         IMS!$C$8:$C$2574),
"")</f>
        <v/>
      </c>
      <c r="E1294" s="57"/>
      <c r="F1294" s="57"/>
      <c r="G1294" s="77" t="str">
        <f t="shared" si="901"/>
        <v/>
      </c>
      <c r="H1294" s="78" t="str">
        <f t="shared" si="902"/>
        <v/>
      </c>
      <c r="I1294" s="79"/>
      <c r="J1294" s="80" t="str">
        <f t="shared" si="903"/>
        <v>#NAME?</v>
      </c>
      <c r="K1294" s="58"/>
      <c r="L1294" s="58"/>
      <c r="M1294" s="57"/>
      <c r="N1294" s="57"/>
      <c r="O1294" s="58"/>
      <c r="P1294" s="82"/>
      <c r="Q1294" s="81"/>
      <c r="R1294" s="81"/>
      <c r="S1294" s="57"/>
      <c r="T1294" s="82"/>
      <c r="U1294" s="82"/>
      <c r="V1294" s="57"/>
      <c r="W1294" s="57"/>
      <c r="X1294" s="57" t="str">
        <f t="shared" si="917"/>
        <v/>
      </c>
      <c r="Y1294" s="58" t="str">
        <f t="shared" ref="Y1294:AC1294" si="1134">TRIM(SUBSTITUTE(SUBSTITUTE(OFFSET($Q1294,0,COLUMN()-COLUMN($AL$1)),CHAR(160)," "),_xludf.UNICHAR(8239)," "))</f>
        <v>#NAME?</v>
      </c>
      <c r="Z1294" s="58" t="str">
        <f t="shared" si="1134"/>
        <v>#NAME?</v>
      </c>
      <c r="AA1294" s="58" t="str">
        <f t="shared" si="1134"/>
        <v>#NAME?</v>
      </c>
      <c r="AB1294" s="58" t="str">
        <f t="shared" si="1134"/>
        <v>#NAME?</v>
      </c>
      <c r="AC1294" s="58" t="str">
        <f t="shared" si="1134"/>
        <v>#NAME?</v>
      </c>
      <c r="AD1294" s="57">
        <f t="shared" si="906"/>
        <v>0</v>
      </c>
      <c r="AE1294" s="57" t="str">
        <f t="shared" si="907"/>
        <v/>
      </c>
      <c r="AF1294" s="57">
        <f t="shared" si="908"/>
        <v>0</v>
      </c>
      <c r="AG1294" s="59">
        <f t="shared" si="909"/>
        <v>0</v>
      </c>
      <c r="AH1294" s="15"/>
      <c r="AI1294" s="15"/>
      <c r="AJ1294" s="15"/>
      <c r="AK1294" s="15"/>
      <c r="AL1294" s="15"/>
      <c r="AM1294" s="15"/>
      <c r="AN1294" s="15"/>
      <c r="AO1294" s="15"/>
      <c r="AP1294" s="15"/>
      <c r="AQ1294" s="15"/>
      <c r="AR1294" s="15"/>
      <c r="AS1294" s="15"/>
      <c r="AT1294" s="15"/>
      <c r="AU1294" s="15"/>
    </row>
    <row r="1295" ht="24.0" customHeight="1">
      <c r="A1295" s="45">
        <v>2719.0</v>
      </c>
      <c r="B1295" s="57"/>
      <c r="C1295" s="57"/>
      <c r="D1295" s="88" t="str">
        <f t="array" ref="D1295">IFERROR(
  LOOKUP(2, 1/((TRIM(IMS!$E$8:$E$2574)=TRIM(IMS!$E1295))*(IMS!$C$8:$C$2574&lt;IMS!$C1295)),
         IMS!$C$8:$C$2574),
"")</f>
        <v/>
      </c>
      <c r="E1295" s="57"/>
      <c r="F1295" s="57"/>
      <c r="G1295" s="77" t="str">
        <f t="shared" si="901"/>
        <v/>
      </c>
      <c r="H1295" s="78" t="str">
        <f t="shared" si="902"/>
        <v/>
      </c>
      <c r="I1295" s="79"/>
      <c r="J1295" s="80" t="str">
        <f t="shared" si="903"/>
        <v>#NAME?</v>
      </c>
      <c r="K1295" s="58"/>
      <c r="L1295" s="58"/>
      <c r="M1295" s="57"/>
      <c r="N1295" s="57"/>
      <c r="O1295" s="58"/>
      <c r="P1295" s="82"/>
      <c r="Q1295" s="81"/>
      <c r="R1295" s="81"/>
      <c r="S1295" s="57"/>
      <c r="T1295" s="82"/>
      <c r="U1295" s="82"/>
      <c r="V1295" s="57"/>
      <c r="W1295" s="57"/>
      <c r="X1295" s="57" t="str">
        <f t="shared" si="917"/>
        <v/>
      </c>
      <c r="Y1295" s="58" t="str">
        <f t="shared" ref="Y1295:AC1295" si="1135">TRIM(SUBSTITUTE(SUBSTITUTE(OFFSET($Q1295,0,COLUMN()-COLUMN($AL$1)),CHAR(160)," "),_xludf.UNICHAR(8239)," "))</f>
        <v>#NAME?</v>
      </c>
      <c r="Z1295" s="58" t="str">
        <f t="shared" si="1135"/>
        <v>#NAME?</v>
      </c>
      <c r="AA1295" s="58" t="str">
        <f t="shared" si="1135"/>
        <v>#NAME?</v>
      </c>
      <c r="AB1295" s="58" t="str">
        <f t="shared" si="1135"/>
        <v>#NAME?</v>
      </c>
      <c r="AC1295" s="58" t="str">
        <f t="shared" si="1135"/>
        <v>#NAME?</v>
      </c>
      <c r="AD1295" s="57">
        <f t="shared" si="906"/>
        <v>0</v>
      </c>
      <c r="AE1295" s="57" t="str">
        <f t="shared" si="907"/>
        <v/>
      </c>
      <c r="AF1295" s="57">
        <f t="shared" si="908"/>
        <v>0</v>
      </c>
      <c r="AG1295" s="59">
        <f t="shared" si="909"/>
        <v>0</v>
      </c>
      <c r="AH1295" s="15"/>
      <c r="AI1295" s="15"/>
      <c r="AJ1295" s="15"/>
      <c r="AK1295" s="15"/>
      <c r="AL1295" s="15"/>
      <c r="AM1295" s="15"/>
      <c r="AN1295" s="15"/>
      <c r="AO1295" s="15"/>
      <c r="AP1295" s="15"/>
      <c r="AQ1295" s="15"/>
      <c r="AR1295" s="15"/>
      <c r="AS1295" s="15"/>
      <c r="AT1295" s="15"/>
      <c r="AU1295" s="15"/>
    </row>
    <row r="1296" ht="24.0" customHeight="1">
      <c r="A1296" s="45">
        <v>2720.0</v>
      </c>
      <c r="B1296" s="57"/>
      <c r="C1296" s="57"/>
      <c r="D1296" s="88" t="str">
        <f t="array" ref="D1296">IFERROR(
  LOOKUP(2, 1/((TRIM(IMS!$E$8:$E$2574)=TRIM(IMS!$E1296))*(IMS!$C$8:$C$2574&lt;IMS!$C1296)),
         IMS!$C$8:$C$2574),
"")</f>
        <v/>
      </c>
      <c r="E1296" s="57"/>
      <c r="F1296" s="57"/>
      <c r="G1296" s="77" t="str">
        <f t="shared" si="901"/>
        <v/>
      </c>
      <c r="H1296" s="78" t="str">
        <f t="shared" si="902"/>
        <v/>
      </c>
      <c r="I1296" s="79"/>
      <c r="J1296" s="80" t="str">
        <f t="shared" si="903"/>
        <v>#NAME?</v>
      </c>
      <c r="K1296" s="58"/>
      <c r="L1296" s="58"/>
      <c r="M1296" s="57"/>
      <c r="N1296" s="57"/>
      <c r="O1296" s="58"/>
      <c r="P1296" s="82"/>
      <c r="Q1296" s="81"/>
      <c r="R1296" s="81"/>
      <c r="S1296" s="57"/>
      <c r="T1296" s="82"/>
      <c r="U1296" s="82"/>
      <c r="V1296" s="57"/>
      <c r="W1296" s="57"/>
      <c r="X1296" s="57" t="str">
        <f t="shared" si="917"/>
        <v/>
      </c>
      <c r="Y1296" s="58" t="str">
        <f t="shared" ref="Y1296:AC1296" si="1136">TRIM(SUBSTITUTE(SUBSTITUTE(OFFSET($Q1296,0,COLUMN()-COLUMN($AL$1)),CHAR(160)," "),_xludf.UNICHAR(8239)," "))</f>
        <v>#NAME?</v>
      </c>
      <c r="Z1296" s="58" t="str">
        <f t="shared" si="1136"/>
        <v>#NAME?</v>
      </c>
      <c r="AA1296" s="58" t="str">
        <f t="shared" si="1136"/>
        <v>#NAME?</v>
      </c>
      <c r="AB1296" s="58" t="str">
        <f t="shared" si="1136"/>
        <v>#NAME?</v>
      </c>
      <c r="AC1296" s="58" t="str">
        <f t="shared" si="1136"/>
        <v>#NAME?</v>
      </c>
      <c r="AD1296" s="57">
        <f t="shared" si="906"/>
        <v>0</v>
      </c>
      <c r="AE1296" s="57" t="str">
        <f t="shared" si="907"/>
        <v/>
      </c>
      <c r="AF1296" s="57">
        <f t="shared" si="908"/>
        <v>0</v>
      </c>
      <c r="AG1296" s="59">
        <f t="shared" si="909"/>
        <v>0</v>
      </c>
      <c r="AH1296" s="15"/>
      <c r="AI1296" s="15"/>
      <c r="AJ1296" s="15"/>
      <c r="AK1296" s="15"/>
      <c r="AL1296" s="15"/>
      <c r="AM1296" s="15"/>
      <c r="AN1296" s="15"/>
      <c r="AO1296" s="15"/>
      <c r="AP1296" s="15"/>
      <c r="AQ1296" s="15"/>
      <c r="AR1296" s="15"/>
      <c r="AS1296" s="15"/>
      <c r="AT1296" s="15"/>
      <c r="AU1296" s="15"/>
    </row>
    <row r="1297" ht="24.0" customHeight="1">
      <c r="A1297" s="45">
        <v>2721.0</v>
      </c>
      <c r="B1297" s="57"/>
      <c r="C1297" s="57"/>
      <c r="D1297" s="88" t="str">
        <f t="array" ref="D1297">IFERROR(
  LOOKUP(2, 1/((TRIM(IMS!$E$8:$E$2574)=TRIM(IMS!$E1297))*(IMS!$C$8:$C$2574&lt;IMS!$C1297)),
         IMS!$C$8:$C$2574),
"")</f>
        <v/>
      </c>
      <c r="E1297" s="57"/>
      <c r="F1297" s="57"/>
      <c r="G1297" s="77" t="str">
        <f t="shared" si="901"/>
        <v/>
      </c>
      <c r="H1297" s="78" t="str">
        <f t="shared" si="902"/>
        <v/>
      </c>
      <c r="I1297" s="79"/>
      <c r="J1297" s="80" t="str">
        <f t="shared" si="903"/>
        <v>#NAME?</v>
      </c>
      <c r="K1297" s="58"/>
      <c r="L1297" s="58"/>
      <c r="M1297" s="57"/>
      <c r="N1297" s="57"/>
      <c r="O1297" s="58"/>
      <c r="P1297" s="82"/>
      <c r="Q1297" s="81"/>
      <c r="R1297" s="81"/>
      <c r="S1297" s="57"/>
      <c r="T1297" s="82"/>
      <c r="U1297" s="82"/>
      <c r="V1297" s="57"/>
      <c r="W1297" s="57"/>
      <c r="X1297" s="57" t="str">
        <f t="shared" si="917"/>
        <v/>
      </c>
      <c r="Y1297" s="58" t="str">
        <f t="shared" ref="Y1297:AC1297" si="1137">TRIM(SUBSTITUTE(SUBSTITUTE(OFFSET($Q1297,0,COLUMN()-COLUMN($AL$1)),CHAR(160)," "),_xludf.UNICHAR(8239)," "))</f>
        <v>#NAME?</v>
      </c>
      <c r="Z1297" s="58" t="str">
        <f t="shared" si="1137"/>
        <v>#NAME?</v>
      </c>
      <c r="AA1297" s="58" t="str">
        <f t="shared" si="1137"/>
        <v>#NAME?</v>
      </c>
      <c r="AB1297" s="58" t="str">
        <f t="shared" si="1137"/>
        <v>#NAME?</v>
      </c>
      <c r="AC1297" s="58" t="str">
        <f t="shared" si="1137"/>
        <v>#NAME?</v>
      </c>
      <c r="AD1297" s="57">
        <f t="shared" si="906"/>
        <v>0</v>
      </c>
      <c r="AE1297" s="57" t="str">
        <f t="shared" si="907"/>
        <v/>
      </c>
      <c r="AF1297" s="57">
        <f t="shared" si="908"/>
        <v>0</v>
      </c>
      <c r="AG1297" s="59">
        <f t="shared" si="909"/>
        <v>0</v>
      </c>
      <c r="AH1297" s="15"/>
      <c r="AI1297" s="15"/>
      <c r="AJ1297" s="15"/>
      <c r="AK1297" s="15"/>
      <c r="AL1297" s="15"/>
      <c r="AM1297" s="15"/>
      <c r="AN1297" s="15"/>
      <c r="AO1297" s="15"/>
      <c r="AP1297" s="15"/>
      <c r="AQ1297" s="15"/>
      <c r="AR1297" s="15"/>
      <c r="AS1297" s="15"/>
      <c r="AT1297" s="15"/>
      <c r="AU1297" s="15"/>
    </row>
    <row r="1298" ht="24.0" customHeight="1">
      <c r="A1298" s="45">
        <v>2722.0</v>
      </c>
      <c r="B1298" s="57"/>
      <c r="C1298" s="57"/>
      <c r="D1298" s="88" t="str">
        <f t="array" ref="D1298">IFERROR(
  LOOKUP(2, 1/((TRIM(IMS!$E$8:$E$2574)=TRIM(IMS!$E1298))*(IMS!$C$8:$C$2574&lt;IMS!$C1298)),
         IMS!$C$8:$C$2574),
"")</f>
        <v/>
      </c>
      <c r="E1298" s="57"/>
      <c r="F1298" s="57"/>
      <c r="G1298" s="77" t="str">
        <f t="shared" si="901"/>
        <v/>
      </c>
      <c r="H1298" s="78" t="str">
        <f t="shared" si="902"/>
        <v/>
      </c>
      <c r="I1298" s="79"/>
      <c r="J1298" s="80" t="str">
        <f t="shared" si="903"/>
        <v>#NAME?</v>
      </c>
      <c r="K1298" s="58"/>
      <c r="L1298" s="58"/>
      <c r="M1298" s="57"/>
      <c r="N1298" s="57"/>
      <c r="O1298" s="58"/>
      <c r="P1298" s="82"/>
      <c r="Q1298" s="81"/>
      <c r="R1298" s="81"/>
      <c r="S1298" s="57"/>
      <c r="T1298" s="82"/>
      <c r="U1298" s="82"/>
      <c r="V1298" s="57"/>
      <c r="W1298" s="57"/>
      <c r="X1298" s="57" t="str">
        <f t="shared" si="917"/>
        <v/>
      </c>
      <c r="Y1298" s="58" t="str">
        <f t="shared" ref="Y1298:AC1298" si="1138">TRIM(SUBSTITUTE(SUBSTITUTE(OFFSET($Q1298,0,COLUMN()-COLUMN($AL$1)),CHAR(160)," "),_xludf.UNICHAR(8239)," "))</f>
        <v>#NAME?</v>
      </c>
      <c r="Z1298" s="58" t="str">
        <f t="shared" si="1138"/>
        <v>#NAME?</v>
      </c>
      <c r="AA1298" s="58" t="str">
        <f t="shared" si="1138"/>
        <v>#NAME?</v>
      </c>
      <c r="AB1298" s="58" t="str">
        <f t="shared" si="1138"/>
        <v>#NAME?</v>
      </c>
      <c r="AC1298" s="58" t="str">
        <f t="shared" si="1138"/>
        <v>#NAME?</v>
      </c>
      <c r="AD1298" s="57">
        <f t="shared" si="906"/>
        <v>0</v>
      </c>
      <c r="AE1298" s="57" t="str">
        <f t="shared" si="907"/>
        <v/>
      </c>
      <c r="AF1298" s="57">
        <f t="shared" si="908"/>
        <v>0</v>
      </c>
      <c r="AG1298" s="59">
        <f t="shared" si="909"/>
        <v>0</v>
      </c>
      <c r="AH1298" s="15"/>
      <c r="AI1298" s="15"/>
      <c r="AJ1298" s="15"/>
      <c r="AK1298" s="15"/>
      <c r="AL1298" s="15"/>
      <c r="AM1298" s="15"/>
      <c r="AN1298" s="15"/>
      <c r="AO1298" s="15"/>
      <c r="AP1298" s="15"/>
      <c r="AQ1298" s="15"/>
      <c r="AR1298" s="15"/>
      <c r="AS1298" s="15"/>
      <c r="AT1298" s="15"/>
      <c r="AU1298" s="15"/>
    </row>
    <row r="1299" ht="24.0" customHeight="1">
      <c r="A1299" s="45">
        <v>2723.0</v>
      </c>
      <c r="B1299" s="57"/>
      <c r="C1299" s="57"/>
      <c r="D1299" s="88" t="str">
        <f t="array" ref="D1299">IFERROR(
  LOOKUP(2, 1/((TRIM(IMS!$E$8:$E$2574)=TRIM(IMS!$E1299))*(IMS!$C$8:$C$2574&lt;IMS!$C1299)),
         IMS!$C$8:$C$2574),
"")</f>
        <v/>
      </c>
      <c r="E1299" s="57"/>
      <c r="F1299" s="57"/>
      <c r="G1299" s="77" t="str">
        <f t="shared" si="901"/>
        <v/>
      </c>
      <c r="H1299" s="78" t="str">
        <f t="shared" si="902"/>
        <v/>
      </c>
      <c r="I1299" s="79"/>
      <c r="J1299" s="80" t="str">
        <f t="shared" si="903"/>
        <v>#NAME?</v>
      </c>
      <c r="K1299" s="58"/>
      <c r="L1299" s="58"/>
      <c r="M1299" s="57"/>
      <c r="N1299" s="57"/>
      <c r="O1299" s="58"/>
      <c r="P1299" s="82"/>
      <c r="Q1299" s="81"/>
      <c r="R1299" s="81"/>
      <c r="S1299" s="57"/>
      <c r="T1299" s="82"/>
      <c r="U1299" s="82"/>
      <c r="V1299" s="57"/>
      <c r="W1299" s="57"/>
      <c r="X1299" s="57" t="str">
        <f t="shared" si="917"/>
        <v/>
      </c>
      <c r="Y1299" s="58" t="str">
        <f t="shared" ref="Y1299:AC1299" si="1139">TRIM(SUBSTITUTE(SUBSTITUTE(OFFSET($Q1299,0,COLUMN()-COLUMN($AL$1)),CHAR(160)," "),_xludf.UNICHAR(8239)," "))</f>
        <v>#NAME?</v>
      </c>
      <c r="Z1299" s="58" t="str">
        <f t="shared" si="1139"/>
        <v>#NAME?</v>
      </c>
      <c r="AA1299" s="58" t="str">
        <f t="shared" si="1139"/>
        <v>#NAME?</v>
      </c>
      <c r="AB1299" s="58" t="str">
        <f t="shared" si="1139"/>
        <v>#NAME?</v>
      </c>
      <c r="AC1299" s="58" t="str">
        <f t="shared" si="1139"/>
        <v>#NAME?</v>
      </c>
      <c r="AD1299" s="57">
        <f t="shared" si="906"/>
        <v>0</v>
      </c>
      <c r="AE1299" s="57" t="str">
        <f t="shared" si="907"/>
        <v/>
      </c>
      <c r="AF1299" s="57">
        <f t="shared" si="908"/>
        <v>0</v>
      </c>
      <c r="AG1299" s="59">
        <f t="shared" si="909"/>
        <v>0</v>
      </c>
      <c r="AH1299" s="15"/>
      <c r="AI1299" s="15"/>
      <c r="AJ1299" s="15"/>
      <c r="AK1299" s="15"/>
      <c r="AL1299" s="15"/>
      <c r="AM1299" s="15"/>
      <c r="AN1299" s="15"/>
      <c r="AO1299" s="15"/>
      <c r="AP1299" s="15"/>
      <c r="AQ1299" s="15"/>
      <c r="AR1299" s="15"/>
      <c r="AS1299" s="15"/>
      <c r="AT1299" s="15"/>
      <c r="AU1299" s="15"/>
    </row>
    <row r="1300" ht="24.0" customHeight="1">
      <c r="A1300" s="45">
        <v>2724.0</v>
      </c>
      <c r="B1300" s="57"/>
      <c r="C1300" s="57"/>
      <c r="D1300" s="88" t="str">
        <f t="array" ref="D1300">IFERROR(
  LOOKUP(2, 1/((TRIM(IMS!$E$8:$E$2574)=TRIM(IMS!$E1300))*(IMS!$C$8:$C$2574&lt;IMS!$C1300)),
         IMS!$C$8:$C$2574),
"")</f>
        <v/>
      </c>
      <c r="E1300" s="57"/>
      <c r="F1300" s="57"/>
      <c r="G1300" s="77" t="str">
        <f t="shared" si="901"/>
        <v/>
      </c>
      <c r="H1300" s="78" t="str">
        <f t="shared" si="902"/>
        <v/>
      </c>
      <c r="I1300" s="79"/>
      <c r="J1300" s="80" t="str">
        <f t="shared" si="903"/>
        <v>#NAME?</v>
      </c>
      <c r="K1300" s="58"/>
      <c r="L1300" s="58"/>
      <c r="M1300" s="57"/>
      <c r="N1300" s="57"/>
      <c r="O1300" s="58"/>
      <c r="P1300" s="82"/>
      <c r="Q1300" s="81"/>
      <c r="R1300" s="81"/>
      <c r="S1300" s="57"/>
      <c r="T1300" s="82"/>
      <c r="U1300" s="82"/>
      <c r="V1300" s="57"/>
      <c r="W1300" s="57"/>
      <c r="X1300" s="57" t="str">
        <f t="shared" si="917"/>
        <v/>
      </c>
      <c r="Y1300" s="58" t="str">
        <f t="shared" ref="Y1300:AC1300" si="1140">TRIM(SUBSTITUTE(SUBSTITUTE(OFFSET($Q1300,0,COLUMN()-COLUMN($AL$1)),CHAR(160)," "),_xludf.UNICHAR(8239)," "))</f>
        <v>#NAME?</v>
      </c>
      <c r="Z1300" s="58" t="str">
        <f t="shared" si="1140"/>
        <v>#NAME?</v>
      </c>
      <c r="AA1300" s="58" t="str">
        <f t="shared" si="1140"/>
        <v>#NAME?</v>
      </c>
      <c r="AB1300" s="58" t="str">
        <f t="shared" si="1140"/>
        <v>#NAME?</v>
      </c>
      <c r="AC1300" s="58" t="str">
        <f t="shared" si="1140"/>
        <v>#NAME?</v>
      </c>
      <c r="AD1300" s="57">
        <f t="shared" si="906"/>
        <v>0</v>
      </c>
      <c r="AE1300" s="57" t="str">
        <f t="shared" si="907"/>
        <v/>
      </c>
      <c r="AF1300" s="57">
        <f t="shared" si="908"/>
        <v>0</v>
      </c>
      <c r="AG1300" s="59">
        <f t="shared" si="909"/>
        <v>0</v>
      </c>
      <c r="AH1300" s="15"/>
      <c r="AI1300" s="15"/>
      <c r="AJ1300" s="15"/>
      <c r="AK1300" s="15"/>
      <c r="AL1300" s="15"/>
      <c r="AM1300" s="15"/>
      <c r="AN1300" s="15"/>
      <c r="AO1300" s="15"/>
      <c r="AP1300" s="15"/>
      <c r="AQ1300" s="15"/>
      <c r="AR1300" s="15"/>
      <c r="AS1300" s="15"/>
      <c r="AT1300" s="15"/>
      <c r="AU1300" s="15"/>
    </row>
    <row r="1301" ht="24.0" customHeight="1">
      <c r="A1301" s="45">
        <v>2725.0</v>
      </c>
      <c r="B1301" s="57"/>
      <c r="C1301" s="57"/>
      <c r="D1301" s="88" t="str">
        <f t="array" ref="D1301">IFERROR(
  LOOKUP(2, 1/((TRIM(IMS!$E$8:$E$2574)=TRIM(IMS!$E1301))*(IMS!$C$8:$C$2574&lt;IMS!$C1301)),
         IMS!$C$8:$C$2574),
"")</f>
        <v/>
      </c>
      <c r="E1301" s="57"/>
      <c r="F1301" s="57"/>
      <c r="G1301" s="77" t="str">
        <f t="shared" si="901"/>
        <v/>
      </c>
      <c r="H1301" s="78" t="str">
        <f t="shared" si="902"/>
        <v/>
      </c>
      <c r="I1301" s="79"/>
      <c r="J1301" s="80" t="str">
        <f t="shared" si="903"/>
        <v>#NAME?</v>
      </c>
      <c r="K1301" s="58"/>
      <c r="L1301" s="58"/>
      <c r="M1301" s="57"/>
      <c r="N1301" s="57"/>
      <c r="O1301" s="58"/>
      <c r="P1301" s="82"/>
      <c r="Q1301" s="81"/>
      <c r="R1301" s="81"/>
      <c r="S1301" s="57"/>
      <c r="T1301" s="82"/>
      <c r="U1301" s="82"/>
      <c r="V1301" s="57"/>
      <c r="W1301" s="57"/>
      <c r="X1301" s="57" t="str">
        <f t="shared" si="917"/>
        <v/>
      </c>
      <c r="Y1301" s="58" t="str">
        <f t="shared" ref="Y1301:AC1301" si="1141">TRIM(SUBSTITUTE(SUBSTITUTE(OFFSET($Q1301,0,COLUMN()-COLUMN($AL$1)),CHAR(160)," "),_xludf.UNICHAR(8239)," "))</f>
        <v>#NAME?</v>
      </c>
      <c r="Z1301" s="58" t="str">
        <f t="shared" si="1141"/>
        <v>#NAME?</v>
      </c>
      <c r="AA1301" s="58" t="str">
        <f t="shared" si="1141"/>
        <v>#NAME?</v>
      </c>
      <c r="AB1301" s="58" t="str">
        <f t="shared" si="1141"/>
        <v>#NAME?</v>
      </c>
      <c r="AC1301" s="58" t="str">
        <f t="shared" si="1141"/>
        <v>#NAME?</v>
      </c>
      <c r="AD1301" s="57">
        <f t="shared" si="906"/>
        <v>0</v>
      </c>
      <c r="AE1301" s="57" t="str">
        <f t="shared" si="907"/>
        <v/>
      </c>
      <c r="AF1301" s="57">
        <f t="shared" si="908"/>
        <v>0</v>
      </c>
      <c r="AG1301" s="59">
        <f t="shared" si="909"/>
        <v>0</v>
      </c>
      <c r="AH1301" s="15"/>
      <c r="AI1301" s="15"/>
      <c r="AJ1301" s="15"/>
      <c r="AK1301" s="15"/>
      <c r="AL1301" s="15"/>
      <c r="AM1301" s="15"/>
      <c r="AN1301" s="15"/>
      <c r="AO1301" s="15"/>
      <c r="AP1301" s="15"/>
      <c r="AQ1301" s="15"/>
      <c r="AR1301" s="15"/>
      <c r="AS1301" s="15"/>
      <c r="AT1301" s="15"/>
      <c r="AU1301" s="15"/>
    </row>
    <row r="1302" ht="24.0" customHeight="1">
      <c r="A1302" s="45">
        <v>2726.0</v>
      </c>
      <c r="B1302" s="57"/>
      <c r="C1302" s="57"/>
      <c r="D1302" s="88" t="str">
        <f t="array" ref="D1302">IFERROR(
  LOOKUP(2, 1/((TRIM(IMS!$E$8:$E$2574)=TRIM(IMS!$E1302))*(IMS!$C$8:$C$2574&lt;IMS!$C1302)),
         IMS!$C$8:$C$2574),
"")</f>
        <v/>
      </c>
      <c r="E1302" s="57"/>
      <c r="F1302" s="57"/>
      <c r="G1302" s="77" t="str">
        <f t="shared" si="901"/>
        <v/>
      </c>
      <c r="H1302" s="78" t="str">
        <f t="shared" si="902"/>
        <v/>
      </c>
      <c r="I1302" s="79"/>
      <c r="J1302" s="80" t="str">
        <f t="shared" si="903"/>
        <v>#NAME?</v>
      </c>
      <c r="K1302" s="58"/>
      <c r="L1302" s="58"/>
      <c r="M1302" s="57"/>
      <c r="N1302" s="57"/>
      <c r="O1302" s="58"/>
      <c r="P1302" s="82"/>
      <c r="Q1302" s="81"/>
      <c r="R1302" s="81"/>
      <c r="S1302" s="57"/>
      <c r="T1302" s="82"/>
      <c r="U1302" s="82"/>
      <c r="V1302" s="57"/>
      <c r="W1302" s="57"/>
      <c r="X1302" s="57" t="str">
        <f t="shared" si="917"/>
        <v/>
      </c>
      <c r="Y1302" s="58" t="str">
        <f t="shared" ref="Y1302:AC1302" si="1142">TRIM(SUBSTITUTE(SUBSTITUTE(OFFSET($Q1302,0,COLUMN()-COLUMN($AL$1)),CHAR(160)," "),_xludf.UNICHAR(8239)," "))</f>
        <v>#NAME?</v>
      </c>
      <c r="Z1302" s="58" t="str">
        <f t="shared" si="1142"/>
        <v>#NAME?</v>
      </c>
      <c r="AA1302" s="58" t="str">
        <f t="shared" si="1142"/>
        <v>#NAME?</v>
      </c>
      <c r="AB1302" s="58" t="str">
        <f t="shared" si="1142"/>
        <v>#NAME?</v>
      </c>
      <c r="AC1302" s="58" t="str">
        <f t="shared" si="1142"/>
        <v>#NAME?</v>
      </c>
      <c r="AD1302" s="57">
        <f t="shared" si="906"/>
        <v>0</v>
      </c>
      <c r="AE1302" s="57" t="str">
        <f t="shared" si="907"/>
        <v/>
      </c>
      <c r="AF1302" s="57">
        <f t="shared" si="908"/>
        <v>0</v>
      </c>
      <c r="AG1302" s="59">
        <f t="shared" si="909"/>
        <v>0</v>
      </c>
      <c r="AH1302" s="15"/>
      <c r="AI1302" s="15"/>
      <c r="AJ1302" s="15"/>
      <c r="AK1302" s="15"/>
      <c r="AL1302" s="15"/>
      <c r="AM1302" s="15"/>
      <c r="AN1302" s="15"/>
      <c r="AO1302" s="15"/>
      <c r="AP1302" s="15"/>
      <c r="AQ1302" s="15"/>
      <c r="AR1302" s="15"/>
      <c r="AS1302" s="15"/>
      <c r="AT1302" s="15"/>
      <c r="AU1302" s="15"/>
    </row>
    <row r="1303" ht="24.0" customHeight="1">
      <c r="A1303" s="45">
        <v>2727.0</v>
      </c>
      <c r="B1303" s="57"/>
      <c r="C1303" s="57"/>
      <c r="D1303" s="88" t="str">
        <f t="array" ref="D1303">IFERROR(
  LOOKUP(2, 1/((TRIM(IMS!$E$8:$E$2574)=TRIM(IMS!$E1303))*(IMS!$C$8:$C$2574&lt;IMS!$C1303)),
         IMS!$C$8:$C$2574),
"")</f>
        <v/>
      </c>
      <c r="E1303" s="57"/>
      <c r="F1303" s="57"/>
      <c r="G1303" s="77" t="str">
        <f t="shared" si="901"/>
        <v/>
      </c>
      <c r="H1303" s="78" t="str">
        <f t="shared" si="902"/>
        <v/>
      </c>
      <c r="I1303" s="79"/>
      <c r="J1303" s="80" t="str">
        <f t="shared" si="903"/>
        <v>#NAME?</v>
      </c>
      <c r="K1303" s="58"/>
      <c r="L1303" s="58"/>
      <c r="M1303" s="57"/>
      <c r="N1303" s="57"/>
      <c r="O1303" s="58"/>
      <c r="P1303" s="82"/>
      <c r="Q1303" s="81"/>
      <c r="R1303" s="81"/>
      <c r="S1303" s="57"/>
      <c r="T1303" s="82"/>
      <c r="U1303" s="82"/>
      <c r="V1303" s="57"/>
      <c r="W1303" s="57"/>
      <c r="X1303" s="57" t="str">
        <f t="shared" si="917"/>
        <v/>
      </c>
      <c r="Y1303" s="58" t="str">
        <f t="shared" ref="Y1303:AC1303" si="1143">TRIM(SUBSTITUTE(SUBSTITUTE(OFFSET($Q1303,0,COLUMN()-COLUMN($AL$1)),CHAR(160)," "),_xludf.UNICHAR(8239)," "))</f>
        <v>#NAME?</v>
      </c>
      <c r="Z1303" s="58" t="str">
        <f t="shared" si="1143"/>
        <v>#NAME?</v>
      </c>
      <c r="AA1303" s="58" t="str">
        <f t="shared" si="1143"/>
        <v>#NAME?</v>
      </c>
      <c r="AB1303" s="58" t="str">
        <f t="shared" si="1143"/>
        <v>#NAME?</v>
      </c>
      <c r="AC1303" s="58" t="str">
        <f t="shared" si="1143"/>
        <v>#NAME?</v>
      </c>
      <c r="AD1303" s="57">
        <f t="shared" si="906"/>
        <v>0</v>
      </c>
      <c r="AE1303" s="57" t="str">
        <f t="shared" si="907"/>
        <v/>
      </c>
      <c r="AF1303" s="57">
        <f t="shared" si="908"/>
        <v>0</v>
      </c>
      <c r="AG1303" s="59">
        <f t="shared" si="909"/>
        <v>0</v>
      </c>
      <c r="AH1303" s="15"/>
      <c r="AI1303" s="15"/>
      <c r="AJ1303" s="15"/>
      <c r="AK1303" s="15"/>
      <c r="AL1303" s="15"/>
      <c r="AM1303" s="15"/>
      <c r="AN1303" s="15"/>
      <c r="AO1303" s="15"/>
      <c r="AP1303" s="15"/>
      <c r="AQ1303" s="15"/>
      <c r="AR1303" s="15"/>
      <c r="AS1303" s="15"/>
      <c r="AT1303" s="15"/>
      <c r="AU1303" s="15"/>
    </row>
    <row r="1304" ht="24.0" customHeight="1">
      <c r="A1304" s="45">
        <v>2728.0</v>
      </c>
      <c r="B1304" s="57"/>
      <c r="C1304" s="57"/>
      <c r="D1304" s="88" t="str">
        <f t="array" ref="D1304">IFERROR(
  LOOKUP(2, 1/((TRIM(IMS!$E$8:$E$2574)=TRIM(IMS!$E1304))*(IMS!$C$8:$C$2574&lt;IMS!$C1304)),
         IMS!$C$8:$C$2574),
"")</f>
        <v/>
      </c>
      <c r="E1304" s="57"/>
      <c r="F1304" s="57"/>
      <c r="G1304" s="77" t="str">
        <f t="shared" si="901"/>
        <v/>
      </c>
      <c r="H1304" s="78" t="str">
        <f t="shared" si="902"/>
        <v/>
      </c>
      <c r="I1304" s="79"/>
      <c r="J1304" s="80" t="str">
        <f t="shared" si="903"/>
        <v>#NAME?</v>
      </c>
      <c r="K1304" s="58"/>
      <c r="L1304" s="58"/>
      <c r="M1304" s="57"/>
      <c r="N1304" s="57"/>
      <c r="O1304" s="58"/>
      <c r="P1304" s="82"/>
      <c r="Q1304" s="81"/>
      <c r="R1304" s="81"/>
      <c r="S1304" s="57"/>
      <c r="T1304" s="82"/>
      <c r="U1304" s="82"/>
      <c r="V1304" s="57"/>
      <c r="W1304" s="57"/>
      <c r="X1304" s="57" t="str">
        <f t="shared" si="917"/>
        <v/>
      </c>
      <c r="Y1304" s="58" t="str">
        <f t="shared" ref="Y1304:AC1304" si="1144">TRIM(SUBSTITUTE(SUBSTITUTE(OFFSET($Q1304,0,COLUMN()-COLUMN($AL$1)),CHAR(160)," "),_xludf.UNICHAR(8239)," "))</f>
        <v>#NAME?</v>
      </c>
      <c r="Z1304" s="58" t="str">
        <f t="shared" si="1144"/>
        <v>#NAME?</v>
      </c>
      <c r="AA1304" s="58" t="str">
        <f t="shared" si="1144"/>
        <v>#NAME?</v>
      </c>
      <c r="AB1304" s="58" t="str">
        <f t="shared" si="1144"/>
        <v>#NAME?</v>
      </c>
      <c r="AC1304" s="58" t="str">
        <f t="shared" si="1144"/>
        <v>#NAME?</v>
      </c>
      <c r="AD1304" s="57">
        <f t="shared" si="906"/>
        <v>0</v>
      </c>
      <c r="AE1304" s="57" t="str">
        <f t="shared" si="907"/>
        <v/>
      </c>
      <c r="AF1304" s="57">
        <f t="shared" si="908"/>
        <v>0</v>
      </c>
      <c r="AG1304" s="59">
        <f t="shared" si="909"/>
        <v>0</v>
      </c>
      <c r="AH1304" s="15"/>
      <c r="AI1304" s="15"/>
      <c r="AJ1304" s="15"/>
      <c r="AK1304" s="15"/>
      <c r="AL1304" s="15"/>
      <c r="AM1304" s="15"/>
      <c r="AN1304" s="15"/>
      <c r="AO1304" s="15"/>
      <c r="AP1304" s="15"/>
      <c r="AQ1304" s="15"/>
      <c r="AR1304" s="15"/>
      <c r="AS1304" s="15"/>
      <c r="AT1304" s="15"/>
      <c r="AU1304" s="15"/>
    </row>
    <row r="1305" ht="24.0" customHeight="1">
      <c r="A1305" s="45">
        <v>2729.0</v>
      </c>
      <c r="B1305" s="57"/>
      <c r="C1305" s="57"/>
      <c r="D1305" s="88" t="str">
        <f t="array" ref="D1305">IFERROR(
  LOOKUP(2, 1/((TRIM(IMS!$E$8:$E$2574)=TRIM(IMS!$E1305))*(IMS!$C$8:$C$2574&lt;IMS!$C1305)),
         IMS!$C$8:$C$2574),
"")</f>
        <v/>
      </c>
      <c r="E1305" s="57"/>
      <c r="F1305" s="57"/>
      <c r="G1305" s="77" t="str">
        <f t="shared" si="901"/>
        <v/>
      </c>
      <c r="H1305" s="78" t="str">
        <f t="shared" si="902"/>
        <v/>
      </c>
      <c r="I1305" s="79"/>
      <c r="J1305" s="80" t="str">
        <f t="shared" si="903"/>
        <v>#NAME?</v>
      </c>
      <c r="K1305" s="58"/>
      <c r="L1305" s="58"/>
      <c r="M1305" s="57"/>
      <c r="N1305" s="57"/>
      <c r="O1305" s="58"/>
      <c r="P1305" s="82"/>
      <c r="Q1305" s="81"/>
      <c r="R1305" s="81"/>
      <c r="S1305" s="57"/>
      <c r="T1305" s="82"/>
      <c r="U1305" s="82"/>
      <c r="V1305" s="57"/>
      <c r="W1305" s="57"/>
      <c r="X1305" s="57" t="str">
        <f t="shared" si="917"/>
        <v/>
      </c>
      <c r="Y1305" s="58" t="str">
        <f t="shared" ref="Y1305:AC1305" si="1145">TRIM(SUBSTITUTE(SUBSTITUTE(OFFSET($Q1305,0,COLUMN()-COLUMN($AL$1)),CHAR(160)," "),_xludf.UNICHAR(8239)," "))</f>
        <v>#NAME?</v>
      </c>
      <c r="Z1305" s="58" t="str">
        <f t="shared" si="1145"/>
        <v>#NAME?</v>
      </c>
      <c r="AA1305" s="58" t="str">
        <f t="shared" si="1145"/>
        <v>#NAME?</v>
      </c>
      <c r="AB1305" s="58" t="str">
        <f t="shared" si="1145"/>
        <v>#NAME?</v>
      </c>
      <c r="AC1305" s="58" t="str">
        <f t="shared" si="1145"/>
        <v>#NAME?</v>
      </c>
      <c r="AD1305" s="57">
        <f t="shared" si="906"/>
        <v>0</v>
      </c>
      <c r="AE1305" s="57" t="str">
        <f t="shared" si="907"/>
        <v/>
      </c>
      <c r="AF1305" s="57">
        <f t="shared" si="908"/>
        <v>0</v>
      </c>
      <c r="AG1305" s="59">
        <f t="shared" si="909"/>
        <v>0</v>
      </c>
      <c r="AH1305" s="15"/>
      <c r="AI1305" s="15"/>
      <c r="AJ1305" s="15"/>
      <c r="AK1305" s="15"/>
      <c r="AL1305" s="15"/>
      <c r="AM1305" s="15"/>
      <c r="AN1305" s="15"/>
      <c r="AO1305" s="15"/>
      <c r="AP1305" s="15"/>
      <c r="AQ1305" s="15"/>
      <c r="AR1305" s="15"/>
      <c r="AS1305" s="15"/>
      <c r="AT1305" s="15"/>
      <c r="AU1305" s="15"/>
    </row>
    <row r="1306" ht="24.0" customHeight="1">
      <c r="A1306" s="45">
        <v>2730.0</v>
      </c>
      <c r="B1306" s="57"/>
      <c r="C1306" s="57"/>
      <c r="D1306" s="88" t="str">
        <f t="array" ref="D1306">IFERROR(
  LOOKUP(2, 1/((TRIM(IMS!$E$8:$E$2574)=TRIM(IMS!$E1306))*(IMS!$C$8:$C$2574&lt;IMS!$C1306)),
         IMS!$C$8:$C$2574),
"")</f>
        <v/>
      </c>
      <c r="E1306" s="57"/>
      <c r="F1306" s="57"/>
      <c r="G1306" s="77" t="str">
        <f t="shared" si="901"/>
        <v/>
      </c>
      <c r="H1306" s="78" t="str">
        <f t="shared" si="902"/>
        <v/>
      </c>
      <c r="I1306" s="79"/>
      <c r="J1306" s="80" t="str">
        <f t="shared" si="903"/>
        <v>#NAME?</v>
      </c>
      <c r="K1306" s="58"/>
      <c r="L1306" s="58"/>
      <c r="M1306" s="57"/>
      <c r="N1306" s="57"/>
      <c r="O1306" s="58"/>
      <c r="P1306" s="82"/>
      <c r="Q1306" s="81"/>
      <c r="R1306" s="81"/>
      <c r="S1306" s="57"/>
      <c r="T1306" s="82"/>
      <c r="U1306" s="82"/>
      <c r="V1306" s="57"/>
      <c r="W1306" s="57"/>
      <c r="X1306" s="57" t="str">
        <f t="shared" si="917"/>
        <v/>
      </c>
      <c r="Y1306" s="58" t="str">
        <f t="shared" ref="Y1306:AC1306" si="1146">TRIM(SUBSTITUTE(SUBSTITUTE(OFFSET($Q1306,0,COLUMN()-COLUMN($AL$1)),CHAR(160)," "),_xludf.UNICHAR(8239)," "))</f>
        <v>#NAME?</v>
      </c>
      <c r="Z1306" s="58" t="str">
        <f t="shared" si="1146"/>
        <v>#NAME?</v>
      </c>
      <c r="AA1306" s="58" t="str">
        <f t="shared" si="1146"/>
        <v>#NAME?</v>
      </c>
      <c r="AB1306" s="58" t="str">
        <f t="shared" si="1146"/>
        <v>#NAME?</v>
      </c>
      <c r="AC1306" s="58" t="str">
        <f t="shared" si="1146"/>
        <v>#NAME?</v>
      </c>
      <c r="AD1306" s="57">
        <f t="shared" si="906"/>
        <v>0</v>
      </c>
      <c r="AE1306" s="57" t="str">
        <f t="shared" si="907"/>
        <v/>
      </c>
      <c r="AF1306" s="57">
        <f t="shared" si="908"/>
        <v>0</v>
      </c>
      <c r="AG1306" s="59">
        <f t="shared" si="909"/>
        <v>0</v>
      </c>
      <c r="AH1306" s="15"/>
      <c r="AI1306" s="15"/>
      <c r="AJ1306" s="15"/>
      <c r="AK1306" s="15"/>
      <c r="AL1306" s="15"/>
      <c r="AM1306" s="15"/>
      <c r="AN1306" s="15"/>
      <c r="AO1306" s="15"/>
      <c r="AP1306" s="15"/>
      <c r="AQ1306" s="15"/>
      <c r="AR1306" s="15"/>
      <c r="AS1306" s="15"/>
      <c r="AT1306" s="15"/>
      <c r="AU1306" s="15"/>
    </row>
    <row r="1307" ht="24.0" customHeight="1">
      <c r="A1307" s="45">
        <v>2731.0</v>
      </c>
      <c r="B1307" s="57"/>
      <c r="C1307" s="57"/>
      <c r="D1307" s="88" t="str">
        <f t="array" ref="D1307">IFERROR(
  LOOKUP(2, 1/((TRIM(IMS!$E$8:$E$2574)=TRIM(IMS!$E1307))*(IMS!$C$8:$C$2574&lt;IMS!$C1307)),
         IMS!$C$8:$C$2574),
"")</f>
        <v/>
      </c>
      <c r="E1307" s="57"/>
      <c r="F1307" s="57"/>
      <c r="G1307" s="77" t="str">
        <f t="shared" si="901"/>
        <v/>
      </c>
      <c r="H1307" s="78" t="str">
        <f t="shared" si="902"/>
        <v/>
      </c>
      <c r="I1307" s="79"/>
      <c r="J1307" s="80" t="str">
        <f t="shared" si="903"/>
        <v>#NAME?</v>
      </c>
      <c r="K1307" s="58"/>
      <c r="L1307" s="58"/>
      <c r="M1307" s="57"/>
      <c r="N1307" s="57"/>
      <c r="O1307" s="58"/>
      <c r="P1307" s="82"/>
      <c r="Q1307" s="81"/>
      <c r="R1307" s="81"/>
      <c r="S1307" s="57"/>
      <c r="T1307" s="82"/>
      <c r="U1307" s="82"/>
      <c r="V1307" s="57"/>
      <c r="W1307" s="57"/>
      <c r="X1307" s="57" t="str">
        <f t="shared" si="917"/>
        <v/>
      </c>
      <c r="Y1307" s="58" t="str">
        <f t="shared" ref="Y1307:AC1307" si="1147">TRIM(SUBSTITUTE(SUBSTITUTE(OFFSET($Q1307,0,COLUMN()-COLUMN($AL$1)),CHAR(160)," "),_xludf.UNICHAR(8239)," "))</f>
        <v>#NAME?</v>
      </c>
      <c r="Z1307" s="58" t="str">
        <f t="shared" si="1147"/>
        <v>#NAME?</v>
      </c>
      <c r="AA1307" s="58" t="str">
        <f t="shared" si="1147"/>
        <v>#NAME?</v>
      </c>
      <c r="AB1307" s="58" t="str">
        <f t="shared" si="1147"/>
        <v>#NAME?</v>
      </c>
      <c r="AC1307" s="58" t="str">
        <f t="shared" si="1147"/>
        <v>#NAME?</v>
      </c>
      <c r="AD1307" s="57">
        <f t="shared" si="906"/>
        <v>0</v>
      </c>
      <c r="AE1307" s="57" t="str">
        <f t="shared" si="907"/>
        <v/>
      </c>
      <c r="AF1307" s="57">
        <f t="shared" si="908"/>
        <v>0</v>
      </c>
      <c r="AG1307" s="59">
        <f t="shared" si="909"/>
        <v>0</v>
      </c>
      <c r="AH1307" s="15"/>
      <c r="AI1307" s="15"/>
      <c r="AJ1307" s="15"/>
      <c r="AK1307" s="15"/>
      <c r="AL1307" s="15"/>
      <c r="AM1307" s="15"/>
      <c r="AN1307" s="15"/>
      <c r="AO1307" s="15"/>
      <c r="AP1307" s="15"/>
      <c r="AQ1307" s="15"/>
      <c r="AR1307" s="15"/>
      <c r="AS1307" s="15"/>
      <c r="AT1307" s="15"/>
      <c r="AU1307" s="15"/>
    </row>
    <row r="1308" ht="24.0" customHeight="1">
      <c r="A1308" s="45">
        <v>2732.0</v>
      </c>
      <c r="B1308" s="57"/>
      <c r="C1308" s="57"/>
      <c r="D1308" s="88" t="str">
        <f t="array" ref="D1308">IFERROR(
  LOOKUP(2, 1/((TRIM(IMS!$E$8:$E$2574)=TRIM(IMS!$E1308))*(IMS!$C$8:$C$2574&lt;IMS!$C1308)),
         IMS!$C$8:$C$2574),
"")</f>
        <v/>
      </c>
      <c r="E1308" s="57"/>
      <c r="F1308" s="57"/>
      <c r="G1308" s="77" t="str">
        <f t="shared" si="901"/>
        <v/>
      </c>
      <c r="H1308" s="78" t="str">
        <f t="shared" si="902"/>
        <v/>
      </c>
      <c r="I1308" s="79"/>
      <c r="J1308" s="80" t="str">
        <f t="shared" si="903"/>
        <v>#NAME?</v>
      </c>
      <c r="K1308" s="58"/>
      <c r="L1308" s="58"/>
      <c r="M1308" s="57"/>
      <c r="N1308" s="57"/>
      <c r="O1308" s="58"/>
      <c r="P1308" s="82"/>
      <c r="Q1308" s="81"/>
      <c r="R1308" s="81"/>
      <c r="S1308" s="57"/>
      <c r="T1308" s="82"/>
      <c r="U1308" s="82"/>
      <c r="V1308" s="57"/>
      <c r="W1308" s="57"/>
      <c r="X1308" s="57" t="str">
        <f t="shared" si="917"/>
        <v/>
      </c>
      <c r="Y1308" s="58" t="str">
        <f t="shared" ref="Y1308:AC1308" si="1148">TRIM(SUBSTITUTE(SUBSTITUTE(OFFSET($Q1308,0,COLUMN()-COLUMN($AL$1)),CHAR(160)," "),_xludf.UNICHAR(8239)," "))</f>
        <v>#NAME?</v>
      </c>
      <c r="Z1308" s="58" t="str">
        <f t="shared" si="1148"/>
        <v>#NAME?</v>
      </c>
      <c r="AA1308" s="58" t="str">
        <f t="shared" si="1148"/>
        <v>#NAME?</v>
      </c>
      <c r="AB1308" s="58" t="str">
        <f t="shared" si="1148"/>
        <v>#NAME?</v>
      </c>
      <c r="AC1308" s="58" t="str">
        <f t="shared" si="1148"/>
        <v>#NAME?</v>
      </c>
      <c r="AD1308" s="57">
        <f t="shared" si="906"/>
        <v>0</v>
      </c>
      <c r="AE1308" s="57" t="str">
        <f t="shared" si="907"/>
        <v/>
      </c>
      <c r="AF1308" s="57">
        <f t="shared" si="908"/>
        <v>0</v>
      </c>
      <c r="AG1308" s="59">
        <f t="shared" si="909"/>
        <v>0</v>
      </c>
      <c r="AH1308" s="15"/>
      <c r="AI1308" s="15"/>
      <c r="AJ1308" s="15"/>
      <c r="AK1308" s="15"/>
      <c r="AL1308" s="15"/>
      <c r="AM1308" s="15"/>
      <c r="AN1308" s="15"/>
      <c r="AO1308" s="15"/>
      <c r="AP1308" s="15"/>
      <c r="AQ1308" s="15"/>
      <c r="AR1308" s="15"/>
      <c r="AS1308" s="15"/>
      <c r="AT1308" s="15"/>
      <c r="AU1308" s="15"/>
    </row>
    <row r="1309" ht="24.0" customHeight="1">
      <c r="A1309" s="45">
        <v>2733.0</v>
      </c>
      <c r="B1309" s="57"/>
      <c r="C1309" s="57"/>
      <c r="D1309" s="88" t="str">
        <f t="array" ref="D1309">IFERROR(
  LOOKUP(2, 1/((TRIM(IMS!$E$8:$E$2574)=TRIM(IMS!$E1309))*(IMS!$C$8:$C$2574&lt;IMS!$C1309)),
         IMS!$C$8:$C$2574),
"")</f>
        <v/>
      </c>
      <c r="E1309" s="57"/>
      <c r="F1309" s="57"/>
      <c r="G1309" s="77" t="str">
        <f t="shared" si="901"/>
        <v/>
      </c>
      <c r="H1309" s="78" t="str">
        <f t="shared" si="902"/>
        <v/>
      </c>
      <c r="I1309" s="79"/>
      <c r="J1309" s="80" t="str">
        <f t="shared" si="903"/>
        <v>#NAME?</v>
      </c>
      <c r="K1309" s="58"/>
      <c r="L1309" s="58"/>
      <c r="M1309" s="57"/>
      <c r="N1309" s="57"/>
      <c r="O1309" s="58"/>
      <c r="P1309" s="82"/>
      <c r="Q1309" s="81"/>
      <c r="R1309" s="81"/>
      <c r="S1309" s="57"/>
      <c r="T1309" s="82"/>
      <c r="U1309" s="82"/>
      <c r="V1309" s="57"/>
      <c r="W1309" s="57"/>
      <c r="X1309" s="57" t="str">
        <f t="shared" si="917"/>
        <v/>
      </c>
      <c r="Y1309" s="58" t="str">
        <f t="shared" ref="Y1309:AC1309" si="1149">TRIM(SUBSTITUTE(SUBSTITUTE(OFFSET($Q1309,0,COLUMN()-COLUMN($AL$1)),CHAR(160)," "),_xludf.UNICHAR(8239)," "))</f>
        <v>#NAME?</v>
      </c>
      <c r="Z1309" s="58" t="str">
        <f t="shared" si="1149"/>
        <v>#NAME?</v>
      </c>
      <c r="AA1309" s="58" t="str">
        <f t="shared" si="1149"/>
        <v>#NAME?</v>
      </c>
      <c r="AB1309" s="58" t="str">
        <f t="shared" si="1149"/>
        <v>#NAME?</v>
      </c>
      <c r="AC1309" s="58" t="str">
        <f t="shared" si="1149"/>
        <v>#NAME?</v>
      </c>
      <c r="AD1309" s="57">
        <f t="shared" si="906"/>
        <v>0</v>
      </c>
      <c r="AE1309" s="57" t="str">
        <f t="shared" si="907"/>
        <v/>
      </c>
      <c r="AF1309" s="57">
        <f t="shared" si="908"/>
        <v>0</v>
      </c>
      <c r="AG1309" s="59">
        <f t="shared" si="909"/>
        <v>0</v>
      </c>
      <c r="AH1309" s="15"/>
      <c r="AI1309" s="15"/>
      <c r="AJ1309" s="15"/>
      <c r="AK1309" s="15"/>
      <c r="AL1309" s="15"/>
      <c r="AM1309" s="15"/>
      <c r="AN1309" s="15"/>
      <c r="AO1309" s="15"/>
      <c r="AP1309" s="15"/>
      <c r="AQ1309" s="15"/>
      <c r="AR1309" s="15"/>
      <c r="AS1309" s="15"/>
      <c r="AT1309" s="15"/>
      <c r="AU1309" s="15"/>
    </row>
    <row r="1310" ht="24.0" customHeight="1">
      <c r="A1310" s="45">
        <v>2734.0</v>
      </c>
      <c r="B1310" s="57"/>
      <c r="C1310" s="57"/>
      <c r="D1310" s="88" t="str">
        <f t="array" ref="D1310">IFERROR(
  LOOKUP(2, 1/((TRIM(IMS!$E$8:$E$2574)=TRIM(IMS!$E1310))*(IMS!$C$8:$C$2574&lt;IMS!$C1310)),
         IMS!$C$8:$C$2574),
"")</f>
        <v/>
      </c>
      <c r="E1310" s="57"/>
      <c r="F1310" s="57"/>
      <c r="G1310" s="77" t="str">
        <f t="shared" si="901"/>
        <v/>
      </c>
      <c r="H1310" s="78" t="str">
        <f t="shared" si="902"/>
        <v/>
      </c>
      <c r="I1310" s="79"/>
      <c r="J1310" s="80" t="str">
        <f t="shared" si="903"/>
        <v>#NAME?</v>
      </c>
      <c r="K1310" s="58"/>
      <c r="L1310" s="58"/>
      <c r="M1310" s="57"/>
      <c r="N1310" s="57"/>
      <c r="O1310" s="58"/>
      <c r="P1310" s="82"/>
      <c r="Q1310" s="81"/>
      <c r="R1310" s="81"/>
      <c r="S1310" s="57"/>
      <c r="T1310" s="82"/>
      <c r="U1310" s="82"/>
      <c r="V1310" s="57"/>
      <c r="W1310" s="57"/>
      <c r="X1310" s="57" t="str">
        <f t="shared" si="917"/>
        <v/>
      </c>
      <c r="Y1310" s="58" t="str">
        <f t="shared" ref="Y1310:AC1310" si="1150">TRIM(SUBSTITUTE(SUBSTITUTE(OFFSET($Q1310,0,COLUMN()-COLUMN($AL$1)),CHAR(160)," "),_xludf.UNICHAR(8239)," "))</f>
        <v>#NAME?</v>
      </c>
      <c r="Z1310" s="58" t="str">
        <f t="shared" si="1150"/>
        <v>#NAME?</v>
      </c>
      <c r="AA1310" s="58" t="str">
        <f t="shared" si="1150"/>
        <v>#NAME?</v>
      </c>
      <c r="AB1310" s="58" t="str">
        <f t="shared" si="1150"/>
        <v>#NAME?</v>
      </c>
      <c r="AC1310" s="58" t="str">
        <f t="shared" si="1150"/>
        <v>#NAME?</v>
      </c>
      <c r="AD1310" s="57">
        <f t="shared" si="906"/>
        <v>0</v>
      </c>
      <c r="AE1310" s="57" t="str">
        <f t="shared" si="907"/>
        <v/>
      </c>
      <c r="AF1310" s="57">
        <f t="shared" si="908"/>
        <v>0</v>
      </c>
      <c r="AG1310" s="59">
        <f t="shared" si="909"/>
        <v>0</v>
      </c>
      <c r="AH1310" s="15"/>
      <c r="AI1310" s="15"/>
      <c r="AJ1310" s="15"/>
      <c r="AK1310" s="15"/>
      <c r="AL1310" s="15"/>
      <c r="AM1310" s="15"/>
      <c r="AN1310" s="15"/>
      <c r="AO1310" s="15"/>
      <c r="AP1310" s="15"/>
      <c r="AQ1310" s="15"/>
      <c r="AR1310" s="15"/>
      <c r="AS1310" s="15"/>
      <c r="AT1310" s="15"/>
      <c r="AU1310" s="15"/>
    </row>
    <row r="1311" ht="24.0" customHeight="1">
      <c r="A1311" s="45">
        <v>2735.0</v>
      </c>
      <c r="B1311" s="57"/>
      <c r="C1311" s="57"/>
      <c r="D1311" s="88" t="str">
        <f t="array" ref="D1311">IFERROR(
  LOOKUP(2, 1/((TRIM(IMS!$E$8:$E$2574)=TRIM(IMS!$E1311))*(IMS!$C$8:$C$2574&lt;IMS!$C1311)),
         IMS!$C$8:$C$2574),
"")</f>
        <v/>
      </c>
      <c r="E1311" s="57"/>
      <c r="F1311" s="57"/>
      <c r="G1311" s="77" t="str">
        <f t="shared" si="901"/>
        <v/>
      </c>
      <c r="H1311" s="78" t="str">
        <f t="shared" si="902"/>
        <v/>
      </c>
      <c r="I1311" s="79"/>
      <c r="J1311" s="80" t="str">
        <f t="shared" si="903"/>
        <v>#NAME?</v>
      </c>
      <c r="K1311" s="58"/>
      <c r="L1311" s="58"/>
      <c r="M1311" s="57"/>
      <c r="N1311" s="57"/>
      <c r="O1311" s="58"/>
      <c r="P1311" s="82"/>
      <c r="Q1311" s="81"/>
      <c r="R1311" s="81"/>
      <c r="S1311" s="57"/>
      <c r="T1311" s="82"/>
      <c r="U1311" s="82"/>
      <c r="V1311" s="57"/>
      <c r="W1311" s="57"/>
      <c r="X1311" s="57" t="str">
        <f t="shared" si="917"/>
        <v/>
      </c>
      <c r="Y1311" s="58" t="str">
        <f t="shared" ref="Y1311:AC1311" si="1151">TRIM(SUBSTITUTE(SUBSTITUTE(OFFSET($Q1311,0,COLUMN()-COLUMN($AL$1)),CHAR(160)," "),_xludf.UNICHAR(8239)," "))</f>
        <v>#NAME?</v>
      </c>
      <c r="Z1311" s="58" t="str">
        <f t="shared" si="1151"/>
        <v>#NAME?</v>
      </c>
      <c r="AA1311" s="58" t="str">
        <f t="shared" si="1151"/>
        <v>#NAME?</v>
      </c>
      <c r="AB1311" s="58" t="str">
        <f t="shared" si="1151"/>
        <v>#NAME?</v>
      </c>
      <c r="AC1311" s="58" t="str">
        <f t="shared" si="1151"/>
        <v>#NAME?</v>
      </c>
      <c r="AD1311" s="57">
        <f t="shared" si="906"/>
        <v>0</v>
      </c>
      <c r="AE1311" s="57" t="str">
        <f t="shared" si="907"/>
        <v/>
      </c>
      <c r="AF1311" s="57">
        <f t="shared" si="908"/>
        <v>0</v>
      </c>
      <c r="AG1311" s="59">
        <f t="shared" si="909"/>
        <v>0</v>
      </c>
      <c r="AH1311" s="15"/>
      <c r="AI1311" s="15"/>
      <c r="AJ1311" s="15"/>
      <c r="AK1311" s="15"/>
      <c r="AL1311" s="15"/>
      <c r="AM1311" s="15"/>
      <c r="AN1311" s="15"/>
      <c r="AO1311" s="15"/>
      <c r="AP1311" s="15"/>
      <c r="AQ1311" s="15"/>
      <c r="AR1311" s="15"/>
      <c r="AS1311" s="15"/>
      <c r="AT1311" s="15"/>
      <c r="AU1311" s="15"/>
    </row>
    <row r="1312" ht="24.0" customHeight="1">
      <c r="A1312" s="45">
        <v>2736.0</v>
      </c>
      <c r="B1312" s="57"/>
      <c r="C1312" s="57"/>
      <c r="D1312" s="88" t="str">
        <f t="array" ref="D1312">IFERROR(
  LOOKUP(2, 1/((TRIM(IMS!$E$8:$E$2574)=TRIM(IMS!$E1312))*(IMS!$C$8:$C$2574&lt;IMS!$C1312)),
         IMS!$C$8:$C$2574),
"")</f>
        <v/>
      </c>
      <c r="E1312" s="57"/>
      <c r="F1312" s="57"/>
      <c r="G1312" s="77" t="str">
        <f t="shared" si="901"/>
        <v/>
      </c>
      <c r="H1312" s="78" t="str">
        <f t="shared" si="902"/>
        <v/>
      </c>
      <c r="I1312" s="79"/>
      <c r="J1312" s="80" t="str">
        <f t="shared" si="903"/>
        <v>#NAME?</v>
      </c>
      <c r="K1312" s="58"/>
      <c r="L1312" s="58"/>
      <c r="M1312" s="57"/>
      <c r="N1312" s="57"/>
      <c r="O1312" s="58"/>
      <c r="P1312" s="82"/>
      <c r="Q1312" s="81"/>
      <c r="R1312" s="81"/>
      <c r="S1312" s="57"/>
      <c r="T1312" s="82"/>
      <c r="U1312" s="82"/>
      <c r="V1312" s="57"/>
      <c r="W1312" s="57"/>
      <c r="X1312" s="57" t="str">
        <f t="shared" si="917"/>
        <v/>
      </c>
      <c r="Y1312" s="58" t="str">
        <f t="shared" ref="Y1312:AC1312" si="1152">TRIM(SUBSTITUTE(SUBSTITUTE(OFFSET($Q1312,0,COLUMN()-COLUMN($AL$1)),CHAR(160)," "),_xludf.UNICHAR(8239)," "))</f>
        <v>#NAME?</v>
      </c>
      <c r="Z1312" s="58" t="str">
        <f t="shared" si="1152"/>
        <v>#NAME?</v>
      </c>
      <c r="AA1312" s="58" t="str">
        <f t="shared" si="1152"/>
        <v>#NAME?</v>
      </c>
      <c r="AB1312" s="58" t="str">
        <f t="shared" si="1152"/>
        <v>#NAME?</v>
      </c>
      <c r="AC1312" s="58" t="str">
        <f t="shared" si="1152"/>
        <v>#NAME?</v>
      </c>
      <c r="AD1312" s="57">
        <f t="shared" si="906"/>
        <v>0</v>
      </c>
      <c r="AE1312" s="57" t="str">
        <f t="shared" si="907"/>
        <v/>
      </c>
      <c r="AF1312" s="57">
        <f t="shared" si="908"/>
        <v>0</v>
      </c>
      <c r="AG1312" s="59">
        <f t="shared" si="909"/>
        <v>0</v>
      </c>
      <c r="AH1312" s="15"/>
      <c r="AI1312" s="15"/>
      <c r="AJ1312" s="15"/>
      <c r="AK1312" s="15"/>
      <c r="AL1312" s="15"/>
      <c r="AM1312" s="15"/>
      <c r="AN1312" s="15"/>
      <c r="AO1312" s="15"/>
      <c r="AP1312" s="15"/>
      <c r="AQ1312" s="15"/>
      <c r="AR1312" s="15"/>
      <c r="AS1312" s="15"/>
      <c r="AT1312" s="15"/>
      <c r="AU1312" s="15"/>
    </row>
    <row r="1313" ht="24.0" customHeight="1">
      <c r="A1313" s="45">
        <v>2737.0</v>
      </c>
      <c r="B1313" s="57"/>
      <c r="C1313" s="57"/>
      <c r="D1313" s="88" t="str">
        <f t="array" ref="D1313">IFERROR(
  LOOKUP(2, 1/((TRIM(IMS!$E$8:$E$2574)=TRIM(IMS!$E1313))*(IMS!$C$8:$C$2574&lt;IMS!$C1313)),
         IMS!$C$8:$C$2574),
"")</f>
        <v/>
      </c>
      <c r="E1313" s="57"/>
      <c r="F1313" s="57"/>
      <c r="G1313" s="77" t="str">
        <f t="shared" si="901"/>
        <v/>
      </c>
      <c r="H1313" s="78" t="str">
        <f t="shared" si="902"/>
        <v/>
      </c>
      <c r="I1313" s="79"/>
      <c r="J1313" s="80" t="str">
        <f t="shared" si="903"/>
        <v>#NAME?</v>
      </c>
      <c r="K1313" s="58"/>
      <c r="L1313" s="58"/>
      <c r="M1313" s="57"/>
      <c r="N1313" s="57"/>
      <c r="O1313" s="58"/>
      <c r="P1313" s="82"/>
      <c r="Q1313" s="81"/>
      <c r="R1313" s="81"/>
      <c r="S1313" s="57"/>
      <c r="T1313" s="82"/>
      <c r="U1313" s="82"/>
      <c r="V1313" s="57"/>
      <c r="W1313" s="57"/>
      <c r="X1313" s="57" t="str">
        <f t="shared" si="917"/>
        <v/>
      </c>
      <c r="Y1313" s="58" t="str">
        <f t="shared" ref="Y1313:AC1313" si="1153">TRIM(SUBSTITUTE(SUBSTITUTE(OFFSET($Q1313,0,COLUMN()-COLUMN($AL$1)),CHAR(160)," "),_xludf.UNICHAR(8239)," "))</f>
        <v>#NAME?</v>
      </c>
      <c r="Z1313" s="58" t="str">
        <f t="shared" si="1153"/>
        <v>#NAME?</v>
      </c>
      <c r="AA1313" s="58" t="str">
        <f t="shared" si="1153"/>
        <v>#NAME?</v>
      </c>
      <c r="AB1313" s="58" t="str">
        <f t="shared" si="1153"/>
        <v>#NAME?</v>
      </c>
      <c r="AC1313" s="58" t="str">
        <f t="shared" si="1153"/>
        <v>#NAME?</v>
      </c>
      <c r="AD1313" s="57">
        <f t="shared" si="906"/>
        <v>0</v>
      </c>
      <c r="AE1313" s="57" t="str">
        <f t="shared" si="907"/>
        <v/>
      </c>
      <c r="AF1313" s="57">
        <f t="shared" si="908"/>
        <v>0</v>
      </c>
      <c r="AG1313" s="59">
        <f t="shared" si="909"/>
        <v>0</v>
      </c>
      <c r="AH1313" s="15"/>
      <c r="AI1313" s="15"/>
      <c r="AJ1313" s="15"/>
      <c r="AK1313" s="15"/>
      <c r="AL1313" s="15"/>
      <c r="AM1313" s="15"/>
      <c r="AN1313" s="15"/>
      <c r="AO1313" s="15"/>
      <c r="AP1313" s="15"/>
      <c r="AQ1313" s="15"/>
      <c r="AR1313" s="15"/>
      <c r="AS1313" s="15"/>
      <c r="AT1313" s="15"/>
      <c r="AU1313" s="15"/>
    </row>
    <row r="1314" ht="24.0" customHeight="1">
      <c r="A1314" s="45">
        <v>2738.0</v>
      </c>
      <c r="B1314" s="57"/>
      <c r="C1314" s="57"/>
      <c r="D1314" s="88" t="str">
        <f t="array" ref="D1314">IFERROR(
  LOOKUP(2, 1/((TRIM(IMS!$E$8:$E$2574)=TRIM(IMS!$E1314))*(IMS!$C$8:$C$2574&lt;IMS!$C1314)),
         IMS!$C$8:$C$2574),
"")</f>
        <v/>
      </c>
      <c r="E1314" s="57"/>
      <c r="F1314" s="57"/>
      <c r="G1314" s="77" t="str">
        <f t="shared" si="901"/>
        <v/>
      </c>
      <c r="H1314" s="78" t="str">
        <f t="shared" si="902"/>
        <v/>
      </c>
      <c r="I1314" s="79"/>
      <c r="J1314" s="80" t="str">
        <f t="shared" si="903"/>
        <v>#NAME?</v>
      </c>
      <c r="K1314" s="58"/>
      <c r="L1314" s="58"/>
      <c r="M1314" s="57"/>
      <c r="N1314" s="57"/>
      <c r="O1314" s="58"/>
      <c r="P1314" s="82"/>
      <c r="Q1314" s="81"/>
      <c r="R1314" s="81"/>
      <c r="S1314" s="57"/>
      <c r="T1314" s="82"/>
      <c r="U1314" s="82"/>
      <c r="V1314" s="57"/>
      <c r="W1314" s="57"/>
      <c r="X1314" s="57" t="str">
        <f t="shared" si="917"/>
        <v/>
      </c>
      <c r="Y1314" s="58" t="str">
        <f t="shared" ref="Y1314:AC1314" si="1154">TRIM(SUBSTITUTE(SUBSTITUTE(OFFSET($Q1314,0,COLUMN()-COLUMN($AL$1)),CHAR(160)," "),_xludf.UNICHAR(8239)," "))</f>
        <v>#NAME?</v>
      </c>
      <c r="Z1314" s="58" t="str">
        <f t="shared" si="1154"/>
        <v>#NAME?</v>
      </c>
      <c r="AA1314" s="58" t="str">
        <f t="shared" si="1154"/>
        <v>#NAME?</v>
      </c>
      <c r="AB1314" s="58" t="str">
        <f t="shared" si="1154"/>
        <v>#NAME?</v>
      </c>
      <c r="AC1314" s="58" t="str">
        <f t="shared" si="1154"/>
        <v>#NAME?</v>
      </c>
      <c r="AD1314" s="57">
        <f t="shared" si="906"/>
        <v>0</v>
      </c>
      <c r="AE1314" s="57" t="str">
        <f t="shared" si="907"/>
        <v/>
      </c>
      <c r="AF1314" s="57">
        <f t="shared" si="908"/>
        <v>0</v>
      </c>
      <c r="AG1314" s="59">
        <f t="shared" si="909"/>
        <v>0</v>
      </c>
      <c r="AH1314" s="15"/>
      <c r="AI1314" s="15"/>
      <c r="AJ1314" s="15"/>
      <c r="AK1314" s="15"/>
      <c r="AL1314" s="15"/>
      <c r="AM1314" s="15"/>
      <c r="AN1314" s="15"/>
      <c r="AO1314" s="15"/>
      <c r="AP1314" s="15"/>
      <c r="AQ1314" s="15"/>
      <c r="AR1314" s="15"/>
      <c r="AS1314" s="15"/>
      <c r="AT1314" s="15"/>
      <c r="AU1314" s="15"/>
    </row>
    <row r="1315" ht="24.0" customHeight="1">
      <c r="A1315" s="45">
        <v>2739.0</v>
      </c>
      <c r="B1315" s="57"/>
      <c r="C1315" s="57"/>
      <c r="D1315" s="88" t="str">
        <f t="array" ref="D1315">IFERROR(
  LOOKUP(2, 1/((TRIM(IMS!$E$8:$E$2574)=TRIM(IMS!$E1315))*(IMS!$C$8:$C$2574&lt;IMS!$C1315)),
         IMS!$C$8:$C$2574),
"")</f>
        <v/>
      </c>
      <c r="E1315" s="57"/>
      <c r="F1315" s="57"/>
      <c r="G1315" s="77" t="str">
        <f t="shared" si="901"/>
        <v/>
      </c>
      <c r="H1315" s="78" t="str">
        <f t="shared" si="902"/>
        <v/>
      </c>
      <c r="I1315" s="79"/>
      <c r="J1315" s="80" t="str">
        <f t="shared" si="903"/>
        <v>#NAME?</v>
      </c>
      <c r="K1315" s="58"/>
      <c r="L1315" s="58"/>
      <c r="M1315" s="57"/>
      <c r="N1315" s="57"/>
      <c r="O1315" s="58"/>
      <c r="P1315" s="82"/>
      <c r="Q1315" s="81"/>
      <c r="R1315" s="81"/>
      <c r="S1315" s="57"/>
      <c r="T1315" s="82"/>
      <c r="U1315" s="82"/>
      <c r="V1315" s="57"/>
      <c r="W1315" s="57"/>
      <c r="X1315" s="57" t="str">
        <f t="shared" si="917"/>
        <v/>
      </c>
      <c r="Y1315" s="58" t="str">
        <f t="shared" ref="Y1315:AC1315" si="1155">TRIM(SUBSTITUTE(SUBSTITUTE(OFFSET($Q1315,0,COLUMN()-COLUMN($AL$1)),CHAR(160)," "),_xludf.UNICHAR(8239)," "))</f>
        <v>#NAME?</v>
      </c>
      <c r="Z1315" s="58" t="str">
        <f t="shared" si="1155"/>
        <v>#NAME?</v>
      </c>
      <c r="AA1315" s="58" t="str">
        <f t="shared" si="1155"/>
        <v>#NAME?</v>
      </c>
      <c r="AB1315" s="58" t="str">
        <f t="shared" si="1155"/>
        <v>#NAME?</v>
      </c>
      <c r="AC1315" s="58" t="str">
        <f t="shared" si="1155"/>
        <v>#NAME?</v>
      </c>
      <c r="AD1315" s="57">
        <f t="shared" si="906"/>
        <v>0</v>
      </c>
      <c r="AE1315" s="57" t="str">
        <f t="shared" si="907"/>
        <v/>
      </c>
      <c r="AF1315" s="57">
        <f t="shared" si="908"/>
        <v>0</v>
      </c>
      <c r="AG1315" s="59">
        <f t="shared" si="909"/>
        <v>0</v>
      </c>
      <c r="AH1315" s="15"/>
      <c r="AI1315" s="15"/>
      <c r="AJ1315" s="15"/>
      <c r="AK1315" s="15"/>
      <c r="AL1315" s="15"/>
      <c r="AM1315" s="15"/>
      <c r="AN1315" s="15"/>
      <c r="AO1315" s="15"/>
      <c r="AP1315" s="15"/>
      <c r="AQ1315" s="15"/>
      <c r="AR1315" s="15"/>
      <c r="AS1315" s="15"/>
      <c r="AT1315" s="15"/>
      <c r="AU1315" s="15"/>
    </row>
    <row r="1316" ht="24.0" customHeight="1">
      <c r="A1316" s="45">
        <v>2740.0</v>
      </c>
      <c r="B1316" s="57"/>
      <c r="C1316" s="57"/>
      <c r="D1316" s="88" t="str">
        <f t="array" ref="D1316">IFERROR(
  LOOKUP(2, 1/((TRIM(IMS!$E$8:$E$2574)=TRIM(IMS!$E1316))*(IMS!$C$8:$C$2574&lt;IMS!$C1316)),
         IMS!$C$8:$C$2574),
"")</f>
        <v/>
      </c>
      <c r="E1316" s="57"/>
      <c r="F1316" s="57"/>
      <c r="G1316" s="77" t="str">
        <f t="shared" si="901"/>
        <v/>
      </c>
      <c r="H1316" s="78" t="str">
        <f t="shared" si="902"/>
        <v/>
      </c>
      <c r="I1316" s="79"/>
      <c r="J1316" s="80" t="str">
        <f t="shared" si="903"/>
        <v>#NAME?</v>
      </c>
      <c r="K1316" s="58"/>
      <c r="L1316" s="58"/>
      <c r="M1316" s="57"/>
      <c r="N1316" s="57"/>
      <c r="O1316" s="58"/>
      <c r="P1316" s="82"/>
      <c r="Q1316" s="81"/>
      <c r="R1316" s="81"/>
      <c r="S1316" s="57"/>
      <c r="T1316" s="82"/>
      <c r="U1316" s="82"/>
      <c r="V1316" s="57"/>
      <c r="W1316" s="57"/>
      <c r="X1316" s="57" t="str">
        <f t="shared" si="917"/>
        <v/>
      </c>
      <c r="Y1316" s="58" t="str">
        <f t="shared" ref="Y1316:AC1316" si="1156">TRIM(SUBSTITUTE(SUBSTITUTE(OFFSET($Q1316,0,COLUMN()-COLUMN($AL$1)),CHAR(160)," "),_xludf.UNICHAR(8239)," "))</f>
        <v>#NAME?</v>
      </c>
      <c r="Z1316" s="58" t="str">
        <f t="shared" si="1156"/>
        <v>#NAME?</v>
      </c>
      <c r="AA1316" s="58" t="str">
        <f t="shared" si="1156"/>
        <v>#NAME?</v>
      </c>
      <c r="AB1316" s="58" t="str">
        <f t="shared" si="1156"/>
        <v>#NAME?</v>
      </c>
      <c r="AC1316" s="58" t="str">
        <f t="shared" si="1156"/>
        <v>#NAME?</v>
      </c>
      <c r="AD1316" s="57">
        <f t="shared" si="906"/>
        <v>0</v>
      </c>
      <c r="AE1316" s="57" t="str">
        <f t="shared" si="907"/>
        <v/>
      </c>
      <c r="AF1316" s="57">
        <f t="shared" si="908"/>
        <v>0</v>
      </c>
      <c r="AG1316" s="59">
        <f t="shared" si="909"/>
        <v>0</v>
      </c>
      <c r="AH1316" s="15"/>
      <c r="AI1316" s="15"/>
      <c r="AJ1316" s="15"/>
      <c r="AK1316" s="15"/>
      <c r="AL1316" s="15"/>
      <c r="AM1316" s="15"/>
      <c r="AN1316" s="15"/>
      <c r="AO1316" s="15"/>
      <c r="AP1316" s="15"/>
      <c r="AQ1316" s="15"/>
      <c r="AR1316" s="15"/>
      <c r="AS1316" s="15"/>
      <c r="AT1316" s="15"/>
      <c r="AU1316" s="15"/>
    </row>
    <row r="1317" ht="24.0" customHeight="1">
      <c r="A1317" s="45">
        <v>2741.0</v>
      </c>
      <c r="B1317" s="57"/>
      <c r="C1317" s="57"/>
      <c r="D1317" s="88" t="str">
        <f t="array" ref="D1317">IFERROR(
  LOOKUP(2, 1/((TRIM(IMS!$E$8:$E$2574)=TRIM(IMS!$E1317))*(IMS!$C$8:$C$2574&lt;IMS!$C1317)),
         IMS!$C$8:$C$2574),
"")</f>
        <v/>
      </c>
      <c r="E1317" s="57"/>
      <c r="F1317" s="57"/>
      <c r="G1317" s="77" t="str">
        <f t="shared" si="901"/>
        <v/>
      </c>
      <c r="H1317" s="78" t="str">
        <f t="shared" si="902"/>
        <v/>
      </c>
      <c r="I1317" s="79"/>
      <c r="J1317" s="80" t="str">
        <f t="shared" si="903"/>
        <v>#NAME?</v>
      </c>
      <c r="K1317" s="58"/>
      <c r="L1317" s="58"/>
      <c r="M1317" s="57"/>
      <c r="N1317" s="57"/>
      <c r="O1317" s="58"/>
      <c r="P1317" s="82"/>
      <c r="Q1317" s="81"/>
      <c r="R1317" s="81"/>
      <c r="S1317" s="57"/>
      <c r="T1317" s="82"/>
      <c r="U1317" s="82"/>
      <c r="V1317" s="57"/>
      <c r="W1317" s="57"/>
      <c r="X1317" s="57" t="str">
        <f t="shared" si="917"/>
        <v/>
      </c>
      <c r="Y1317" s="58" t="str">
        <f t="shared" ref="Y1317:AC1317" si="1157">TRIM(SUBSTITUTE(SUBSTITUTE(OFFSET($Q1317,0,COLUMN()-COLUMN($AL$1)),CHAR(160)," "),_xludf.UNICHAR(8239)," "))</f>
        <v>#NAME?</v>
      </c>
      <c r="Z1317" s="58" t="str">
        <f t="shared" si="1157"/>
        <v>#NAME?</v>
      </c>
      <c r="AA1317" s="58" t="str">
        <f t="shared" si="1157"/>
        <v>#NAME?</v>
      </c>
      <c r="AB1317" s="58" t="str">
        <f t="shared" si="1157"/>
        <v>#NAME?</v>
      </c>
      <c r="AC1317" s="58" t="str">
        <f t="shared" si="1157"/>
        <v>#NAME?</v>
      </c>
      <c r="AD1317" s="57">
        <f t="shared" si="906"/>
        <v>0</v>
      </c>
      <c r="AE1317" s="57" t="str">
        <f t="shared" si="907"/>
        <v/>
      </c>
      <c r="AF1317" s="57">
        <f t="shared" si="908"/>
        <v>0</v>
      </c>
      <c r="AG1317" s="59">
        <f t="shared" si="909"/>
        <v>0</v>
      </c>
      <c r="AH1317" s="15"/>
      <c r="AI1317" s="15"/>
      <c r="AJ1317" s="15"/>
      <c r="AK1317" s="15"/>
      <c r="AL1317" s="15"/>
      <c r="AM1317" s="15"/>
      <c r="AN1317" s="15"/>
      <c r="AO1317" s="15"/>
      <c r="AP1317" s="15"/>
      <c r="AQ1317" s="15"/>
      <c r="AR1317" s="15"/>
      <c r="AS1317" s="15"/>
      <c r="AT1317" s="15"/>
      <c r="AU1317" s="15"/>
    </row>
    <row r="1318" ht="24.0" customHeight="1">
      <c r="A1318" s="45">
        <v>2742.0</v>
      </c>
      <c r="B1318" s="57"/>
      <c r="C1318" s="57"/>
      <c r="D1318" s="88" t="str">
        <f t="array" ref="D1318">IFERROR(
  LOOKUP(2, 1/((TRIM(IMS!$E$8:$E$2574)=TRIM(IMS!$E1318))*(IMS!$C$8:$C$2574&lt;IMS!$C1318)),
         IMS!$C$8:$C$2574),
"")</f>
        <v/>
      </c>
      <c r="E1318" s="57"/>
      <c r="F1318" s="57"/>
      <c r="G1318" s="77" t="str">
        <f t="shared" si="901"/>
        <v/>
      </c>
      <c r="H1318" s="78" t="str">
        <f t="shared" si="902"/>
        <v/>
      </c>
      <c r="I1318" s="79"/>
      <c r="J1318" s="80" t="str">
        <f t="shared" si="903"/>
        <v>#NAME?</v>
      </c>
      <c r="K1318" s="58"/>
      <c r="L1318" s="58"/>
      <c r="M1318" s="57"/>
      <c r="N1318" s="57"/>
      <c r="O1318" s="58"/>
      <c r="P1318" s="82"/>
      <c r="Q1318" s="81"/>
      <c r="R1318" s="81"/>
      <c r="S1318" s="57"/>
      <c r="T1318" s="82"/>
      <c r="U1318" s="82"/>
      <c r="V1318" s="57"/>
      <c r="W1318" s="57"/>
      <c r="X1318" s="57" t="str">
        <f t="shared" si="917"/>
        <v/>
      </c>
      <c r="Y1318" s="58" t="str">
        <f t="shared" ref="Y1318:AC1318" si="1158">TRIM(SUBSTITUTE(SUBSTITUTE(OFFSET($Q1318,0,COLUMN()-COLUMN($AL$1)),CHAR(160)," "),_xludf.UNICHAR(8239)," "))</f>
        <v>#NAME?</v>
      </c>
      <c r="Z1318" s="58" t="str">
        <f t="shared" si="1158"/>
        <v>#NAME?</v>
      </c>
      <c r="AA1318" s="58" t="str">
        <f t="shared" si="1158"/>
        <v>#NAME?</v>
      </c>
      <c r="AB1318" s="58" t="str">
        <f t="shared" si="1158"/>
        <v>#NAME?</v>
      </c>
      <c r="AC1318" s="58" t="str">
        <f t="shared" si="1158"/>
        <v>#NAME?</v>
      </c>
      <c r="AD1318" s="57">
        <f t="shared" si="906"/>
        <v>0</v>
      </c>
      <c r="AE1318" s="57" t="str">
        <f t="shared" si="907"/>
        <v/>
      </c>
      <c r="AF1318" s="57">
        <f t="shared" si="908"/>
        <v>0</v>
      </c>
      <c r="AG1318" s="59">
        <f t="shared" si="909"/>
        <v>0</v>
      </c>
      <c r="AH1318" s="15"/>
      <c r="AI1318" s="15"/>
      <c r="AJ1318" s="15"/>
      <c r="AK1318" s="15"/>
      <c r="AL1318" s="15"/>
      <c r="AM1318" s="15"/>
      <c r="AN1318" s="15"/>
      <c r="AO1318" s="15"/>
      <c r="AP1318" s="15"/>
      <c r="AQ1318" s="15"/>
      <c r="AR1318" s="15"/>
      <c r="AS1318" s="15"/>
      <c r="AT1318" s="15"/>
      <c r="AU1318" s="15"/>
    </row>
    <row r="1319" ht="24.0" customHeight="1">
      <c r="A1319" s="45">
        <v>2743.0</v>
      </c>
      <c r="B1319" s="57"/>
      <c r="C1319" s="57"/>
      <c r="D1319" s="88" t="str">
        <f t="array" ref="D1319">IFERROR(
  LOOKUP(2, 1/((TRIM(IMS!$E$8:$E$2574)=TRIM(IMS!$E1319))*(IMS!$C$8:$C$2574&lt;IMS!$C1319)),
         IMS!$C$8:$C$2574),
"")</f>
        <v/>
      </c>
      <c r="E1319" s="57"/>
      <c r="F1319" s="57"/>
      <c r="G1319" s="77" t="str">
        <f t="shared" si="901"/>
        <v/>
      </c>
      <c r="H1319" s="78" t="str">
        <f t="shared" si="902"/>
        <v/>
      </c>
      <c r="I1319" s="79"/>
      <c r="J1319" s="80" t="str">
        <f t="shared" si="903"/>
        <v>#NAME?</v>
      </c>
      <c r="K1319" s="58"/>
      <c r="L1319" s="58"/>
      <c r="M1319" s="57"/>
      <c r="N1319" s="57"/>
      <c r="O1319" s="58"/>
      <c r="P1319" s="82"/>
      <c r="Q1319" s="81"/>
      <c r="R1319" s="81"/>
      <c r="S1319" s="57"/>
      <c r="T1319" s="82"/>
      <c r="U1319" s="82"/>
      <c r="V1319" s="57"/>
      <c r="W1319" s="57"/>
      <c r="X1319" s="57" t="str">
        <f t="shared" si="917"/>
        <v/>
      </c>
      <c r="Y1319" s="58" t="str">
        <f t="shared" ref="Y1319:AC1319" si="1159">TRIM(SUBSTITUTE(SUBSTITUTE(OFFSET($Q1319,0,COLUMN()-COLUMN($AL$1)),CHAR(160)," "),_xludf.UNICHAR(8239)," "))</f>
        <v>#NAME?</v>
      </c>
      <c r="Z1319" s="58" t="str">
        <f t="shared" si="1159"/>
        <v>#NAME?</v>
      </c>
      <c r="AA1319" s="58" t="str">
        <f t="shared" si="1159"/>
        <v>#NAME?</v>
      </c>
      <c r="AB1319" s="58" t="str">
        <f t="shared" si="1159"/>
        <v>#NAME?</v>
      </c>
      <c r="AC1319" s="58" t="str">
        <f t="shared" si="1159"/>
        <v>#NAME?</v>
      </c>
      <c r="AD1319" s="57">
        <f t="shared" si="906"/>
        <v>0</v>
      </c>
      <c r="AE1319" s="57" t="str">
        <f t="shared" si="907"/>
        <v/>
      </c>
      <c r="AF1319" s="57">
        <f t="shared" si="908"/>
        <v>0</v>
      </c>
      <c r="AG1319" s="59">
        <f t="shared" si="909"/>
        <v>0</v>
      </c>
      <c r="AH1319" s="15"/>
      <c r="AI1319" s="15"/>
      <c r="AJ1319" s="15"/>
      <c r="AK1319" s="15"/>
      <c r="AL1319" s="15"/>
      <c r="AM1319" s="15"/>
      <c r="AN1319" s="15"/>
      <c r="AO1319" s="15"/>
      <c r="AP1319" s="15"/>
      <c r="AQ1319" s="15"/>
      <c r="AR1319" s="15"/>
      <c r="AS1319" s="15"/>
      <c r="AT1319" s="15"/>
      <c r="AU1319" s="15"/>
    </row>
    <row r="1320" ht="24.0" customHeight="1">
      <c r="A1320" s="45">
        <v>2744.0</v>
      </c>
      <c r="B1320" s="57"/>
      <c r="C1320" s="57"/>
      <c r="D1320" s="88" t="str">
        <f t="array" ref="D1320">IFERROR(
  LOOKUP(2, 1/((TRIM(IMS!$E$8:$E$2574)=TRIM(IMS!$E1320))*(IMS!$C$8:$C$2574&lt;IMS!$C1320)),
         IMS!$C$8:$C$2574),
"")</f>
        <v/>
      </c>
      <c r="E1320" s="57"/>
      <c r="F1320" s="57"/>
      <c r="G1320" s="77" t="str">
        <f t="shared" si="901"/>
        <v/>
      </c>
      <c r="H1320" s="78" t="str">
        <f t="shared" si="902"/>
        <v/>
      </c>
      <c r="I1320" s="79"/>
      <c r="J1320" s="80" t="str">
        <f t="shared" si="903"/>
        <v>#NAME?</v>
      </c>
      <c r="K1320" s="58"/>
      <c r="L1320" s="58"/>
      <c r="M1320" s="57"/>
      <c r="N1320" s="57"/>
      <c r="O1320" s="58"/>
      <c r="P1320" s="82"/>
      <c r="Q1320" s="81"/>
      <c r="R1320" s="81"/>
      <c r="S1320" s="57"/>
      <c r="T1320" s="82"/>
      <c r="U1320" s="82"/>
      <c r="V1320" s="57"/>
      <c r="W1320" s="57"/>
      <c r="X1320" s="57" t="str">
        <f t="shared" si="917"/>
        <v/>
      </c>
      <c r="Y1320" s="58" t="str">
        <f t="shared" ref="Y1320:AC1320" si="1160">TRIM(SUBSTITUTE(SUBSTITUTE(OFFSET($Q1320,0,COLUMN()-COLUMN($AL$1)),CHAR(160)," "),_xludf.UNICHAR(8239)," "))</f>
        <v>#NAME?</v>
      </c>
      <c r="Z1320" s="58" t="str">
        <f t="shared" si="1160"/>
        <v>#NAME?</v>
      </c>
      <c r="AA1320" s="58" t="str">
        <f t="shared" si="1160"/>
        <v>#NAME?</v>
      </c>
      <c r="AB1320" s="58" t="str">
        <f t="shared" si="1160"/>
        <v>#NAME?</v>
      </c>
      <c r="AC1320" s="58" t="str">
        <f t="shared" si="1160"/>
        <v>#NAME?</v>
      </c>
      <c r="AD1320" s="57">
        <f t="shared" si="906"/>
        <v>0</v>
      </c>
      <c r="AE1320" s="57" t="str">
        <f t="shared" si="907"/>
        <v/>
      </c>
      <c r="AF1320" s="57">
        <f t="shared" si="908"/>
        <v>0</v>
      </c>
      <c r="AG1320" s="59">
        <f t="shared" si="909"/>
        <v>0</v>
      </c>
      <c r="AH1320" s="15"/>
      <c r="AI1320" s="15"/>
      <c r="AJ1320" s="15"/>
      <c r="AK1320" s="15"/>
      <c r="AL1320" s="15"/>
      <c r="AM1320" s="15"/>
      <c r="AN1320" s="15"/>
      <c r="AO1320" s="15"/>
      <c r="AP1320" s="15"/>
      <c r="AQ1320" s="15"/>
      <c r="AR1320" s="15"/>
      <c r="AS1320" s="15"/>
      <c r="AT1320" s="15"/>
      <c r="AU1320" s="15"/>
    </row>
    <row r="1321" ht="24.0" customHeight="1">
      <c r="A1321" s="45">
        <v>2745.0</v>
      </c>
      <c r="B1321" s="57"/>
      <c r="C1321" s="57"/>
      <c r="D1321" s="88" t="str">
        <f t="array" ref="D1321">IFERROR(
  LOOKUP(2, 1/((TRIM(IMS!$E$8:$E$2574)=TRIM(IMS!$E1321))*(IMS!$C$8:$C$2574&lt;IMS!$C1321)),
         IMS!$C$8:$C$2574),
"")</f>
        <v/>
      </c>
      <c r="E1321" s="57"/>
      <c r="F1321" s="57"/>
      <c r="G1321" s="77" t="str">
        <f t="shared" si="901"/>
        <v/>
      </c>
      <c r="H1321" s="78" t="str">
        <f t="shared" si="902"/>
        <v/>
      </c>
      <c r="I1321" s="79"/>
      <c r="J1321" s="80" t="str">
        <f t="shared" si="903"/>
        <v>#NAME?</v>
      </c>
      <c r="K1321" s="58"/>
      <c r="L1321" s="58"/>
      <c r="M1321" s="57"/>
      <c r="N1321" s="57"/>
      <c r="O1321" s="58"/>
      <c r="P1321" s="82"/>
      <c r="Q1321" s="81"/>
      <c r="R1321" s="81"/>
      <c r="S1321" s="57"/>
      <c r="T1321" s="82"/>
      <c r="U1321" s="82"/>
      <c r="V1321" s="57"/>
      <c r="W1321" s="57"/>
      <c r="X1321" s="57" t="str">
        <f t="shared" si="917"/>
        <v/>
      </c>
      <c r="Y1321" s="58" t="str">
        <f t="shared" ref="Y1321:AC1321" si="1161">TRIM(SUBSTITUTE(SUBSTITUTE(OFFSET($Q1321,0,COLUMN()-COLUMN($AL$1)),CHAR(160)," "),_xludf.UNICHAR(8239)," "))</f>
        <v>#NAME?</v>
      </c>
      <c r="Z1321" s="58" t="str">
        <f t="shared" si="1161"/>
        <v>#NAME?</v>
      </c>
      <c r="AA1321" s="58" t="str">
        <f t="shared" si="1161"/>
        <v>#NAME?</v>
      </c>
      <c r="AB1321" s="58" t="str">
        <f t="shared" si="1161"/>
        <v>#NAME?</v>
      </c>
      <c r="AC1321" s="58" t="str">
        <f t="shared" si="1161"/>
        <v>#NAME?</v>
      </c>
      <c r="AD1321" s="57">
        <f t="shared" si="906"/>
        <v>0</v>
      </c>
      <c r="AE1321" s="57" t="str">
        <f t="shared" si="907"/>
        <v/>
      </c>
      <c r="AF1321" s="57">
        <f t="shared" si="908"/>
        <v>0</v>
      </c>
      <c r="AG1321" s="59">
        <f t="shared" si="909"/>
        <v>0</v>
      </c>
      <c r="AH1321" s="15"/>
      <c r="AI1321" s="15"/>
      <c r="AJ1321" s="15"/>
      <c r="AK1321" s="15"/>
      <c r="AL1321" s="15"/>
      <c r="AM1321" s="15"/>
      <c r="AN1321" s="15"/>
      <c r="AO1321" s="15"/>
      <c r="AP1321" s="15"/>
      <c r="AQ1321" s="15"/>
      <c r="AR1321" s="15"/>
      <c r="AS1321" s="15"/>
      <c r="AT1321" s="15"/>
      <c r="AU1321" s="15"/>
    </row>
    <row r="1322" ht="24.0" customHeight="1">
      <c r="A1322" s="45">
        <v>2746.0</v>
      </c>
      <c r="B1322" s="57"/>
      <c r="C1322" s="57"/>
      <c r="D1322" s="88" t="str">
        <f t="array" ref="D1322">IFERROR(
  LOOKUP(2, 1/((TRIM(IMS!$E$8:$E$2574)=TRIM(IMS!$E1322))*(IMS!$C$8:$C$2574&lt;IMS!$C1322)),
         IMS!$C$8:$C$2574),
"")</f>
        <v/>
      </c>
      <c r="E1322" s="57"/>
      <c r="F1322" s="57"/>
      <c r="G1322" s="77" t="str">
        <f t="shared" si="901"/>
        <v/>
      </c>
      <c r="H1322" s="78" t="str">
        <f t="shared" si="902"/>
        <v/>
      </c>
      <c r="I1322" s="79"/>
      <c r="J1322" s="80" t="str">
        <f t="shared" si="903"/>
        <v>#NAME?</v>
      </c>
      <c r="K1322" s="58"/>
      <c r="L1322" s="58"/>
      <c r="M1322" s="57"/>
      <c r="N1322" s="57"/>
      <c r="O1322" s="58"/>
      <c r="P1322" s="82"/>
      <c r="Q1322" s="81"/>
      <c r="R1322" s="81"/>
      <c r="S1322" s="57"/>
      <c r="T1322" s="82"/>
      <c r="U1322" s="82"/>
      <c r="V1322" s="57"/>
      <c r="W1322" s="57"/>
      <c r="X1322" s="57" t="str">
        <f t="shared" si="917"/>
        <v/>
      </c>
      <c r="Y1322" s="58" t="str">
        <f t="shared" ref="Y1322:AC1322" si="1162">TRIM(SUBSTITUTE(SUBSTITUTE(OFFSET($Q1322,0,COLUMN()-COLUMN($AL$1)),CHAR(160)," "),_xludf.UNICHAR(8239)," "))</f>
        <v>#NAME?</v>
      </c>
      <c r="Z1322" s="58" t="str">
        <f t="shared" si="1162"/>
        <v>#NAME?</v>
      </c>
      <c r="AA1322" s="58" t="str">
        <f t="shared" si="1162"/>
        <v>#NAME?</v>
      </c>
      <c r="AB1322" s="58" t="str">
        <f t="shared" si="1162"/>
        <v>#NAME?</v>
      </c>
      <c r="AC1322" s="58" t="str">
        <f t="shared" si="1162"/>
        <v>#NAME?</v>
      </c>
      <c r="AD1322" s="57">
        <f t="shared" si="906"/>
        <v>0</v>
      </c>
      <c r="AE1322" s="57" t="str">
        <f t="shared" si="907"/>
        <v/>
      </c>
      <c r="AF1322" s="57">
        <f t="shared" si="908"/>
        <v>0</v>
      </c>
      <c r="AG1322" s="59">
        <f t="shared" si="909"/>
        <v>0</v>
      </c>
      <c r="AH1322" s="15"/>
      <c r="AI1322" s="15"/>
      <c r="AJ1322" s="15"/>
      <c r="AK1322" s="15"/>
      <c r="AL1322" s="15"/>
      <c r="AM1322" s="15"/>
      <c r="AN1322" s="15"/>
      <c r="AO1322" s="15"/>
      <c r="AP1322" s="15"/>
      <c r="AQ1322" s="15"/>
      <c r="AR1322" s="15"/>
      <c r="AS1322" s="15"/>
      <c r="AT1322" s="15"/>
      <c r="AU1322" s="15"/>
    </row>
    <row r="1323" ht="24.0" customHeight="1">
      <c r="A1323" s="45">
        <v>2747.0</v>
      </c>
      <c r="B1323" s="57"/>
      <c r="C1323" s="57"/>
      <c r="D1323" s="88" t="str">
        <f t="array" ref="D1323">IFERROR(
  LOOKUP(2, 1/((TRIM(IMS!$E$8:$E$2574)=TRIM(IMS!$E1323))*(IMS!$C$8:$C$2574&lt;IMS!$C1323)),
         IMS!$C$8:$C$2574),
"")</f>
        <v/>
      </c>
      <c r="E1323" s="57"/>
      <c r="F1323" s="57"/>
      <c r="G1323" s="77" t="str">
        <f t="shared" si="901"/>
        <v/>
      </c>
      <c r="H1323" s="78" t="str">
        <f t="shared" si="902"/>
        <v/>
      </c>
      <c r="I1323" s="79"/>
      <c r="J1323" s="80" t="str">
        <f t="shared" si="903"/>
        <v>#NAME?</v>
      </c>
      <c r="K1323" s="58"/>
      <c r="L1323" s="58"/>
      <c r="M1323" s="57"/>
      <c r="N1323" s="57"/>
      <c r="O1323" s="58"/>
      <c r="P1323" s="82"/>
      <c r="Q1323" s="81"/>
      <c r="R1323" s="81"/>
      <c r="S1323" s="57"/>
      <c r="T1323" s="82"/>
      <c r="U1323" s="82"/>
      <c r="V1323" s="57"/>
      <c r="W1323" s="57"/>
      <c r="X1323" s="57" t="str">
        <f t="shared" si="917"/>
        <v/>
      </c>
      <c r="Y1323" s="58" t="str">
        <f t="shared" ref="Y1323:AC1323" si="1163">TRIM(SUBSTITUTE(SUBSTITUTE(OFFSET($Q1323,0,COLUMN()-COLUMN($AL$1)),CHAR(160)," "),_xludf.UNICHAR(8239)," "))</f>
        <v>#NAME?</v>
      </c>
      <c r="Z1323" s="58" t="str">
        <f t="shared" si="1163"/>
        <v>#NAME?</v>
      </c>
      <c r="AA1323" s="58" t="str">
        <f t="shared" si="1163"/>
        <v>#NAME?</v>
      </c>
      <c r="AB1323" s="58" t="str">
        <f t="shared" si="1163"/>
        <v>#NAME?</v>
      </c>
      <c r="AC1323" s="58" t="str">
        <f t="shared" si="1163"/>
        <v>#NAME?</v>
      </c>
      <c r="AD1323" s="57">
        <f t="shared" si="906"/>
        <v>0</v>
      </c>
      <c r="AE1323" s="57" t="str">
        <f t="shared" si="907"/>
        <v/>
      </c>
      <c r="AF1323" s="57">
        <f t="shared" si="908"/>
        <v>0</v>
      </c>
      <c r="AG1323" s="59">
        <f t="shared" si="909"/>
        <v>0</v>
      </c>
      <c r="AH1323" s="15"/>
      <c r="AI1323" s="15"/>
      <c r="AJ1323" s="15"/>
      <c r="AK1323" s="15"/>
      <c r="AL1323" s="15"/>
      <c r="AM1323" s="15"/>
      <c r="AN1323" s="15"/>
      <c r="AO1323" s="15"/>
      <c r="AP1323" s="15"/>
      <c r="AQ1323" s="15"/>
      <c r="AR1323" s="15"/>
      <c r="AS1323" s="15"/>
      <c r="AT1323" s="15"/>
      <c r="AU1323" s="15"/>
    </row>
    <row r="1324" ht="24.0" customHeight="1">
      <c r="A1324" s="45">
        <v>2748.0</v>
      </c>
      <c r="B1324" s="57"/>
      <c r="C1324" s="57"/>
      <c r="D1324" s="88" t="str">
        <f t="array" ref="D1324">IFERROR(
  LOOKUP(2, 1/((TRIM(IMS!$E$8:$E$2574)=TRIM(IMS!$E1324))*(IMS!$C$8:$C$2574&lt;IMS!$C1324)),
         IMS!$C$8:$C$2574),
"")</f>
        <v/>
      </c>
      <c r="E1324" s="57"/>
      <c r="F1324" s="57"/>
      <c r="G1324" s="77" t="str">
        <f t="shared" si="901"/>
        <v/>
      </c>
      <c r="H1324" s="78" t="str">
        <f t="shared" si="902"/>
        <v/>
      </c>
      <c r="I1324" s="79"/>
      <c r="J1324" s="80" t="str">
        <f t="shared" si="903"/>
        <v>#NAME?</v>
      </c>
      <c r="K1324" s="58"/>
      <c r="L1324" s="58"/>
      <c r="M1324" s="57"/>
      <c r="N1324" s="57"/>
      <c r="O1324" s="58"/>
      <c r="P1324" s="82"/>
      <c r="Q1324" s="81"/>
      <c r="R1324" s="81"/>
      <c r="S1324" s="57"/>
      <c r="T1324" s="82"/>
      <c r="U1324" s="82"/>
      <c r="V1324" s="57"/>
      <c r="W1324" s="57"/>
      <c r="X1324" s="57" t="str">
        <f t="shared" si="917"/>
        <v/>
      </c>
      <c r="Y1324" s="58" t="str">
        <f t="shared" ref="Y1324:AC1324" si="1164">TRIM(SUBSTITUTE(SUBSTITUTE(OFFSET($Q1324,0,COLUMN()-COLUMN($AL$1)),CHAR(160)," "),_xludf.UNICHAR(8239)," "))</f>
        <v>#NAME?</v>
      </c>
      <c r="Z1324" s="58" t="str">
        <f t="shared" si="1164"/>
        <v>#NAME?</v>
      </c>
      <c r="AA1324" s="58" t="str">
        <f t="shared" si="1164"/>
        <v>#NAME?</v>
      </c>
      <c r="AB1324" s="58" t="str">
        <f t="shared" si="1164"/>
        <v>#NAME?</v>
      </c>
      <c r="AC1324" s="58" t="str">
        <f t="shared" si="1164"/>
        <v>#NAME?</v>
      </c>
      <c r="AD1324" s="57">
        <f t="shared" si="906"/>
        <v>0</v>
      </c>
      <c r="AE1324" s="57" t="str">
        <f t="shared" si="907"/>
        <v/>
      </c>
      <c r="AF1324" s="57">
        <f t="shared" si="908"/>
        <v>0</v>
      </c>
      <c r="AG1324" s="59">
        <f t="shared" si="909"/>
        <v>0</v>
      </c>
      <c r="AH1324" s="15"/>
      <c r="AI1324" s="15"/>
      <c r="AJ1324" s="15"/>
      <c r="AK1324" s="15"/>
      <c r="AL1324" s="15"/>
      <c r="AM1324" s="15"/>
      <c r="AN1324" s="15"/>
      <c r="AO1324" s="15"/>
      <c r="AP1324" s="15"/>
      <c r="AQ1324" s="15"/>
      <c r="AR1324" s="15"/>
      <c r="AS1324" s="15"/>
      <c r="AT1324" s="15"/>
      <c r="AU1324" s="15"/>
    </row>
    <row r="1325" ht="24.0" customHeight="1">
      <c r="A1325" s="45">
        <v>2749.0</v>
      </c>
      <c r="B1325" s="57"/>
      <c r="C1325" s="57"/>
      <c r="D1325" s="88" t="str">
        <f t="array" ref="D1325">IFERROR(
  LOOKUP(2, 1/((TRIM(IMS!$E$8:$E$2574)=TRIM(IMS!$E1325))*(IMS!$C$8:$C$2574&lt;IMS!$C1325)),
         IMS!$C$8:$C$2574),
"")</f>
        <v/>
      </c>
      <c r="E1325" s="57"/>
      <c r="F1325" s="57"/>
      <c r="G1325" s="77" t="str">
        <f t="shared" si="901"/>
        <v/>
      </c>
      <c r="H1325" s="78" t="str">
        <f t="shared" si="902"/>
        <v/>
      </c>
      <c r="I1325" s="79"/>
      <c r="J1325" s="80" t="str">
        <f t="shared" si="903"/>
        <v>#NAME?</v>
      </c>
      <c r="K1325" s="58"/>
      <c r="L1325" s="58"/>
      <c r="M1325" s="57"/>
      <c r="N1325" s="57"/>
      <c r="O1325" s="58"/>
      <c r="P1325" s="82"/>
      <c r="Q1325" s="81"/>
      <c r="R1325" s="81"/>
      <c r="S1325" s="57"/>
      <c r="T1325" s="82"/>
      <c r="U1325" s="82"/>
      <c r="V1325" s="57"/>
      <c r="W1325" s="57"/>
      <c r="X1325" s="57" t="str">
        <f t="shared" si="917"/>
        <v/>
      </c>
      <c r="Y1325" s="58" t="str">
        <f t="shared" ref="Y1325:AC1325" si="1165">TRIM(SUBSTITUTE(SUBSTITUTE(OFFSET($Q1325,0,COLUMN()-COLUMN($AL$1)),CHAR(160)," "),_xludf.UNICHAR(8239)," "))</f>
        <v>#NAME?</v>
      </c>
      <c r="Z1325" s="58" t="str">
        <f t="shared" si="1165"/>
        <v>#NAME?</v>
      </c>
      <c r="AA1325" s="58" t="str">
        <f t="shared" si="1165"/>
        <v>#NAME?</v>
      </c>
      <c r="AB1325" s="58" t="str">
        <f t="shared" si="1165"/>
        <v>#NAME?</v>
      </c>
      <c r="AC1325" s="58" t="str">
        <f t="shared" si="1165"/>
        <v>#NAME?</v>
      </c>
      <c r="AD1325" s="57">
        <f t="shared" si="906"/>
        <v>0</v>
      </c>
      <c r="AE1325" s="57" t="str">
        <f t="shared" si="907"/>
        <v/>
      </c>
      <c r="AF1325" s="57">
        <f t="shared" si="908"/>
        <v>0</v>
      </c>
      <c r="AG1325" s="59">
        <f t="shared" si="909"/>
        <v>0</v>
      </c>
      <c r="AH1325" s="15"/>
      <c r="AI1325" s="15"/>
      <c r="AJ1325" s="15"/>
      <c r="AK1325" s="15"/>
      <c r="AL1325" s="15"/>
      <c r="AM1325" s="15"/>
      <c r="AN1325" s="15"/>
      <c r="AO1325" s="15"/>
      <c r="AP1325" s="15"/>
      <c r="AQ1325" s="15"/>
      <c r="AR1325" s="15"/>
      <c r="AS1325" s="15"/>
      <c r="AT1325" s="15"/>
      <c r="AU1325" s="15"/>
    </row>
    <row r="1326" ht="24.0" customHeight="1">
      <c r="A1326" s="45">
        <v>2750.0</v>
      </c>
      <c r="B1326" s="57"/>
      <c r="C1326" s="57"/>
      <c r="D1326" s="88" t="str">
        <f t="array" ref="D1326">IFERROR(
  LOOKUP(2, 1/((TRIM(IMS!$E$8:$E$2574)=TRIM(IMS!$E1326))*(IMS!$C$8:$C$2574&lt;IMS!$C1326)),
         IMS!$C$8:$C$2574),
"")</f>
        <v/>
      </c>
      <c r="E1326" s="57"/>
      <c r="F1326" s="57"/>
      <c r="G1326" s="77" t="str">
        <f t="shared" si="901"/>
        <v/>
      </c>
      <c r="H1326" s="78" t="str">
        <f t="shared" si="902"/>
        <v/>
      </c>
      <c r="I1326" s="79"/>
      <c r="J1326" s="80" t="str">
        <f t="shared" si="903"/>
        <v>#NAME?</v>
      </c>
      <c r="K1326" s="58"/>
      <c r="L1326" s="58"/>
      <c r="M1326" s="57"/>
      <c r="N1326" s="57"/>
      <c r="O1326" s="58"/>
      <c r="P1326" s="82"/>
      <c r="Q1326" s="81"/>
      <c r="R1326" s="81"/>
      <c r="S1326" s="57"/>
      <c r="T1326" s="82"/>
      <c r="U1326" s="82"/>
      <c r="V1326" s="57"/>
      <c r="W1326" s="57"/>
      <c r="X1326" s="57" t="str">
        <f t="shared" si="917"/>
        <v/>
      </c>
      <c r="Y1326" s="58" t="str">
        <f t="shared" ref="Y1326:AC1326" si="1166">TRIM(SUBSTITUTE(SUBSTITUTE(OFFSET($Q1326,0,COLUMN()-COLUMN($AL$1)),CHAR(160)," "),_xludf.UNICHAR(8239)," "))</f>
        <v>#NAME?</v>
      </c>
      <c r="Z1326" s="58" t="str">
        <f t="shared" si="1166"/>
        <v>#NAME?</v>
      </c>
      <c r="AA1326" s="58" t="str">
        <f t="shared" si="1166"/>
        <v>#NAME?</v>
      </c>
      <c r="AB1326" s="58" t="str">
        <f t="shared" si="1166"/>
        <v>#NAME?</v>
      </c>
      <c r="AC1326" s="58" t="str">
        <f t="shared" si="1166"/>
        <v>#NAME?</v>
      </c>
      <c r="AD1326" s="57">
        <f t="shared" si="906"/>
        <v>0</v>
      </c>
      <c r="AE1326" s="57" t="str">
        <f t="shared" si="907"/>
        <v/>
      </c>
      <c r="AF1326" s="57">
        <f t="shared" si="908"/>
        <v>0</v>
      </c>
      <c r="AG1326" s="59">
        <f t="shared" si="909"/>
        <v>0</v>
      </c>
      <c r="AH1326" s="15"/>
      <c r="AI1326" s="15"/>
      <c r="AJ1326" s="15"/>
      <c r="AK1326" s="15"/>
      <c r="AL1326" s="15"/>
      <c r="AM1326" s="15"/>
      <c r="AN1326" s="15"/>
      <c r="AO1326" s="15"/>
      <c r="AP1326" s="15"/>
      <c r="AQ1326" s="15"/>
      <c r="AR1326" s="15"/>
      <c r="AS1326" s="15"/>
      <c r="AT1326" s="15"/>
      <c r="AU1326" s="15"/>
    </row>
    <row r="1327" ht="24.0" customHeight="1">
      <c r="A1327" s="45">
        <v>2751.0</v>
      </c>
      <c r="B1327" s="57"/>
      <c r="C1327" s="57"/>
      <c r="D1327" s="88" t="str">
        <f t="array" ref="D1327">IFERROR(
  LOOKUP(2, 1/((TRIM(IMS!$E$8:$E$2574)=TRIM(IMS!$E1327))*(IMS!$C$8:$C$2574&lt;IMS!$C1327)),
         IMS!$C$8:$C$2574),
"")</f>
        <v/>
      </c>
      <c r="E1327" s="57"/>
      <c r="F1327" s="57"/>
      <c r="G1327" s="77" t="str">
        <f t="shared" si="901"/>
        <v/>
      </c>
      <c r="H1327" s="78" t="str">
        <f t="shared" si="902"/>
        <v/>
      </c>
      <c r="I1327" s="79"/>
      <c r="J1327" s="80" t="str">
        <f t="shared" si="903"/>
        <v>#NAME?</v>
      </c>
      <c r="K1327" s="58"/>
      <c r="L1327" s="58"/>
      <c r="M1327" s="57"/>
      <c r="N1327" s="57"/>
      <c r="O1327" s="58"/>
      <c r="P1327" s="82"/>
      <c r="Q1327" s="81"/>
      <c r="R1327" s="81"/>
      <c r="S1327" s="57"/>
      <c r="T1327" s="82"/>
      <c r="U1327" s="82"/>
      <c r="V1327" s="57"/>
      <c r="W1327" s="57"/>
      <c r="X1327" s="57" t="str">
        <f t="shared" si="917"/>
        <v/>
      </c>
      <c r="Y1327" s="58" t="str">
        <f t="shared" ref="Y1327:AC1327" si="1167">TRIM(SUBSTITUTE(SUBSTITUTE(OFFSET($Q1327,0,COLUMN()-COLUMN($AL$1)),CHAR(160)," "),_xludf.UNICHAR(8239)," "))</f>
        <v>#NAME?</v>
      </c>
      <c r="Z1327" s="58" t="str">
        <f t="shared" si="1167"/>
        <v>#NAME?</v>
      </c>
      <c r="AA1327" s="58" t="str">
        <f t="shared" si="1167"/>
        <v>#NAME?</v>
      </c>
      <c r="AB1327" s="58" t="str">
        <f t="shared" si="1167"/>
        <v>#NAME?</v>
      </c>
      <c r="AC1327" s="58" t="str">
        <f t="shared" si="1167"/>
        <v>#NAME?</v>
      </c>
      <c r="AD1327" s="57">
        <f t="shared" si="906"/>
        <v>0</v>
      </c>
      <c r="AE1327" s="57" t="str">
        <f t="shared" si="907"/>
        <v/>
      </c>
      <c r="AF1327" s="57">
        <f t="shared" si="908"/>
        <v>0</v>
      </c>
      <c r="AG1327" s="59">
        <f t="shared" si="909"/>
        <v>0</v>
      </c>
      <c r="AH1327" s="15"/>
      <c r="AI1327" s="15"/>
      <c r="AJ1327" s="15"/>
      <c r="AK1327" s="15"/>
      <c r="AL1327" s="15"/>
      <c r="AM1327" s="15"/>
      <c r="AN1327" s="15"/>
      <c r="AO1327" s="15"/>
      <c r="AP1327" s="15"/>
      <c r="AQ1327" s="15"/>
      <c r="AR1327" s="15"/>
      <c r="AS1327" s="15"/>
      <c r="AT1327" s="15"/>
      <c r="AU1327" s="15"/>
    </row>
    <row r="1328" ht="24.0" customHeight="1">
      <c r="A1328" s="45">
        <v>2752.0</v>
      </c>
      <c r="B1328" s="57"/>
      <c r="C1328" s="57"/>
      <c r="D1328" s="88" t="str">
        <f t="array" ref="D1328">IFERROR(
  LOOKUP(2, 1/((TRIM(IMS!$E$8:$E$2574)=TRIM(IMS!$E1328))*(IMS!$C$8:$C$2574&lt;IMS!$C1328)),
         IMS!$C$8:$C$2574),
"")</f>
        <v/>
      </c>
      <c r="E1328" s="57"/>
      <c r="F1328" s="57"/>
      <c r="G1328" s="77" t="str">
        <f t="shared" si="901"/>
        <v/>
      </c>
      <c r="H1328" s="78" t="str">
        <f t="shared" si="902"/>
        <v/>
      </c>
      <c r="I1328" s="79"/>
      <c r="J1328" s="80" t="str">
        <f t="shared" si="903"/>
        <v>#NAME?</v>
      </c>
      <c r="K1328" s="58"/>
      <c r="L1328" s="58"/>
      <c r="M1328" s="57"/>
      <c r="N1328" s="57"/>
      <c r="O1328" s="58"/>
      <c r="P1328" s="82"/>
      <c r="Q1328" s="81"/>
      <c r="R1328" s="81"/>
      <c r="S1328" s="57"/>
      <c r="T1328" s="82"/>
      <c r="U1328" s="82"/>
      <c r="V1328" s="57"/>
      <c r="W1328" s="57"/>
      <c r="X1328" s="57" t="str">
        <f t="shared" si="917"/>
        <v/>
      </c>
      <c r="Y1328" s="58" t="str">
        <f t="shared" ref="Y1328:AC1328" si="1168">TRIM(SUBSTITUTE(SUBSTITUTE(OFFSET($Q1328,0,COLUMN()-COLUMN($AL$1)),CHAR(160)," "),_xludf.UNICHAR(8239)," "))</f>
        <v>#NAME?</v>
      </c>
      <c r="Z1328" s="58" t="str">
        <f t="shared" si="1168"/>
        <v>#NAME?</v>
      </c>
      <c r="AA1328" s="58" t="str">
        <f t="shared" si="1168"/>
        <v>#NAME?</v>
      </c>
      <c r="AB1328" s="58" t="str">
        <f t="shared" si="1168"/>
        <v>#NAME?</v>
      </c>
      <c r="AC1328" s="58" t="str">
        <f t="shared" si="1168"/>
        <v>#NAME?</v>
      </c>
      <c r="AD1328" s="57">
        <f t="shared" si="906"/>
        <v>0</v>
      </c>
      <c r="AE1328" s="57" t="str">
        <f t="shared" si="907"/>
        <v/>
      </c>
      <c r="AF1328" s="57">
        <f t="shared" si="908"/>
        <v>0</v>
      </c>
      <c r="AG1328" s="59">
        <f t="shared" si="909"/>
        <v>0</v>
      </c>
      <c r="AH1328" s="15"/>
      <c r="AI1328" s="15"/>
      <c r="AJ1328" s="15"/>
      <c r="AK1328" s="15"/>
      <c r="AL1328" s="15"/>
      <c r="AM1328" s="15"/>
      <c r="AN1328" s="15"/>
      <c r="AO1328" s="15"/>
      <c r="AP1328" s="15"/>
      <c r="AQ1328" s="15"/>
      <c r="AR1328" s="15"/>
      <c r="AS1328" s="15"/>
      <c r="AT1328" s="15"/>
      <c r="AU1328" s="15"/>
    </row>
    <row r="1329" ht="24.0" customHeight="1">
      <c r="A1329" s="45">
        <v>2753.0</v>
      </c>
      <c r="B1329" s="57"/>
      <c r="C1329" s="57"/>
      <c r="D1329" s="88" t="str">
        <f t="array" ref="D1329">IFERROR(
  LOOKUP(2, 1/((TRIM(IMS!$E$8:$E$2574)=TRIM(IMS!$E1329))*(IMS!$C$8:$C$2574&lt;IMS!$C1329)),
         IMS!$C$8:$C$2574),
"")</f>
        <v/>
      </c>
      <c r="E1329" s="57"/>
      <c r="F1329" s="57"/>
      <c r="G1329" s="77" t="str">
        <f t="shared" si="901"/>
        <v/>
      </c>
      <c r="H1329" s="78" t="str">
        <f t="shared" si="902"/>
        <v/>
      </c>
      <c r="I1329" s="79"/>
      <c r="J1329" s="80" t="str">
        <f t="shared" si="903"/>
        <v>#NAME?</v>
      </c>
      <c r="K1329" s="58"/>
      <c r="L1329" s="58"/>
      <c r="M1329" s="57"/>
      <c r="N1329" s="57"/>
      <c r="O1329" s="58"/>
      <c r="P1329" s="82"/>
      <c r="Q1329" s="81"/>
      <c r="R1329" s="81"/>
      <c r="S1329" s="57"/>
      <c r="T1329" s="82"/>
      <c r="U1329" s="82"/>
      <c r="V1329" s="57"/>
      <c r="W1329" s="57"/>
      <c r="X1329" s="57" t="str">
        <f t="shared" si="917"/>
        <v/>
      </c>
      <c r="Y1329" s="58" t="str">
        <f t="shared" ref="Y1329:AC1329" si="1169">TRIM(SUBSTITUTE(SUBSTITUTE(OFFSET($Q1329,0,COLUMN()-COLUMN($AL$1)),CHAR(160)," "),_xludf.UNICHAR(8239)," "))</f>
        <v>#NAME?</v>
      </c>
      <c r="Z1329" s="58" t="str">
        <f t="shared" si="1169"/>
        <v>#NAME?</v>
      </c>
      <c r="AA1329" s="58" t="str">
        <f t="shared" si="1169"/>
        <v>#NAME?</v>
      </c>
      <c r="AB1329" s="58" t="str">
        <f t="shared" si="1169"/>
        <v>#NAME?</v>
      </c>
      <c r="AC1329" s="58" t="str">
        <f t="shared" si="1169"/>
        <v>#NAME?</v>
      </c>
      <c r="AD1329" s="57">
        <f t="shared" si="906"/>
        <v>0</v>
      </c>
      <c r="AE1329" s="57" t="str">
        <f t="shared" si="907"/>
        <v/>
      </c>
      <c r="AF1329" s="57">
        <f t="shared" si="908"/>
        <v>0</v>
      </c>
      <c r="AG1329" s="59">
        <f t="shared" si="909"/>
        <v>0</v>
      </c>
      <c r="AH1329" s="15"/>
      <c r="AI1329" s="15"/>
      <c r="AJ1329" s="15"/>
      <c r="AK1329" s="15"/>
      <c r="AL1329" s="15"/>
      <c r="AM1329" s="15"/>
      <c r="AN1329" s="15"/>
      <c r="AO1329" s="15"/>
      <c r="AP1329" s="15"/>
      <c r="AQ1329" s="15"/>
      <c r="AR1329" s="15"/>
      <c r="AS1329" s="15"/>
      <c r="AT1329" s="15"/>
      <c r="AU1329" s="15"/>
    </row>
    <row r="1330" ht="24.0" customHeight="1">
      <c r="A1330" s="45">
        <v>2754.0</v>
      </c>
      <c r="B1330" s="57"/>
      <c r="C1330" s="57"/>
      <c r="D1330" s="88" t="str">
        <f t="array" ref="D1330">IFERROR(
  LOOKUP(2, 1/((TRIM(IMS!$E$8:$E$2574)=TRIM(IMS!$E1330))*(IMS!$C$8:$C$2574&lt;IMS!$C1330)),
         IMS!$C$8:$C$2574),
"")</f>
        <v/>
      </c>
      <c r="E1330" s="57"/>
      <c r="F1330" s="57"/>
      <c r="G1330" s="77" t="str">
        <f t="shared" si="901"/>
        <v/>
      </c>
      <c r="H1330" s="78" t="str">
        <f t="shared" si="902"/>
        <v/>
      </c>
      <c r="I1330" s="79"/>
      <c r="J1330" s="80" t="str">
        <f t="shared" si="903"/>
        <v>#NAME?</v>
      </c>
      <c r="K1330" s="58"/>
      <c r="L1330" s="58"/>
      <c r="M1330" s="57"/>
      <c r="N1330" s="57"/>
      <c r="O1330" s="58"/>
      <c r="P1330" s="82"/>
      <c r="Q1330" s="81"/>
      <c r="R1330" s="81"/>
      <c r="S1330" s="57"/>
      <c r="T1330" s="82"/>
      <c r="U1330" s="82"/>
      <c r="V1330" s="57"/>
      <c r="W1330" s="57"/>
      <c r="X1330" s="57" t="str">
        <f t="shared" si="917"/>
        <v/>
      </c>
      <c r="Y1330" s="58" t="str">
        <f t="shared" ref="Y1330:AC1330" si="1170">TRIM(SUBSTITUTE(SUBSTITUTE(OFFSET($Q1330,0,COLUMN()-COLUMN($AL$1)),CHAR(160)," "),_xludf.UNICHAR(8239)," "))</f>
        <v>#NAME?</v>
      </c>
      <c r="Z1330" s="58" t="str">
        <f t="shared" si="1170"/>
        <v>#NAME?</v>
      </c>
      <c r="AA1330" s="58" t="str">
        <f t="shared" si="1170"/>
        <v>#NAME?</v>
      </c>
      <c r="AB1330" s="58" t="str">
        <f t="shared" si="1170"/>
        <v>#NAME?</v>
      </c>
      <c r="AC1330" s="58" t="str">
        <f t="shared" si="1170"/>
        <v>#NAME?</v>
      </c>
      <c r="AD1330" s="57">
        <f t="shared" si="906"/>
        <v>0</v>
      </c>
      <c r="AE1330" s="57" t="str">
        <f t="shared" si="907"/>
        <v/>
      </c>
      <c r="AF1330" s="57">
        <f t="shared" si="908"/>
        <v>0</v>
      </c>
      <c r="AG1330" s="59">
        <f t="shared" si="909"/>
        <v>0</v>
      </c>
      <c r="AH1330" s="15"/>
      <c r="AI1330" s="15"/>
      <c r="AJ1330" s="15"/>
      <c r="AK1330" s="15"/>
      <c r="AL1330" s="15"/>
      <c r="AM1330" s="15"/>
      <c r="AN1330" s="15"/>
      <c r="AO1330" s="15"/>
      <c r="AP1330" s="15"/>
      <c r="AQ1330" s="15"/>
      <c r="AR1330" s="15"/>
      <c r="AS1330" s="15"/>
      <c r="AT1330" s="15"/>
      <c r="AU1330" s="15"/>
    </row>
    <row r="1331" ht="24.0" customHeight="1">
      <c r="A1331" s="45">
        <v>2755.0</v>
      </c>
      <c r="B1331" s="57"/>
      <c r="C1331" s="57"/>
      <c r="D1331" s="88" t="str">
        <f t="array" ref="D1331">IFERROR(
  LOOKUP(2, 1/((TRIM(IMS!$E$8:$E$2574)=TRIM(IMS!$E1331))*(IMS!$C$8:$C$2574&lt;IMS!$C1331)),
         IMS!$C$8:$C$2574),
"")</f>
        <v/>
      </c>
      <c r="E1331" s="57"/>
      <c r="F1331" s="57"/>
      <c r="G1331" s="77" t="str">
        <f t="shared" si="901"/>
        <v/>
      </c>
      <c r="H1331" s="78" t="str">
        <f t="shared" si="902"/>
        <v/>
      </c>
      <c r="I1331" s="79"/>
      <c r="J1331" s="80" t="str">
        <f t="shared" si="903"/>
        <v>#NAME?</v>
      </c>
      <c r="K1331" s="58"/>
      <c r="L1331" s="58"/>
      <c r="M1331" s="57"/>
      <c r="N1331" s="57"/>
      <c r="O1331" s="58"/>
      <c r="P1331" s="82"/>
      <c r="Q1331" s="81"/>
      <c r="R1331" s="81"/>
      <c r="S1331" s="57"/>
      <c r="T1331" s="82"/>
      <c r="U1331" s="82"/>
      <c r="V1331" s="57"/>
      <c r="W1331" s="57"/>
      <c r="X1331" s="57" t="str">
        <f t="shared" si="917"/>
        <v/>
      </c>
      <c r="Y1331" s="58" t="str">
        <f t="shared" ref="Y1331:AC1331" si="1171">TRIM(SUBSTITUTE(SUBSTITUTE(OFFSET($Q1331,0,COLUMN()-COLUMN($AL$1)),CHAR(160)," "),_xludf.UNICHAR(8239)," "))</f>
        <v>#NAME?</v>
      </c>
      <c r="Z1331" s="58" t="str">
        <f t="shared" si="1171"/>
        <v>#NAME?</v>
      </c>
      <c r="AA1331" s="58" t="str">
        <f t="shared" si="1171"/>
        <v>#NAME?</v>
      </c>
      <c r="AB1331" s="58" t="str">
        <f t="shared" si="1171"/>
        <v>#NAME?</v>
      </c>
      <c r="AC1331" s="58" t="str">
        <f t="shared" si="1171"/>
        <v>#NAME?</v>
      </c>
      <c r="AD1331" s="57">
        <f t="shared" si="906"/>
        <v>0</v>
      </c>
      <c r="AE1331" s="57" t="str">
        <f t="shared" si="907"/>
        <v/>
      </c>
      <c r="AF1331" s="57">
        <f t="shared" si="908"/>
        <v>0</v>
      </c>
      <c r="AG1331" s="59">
        <f t="shared" si="909"/>
        <v>0</v>
      </c>
      <c r="AH1331" s="15"/>
      <c r="AI1331" s="15"/>
      <c r="AJ1331" s="15"/>
      <c r="AK1331" s="15"/>
      <c r="AL1331" s="15"/>
      <c r="AM1331" s="15"/>
      <c r="AN1331" s="15"/>
      <c r="AO1331" s="15"/>
      <c r="AP1331" s="15"/>
      <c r="AQ1331" s="15"/>
      <c r="AR1331" s="15"/>
      <c r="AS1331" s="15"/>
      <c r="AT1331" s="15"/>
      <c r="AU1331" s="15"/>
    </row>
    <row r="1332" ht="24.0" customHeight="1">
      <c r="A1332" s="45">
        <v>2756.0</v>
      </c>
      <c r="B1332" s="57"/>
      <c r="C1332" s="57"/>
      <c r="D1332" s="88" t="str">
        <f t="array" ref="D1332">IFERROR(
  LOOKUP(2, 1/((TRIM(IMS!$E$8:$E$2574)=TRIM(IMS!$E1332))*(IMS!$C$8:$C$2574&lt;IMS!$C1332)),
         IMS!$C$8:$C$2574),
"")</f>
        <v/>
      </c>
      <c r="E1332" s="57"/>
      <c r="F1332" s="57"/>
      <c r="G1332" s="77" t="str">
        <f t="shared" si="901"/>
        <v/>
      </c>
      <c r="H1332" s="78" t="str">
        <f t="shared" si="902"/>
        <v/>
      </c>
      <c r="I1332" s="79"/>
      <c r="J1332" s="80" t="str">
        <f t="shared" si="903"/>
        <v>#NAME?</v>
      </c>
      <c r="K1332" s="58"/>
      <c r="L1332" s="58"/>
      <c r="M1332" s="57"/>
      <c r="N1332" s="57"/>
      <c r="O1332" s="58"/>
      <c r="P1332" s="82"/>
      <c r="Q1332" s="81"/>
      <c r="R1332" s="81"/>
      <c r="S1332" s="57"/>
      <c r="T1332" s="82"/>
      <c r="U1332" s="82"/>
      <c r="V1332" s="57"/>
      <c r="W1332" s="57"/>
      <c r="X1332" s="57" t="str">
        <f t="shared" si="917"/>
        <v/>
      </c>
      <c r="Y1332" s="58" t="str">
        <f t="shared" ref="Y1332:AC1332" si="1172">TRIM(SUBSTITUTE(SUBSTITUTE(OFFSET($Q1332,0,COLUMN()-COLUMN($AL$1)),CHAR(160)," "),_xludf.UNICHAR(8239)," "))</f>
        <v>#NAME?</v>
      </c>
      <c r="Z1332" s="58" t="str">
        <f t="shared" si="1172"/>
        <v>#NAME?</v>
      </c>
      <c r="AA1332" s="58" t="str">
        <f t="shared" si="1172"/>
        <v>#NAME?</v>
      </c>
      <c r="AB1332" s="58" t="str">
        <f t="shared" si="1172"/>
        <v>#NAME?</v>
      </c>
      <c r="AC1332" s="58" t="str">
        <f t="shared" si="1172"/>
        <v>#NAME?</v>
      </c>
      <c r="AD1332" s="57">
        <f t="shared" si="906"/>
        <v>0</v>
      </c>
      <c r="AE1332" s="57" t="str">
        <f t="shared" si="907"/>
        <v/>
      </c>
      <c r="AF1332" s="57">
        <f t="shared" si="908"/>
        <v>0</v>
      </c>
      <c r="AG1332" s="59">
        <f t="shared" si="909"/>
        <v>0</v>
      </c>
      <c r="AH1332" s="15"/>
      <c r="AI1332" s="15"/>
      <c r="AJ1332" s="15"/>
      <c r="AK1332" s="15"/>
      <c r="AL1332" s="15"/>
      <c r="AM1332" s="15"/>
      <c r="AN1332" s="15"/>
      <c r="AO1332" s="15"/>
      <c r="AP1332" s="15"/>
      <c r="AQ1332" s="15"/>
      <c r="AR1332" s="15"/>
      <c r="AS1332" s="15"/>
      <c r="AT1332" s="15"/>
      <c r="AU1332" s="15"/>
    </row>
    <row r="1333" ht="24.0" customHeight="1">
      <c r="A1333" s="45">
        <v>2757.0</v>
      </c>
      <c r="B1333" s="57"/>
      <c r="C1333" s="57"/>
      <c r="D1333" s="88" t="str">
        <f t="array" ref="D1333">IFERROR(
  LOOKUP(2, 1/((TRIM(IMS!$E$8:$E$2574)=TRIM(IMS!$E1333))*(IMS!$C$8:$C$2574&lt;IMS!$C1333)),
         IMS!$C$8:$C$2574),
"")</f>
        <v/>
      </c>
      <c r="E1333" s="57"/>
      <c r="F1333" s="57"/>
      <c r="G1333" s="77" t="str">
        <f t="shared" si="901"/>
        <v/>
      </c>
      <c r="H1333" s="78" t="str">
        <f t="shared" si="902"/>
        <v/>
      </c>
      <c r="I1333" s="79"/>
      <c r="J1333" s="80" t="str">
        <f t="shared" si="903"/>
        <v>#NAME?</v>
      </c>
      <c r="K1333" s="58"/>
      <c r="L1333" s="58"/>
      <c r="M1333" s="57"/>
      <c r="N1333" s="57"/>
      <c r="O1333" s="58"/>
      <c r="P1333" s="82"/>
      <c r="Q1333" s="81"/>
      <c r="R1333" s="81"/>
      <c r="S1333" s="57"/>
      <c r="T1333" s="82"/>
      <c r="U1333" s="82"/>
      <c r="V1333" s="57"/>
      <c r="W1333" s="57"/>
      <c r="X1333" s="57" t="str">
        <f t="shared" si="917"/>
        <v/>
      </c>
      <c r="Y1333" s="58" t="str">
        <f t="shared" ref="Y1333:AC1333" si="1173">TRIM(SUBSTITUTE(SUBSTITUTE(OFFSET($Q1333,0,COLUMN()-COLUMN($AL$1)),CHAR(160)," "),_xludf.UNICHAR(8239)," "))</f>
        <v>#NAME?</v>
      </c>
      <c r="Z1333" s="58" t="str">
        <f t="shared" si="1173"/>
        <v>#NAME?</v>
      </c>
      <c r="AA1333" s="58" t="str">
        <f t="shared" si="1173"/>
        <v>#NAME?</v>
      </c>
      <c r="AB1333" s="58" t="str">
        <f t="shared" si="1173"/>
        <v>#NAME?</v>
      </c>
      <c r="AC1333" s="58" t="str">
        <f t="shared" si="1173"/>
        <v>#NAME?</v>
      </c>
      <c r="AD1333" s="57">
        <f t="shared" si="906"/>
        <v>0</v>
      </c>
      <c r="AE1333" s="57" t="str">
        <f t="shared" si="907"/>
        <v/>
      </c>
      <c r="AF1333" s="57">
        <f t="shared" si="908"/>
        <v>0</v>
      </c>
      <c r="AG1333" s="59">
        <f t="shared" si="909"/>
        <v>0</v>
      </c>
      <c r="AH1333" s="15"/>
      <c r="AI1333" s="15"/>
      <c r="AJ1333" s="15"/>
      <c r="AK1333" s="15"/>
      <c r="AL1333" s="15"/>
      <c r="AM1333" s="15"/>
      <c r="AN1333" s="15"/>
      <c r="AO1333" s="15"/>
      <c r="AP1333" s="15"/>
      <c r="AQ1333" s="15"/>
      <c r="AR1333" s="15"/>
      <c r="AS1333" s="15"/>
      <c r="AT1333" s="15"/>
      <c r="AU1333" s="15"/>
    </row>
    <row r="1334" ht="24.0" customHeight="1">
      <c r="A1334" s="45">
        <v>2758.0</v>
      </c>
      <c r="B1334" s="57"/>
      <c r="C1334" s="57"/>
      <c r="D1334" s="88" t="str">
        <f t="array" ref="D1334">IFERROR(
  LOOKUP(2, 1/((TRIM(IMS!$E$8:$E$2574)=TRIM(IMS!$E1334))*(IMS!$C$8:$C$2574&lt;IMS!$C1334)),
         IMS!$C$8:$C$2574),
"")</f>
        <v/>
      </c>
      <c r="E1334" s="57"/>
      <c r="F1334" s="57"/>
      <c r="G1334" s="77" t="str">
        <f t="shared" si="901"/>
        <v/>
      </c>
      <c r="H1334" s="78" t="str">
        <f t="shared" si="902"/>
        <v/>
      </c>
      <c r="I1334" s="79"/>
      <c r="J1334" s="80" t="str">
        <f t="shared" si="903"/>
        <v>#NAME?</v>
      </c>
      <c r="K1334" s="58"/>
      <c r="L1334" s="58"/>
      <c r="M1334" s="57"/>
      <c r="N1334" s="57"/>
      <c r="O1334" s="58"/>
      <c r="P1334" s="82"/>
      <c r="Q1334" s="81"/>
      <c r="R1334" s="81"/>
      <c r="S1334" s="57"/>
      <c r="T1334" s="82"/>
      <c r="U1334" s="82"/>
      <c r="V1334" s="57"/>
      <c r="W1334" s="57"/>
      <c r="X1334" s="57" t="str">
        <f t="shared" si="917"/>
        <v/>
      </c>
      <c r="Y1334" s="58" t="str">
        <f t="shared" ref="Y1334:AC1334" si="1174">TRIM(SUBSTITUTE(SUBSTITUTE(OFFSET($Q1334,0,COLUMN()-COLUMN($AL$1)),CHAR(160)," "),_xludf.UNICHAR(8239)," "))</f>
        <v>#NAME?</v>
      </c>
      <c r="Z1334" s="58" t="str">
        <f t="shared" si="1174"/>
        <v>#NAME?</v>
      </c>
      <c r="AA1334" s="58" t="str">
        <f t="shared" si="1174"/>
        <v>#NAME?</v>
      </c>
      <c r="AB1334" s="58" t="str">
        <f t="shared" si="1174"/>
        <v>#NAME?</v>
      </c>
      <c r="AC1334" s="58" t="str">
        <f t="shared" si="1174"/>
        <v>#NAME?</v>
      </c>
      <c r="AD1334" s="57">
        <f t="shared" si="906"/>
        <v>0</v>
      </c>
      <c r="AE1334" s="57" t="str">
        <f t="shared" si="907"/>
        <v/>
      </c>
      <c r="AF1334" s="57">
        <f t="shared" si="908"/>
        <v>0</v>
      </c>
      <c r="AG1334" s="59">
        <f t="shared" si="909"/>
        <v>0</v>
      </c>
      <c r="AH1334" s="15"/>
      <c r="AI1334" s="15"/>
      <c r="AJ1334" s="15"/>
      <c r="AK1334" s="15"/>
      <c r="AL1334" s="15"/>
      <c r="AM1334" s="15"/>
      <c r="AN1334" s="15"/>
      <c r="AO1334" s="15"/>
      <c r="AP1334" s="15"/>
      <c r="AQ1334" s="15"/>
      <c r="AR1334" s="15"/>
      <c r="AS1334" s="15"/>
      <c r="AT1334" s="15"/>
      <c r="AU1334" s="15"/>
    </row>
    <row r="1335" ht="24.0" customHeight="1">
      <c r="A1335" s="45">
        <v>2759.0</v>
      </c>
      <c r="B1335" s="57"/>
      <c r="C1335" s="57"/>
      <c r="D1335" s="88" t="str">
        <f t="array" ref="D1335">IFERROR(
  LOOKUP(2, 1/((TRIM(IMS!$E$8:$E$2574)=TRIM(IMS!$E1335))*(IMS!$C$8:$C$2574&lt;IMS!$C1335)),
         IMS!$C$8:$C$2574),
"")</f>
        <v/>
      </c>
      <c r="E1335" s="57"/>
      <c r="F1335" s="57"/>
      <c r="G1335" s="77" t="str">
        <f t="shared" si="901"/>
        <v/>
      </c>
      <c r="H1335" s="78" t="str">
        <f t="shared" si="902"/>
        <v/>
      </c>
      <c r="I1335" s="79"/>
      <c r="J1335" s="80" t="str">
        <f t="shared" si="903"/>
        <v>#NAME?</v>
      </c>
      <c r="K1335" s="58"/>
      <c r="L1335" s="58"/>
      <c r="M1335" s="57"/>
      <c r="N1335" s="57"/>
      <c r="O1335" s="58"/>
      <c r="P1335" s="82"/>
      <c r="Q1335" s="81"/>
      <c r="R1335" s="81"/>
      <c r="S1335" s="57"/>
      <c r="T1335" s="82"/>
      <c r="U1335" s="82"/>
      <c r="V1335" s="57"/>
      <c r="W1335" s="57"/>
      <c r="X1335" s="57" t="str">
        <f t="shared" si="917"/>
        <v/>
      </c>
      <c r="Y1335" s="58" t="str">
        <f t="shared" ref="Y1335:AC1335" si="1175">TRIM(SUBSTITUTE(SUBSTITUTE(OFFSET($Q1335,0,COLUMN()-COLUMN($AL$1)),CHAR(160)," "),_xludf.UNICHAR(8239)," "))</f>
        <v>#NAME?</v>
      </c>
      <c r="Z1335" s="58" t="str">
        <f t="shared" si="1175"/>
        <v>#NAME?</v>
      </c>
      <c r="AA1335" s="58" t="str">
        <f t="shared" si="1175"/>
        <v>#NAME?</v>
      </c>
      <c r="AB1335" s="58" t="str">
        <f t="shared" si="1175"/>
        <v>#NAME?</v>
      </c>
      <c r="AC1335" s="58" t="str">
        <f t="shared" si="1175"/>
        <v>#NAME?</v>
      </c>
      <c r="AD1335" s="57">
        <f t="shared" si="906"/>
        <v>0</v>
      </c>
      <c r="AE1335" s="57" t="str">
        <f t="shared" si="907"/>
        <v/>
      </c>
      <c r="AF1335" s="57">
        <f t="shared" si="908"/>
        <v>0</v>
      </c>
      <c r="AG1335" s="59">
        <f t="shared" si="909"/>
        <v>0</v>
      </c>
      <c r="AH1335" s="15"/>
      <c r="AI1335" s="15"/>
      <c r="AJ1335" s="15"/>
      <c r="AK1335" s="15"/>
      <c r="AL1335" s="15"/>
      <c r="AM1335" s="15"/>
      <c r="AN1335" s="15"/>
      <c r="AO1335" s="15"/>
      <c r="AP1335" s="15"/>
      <c r="AQ1335" s="15"/>
      <c r="AR1335" s="15"/>
      <c r="AS1335" s="15"/>
      <c r="AT1335" s="15"/>
      <c r="AU1335" s="15"/>
    </row>
    <row r="1336" ht="24.0" customHeight="1">
      <c r="A1336" s="45">
        <v>2760.0</v>
      </c>
      <c r="B1336" s="57"/>
      <c r="C1336" s="57"/>
      <c r="D1336" s="88" t="str">
        <f t="array" ref="D1336">IFERROR(
  LOOKUP(2, 1/((TRIM(IMS!$E$8:$E$2574)=TRIM(IMS!$E1336))*(IMS!$C$8:$C$2574&lt;IMS!$C1336)),
         IMS!$C$8:$C$2574),
"")</f>
        <v/>
      </c>
      <c r="E1336" s="57"/>
      <c r="F1336" s="57"/>
      <c r="G1336" s="77" t="str">
        <f t="shared" si="901"/>
        <v/>
      </c>
      <c r="H1336" s="78" t="str">
        <f t="shared" si="902"/>
        <v/>
      </c>
      <c r="I1336" s="79"/>
      <c r="J1336" s="80" t="str">
        <f t="shared" si="903"/>
        <v>#NAME?</v>
      </c>
      <c r="K1336" s="58"/>
      <c r="L1336" s="58"/>
      <c r="M1336" s="57"/>
      <c r="N1336" s="57"/>
      <c r="O1336" s="58"/>
      <c r="P1336" s="82"/>
      <c r="Q1336" s="81"/>
      <c r="R1336" s="81"/>
      <c r="S1336" s="57"/>
      <c r="T1336" s="82"/>
      <c r="U1336" s="82"/>
      <c r="V1336" s="57"/>
      <c r="W1336" s="57"/>
      <c r="X1336" s="57" t="str">
        <f t="shared" si="917"/>
        <v/>
      </c>
      <c r="Y1336" s="58" t="str">
        <f t="shared" ref="Y1336:AC1336" si="1176">TRIM(SUBSTITUTE(SUBSTITUTE(OFFSET($Q1336,0,COLUMN()-COLUMN($AL$1)),CHAR(160)," "),_xludf.UNICHAR(8239)," "))</f>
        <v>#NAME?</v>
      </c>
      <c r="Z1336" s="58" t="str">
        <f t="shared" si="1176"/>
        <v>#NAME?</v>
      </c>
      <c r="AA1336" s="58" t="str">
        <f t="shared" si="1176"/>
        <v>#NAME?</v>
      </c>
      <c r="AB1336" s="58" t="str">
        <f t="shared" si="1176"/>
        <v>#NAME?</v>
      </c>
      <c r="AC1336" s="58" t="str">
        <f t="shared" si="1176"/>
        <v>#NAME?</v>
      </c>
      <c r="AD1336" s="57">
        <f t="shared" si="906"/>
        <v>0</v>
      </c>
      <c r="AE1336" s="57" t="str">
        <f t="shared" si="907"/>
        <v/>
      </c>
      <c r="AF1336" s="57">
        <f t="shared" si="908"/>
        <v>0</v>
      </c>
      <c r="AG1336" s="59">
        <f t="shared" si="909"/>
        <v>0</v>
      </c>
      <c r="AH1336" s="15"/>
      <c r="AI1336" s="15"/>
      <c r="AJ1336" s="15"/>
      <c r="AK1336" s="15"/>
      <c r="AL1336" s="15"/>
      <c r="AM1336" s="15"/>
      <c r="AN1336" s="15"/>
      <c r="AO1336" s="15"/>
      <c r="AP1336" s="15"/>
      <c r="AQ1336" s="15"/>
      <c r="AR1336" s="15"/>
      <c r="AS1336" s="15"/>
      <c r="AT1336" s="15"/>
      <c r="AU1336" s="15"/>
    </row>
    <row r="1337" ht="24.0" customHeight="1">
      <c r="A1337" s="45">
        <v>2761.0</v>
      </c>
      <c r="B1337" s="57"/>
      <c r="C1337" s="57"/>
      <c r="D1337" s="88" t="str">
        <f t="array" ref="D1337">IFERROR(
  LOOKUP(2, 1/((TRIM(IMS!$E$8:$E$2574)=TRIM(IMS!$E1337))*(IMS!$C$8:$C$2574&lt;IMS!$C1337)),
         IMS!$C$8:$C$2574),
"")</f>
        <v/>
      </c>
      <c r="E1337" s="57"/>
      <c r="F1337" s="57"/>
      <c r="G1337" s="77" t="str">
        <f t="shared" si="901"/>
        <v/>
      </c>
      <c r="H1337" s="78" t="str">
        <f t="shared" si="902"/>
        <v/>
      </c>
      <c r="I1337" s="79"/>
      <c r="J1337" s="80" t="str">
        <f t="shared" si="903"/>
        <v>#NAME?</v>
      </c>
      <c r="K1337" s="58"/>
      <c r="L1337" s="58"/>
      <c r="M1337" s="57"/>
      <c r="N1337" s="57"/>
      <c r="O1337" s="58"/>
      <c r="P1337" s="82"/>
      <c r="Q1337" s="81"/>
      <c r="R1337" s="81"/>
      <c r="S1337" s="57"/>
      <c r="T1337" s="82"/>
      <c r="U1337" s="82"/>
      <c r="V1337" s="57"/>
      <c r="W1337" s="57"/>
      <c r="X1337" s="57" t="str">
        <f t="shared" si="917"/>
        <v/>
      </c>
      <c r="Y1337" s="58" t="str">
        <f t="shared" ref="Y1337:AC1337" si="1177">TRIM(SUBSTITUTE(SUBSTITUTE(OFFSET($Q1337,0,COLUMN()-COLUMN($AL$1)),CHAR(160)," "),_xludf.UNICHAR(8239)," "))</f>
        <v>#NAME?</v>
      </c>
      <c r="Z1337" s="58" t="str">
        <f t="shared" si="1177"/>
        <v>#NAME?</v>
      </c>
      <c r="AA1337" s="58" t="str">
        <f t="shared" si="1177"/>
        <v>#NAME?</v>
      </c>
      <c r="AB1337" s="58" t="str">
        <f t="shared" si="1177"/>
        <v>#NAME?</v>
      </c>
      <c r="AC1337" s="58" t="str">
        <f t="shared" si="1177"/>
        <v>#NAME?</v>
      </c>
      <c r="AD1337" s="57">
        <f t="shared" si="906"/>
        <v>0</v>
      </c>
      <c r="AE1337" s="57" t="str">
        <f t="shared" si="907"/>
        <v/>
      </c>
      <c r="AF1337" s="57">
        <f t="shared" si="908"/>
        <v>0</v>
      </c>
      <c r="AG1337" s="59">
        <f t="shared" si="909"/>
        <v>0</v>
      </c>
      <c r="AH1337" s="15"/>
      <c r="AI1337" s="15"/>
      <c r="AJ1337" s="15"/>
      <c r="AK1337" s="15"/>
      <c r="AL1337" s="15"/>
      <c r="AM1337" s="15"/>
      <c r="AN1337" s="15"/>
      <c r="AO1337" s="15"/>
      <c r="AP1337" s="15"/>
      <c r="AQ1337" s="15"/>
      <c r="AR1337" s="15"/>
      <c r="AS1337" s="15"/>
      <c r="AT1337" s="15"/>
      <c r="AU1337" s="15"/>
    </row>
    <row r="1338" ht="24.0" customHeight="1">
      <c r="A1338" s="45">
        <v>2762.0</v>
      </c>
      <c r="B1338" s="57"/>
      <c r="C1338" s="57"/>
      <c r="D1338" s="88" t="str">
        <f t="array" ref="D1338">IFERROR(
  LOOKUP(2, 1/((TRIM(IMS!$E$8:$E$2574)=TRIM(IMS!$E1338))*(IMS!$C$8:$C$2574&lt;IMS!$C1338)),
         IMS!$C$8:$C$2574),
"")</f>
        <v/>
      </c>
      <c r="E1338" s="57"/>
      <c r="F1338" s="57"/>
      <c r="G1338" s="77" t="str">
        <f t="shared" si="901"/>
        <v/>
      </c>
      <c r="H1338" s="78" t="str">
        <f t="shared" si="902"/>
        <v/>
      </c>
      <c r="I1338" s="79"/>
      <c r="J1338" s="80" t="str">
        <f t="shared" si="903"/>
        <v>#NAME?</v>
      </c>
      <c r="K1338" s="58"/>
      <c r="L1338" s="58"/>
      <c r="M1338" s="57"/>
      <c r="N1338" s="57"/>
      <c r="O1338" s="58"/>
      <c r="P1338" s="82"/>
      <c r="Q1338" s="81"/>
      <c r="R1338" s="81"/>
      <c r="S1338" s="57"/>
      <c r="T1338" s="82"/>
      <c r="U1338" s="82"/>
      <c r="V1338" s="57"/>
      <c r="W1338" s="57"/>
      <c r="X1338" s="57" t="str">
        <f t="shared" si="917"/>
        <v/>
      </c>
      <c r="Y1338" s="58" t="str">
        <f t="shared" ref="Y1338:AC1338" si="1178">TRIM(SUBSTITUTE(SUBSTITUTE(OFFSET($Q1338,0,COLUMN()-COLUMN($AL$1)),CHAR(160)," "),_xludf.UNICHAR(8239)," "))</f>
        <v>#NAME?</v>
      </c>
      <c r="Z1338" s="58" t="str">
        <f t="shared" si="1178"/>
        <v>#NAME?</v>
      </c>
      <c r="AA1338" s="58" t="str">
        <f t="shared" si="1178"/>
        <v>#NAME?</v>
      </c>
      <c r="AB1338" s="58" t="str">
        <f t="shared" si="1178"/>
        <v>#NAME?</v>
      </c>
      <c r="AC1338" s="58" t="str">
        <f t="shared" si="1178"/>
        <v>#NAME?</v>
      </c>
      <c r="AD1338" s="57">
        <f t="shared" si="906"/>
        <v>0</v>
      </c>
      <c r="AE1338" s="57" t="str">
        <f t="shared" si="907"/>
        <v/>
      </c>
      <c r="AF1338" s="57">
        <f t="shared" si="908"/>
        <v>0</v>
      </c>
      <c r="AG1338" s="59">
        <f t="shared" si="909"/>
        <v>0</v>
      </c>
      <c r="AH1338" s="15"/>
      <c r="AI1338" s="15"/>
      <c r="AJ1338" s="15"/>
      <c r="AK1338" s="15"/>
      <c r="AL1338" s="15"/>
      <c r="AM1338" s="15"/>
      <c r="AN1338" s="15"/>
      <c r="AO1338" s="15"/>
      <c r="AP1338" s="15"/>
      <c r="AQ1338" s="15"/>
      <c r="AR1338" s="15"/>
      <c r="AS1338" s="15"/>
      <c r="AT1338" s="15"/>
      <c r="AU1338" s="15"/>
    </row>
    <row r="1339" ht="24.0" customHeight="1">
      <c r="A1339" s="45">
        <v>2763.0</v>
      </c>
      <c r="B1339" s="57"/>
      <c r="C1339" s="57"/>
      <c r="D1339" s="88" t="str">
        <f t="array" ref="D1339">IFERROR(
  LOOKUP(2, 1/((TRIM(IMS!$E$8:$E$2574)=TRIM(IMS!$E1339))*(IMS!$C$8:$C$2574&lt;IMS!$C1339)),
         IMS!$C$8:$C$2574),
"")</f>
        <v/>
      </c>
      <c r="E1339" s="57"/>
      <c r="F1339" s="57"/>
      <c r="G1339" s="77" t="str">
        <f t="shared" si="901"/>
        <v/>
      </c>
      <c r="H1339" s="78" t="str">
        <f t="shared" si="902"/>
        <v/>
      </c>
      <c r="I1339" s="79"/>
      <c r="J1339" s="80" t="str">
        <f t="shared" si="903"/>
        <v>#NAME?</v>
      </c>
      <c r="K1339" s="58"/>
      <c r="L1339" s="58"/>
      <c r="M1339" s="57"/>
      <c r="N1339" s="57"/>
      <c r="O1339" s="58"/>
      <c r="P1339" s="82"/>
      <c r="Q1339" s="81"/>
      <c r="R1339" s="81"/>
      <c r="S1339" s="57"/>
      <c r="T1339" s="82"/>
      <c r="U1339" s="82"/>
      <c r="V1339" s="57"/>
      <c r="W1339" s="57"/>
      <c r="X1339" s="57" t="str">
        <f t="shared" si="917"/>
        <v/>
      </c>
      <c r="Y1339" s="58" t="str">
        <f t="shared" ref="Y1339:AC1339" si="1179">TRIM(SUBSTITUTE(SUBSTITUTE(OFFSET($Q1339,0,COLUMN()-COLUMN($AL$1)),CHAR(160)," "),_xludf.UNICHAR(8239)," "))</f>
        <v>#NAME?</v>
      </c>
      <c r="Z1339" s="58" t="str">
        <f t="shared" si="1179"/>
        <v>#NAME?</v>
      </c>
      <c r="AA1339" s="58" t="str">
        <f t="shared" si="1179"/>
        <v>#NAME?</v>
      </c>
      <c r="AB1339" s="58" t="str">
        <f t="shared" si="1179"/>
        <v>#NAME?</v>
      </c>
      <c r="AC1339" s="58" t="str">
        <f t="shared" si="1179"/>
        <v>#NAME?</v>
      </c>
      <c r="AD1339" s="57">
        <f t="shared" si="906"/>
        <v>0</v>
      </c>
      <c r="AE1339" s="57" t="str">
        <f t="shared" si="907"/>
        <v/>
      </c>
      <c r="AF1339" s="57">
        <f t="shared" si="908"/>
        <v>0</v>
      </c>
      <c r="AG1339" s="59">
        <f t="shared" si="909"/>
        <v>0</v>
      </c>
      <c r="AH1339" s="15"/>
      <c r="AI1339" s="15"/>
      <c r="AJ1339" s="15"/>
      <c r="AK1339" s="15"/>
      <c r="AL1339" s="15"/>
      <c r="AM1339" s="15"/>
      <c r="AN1339" s="15"/>
      <c r="AO1339" s="15"/>
      <c r="AP1339" s="15"/>
      <c r="AQ1339" s="15"/>
      <c r="AR1339" s="15"/>
      <c r="AS1339" s="15"/>
      <c r="AT1339" s="15"/>
      <c r="AU1339" s="15"/>
    </row>
    <row r="1340" ht="24.0" customHeight="1">
      <c r="A1340" s="45">
        <v>2764.0</v>
      </c>
      <c r="B1340" s="57"/>
      <c r="C1340" s="57"/>
      <c r="D1340" s="88" t="str">
        <f t="array" ref="D1340">IFERROR(
  LOOKUP(2, 1/((TRIM(IMS!$E$8:$E$2574)=TRIM(IMS!$E1340))*(IMS!$C$8:$C$2574&lt;IMS!$C1340)),
         IMS!$C$8:$C$2574),
"")</f>
        <v/>
      </c>
      <c r="E1340" s="57"/>
      <c r="F1340" s="57"/>
      <c r="G1340" s="77" t="str">
        <f t="shared" si="901"/>
        <v/>
      </c>
      <c r="H1340" s="78" t="str">
        <f t="shared" si="902"/>
        <v/>
      </c>
      <c r="I1340" s="79"/>
      <c r="J1340" s="80" t="str">
        <f t="shared" si="903"/>
        <v>#NAME?</v>
      </c>
      <c r="K1340" s="58"/>
      <c r="L1340" s="58"/>
      <c r="M1340" s="57"/>
      <c r="N1340" s="57"/>
      <c r="O1340" s="58"/>
      <c r="P1340" s="82"/>
      <c r="Q1340" s="81"/>
      <c r="R1340" s="81"/>
      <c r="S1340" s="57"/>
      <c r="T1340" s="82"/>
      <c r="U1340" s="82"/>
      <c r="V1340" s="57"/>
      <c r="W1340" s="57"/>
      <c r="X1340" s="57" t="str">
        <f t="shared" si="917"/>
        <v/>
      </c>
      <c r="Y1340" s="58" t="str">
        <f t="shared" ref="Y1340:AC1340" si="1180">TRIM(SUBSTITUTE(SUBSTITUTE(OFFSET($Q1340,0,COLUMN()-COLUMN($AL$1)),CHAR(160)," "),_xludf.UNICHAR(8239)," "))</f>
        <v>#NAME?</v>
      </c>
      <c r="Z1340" s="58" t="str">
        <f t="shared" si="1180"/>
        <v>#NAME?</v>
      </c>
      <c r="AA1340" s="58" t="str">
        <f t="shared" si="1180"/>
        <v>#NAME?</v>
      </c>
      <c r="AB1340" s="58" t="str">
        <f t="shared" si="1180"/>
        <v>#NAME?</v>
      </c>
      <c r="AC1340" s="58" t="str">
        <f t="shared" si="1180"/>
        <v>#NAME?</v>
      </c>
      <c r="AD1340" s="57">
        <f t="shared" si="906"/>
        <v>0</v>
      </c>
      <c r="AE1340" s="57" t="str">
        <f t="shared" si="907"/>
        <v/>
      </c>
      <c r="AF1340" s="57">
        <f t="shared" si="908"/>
        <v>0</v>
      </c>
      <c r="AG1340" s="59">
        <f t="shared" si="909"/>
        <v>0</v>
      </c>
      <c r="AH1340" s="15"/>
      <c r="AI1340" s="15"/>
      <c r="AJ1340" s="15"/>
      <c r="AK1340" s="15"/>
      <c r="AL1340" s="15"/>
      <c r="AM1340" s="15"/>
      <c r="AN1340" s="15"/>
      <c r="AO1340" s="15"/>
      <c r="AP1340" s="15"/>
      <c r="AQ1340" s="15"/>
      <c r="AR1340" s="15"/>
      <c r="AS1340" s="15"/>
      <c r="AT1340" s="15"/>
      <c r="AU1340" s="15"/>
    </row>
    <row r="1341" ht="24.0" customHeight="1">
      <c r="A1341" s="45">
        <v>2765.0</v>
      </c>
      <c r="B1341" s="57"/>
      <c r="C1341" s="57"/>
      <c r="D1341" s="88" t="str">
        <f t="array" ref="D1341">IFERROR(
  LOOKUP(2, 1/((TRIM(IMS!$E$8:$E$2574)=TRIM(IMS!$E1341))*(IMS!$C$8:$C$2574&lt;IMS!$C1341)),
         IMS!$C$8:$C$2574),
"")</f>
        <v/>
      </c>
      <c r="E1341" s="57"/>
      <c r="F1341" s="57"/>
      <c r="G1341" s="77" t="str">
        <f t="shared" si="901"/>
        <v/>
      </c>
      <c r="H1341" s="78" t="str">
        <f t="shared" si="902"/>
        <v/>
      </c>
      <c r="I1341" s="79"/>
      <c r="J1341" s="80" t="str">
        <f t="shared" si="903"/>
        <v>#NAME?</v>
      </c>
      <c r="K1341" s="58"/>
      <c r="L1341" s="58"/>
      <c r="M1341" s="57"/>
      <c r="N1341" s="57"/>
      <c r="O1341" s="58"/>
      <c r="P1341" s="82"/>
      <c r="Q1341" s="81"/>
      <c r="R1341" s="81"/>
      <c r="S1341" s="57"/>
      <c r="T1341" s="82"/>
      <c r="U1341" s="82"/>
      <c r="V1341" s="57"/>
      <c r="W1341" s="57"/>
      <c r="X1341" s="57" t="str">
        <f t="shared" si="917"/>
        <v/>
      </c>
      <c r="Y1341" s="58" t="str">
        <f t="shared" ref="Y1341:AC1341" si="1181">TRIM(SUBSTITUTE(SUBSTITUTE(OFFSET($Q1341,0,COLUMN()-COLUMN($AL$1)),CHAR(160)," "),_xludf.UNICHAR(8239)," "))</f>
        <v>#NAME?</v>
      </c>
      <c r="Z1341" s="58" t="str">
        <f t="shared" si="1181"/>
        <v>#NAME?</v>
      </c>
      <c r="AA1341" s="58" t="str">
        <f t="shared" si="1181"/>
        <v>#NAME?</v>
      </c>
      <c r="AB1341" s="58" t="str">
        <f t="shared" si="1181"/>
        <v>#NAME?</v>
      </c>
      <c r="AC1341" s="58" t="str">
        <f t="shared" si="1181"/>
        <v>#NAME?</v>
      </c>
      <c r="AD1341" s="57">
        <f t="shared" si="906"/>
        <v>0</v>
      </c>
      <c r="AE1341" s="57" t="str">
        <f t="shared" si="907"/>
        <v/>
      </c>
      <c r="AF1341" s="57">
        <f t="shared" si="908"/>
        <v>0</v>
      </c>
      <c r="AG1341" s="59">
        <f t="shared" si="909"/>
        <v>0</v>
      </c>
      <c r="AH1341" s="15"/>
      <c r="AI1341" s="15"/>
      <c r="AJ1341" s="15"/>
      <c r="AK1341" s="15"/>
      <c r="AL1341" s="15"/>
      <c r="AM1341" s="15"/>
      <c r="AN1341" s="15"/>
      <c r="AO1341" s="15"/>
      <c r="AP1341" s="15"/>
      <c r="AQ1341" s="15"/>
      <c r="AR1341" s="15"/>
      <c r="AS1341" s="15"/>
      <c r="AT1341" s="15"/>
      <c r="AU1341" s="15"/>
    </row>
    <row r="1342" ht="24.0" customHeight="1">
      <c r="A1342" s="45">
        <v>2766.0</v>
      </c>
      <c r="B1342" s="57"/>
      <c r="C1342" s="57"/>
      <c r="D1342" s="88" t="str">
        <f t="array" ref="D1342">IFERROR(
  LOOKUP(2, 1/((TRIM(IMS!$E$8:$E$2574)=TRIM(IMS!$E1342))*(IMS!$C$8:$C$2574&lt;IMS!$C1342)),
         IMS!$C$8:$C$2574),
"")</f>
        <v/>
      </c>
      <c r="E1342" s="57"/>
      <c r="F1342" s="57"/>
      <c r="G1342" s="77" t="str">
        <f t="shared" si="901"/>
        <v/>
      </c>
      <c r="H1342" s="78" t="str">
        <f t="shared" si="902"/>
        <v/>
      </c>
      <c r="I1342" s="79"/>
      <c r="J1342" s="80" t="str">
        <f t="shared" si="903"/>
        <v>#NAME?</v>
      </c>
      <c r="K1342" s="58"/>
      <c r="L1342" s="58"/>
      <c r="M1342" s="57"/>
      <c r="N1342" s="57"/>
      <c r="O1342" s="58"/>
      <c r="P1342" s="82"/>
      <c r="Q1342" s="81"/>
      <c r="R1342" s="81"/>
      <c r="S1342" s="57"/>
      <c r="T1342" s="82"/>
      <c r="U1342" s="82"/>
      <c r="V1342" s="57"/>
      <c r="W1342" s="57"/>
      <c r="X1342" s="57" t="str">
        <f t="shared" si="917"/>
        <v/>
      </c>
      <c r="Y1342" s="58" t="str">
        <f t="shared" ref="Y1342:AC1342" si="1182">TRIM(SUBSTITUTE(SUBSTITUTE(OFFSET($Q1342,0,COLUMN()-COLUMN($AL$1)),CHAR(160)," "),_xludf.UNICHAR(8239)," "))</f>
        <v>#NAME?</v>
      </c>
      <c r="Z1342" s="58" t="str">
        <f t="shared" si="1182"/>
        <v>#NAME?</v>
      </c>
      <c r="AA1342" s="58" t="str">
        <f t="shared" si="1182"/>
        <v>#NAME?</v>
      </c>
      <c r="AB1342" s="58" t="str">
        <f t="shared" si="1182"/>
        <v>#NAME?</v>
      </c>
      <c r="AC1342" s="58" t="str">
        <f t="shared" si="1182"/>
        <v>#NAME?</v>
      </c>
      <c r="AD1342" s="57">
        <f t="shared" si="906"/>
        <v>0</v>
      </c>
      <c r="AE1342" s="57" t="str">
        <f t="shared" si="907"/>
        <v/>
      </c>
      <c r="AF1342" s="57">
        <f t="shared" si="908"/>
        <v>0</v>
      </c>
      <c r="AG1342" s="59">
        <f t="shared" si="909"/>
        <v>0</v>
      </c>
      <c r="AH1342" s="15"/>
      <c r="AI1342" s="15"/>
      <c r="AJ1342" s="15"/>
      <c r="AK1342" s="15"/>
      <c r="AL1342" s="15"/>
      <c r="AM1342" s="15"/>
      <c r="AN1342" s="15"/>
      <c r="AO1342" s="15"/>
      <c r="AP1342" s="15"/>
      <c r="AQ1342" s="15"/>
      <c r="AR1342" s="15"/>
      <c r="AS1342" s="15"/>
      <c r="AT1342" s="15"/>
      <c r="AU1342" s="15"/>
    </row>
    <row r="1343" ht="24.0" customHeight="1">
      <c r="A1343" s="45">
        <v>2767.0</v>
      </c>
      <c r="B1343" s="57"/>
      <c r="C1343" s="57"/>
      <c r="D1343" s="88" t="str">
        <f t="array" ref="D1343">IFERROR(
  LOOKUP(2, 1/((TRIM(IMS!$E$8:$E$2574)=TRIM(IMS!$E1343))*(IMS!$C$8:$C$2574&lt;IMS!$C1343)),
         IMS!$C$8:$C$2574),
"")</f>
        <v/>
      </c>
      <c r="E1343" s="57"/>
      <c r="F1343" s="57"/>
      <c r="G1343" s="77" t="str">
        <f t="shared" si="901"/>
        <v/>
      </c>
      <c r="H1343" s="78" t="str">
        <f t="shared" si="902"/>
        <v/>
      </c>
      <c r="I1343" s="79"/>
      <c r="J1343" s="80" t="str">
        <f t="shared" si="903"/>
        <v>#NAME?</v>
      </c>
      <c r="K1343" s="58"/>
      <c r="L1343" s="58"/>
      <c r="M1343" s="57"/>
      <c r="N1343" s="57"/>
      <c r="O1343" s="58"/>
      <c r="P1343" s="82"/>
      <c r="Q1343" s="81"/>
      <c r="R1343" s="81"/>
      <c r="S1343" s="57"/>
      <c r="T1343" s="82"/>
      <c r="U1343" s="82"/>
      <c r="V1343" s="57"/>
      <c r="W1343" s="57"/>
      <c r="X1343" s="57" t="str">
        <f t="shared" si="917"/>
        <v/>
      </c>
      <c r="Y1343" s="58" t="str">
        <f t="shared" ref="Y1343:AC1343" si="1183">TRIM(SUBSTITUTE(SUBSTITUTE(OFFSET($Q1343,0,COLUMN()-COLUMN($AL$1)),CHAR(160)," "),_xludf.UNICHAR(8239)," "))</f>
        <v>#NAME?</v>
      </c>
      <c r="Z1343" s="58" t="str">
        <f t="shared" si="1183"/>
        <v>#NAME?</v>
      </c>
      <c r="AA1343" s="58" t="str">
        <f t="shared" si="1183"/>
        <v>#NAME?</v>
      </c>
      <c r="AB1343" s="58" t="str">
        <f t="shared" si="1183"/>
        <v>#NAME?</v>
      </c>
      <c r="AC1343" s="58" t="str">
        <f t="shared" si="1183"/>
        <v>#NAME?</v>
      </c>
      <c r="AD1343" s="57">
        <f t="shared" si="906"/>
        <v>0</v>
      </c>
      <c r="AE1343" s="57" t="str">
        <f t="shared" si="907"/>
        <v/>
      </c>
      <c r="AF1343" s="57">
        <f t="shared" si="908"/>
        <v>0</v>
      </c>
      <c r="AG1343" s="59">
        <f t="shared" si="909"/>
        <v>0</v>
      </c>
      <c r="AH1343" s="15"/>
      <c r="AI1343" s="15"/>
      <c r="AJ1343" s="15"/>
      <c r="AK1343" s="15"/>
      <c r="AL1343" s="15"/>
      <c r="AM1343" s="15"/>
      <c r="AN1343" s="15"/>
      <c r="AO1343" s="15"/>
      <c r="AP1343" s="15"/>
      <c r="AQ1343" s="15"/>
      <c r="AR1343" s="15"/>
      <c r="AS1343" s="15"/>
      <c r="AT1343" s="15"/>
      <c r="AU1343" s="15"/>
    </row>
    <row r="1344" ht="24.0" customHeight="1">
      <c r="A1344" s="45">
        <v>2768.0</v>
      </c>
      <c r="B1344" s="57"/>
      <c r="C1344" s="57"/>
      <c r="D1344" s="88" t="str">
        <f t="array" ref="D1344">IFERROR(
  LOOKUP(2, 1/((TRIM(IMS!$E$8:$E$2574)=TRIM(IMS!$E1344))*(IMS!$C$8:$C$2574&lt;IMS!$C1344)),
         IMS!$C$8:$C$2574),
"")</f>
        <v/>
      </c>
      <c r="E1344" s="57"/>
      <c r="F1344" s="57"/>
      <c r="G1344" s="77" t="str">
        <f t="shared" si="901"/>
        <v/>
      </c>
      <c r="H1344" s="78" t="str">
        <f t="shared" si="902"/>
        <v/>
      </c>
      <c r="I1344" s="79"/>
      <c r="J1344" s="80" t="str">
        <f t="shared" si="903"/>
        <v>#NAME?</v>
      </c>
      <c r="K1344" s="58"/>
      <c r="L1344" s="58"/>
      <c r="M1344" s="57"/>
      <c r="N1344" s="57"/>
      <c r="O1344" s="58"/>
      <c r="P1344" s="82"/>
      <c r="Q1344" s="81"/>
      <c r="R1344" s="81"/>
      <c r="S1344" s="57"/>
      <c r="T1344" s="82"/>
      <c r="U1344" s="82"/>
      <c r="V1344" s="57"/>
      <c r="W1344" s="57"/>
      <c r="X1344" s="57" t="str">
        <f t="shared" si="917"/>
        <v/>
      </c>
      <c r="Y1344" s="58" t="str">
        <f t="shared" ref="Y1344:AC1344" si="1184">TRIM(SUBSTITUTE(SUBSTITUTE(OFFSET($Q1344,0,COLUMN()-COLUMN($AL$1)),CHAR(160)," "),_xludf.UNICHAR(8239)," "))</f>
        <v>#NAME?</v>
      </c>
      <c r="Z1344" s="58" t="str">
        <f t="shared" si="1184"/>
        <v>#NAME?</v>
      </c>
      <c r="AA1344" s="58" t="str">
        <f t="shared" si="1184"/>
        <v>#NAME?</v>
      </c>
      <c r="AB1344" s="58" t="str">
        <f t="shared" si="1184"/>
        <v>#NAME?</v>
      </c>
      <c r="AC1344" s="58" t="str">
        <f t="shared" si="1184"/>
        <v>#NAME?</v>
      </c>
      <c r="AD1344" s="57">
        <f t="shared" si="906"/>
        <v>0</v>
      </c>
      <c r="AE1344" s="57" t="str">
        <f t="shared" si="907"/>
        <v/>
      </c>
      <c r="AF1344" s="57">
        <f t="shared" si="908"/>
        <v>0</v>
      </c>
      <c r="AG1344" s="59">
        <f t="shared" si="909"/>
        <v>0</v>
      </c>
      <c r="AH1344" s="15"/>
      <c r="AI1344" s="15"/>
      <c r="AJ1344" s="15"/>
      <c r="AK1344" s="15"/>
      <c r="AL1344" s="15"/>
      <c r="AM1344" s="15"/>
      <c r="AN1344" s="15"/>
      <c r="AO1344" s="15"/>
      <c r="AP1344" s="15"/>
      <c r="AQ1344" s="15"/>
      <c r="AR1344" s="15"/>
      <c r="AS1344" s="15"/>
      <c r="AT1344" s="15"/>
      <c r="AU1344" s="15"/>
    </row>
    <row r="1345" ht="24.0" customHeight="1">
      <c r="A1345" s="45">
        <v>2769.0</v>
      </c>
      <c r="B1345" s="57"/>
      <c r="C1345" s="57"/>
      <c r="D1345" s="88" t="str">
        <f t="array" ref="D1345">IFERROR(
  LOOKUP(2, 1/((TRIM(IMS!$E$8:$E$2574)=TRIM(IMS!$E1345))*(IMS!$C$8:$C$2574&lt;IMS!$C1345)),
         IMS!$C$8:$C$2574),
"")</f>
        <v/>
      </c>
      <c r="E1345" s="57"/>
      <c r="F1345" s="57"/>
      <c r="G1345" s="77" t="str">
        <f t="shared" si="901"/>
        <v/>
      </c>
      <c r="H1345" s="78" t="str">
        <f t="shared" si="902"/>
        <v/>
      </c>
      <c r="I1345" s="79"/>
      <c r="J1345" s="80" t="str">
        <f t="shared" si="903"/>
        <v>#NAME?</v>
      </c>
      <c r="K1345" s="58"/>
      <c r="L1345" s="58"/>
      <c r="M1345" s="57"/>
      <c r="N1345" s="57"/>
      <c r="O1345" s="58"/>
      <c r="P1345" s="82"/>
      <c r="Q1345" s="81"/>
      <c r="R1345" s="81"/>
      <c r="S1345" s="57"/>
      <c r="T1345" s="82"/>
      <c r="U1345" s="82"/>
      <c r="V1345" s="57"/>
      <c r="W1345" s="57"/>
      <c r="X1345" s="57" t="str">
        <f t="shared" si="917"/>
        <v/>
      </c>
      <c r="Y1345" s="58" t="str">
        <f t="shared" ref="Y1345:AC1345" si="1185">TRIM(SUBSTITUTE(SUBSTITUTE(OFFSET($Q1345,0,COLUMN()-COLUMN($AL$1)),CHAR(160)," "),_xludf.UNICHAR(8239)," "))</f>
        <v>#NAME?</v>
      </c>
      <c r="Z1345" s="58" t="str">
        <f t="shared" si="1185"/>
        <v>#NAME?</v>
      </c>
      <c r="AA1345" s="58" t="str">
        <f t="shared" si="1185"/>
        <v>#NAME?</v>
      </c>
      <c r="AB1345" s="58" t="str">
        <f t="shared" si="1185"/>
        <v>#NAME?</v>
      </c>
      <c r="AC1345" s="58" t="str">
        <f t="shared" si="1185"/>
        <v>#NAME?</v>
      </c>
      <c r="AD1345" s="57">
        <f t="shared" si="906"/>
        <v>0</v>
      </c>
      <c r="AE1345" s="57" t="str">
        <f t="shared" si="907"/>
        <v/>
      </c>
      <c r="AF1345" s="57">
        <f t="shared" si="908"/>
        <v>0</v>
      </c>
      <c r="AG1345" s="59">
        <f t="shared" si="909"/>
        <v>0</v>
      </c>
      <c r="AH1345" s="15"/>
      <c r="AI1345" s="15"/>
      <c r="AJ1345" s="15"/>
      <c r="AK1345" s="15"/>
      <c r="AL1345" s="15"/>
      <c r="AM1345" s="15"/>
      <c r="AN1345" s="15"/>
      <c r="AO1345" s="15"/>
      <c r="AP1345" s="15"/>
      <c r="AQ1345" s="15"/>
      <c r="AR1345" s="15"/>
      <c r="AS1345" s="15"/>
      <c r="AT1345" s="15"/>
      <c r="AU1345" s="15"/>
    </row>
    <row r="1346" ht="24.0" customHeight="1">
      <c r="A1346" s="45">
        <v>2770.0</v>
      </c>
      <c r="B1346" s="57"/>
      <c r="C1346" s="57"/>
      <c r="D1346" s="88" t="str">
        <f t="array" ref="D1346">IFERROR(
  LOOKUP(2, 1/((TRIM(IMS!$E$8:$E$2574)=TRIM(IMS!$E1346))*(IMS!$C$8:$C$2574&lt;IMS!$C1346)),
         IMS!$C$8:$C$2574),
"")</f>
        <v/>
      </c>
      <c r="E1346" s="57"/>
      <c r="F1346" s="57"/>
      <c r="G1346" s="77" t="str">
        <f t="shared" si="901"/>
        <v/>
      </c>
      <c r="H1346" s="78" t="str">
        <f t="shared" si="902"/>
        <v/>
      </c>
      <c r="I1346" s="79"/>
      <c r="J1346" s="80" t="str">
        <f t="shared" si="903"/>
        <v>#NAME?</v>
      </c>
      <c r="K1346" s="58"/>
      <c r="L1346" s="58"/>
      <c r="M1346" s="57"/>
      <c r="N1346" s="57"/>
      <c r="O1346" s="58"/>
      <c r="P1346" s="82"/>
      <c r="Q1346" s="81"/>
      <c r="R1346" s="81"/>
      <c r="S1346" s="57"/>
      <c r="T1346" s="82"/>
      <c r="U1346" s="82"/>
      <c r="V1346" s="57"/>
      <c r="W1346" s="57"/>
      <c r="X1346" s="57" t="str">
        <f t="shared" si="917"/>
        <v/>
      </c>
      <c r="Y1346" s="58" t="str">
        <f t="shared" ref="Y1346:AC1346" si="1186">TRIM(SUBSTITUTE(SUBSTITUTE(OFFSET($Q1346,0,COLUMN()-COLUMN($AL$1)),CHAR(160)," "),_xludf.UNICHAR(8239)," "))</f>
        <v>#NAME?</v>
      </c>
      <c r="Z1346" s="58" t="str">
        <f t="shared" si="1186"/>
        <v>#NAME?</v>
      </c>
      <c r="AA1346" s="58" t="str">
        <f t="shared" si="1186"/>
        <v>#NAME?</v>
      </c>
      <c r="AB1346" s="58" t="str">
        <f t="shared" si="1186"/>
        <v>#NAME?</v>
      </c>
      <c r="AC1346" s="58" t="str">
        <f t="shared" si="1186"/>
        <v>#NAME?</v>
      </c>
      <c r="AD1346" s="57">
        <f t="shared" si="906"/>
        <v>0</v>
      </c>
      <c r="AE1346" s="57" t="str">
        <f t="shared" si="907"/>
        <v/>
      </c>
      <c r="AF1346" s="57">
        <f t="shared" si="908"/>
        <v>0</v>
      </c>
      <c r="AG1346" s="59">
        <f t="shared" si="909"/>
        <v>0</v>
      </c>
      <c r="AH1346" s="15"/>
      <c r="AI1346" s="15"/>
      <c r="AJ1346" s="15"/>
      <c r="AK1346" s="15"/>
      <c r="AL1346" s="15"/>
      <c r="AM1346" s="15"/>
      <c r="AN1346" s="15"/>
      <c r="AO1346" s="15"/>
      <c r="AP1346" s="15"/>
      <c r="AQ1346" s="15"/>
      <c r="AR1346" s="15"/>
      <c r="AS1346" s="15"/>
      <c r="AT1346" s="15"/>
      <c r="AU1346" s="15"/>
    </row>
    <row r="1347" ht="24.0" customHeight="1">
      <c r="A1347" s="45">
        <v>2771.0</v>
      </c>
      <c r="B1347" s="57"/>
      <c r="C1347" s="57"/>
      <c r="D1347" s="88" t="str">
        <f t="array" ref="D1347">IFERROR(
  LOOKUP(2, 1/((TRIM(IMS!$E$8:$E$2574)=TRIM(IMS!$E1347))*(IMS!$C$8:$C$2574&lt;IMS!$C1347)),
         IMS!$C$8:$C$2574),
"")</f>
        <v/>
      </c>
      <c r="E1347" s="57"/>
      <c r="F1347" s="57"/>
      <c r="G1347" s="77" t="str">
        <f t="shared" si="901"/>
        <v/>
      </c>
      <c r="H1347" s="78" t="str">
        <f t="shared" si="902"/>
        <v/>
      </c>
      <c r="I1347" s="79"/>
      <c r="J1347" s="80" t="str">
        <f t="shared" si="903"/>
        <v>#NAME?</v>
      </c>
      <c r="K1347" s="58"/>
      <c r="L1347" s="58"/>
      <c r="M1347" s="57"/>
      <c r="N1347" s="57"/>
      <c r="O1347" s="58"/>
      <c r="P1347" s="82"/>
      <c r="Q1347" s="81"/>
      <c r="R1347" s="81"/>
      <c r="S1347" s="57"/>
      <c r="T1347" s="82"/>
      <c r="U1347" s="82"/>
      <c r="V1347" s="57"/>
      <c r="W1347" s="57"/>
      <c r="X1347" s="57" t="str">
        <f t="shared" si="917"/>
        <v/>
      </c>
      <c r="Y1347" s="58" t="str">
        <f t="shared" ref="Y1347:AC1347" si="1187">TRIM(SUBSTITUTE(SUBSTITUTE(OFFSET($Q1347,0,COLUMN()-COLUMN($AL$1)),CHAR(160)," "),_xludf.UNICHAR(8239)," "))</f>
        <v>#NAME?</v>
      </c>
      <c r="Z1347" s="58" t="str">
        <f t="shared" si="1187"/>
        <v>#NAME?</v>
      </c>
      <c r="AA1347" s="58" t="str">
        <f t="shared" si="1187"/>
        <v>#NAME?</v>
      </c>
      <c r="AB1347" s="58" t="str">
        <f t="shared" si="1187"/>
        <v>#NAME?</v>
      </c>
      <c r="AC1347" s="58" t="str">
        <f t="shared" si="1187"/>
        <v>#NAME?</v>
      </c>
      <c r="AD1347" s="57">
        <f t="shared" si="906"/>
        <v>0</v>
      </c>
      <c r="AE1347" s="57" t="str">
        <f t="shared" si="907"/>
        <v/>
      </c>
      <c r="AF1347" s="57">
        <f t="shared" si="908"/>
        <v>0</v>
      </c>
      <c r="AG1347" s="59">
        <f t="shared" si="909"/>
        <v>0</v>
      </c>
      <c r="AH1347" s="15"/>
      <c r="AI1347" s="15"/>
      <c r="AJ1347" s="15"/>
      <c r="AK1347" s="15"/>
      <c r="AL1347" s="15"/>
      <c r="AM1347" s="15"/>
      <c r="AN1347" s="15"/>
      <c r="AO1347" s="15"/>
      <c r="AP1347" s="15"/>
      <c r="AQ1347" s="15"/>
      <c r="AR1347" s="15"/>
      <c r="AS1347" s="15"/>
      <c r="AT1347" s="15"/>
      <c r="AU1347" s="15"/>
    </row>
    <row r="1348" ht="24.0" customHeight="1">
      <c r="A1348" s="45">
        <v>2772.0</v>
      </c>
      <c r="B1348" s="57"/>
      <c r="C1348" s="57"/>
      <c r="D1348" s="88" t="str">
        <f t="array" ref="D1348">IFERROR(
  LOOKUP(2, 1/((TRIM(IMS!$E$8:$E$2574)=TRIM(IMS!$E1348))*(IMS!$C$8:$C$2574&lt;IMS!$C1348)),
         IMS!$C$8:$C$2574),
"")</f>
        <v/>
      </c>
      <c r="E1348" s="57"/>
      <c r="F1348" s="57"/>
      <c r="G1348" s="77" t="str">
        <f t="shared" si="901"/>
        <v/>
      </c>
      <c r="H1348" s="78" t="str">
        <f t="shared" si="902"/>
        <v/>
      </c>
      <c r="I1348" s="79"/>
      <c r="J1348" s="80" t="str">
        <f t="shared" si="903"/>
        <v>#NAME?</v>
      </c>
      <c r="K1348" s="58"/>
      <c r="L1348" s="58"/>
      <c r="M1348" s="57"/>
      <c r="N1348" s="57"/>
      <c r="O1348" s="58"/>
      <c r="P1348" s="82"/>
      <c r="Q1348" s="81"/>
      <c r="R1348" s="81"/>
      <c r="S1348" s="57"/>
      <c r="T1348" s="82"/>
      <c r="U1348" s="82"/>
      <c r="V1348" s="57"/>
      <c r="W1348" s="57"/>
      <c r="X1348" s="57" t="str">
        <f t="shared" si="917"/>
        <v/>
      </c>
      <c r="Y1348" s="58" t="str">
        <f t="shared" ref="Y1348:AC1348" si="1188">TRIM(SUBSTITUTE(SUBSTITUTE(OFFSET($Q1348,0,COLUMN()-COLUMN($AL$1)),CHAR(160)," "),_xludf.UNICHAR(8239)," "))</f>
        <v>#NAME?</v>
      </c>
      <c r="Z1348" s="58" t="str">
        <f t="shared" si="1188"/>
        <v>#NAME?</v>
      </c>
      <c r="AA1348" s="58" t="str">
        <f t="shared" si="1188"/>
        <v>#NAME?</v>
      </c>
      <c r="AB1348" s="58" t="str">
        <f t="shared" si="1188"/>
        <v>#NAME?</v>
      </c>
      <c r="AC1348" s="58" t="str">
        <f t="shared" si="1188"/>
        <v>#NAME?</v>
      </c>
      <c r="AD1348" s="57">
        <f t="shared" si="906"/>
        <v>0</v>
      </c>
      <c r="AE1348" s="57" t="str">
        <f t="shared" si="907"/>
        <v/>
      </c>
      <c r="AF1348" s="57">
        <f t="shared" si="908"/>
        <v>0</v>
      </c>
      <c r="AG1348" s="59">
        <f t="shared" si="909"/>
        <v>0</v>
      </c>
      <c r="AH1348" s="15"/>
      <c r="AI1348" s="15"/>
      <c r="AJ1348" s="15"/>
      <c r="AK1348" s="15"/>
      <c r="AL1348" s="15"/>
      <c r="AM1348" s="15"/>
      <c r="AN1348" s="15"/>
      <c r="AO1348" s="15"/>
      <c r="AP1348" s="15"/>
      <c r="AQ1348" s="15"/>
      <c r="AR1348" s="15"/>
      <c r="AS1348" s="15"/>
      <c r="AT1348" s="15"/>
      <c r="AU1348" s="15"/>
    </row>
    <row r="1349" ht="24.0" customHeight="1">
      <c r="A1349" s="45">
        <v>2773.0</v>
      </c>
      <c r="B1349" s="57"/>
      <c r="C1349" s="57"/>
      <c r="D1349" s="88" t="str">
        <f t="array" ref="D1349">IFERROR(
  LOOKUP(2, 1/((TRIM(IMS!$E$8:$E$2574)=TRIM(IMS!$E1349))*(IMS!$C$8:$C$2574&lt;IMS!$C1349)),
         IMS!$C$8:$C$2574),
"")</f>
        <v/>
      </c>
      <c r="E1349" s="57"/>
      <c r="F1349" s="57"/>
      <c r="G1349" s="77" t="str">
        <f t="shared" si="901"/>
        <v/>
      </c>
      <c r="H1349" s="78" t="str">
        <f t="shared" si="902"/>
        <v/>
      </c>
      <c r="I1349" s="79"/>
      <c r="J1349" s="80" t="str">
        <f t="shared" si="903"/>
        <v>#NAME?</v>
      </c>
      <c r="K1349" s="58"/>
      <c r="L1349" s="58"/>
      <c r="M1349" s="57"/>
      <c r="N1349" s="57"/>
      <c r="O1349" s="58"/>
      <c r="P1349" s="82"/>
      <c r="Q1349" s="81"/>
      <c r="R1349" s="81"/>
      <c r="S1349" s="57"/>
      <c r="T1349" s="82"/>
      <c r="U1349" s="82"/>
      <c r="V1349" s="57"/>
      <c r="W1349" s="57"/>
      <c r="X1349" s="57" t="str">
        <f t="shared" si="917"/>
        <v/>
      </c>
      <c r="Y1349" s="58" t="str">
        <f t="shared" ref="Y1349:AC1349" si="1189">TRIM(SUBSTITUTE(SUBSTITUTE(OFFSET($Q1349,0,COLUMN()-COLUMN($AL$1)),CHAR(160)," "),_xludf.UNICHAR(8239)," "))</f>
        <v>#NAME?</v>
      </c>
      <c r="Z1349" s="58" t="str">
        <f t="shared" si="1189"/>
        <v>#NAME?</v>
      </c>
      <c r="AA1349" s="58" t="str">
        <f t="shared" si="1189"/>
        <v>#NAME?</v>
      </c>
      <c r="AB1349" s="58" t="str">
        <f t="shared" si="1189"/>
        <v>#NAME?</v>
      </c>
      <c r="AC1349" s="58" t="str">
        <f t="shared" si="1189"/>
        <v>#NAME?</v>
      </c>
      <c r="AD1349" s="57">
        <f t="shared" si="906"/>
        <v>0</v>
      </c>
      <c r="AE1349" s="57" t="str">
        <f t="shared" si="907"/>
        <v/>
      </c>
      <c r="AF1349" s="57">
        <f t="shared" si="908"/>
        <v>0</v>
      </c>
      <c r="AG1349" s="59">
        <f t="shared" si="909"/>
        <v>0</v>
      </c>
      <c r="AH1349" s="15"/>
      <c r="AI1349" s="15"/>
      <c r="AJ1349" s="15"/>
      <c r="AK1349" s="15"/>
      <c r="AL1349" s="15"/>
      <c r="AM1349" s="15"/>
      <c r="AN1349" s="15"/>
      <c r="AO1349" s="15"/>
      <c r="AP1349" s="15"/>
      <c r="AQ1349" s="15"/>
      <c r="AR1349" s="15"/>
      <c r="AS1349" s="15"/>
      <c r="AT1349" s="15"/>
      <c r="AU1349" s="15"/>
    </row>
    <row r="1350" ht="24.0" customHeight="1">
      <c r="A1350" s="45">
        <v>2774.0</v>
      </c>
      <c r="B1350" s="57"/>
      <c r="C1350" s="57"/>
      <c r="D1350" s="88" t="str">
        <f t="array" ref="D1350">IFERROR(
  LOOKUP(2, 1/((TRIM(IMS!$E$8:$E$2574)=TRIM(IMS!$E1350))*(IMS!$C$8:$C$2574&lt;IMS!$C1350)),
         IMS!$C$8:$C$2574),
"")</f>
        <v/>
      </c>
      <c r="E1350" s="57"/>
      <c r="F1350" s="57"/>
      <c r="G1350" s="77" t="str">
        <f t="shared" si="901"/>
        <v/>
      </c>
      <c r="H1350" s="78" t="str">
        <f t="shared" si="902"/>
        <v/>
      </c>
      <c r="I1350" s="79"/>
      <c r="J1350" s="80" t="str">
        <f t="shared" si="903"/>
        <v>#NAME?</v>
      </c>
      <c r="K1350" s="58"/>
      <c r="L1350" s="58"/>
      <c r="M1350" s="57"/>
      <c r="N1350" s="57"/>
      <c r="O1350" s="58"/>
      <c r="P1350" s="82"/>
      <c r="Q1350" s="81"/>
      <c r="R1350" s="81"/>
      <c r="S1350" s="57"/>
      <c r="T1350" s="82"/>
      <c r="U1350" s="82"/>
      <c r="V1350" s="57"/>
      <c r="W1350" s="57"/>
      <c r="X1350" s="57" t="str">
        <f t="shared" si="917"/>
        <v/>
      </c>
      <c r="Y1350" s="58" t="str">
        <f t="shared" ref="Y1350:AC1350" si="1190">TRIM(SUBSTITUTE(SUBSTITUTE(OFFSET($Q1350,0,COLUMN()-COLUMN($AL$1)),CHAR(160)," "),_xludf.UNICHAR(8239)," "))</f>
        <v>#NAME?</v>
      </c>
      <c r="Z1350" s="58" t="str">
        <f t="shared" si="1190"/>
        <v>#NAME?</v>
      </c>
      <c r="AA1350" s="58" t="str">
        <f t="shared" si="1190"/>
        <v>#NAME?</v>
      </c>
      <c r="AB1350" s="58" t="str">
        <f t="shared" si="1190"/>
        <v>#NAME?</v>
      </c>
      <c r="AC1350" s="58" t="str">
        <f t="shared" si="1190"/>
        <v>#NAME?</v>
      </c>
      <c r="AD1350" s="57">
        <f t="shared" si="906"/>
        <v>0</v>
      </c>
      <c r="AE1350" s="57" t="str">
        <f t="shared" si="907"/>
        <v/>
      </c>
      <c r="AF1350" s="57">
        <f t="shared" si="908"/>
        <v>0</v>
      </c>
      <c r="AG1350" s="59">
        <f t="shared" si="909"/>
        <v>0</v>
      </c>
      <c r="AH1350" s="15"/>
      <c r="AI1350" s="15"/>
      <c r="AJ1350" s="15"/>
      <c r="AK1350" s="15"/>
      <c r="AL1350" s="15"/>
      <c r="AM1350" s="15"/>
      <c r="AN1350" s="15"/>
      <c r="AO1350" s="15"/>
      <c r="AP1350" s="15"/>
      <c r="AQ1350" s="15"/>
      <c r="AR1350" s="15"/>
      <c r="AS1350" s="15"/>
      <c r="AT1350" s="15"/>
      <c r="AU1350" s="15"/>
    </row>
    <row r="1351" ht="24.0" customHeight="1">
      <c r="A1351" s="45">
        <v>2775.0</v>
      </c>
      <c r="B1351" s="57"/>
      <c r="C1351" s="57"/>
      <c r="D1351" s="88" t="str">
        <f t="array" ref="D1351">IFERROR(
  LOOKUP(2, 1/((TRIM(IMS!$E$8:$E$2574)=TRIM(IMS!$E1351))*(IMS!$C$8:$C$2574&lt;IMS!$C1351)),
         IMS!$C$8:$C$2574),
"")</f>
        <v/>
      </c>
      <c r="E1351" s="57"/>
      <c r="F1351" s="57"/>
      <c r="G1351" s="77" t="str">
        <f t="shared" si="901"/>
        <v/>
      </c>
      <c r="H1351" s="78" t="str">
        <f t="shared" si="902"/>
        <v/>
      </c>
      <c r="I1351" s="79"/>
      <c r="J1351" s="80" t="str">
        <f t="shared" si="903"/>
        <v>#NAME?</v>
      </c>
      <c r="K1351" s="58"/>
      <c r="L1351" s="58"/>
      <c r="M1351" s="57"/>
      <c r="N1351" s="57"/>
      <c r="O1351" s="58"/>
      <c r="P1351" s="82"/>
      <c r="Q1351" s="81"/>
      <c r="R1351" s="81"/>
      <c r="S1351" s="57"/>
      <c r="T1351" s="82"/>
      <c r="U1351" s="82"/>
      <c r="V1351" s="57"/>
      <c r="W1351" s="57"/>
      <c r="X1351" s="57" t="str">
        <f t="shared" si="917"/>
        <v/>
      </c>
      <c r="Y1351" s="58" t="str">
        <f t="shared" ref="Y1351:AC1351" si="1191">TRIM(SUBSTITUTE(SUBSTITUTE(OFFSET($Q1351,0,COLUMN()-COLUMN($AL$1)),CHAR(160)," "),_xludf.UNICHAR(8239)," "))</f>
        <v>#NAME?</v>
      </c>
      <c r="Z1351" s="58" t="str">
        <f t="shared" si="1191"/>
        <v>#NAME?</v>
      </c>
      <c r="AA1351" s="58" t="str">
        <f t="shared" si="1191"/>
        <v>#NAME?</v>
      </c>
      <c r="AB1351" s="58" t="str">
        <f t="shared" si="1191"/>
        <v>#NAME?</v>
      </c>
      <c r="AC1351" s="58" t="str">
        <f t="shared" si="1191"/>
        <v>#NAME?</v>
      </c>
      <c r="AD1351" s="57">
        <f t="shared" si="906"/>
        <v>0</v>
      </c>
      <c r="AE1351" s="57" t="str">
        <f t="shared" si="907"/>
        <v/>
      </c>
      <c r="AF1351" s="57">
        <f t="shared" si="908"/>
        <v>0</v>
      </c>
      <c r="AG1351" s="59">
        <f t="shared" si="909"/>
        <v>0</v>
      </c>
      <c r="AH1351" s="15"/>
      <c r="AI1351" s="15"/>
      <c r="AJ1351" s="15"/>
      <c r="AK1351" s="15"/>
      <c r="AL1351" s="15"/>
      <c r="AM1351" s="15"/>
      <c r="AN1351" s="15"/>
      <c r="AO1351" s="15"/>
      <c r="AP1351" s="15"/>
      <c r="AQ1351" s="15"/>
      <c r="AR1351" s="15"/>
      <c r="AS1351" s="15"/>
      <c r="AT1351" s="15"/>
      <c r="AU1351" s="15"/>
    </row>
    <row r="1352" ht="24.0" customHeight="1">
      <c r="A1352" s="45">
        <v>2776.0</v>
      </c>
      <c r="B1352" s="57"/>
      <c r="C1352" s="57"/>
      <c r="D1352" s="88" t="str">
        <f t="array" ref="D1352">IFERROR(
  LOOKUP(2, 1/((TRIM(IMS!$E$8:$E$2574)=TRIM(IMS!$E1352))*(IMS!$C$8:$C$2574&lt;IMS!$C1352)),
         IMS!$C$8:$C$2574),
"")</f>
        <v/>
      </c>
      <c r="E1352" s="57"/>
      <c r="F1352" s="57"/>
      <c r="G1352" s="77" t="str">
        <f t="shared" si="901"/>
        <v/>
      </c>
      <c r="H1352" s="78" t="str">
        <f t="shared" si="902"/>
        <v/>
      </c>
      <c r="I1352" s="79"/>
      <c r="J1352" s="80" t="str">
        <f t="shared" si="903"/>
        <v>#NAME?</v>
      </c>
      <c r="K1352" s="58"/>
      <c r="L1352" s="58"/>
      <c r="M1352" s="57"/>
      <c r="N1352" s="57"/>
      <c r="O1352" s="58"/>
      <c r="P1352" s="82"/>
      <c r="Q1352" s="81"/>
      <c r="R1352" s="81"/>
      <c r="S1352" s="57"/>
      <c r="T1352" s="82"/>
      <c r="U1352" s="82"/>
      <c r="V1352" s="57"/>
      <c r="W1352" s="57"/>
      <c r="X1352" s="57" t="str">
        <f t="shared" si="917"/>
        <v/>
      </c>
      <c r="Y1352" s="58" t="str">
        <f t="shared" ref="Y1352:AC1352" si="1192">TRIM(SUBSTITUTE(SUBSTITUTE(OFFSET($Q1352,0,COLUMN()-COLUMN($AL$1)),CHAR(160)," "),_xludf.UNICHAR(8239)," "))</f>
        <v>#NAME?</v>
      </c>
      <c r="Z1352" s="58" t="str">
        <f t="shared" si="1192"/>
        <v>#NAME?</v>
      </c>
      <c r="AA1352" s="58" t="str">
        <f t="shared" si="1192"/>
        <v>#NAME?</v>
      </c>
      <c r="AB1352" s="58" t="str">
        <f t="shared" si="1192"/>
        <v>#NAME?</v>
      </c>
      <c r="AC1352" s="58" t="str">
        <f t="shared" si="1192"/>
        <v>#NAME?</v>
      </c>
      <c r="AD1352" s="57">
        <f t="shared" si="906"/>
        <v>0</v>
      </c>
      <c r="AE1352" s="57" t="str">
        <f t="shared" si="907"/>
        <v/>
      </c>
      <c r="AF1352" s="57">
        <f t="shared" si="908"/>
        <v>0</v>
      </c>
      <c r="AG1352" s="59">
        <f t="shared" si="909"/>
        <v>0</v>
      </c>
      <c r="AH1352" s="15"/>
      <c r="AI1352" s="15"/>
      <c r="AJ1352" s="15"/>
      <c r="AK1352" s="15"/>
      <c r="AL1352" s="15"/>
      <c r="AM1352" s="15"/>
      <c r="AN1352" s="15"/>
      <c r="AO1352" s="15"/>
      <c r="AP1352" s="15"/>
      <c r="AQ1352" s="15"/>
      <c r="AR1352" s="15"/>
      <c r="AS1352" s="15"/>
      <c r="AT1352" s="15"/>
      <c r="AU1352" s="15"/>
    </row>
    <row r="1353" ht="24.0" customHeight="1">
      <c r="A1353" s="45">
        <v>2777.0</v>
      </c>
      <c r="B1353" s="57"/>
      <c r="C1353" s="57"/>
      <c r="D1353" s="88" t="str">
        <f t="array" ref="D1353">IFERROR(
  LOOKUP(2, 1/((TRIM(IMS!$E$8:$E$2574)=TRIM(IMS!$E1353))*(IMS!$C$8:$C$2574&lt;IMS!$C1353)),
         IMS!$C$8:$C$2574),
"")</f>
        <v/>
      </c>
      <c r="E1353" s="57"/>
      <c r="F1353" s="57"/>
      <c r="G1353" s="77" t="str">
        <f t="shared" si="901"/>
        <v/>
      </c>
      <c r="H1353" s="78" t="str">
        <f t="shared" si="902"/>
        <v/>
      </c>
      <c r="I1353" s="79"/>
      <c r="J1353" s="80" t="str">
        <f t="shared" si="903"/>
        <v>#NAME?</v>
      </c>
      <c r="K1353" s="58"/>
      <c r="L1353" s="58"/>
      <c r="M1353" s="57"/>
      <c r="N1353" s="57"/>
      <c r="O1353" s="58"/>
      <c r="P1353" s="82"/>
      <c r="Q1353" s="81"/>
      <c r="R1353" s="81"/>
      <c r="S1353" s="57"/>
      <c r="T1353" s="82"/>
      <c r="U1353" s="82"/>
      <c r="V1353" s="57"/>
      <c r="W1353" s="57"/>
      <c r="X1353" s="57" t="str">
        <f t="shared" si="917"/>
        <v/>
      </c>
      <c r="Y1353" s="58" t="str">
        <f t="shared" ref="Y1353:AC1353" si="1193">TRIM(SUBSTITUTE(SUBSTITUTE(OFFSET($Q1353,0,COLUMN()-COLUMN($AL$1)),CHAR(160)," "),_xludf.UNICHAR(8239)," "))</f>
        <v>#NAME?</v>
      </c>
      <c r="Z1353" s="58" t="str">
        <f t="shared" si="1193"/>
        <v>#NAME?</v>
      </c>
      <c r="AA1353" s="58" t="str">
        <f t="shared" si="1193"/>
        <v>#NAME?</v>
      </c>
      <c r="AB1353" s="58" t="str">
        <f t="shared" si="1193"/>
        <v>#NAME?</v>
      </c>
      <c r="AC1353" s="58" t="str">
        <f t="shared" si="1193"/>
        <v>#NAME?</v>
      </c>
      <c r="AD1353" s="57">
        <f t="shared" si="906"/>
        <v>0</v>
      </c>
      <c r="AE1353" s="57" t="str">
        <f t="shared" si="907"/>
        <v/>
      </c>
      <c r="AF1353" s="57">
        <f t="shared" si="908"/>
        <v>0</v>
      </c>
      <c r="AG1353" s="59">
        <f t="shared" si="909"/>
        <v>0</v>
      </c>
      <c r="AH1353" s="15"/>
      <c r="AI1353" s="15"/>
      <c r="AJ1353" s="15"/>
      <c r="AK1353" s="15"/>
      <c r="AL1353" s="15"/>
      <c r="AM1353" s="15"/>
      <c r="AN1353" s="15"/>
      <c r="AO1353" s="15"/>
      <c r="AP1353" s="15"/>
      <c r="AQ1353" s="15"/>
      <c r="AR1353" s="15"/>
      <c r="AS1353" s="15"/>
      <c r="AT1353" s="15"/>
      <c r="AU1353" s="15"/>
    </row>
    <row r="1354" ht="24.0" customHeight="1">
      <c r="A1354" s="45">
        <v>2778.0</v>
      </c>
      <c r="B1354" s="57"/>
      <c r="C1354" s="57"/>
      <c r="D1354" s="88" t="str">
        <f t="array" ref="D1354">IFERROR(
  LOOKUP(2, 1/((TRIM(IMS!$E$8:$E$2574)=TRIM(IMS!$E1354))*(IMS!$C$8:$C$2574&lt;IMS!$C1354)),
         IMS!$C$8:$C$2574),
"")</f>
        <v/>
      </c>
      <c r="E1354" s="57"/>
      <c r="F1354" s="57"/>
      <c r="G1354" s="77" t="str">
        <f t="shared" si="901"/>
        <v/>
      </c>
      <c r="H1354" s="78" t="str">
        <f t="shared" si="902"/>
        <v/>
      </c>
      <c r="I1354" s="79"/>
      <c r="J1354" s="80" t="str">
        <f t="shared" si="903"/>
        <v>#NAME?</v>
      </c>
      <c r="K1354" s="58"/>
      <c r="L1354" s="58"/>
      <c r="M1354" s="57"/>
      <c r="N1354" s="57"/>
      <c r="O1354" s="58"/>
      <c r="P1354" s="82"/>
      <c r="Q1354" s="81"/>
      <c r="R1354" s="81"/>
      <c r="S1354" s="57"/>
      <c r="T1354" s="82"/>
      <c r="U1354" s="82"/>
      <c r="V1354" s="57"/>
      <c r="W1354" s="57"/>
      <c r="X1354" s="57" t="str">
        <f t="shared" si="917"/>
        <v/>
      </c>
      <c r="Y1354" s="58" t="str">
        <f t="shared" ref="Y1354:AC1354" si="1194">TRIM(SUBSTITUTE(SUBSTITUTE(OFFSET($Q1354,0,COLUMN()-COLUMN($AL$1)),CHAR(160)," "),_xludf.UNICHAR(8239)," "))</f>
        <v>#NAME?</v>
      </c>
      <c r="Z1354" s="58" t="str">
        <f t="shared" si="1194"/>
        <v>#NAME?</v>
      </c>
      <c r="AA1354" s="58" t="str">
        <f t="shared" si="1194"/>
        <v>#NAME?</v>
      </c>
      <c r="AB1354" s="58" t="str">
        <f t="shared" si="1194"/>
        <v>#NAME?</v>
      </c>
      <c r="AC1354" s="58" t="str">
        <f t="shared" si="1194"/>
        <v>#NAME?</v>
      </c>
      <c r="AD1354" s="57">
        <f t="shared" si="906"/>
        <v>0</v>
      </c>
      <c r="AE1354" s="57" t="str">
        <f t="shared" si="907"/>
        <v/>
      </c>
      <c r="AF1354" s="57">
        <f t="shared" si="908"/>
        <v>0</v>
      </c>
      <c r="AG1354" s="59">
        <f t="shared" si="909"/>
        <v>0</v>
      </c>
      <c r="AH1354" s="15"/>
      <c r="AI1354" s="15"/>
      <c r="AJ1354" s="15"/>
      <c r="AK1354" s="15"/>
      <c r="AL1354" s="15"/>
      <c r="AM1354" s="15"/>
      <c r="AN1354" s="15"/>
      <c r="AO1354" s="15"/>
      <c r="AP1354" s="15"/>
      <c r="AQ1354" s="15"/>
      <c r="AR1354" s="15"/>
      <c r="AS1354" s="15"/>
      <c r="AT1354" s="15"/>
      <c r="AU1354" s="15"/>
    </row>
    <row r="1355" ht="24.0" customHeight="1">
      <c r="A1355" s="45">
        <v>2779.0</v>
      </c>
      <c r="B1355" s="57"/>
      <c r="C1355" s="57"/>
      <c r="D1355" s="88" t="str">
        <f t="array" ref="D1355">IFERROR(
  LOOKUP(2, 1/((TRIM(IMS!$E$8:$E$2574)=TRIM(IMS!$E1355))*(IMS!$C$8:$C$2574&lt;IMS!$C1355)),
         IMS!$C$8:$C$2574),
"")</f>
        <v/>
      </c>
      <c r="E1355" s="57"/>
      <c r="F1355" s="57"/>
      <c r="G1355" s="77" t="str">
        <f t="shared" si="901"/>
        <v/>
      </c>
      <c r="H1355" s="78" t="str">
        <f t="shared" si="902"/>
        <v/>
      </c>
      <c r="I1355" s="79"/>
      <c r="J1355" s="80" t="str">
        <f t="shared" si="903"/>
        <v>#NAME?</v>
      </c>
      <c r="K1355" s="58"/>
      <c r="L1355" s="58"/>
      <c r="M1355" s="57"/>
      <c r="N1355" s="57"/>
      <c r="O1355" s="58"/>
      <c r="P1355" s="82"/>
      <c r="Q1355" s="81"/>
      <c r="R1355" s="81"/>
      <c r="S1355" s="57"/>
      <c r="T1355" s="82"/>
      <c r="U1355" s="82"/>
      <c r="V1355" s="57"/>
      <c r="W1355" s="57"/>
      <c r="X1355" s="57" t="str">
        <f t="shared" si="917"/>
        <v/>
      </c>
      <c r="Y1355" s="58" t="str">
        <f t="shared" ref="Y1355:AC1355" si="1195">TRIM(SUBSTITUTE(SUBSTITUTE(OFFSET($Q1355,0,COLUMN()-COLUMN($AL$1)),CHAR(160)," "),_xludf.UNICHAR(8239)," "))</f>
        <v>#NAME?</v>
      </c>
      <c r="Z1355" s="58" t="str">
        <f t="shared" si="1195"/>
        <v>#NAME?</v>
      </c>
      <c r="AA1355" s="58" t="str">
        <f t="shared" si="1195"/>
        <v>#NAME?</v>
      </c>
      <c r="AB1355" s="58" t="str">
        <f t="shared" si="1195"/>
        <v>#NAME?</v>
      </c>
      <c r="AC1355" s="58" t="str">
        <f t="shared" si="1195"/>
        <v>#NAME?</v>
      </c>
      <c r="AD1355" s="57">
        <f t="shared" si="906"/>
        <v>0</v>
      </c>
      <c r="AE1355" s="57" t="str">
        <f t="shared" si="907"/>
        <v/>
      </c>
      <c r="AF1355" s="57">
        <f t="shared" si="908"/>
        <v>0</v>
      </c>
      <c r="AG1355" s="59">
        <f t="shared" si="909"/>
        <v>0</v>
      </c>
      <c r="AH1355" s="15"/>
      <c r="AI1355" s="15"/>
      <c r="AJ1355" s="15"/>
      <c r="AK1355" s="15"/>
      <c r="AL1355" s="15"/>
      <c r="AM1355" s="15"/>
      <c r="AN1355" s="15"/>
      <c r="AO1355" s="15"/>
      <c r="AP1355" s="15"/>
      <c r="AQ1355" s="15"/>
      <c r="AR1355" s="15"/>
      <c r="AS1355" s="15"/>
      <c r="AT1355" s="15"/>
      <c r="AU1355" s="15"/>
    </row>
    <row r="1356" ht="24.0" customHeight="1">
      <c r="A1356" s="45">
        <v>2780.0</v>
      </c>
      <c r="B1356" s="57"/>
      <c r="C1356" s="57"/>
      <c r="D1356" s="88" t="str">
        <f t="array" ref="D1356">IFERROR(
  LOOKUP(2, 1/((TRIM(IMS!$E$8:$E$2574)=TRIM(IMS!$E1356))*(IMS!$C$8:$C$2574&lt;IMS!$C1356)),
         IMS!$C$8:$C$2574),
"")</f>
        <v/>
      </c>
      <c r="E1356" s="57"/>
      <c r="F1356" s="57"/>
      <c r="G1356" s="77" t="str">
        <f t="shared" si="901"/>
        <v/>
      </c>
      <c r="H1356" s="78" t="str">
        <f t="shared" si="902"/>
        <v/>
      </c>
      <c r="I1356" s="79"/>
      <c r="J1356" s="80" t="str">
        <f t="shared" si="903"/>
        <v>#NAME?</v>
      </c>
      <c r="K1356" s="58"/>
      <c r="L1356" s="58"/>
      <c r="M1356" s="57"/>
      <c r="N1356" s="57"/>
      <c r="O1356" s="58"/>
      <c r="P1356" s="82"/>
      <c r="Q1356" s="81"/>
      <c r="R1356" s="81"/>
      <c r="S1356" s="57"/>
      <c r="T1356" s="82"/>
      <c r="U1356" s="82"/>
      <c r="V1356" s="57"/>
      <c r="W1356" s="57"/>
      <c r="X1356" s="57" t="str">
        <f t="shared" si="917"/>
        <v/>
      </c>
      <c r="Y1356" s="58" t="str">
        <f t="shared" ref="Y1356:AC1356" si="1196">TRIM(SUBSTITUTE(SUBSTITUTE(OFFSET($Q1356,0,COLUMN()-COLUMN($AL$1)),CHAR(160)," "),_xludf.UNICHAR(8239)," "))</f>
        <v>#NAME?</v>
      </c>
      <c r="Z1356" s="58" t="str">
        <f t="shared" si="1196"/>
        <v>#NAME?</v>
      </c>
      <c r="AA1356" s="58" t="str">
        <f t="shared" si="1196"/>
        <v>#NAME?</v>
      </c>
      <c r="AB1356" s="58" t="str">
        <f t="shared" si="1196"/>
        <v>#NAME?</v>
      </c>
      <c r="AC1356" s="58" t="str">
        <f t="shared" si="1196"/>
        <v>#NAME?</v>
      </c>
      <c r="AD1356" s="57">
        <f t="shared" si="906"/>
        <v>0</v>
      </c>
      <c r="AE1356" s="57" t="str">
        <f t="shared" si="907"/>
        <v/>
      </c>
      <c r="AF1356" s="57">
        <f t="shared" si="908"/>
        <v>0</v>
      </c>
      <c r="AG1356" s="59">
        <f t="shared" si="909"/>
        <v>0</v>
      </c>
      <c r="AH1356" s="15"/>
      <c r="AI1356" s="15"/>
      <c r="AJ1356" s="15"/>
      <c r="AK1356" s="15"/>
      <c r="AL1356" s="15"/>
      <c r="AM1356" s="15"/>
      <c r="AN1356" s="15"/>
      <c r="AO1356" s="15"/>
      <c r="AP1356" s="15"/>
      <c r="AQ1356" s="15"/>
      <c r="AR1356" s="15"/>
      <c r="AS1356" s="15"/>
      <c r="AT1356" s="15"/>
      <c r="AU1356" s="15"/>
    </row>
    <row r="1357" ht="24.0" customHeight="1">
      <c r="A1357" s="45">
        <v>2781.0</v>
      </c>
      <c r="B1357" s="57"/>
      <c r="C1357" s="57"/>
      <c r="D1357" s="88" t="str">
        <f t="array" ref="D1357">IFERROR(
  LOOKUP(2, 1/((TRIM(IMS!$E$8:$E$2574)=TRIM(IMS!$E1357))*(IMS!$C$8:$C$2574&lt;IMS!$C1357)),
         IMS!$C$8:$C$2574),
"")</f>
        <v/>
      </c>
      <c r="E1357" s="57"/>
      <c r="F1357" s="57"/>
      <c r="G1357" s="77" t="str">
        <f t="shared" si="901"/>
        <v/>
      </c>
      <c r="H1357" s="78" t="str">
        <f t="shared" si="902"/>
        <v/>
      </c>
      <c r="I1357" s="79"/>
      <c r="J1357" s="80" t="str">
        <f t="shared" si="903"/>
        <v>#NAME?</v>
      </c>
      <c r="K1357" s="58"/>
      <c r="L1357" s="58"/>
      <c r="M1357" s="57"/>
      <c r="N1357" s="57"/>
      <c r="O1357" s="58"/>
      <c r="P1357" s="82"/>
      <c r="Q1357" s="81"/>
      <c r="R1357" s="81"/>
      <c r="S1357" s="57"/>
      <c r="T1357" s="82"/>
      <c r="U1357" s="82"/>
      <c r="V1357" s="57"/>
      <c r="W1357" s="57"/>
      <c r="X1357" s="57" t="str">
        <f t="shared" si="917"/>
        <v/>
      </c>
      <c r="Y1357" s="58" t="str">
        <f t="shared" ref="Y1357:AC1357" si="1197">TRIM(SUBSTITUTE(SUBSTITUTE(OFFSET($Q1357,0,COLUMN()-COLUMN($AL$1)),CHAR(160)," "),_xludf.UNICHAR(8239)," "))</f>
        <v>#NAME?</v>
      </c>
      <c r="Z1357" s="58" t="str">
        <f t="shared" si="1197"/>
        <v>#NAME?</v>
      </c>
      <c r="AA1357" s="58" t="str">
        <f t="shared" si="1197"/>
        <v>#NAME?</v>
      </c>
      <c r="AB1357" s="58" t="str">
        <f t="shared" si="1197"/>
        <v>#NAME?</v>
      </c>
      <c r="AC1357" s="58" t="str">
        <f t="shared" si="1197"/>
        <v>#NAME?</v>
      </c>
      <c r="AD1357" s="57">
        <f t="shared" si="906"/>
        <v>0</v>
      </c>
      <c r="AE1357" s="57" t="str">
        <f t="shared" si="907"/>
        <v/>
      </c>
      <c r="AF1357" s="57">
        <f t="shared" si="908"/>
        <v>0</v>
      </c>
      <c r="AG1357" s="59">
        <f t="shared" si="909"/>
        <v>0</v>
      </c>
      <c r="AH1357" s="15"/>
      <c r="AI1357" s="15"/>
      <c r="AJ1357" s="15"/>
      <c r="AK1357" s="15"/>
      <c r="AL1357" s="15"/>
      <c r="AM1357" s="15"/>
      <c r="AN1357" s="15"/>
      <c r="AO1357" s="15"/>
      <c r="AP1357" s="15"/>
      <c r="AQ1357" s="15"/>
      <c r="AR1357" s="15"/>
      <c r="AS1357" s="15"/>
      <c r="AT1357" s="15"/>
      <c r="AU1357" s="15"/>
    </row>
    <row r="1358" ht="24.0" customHeight="1">
      <c r="A1358" s="45">
        <v>2782.0</v>
      </c>
      <c r="B1358" s="57"/>
      <c r="C1358" s="57"/>
      <c r="D1358" s="88" t="str">
        <f t="array" ref="D1358">IFERROR(
  LOOKUP(2, 1/((TRIM(IMS!$E$8:$E$2574)=TRIM(IMS!$E1358))*(IMS!$C$8:$C$2574&lt;IMS!$C1358)),
         IMS!$C$8:$C$2574),
"")</f>
        <v/>
      </c>
      <c r="E1358" s="57"/>
      <c r="F1358" s="57"/>
      <c r="G1358" s="77" t="str">
        <f t="shared" si="901"/>
        <v/>
      </c>
      <c r="H1358" s="78" t="str">
        <f t="shared" si="902"/>
        <v/>
      </c>
      <c r="I1358" s="79"/>
      <c r="J1358" s="80" t="str">
        <f t="shared" si="903"/>
        <v>#NAME?</v>
      </c>
      <c r="K1358" s="58"/>
      <c r="L1358" s="58"/>
      <c r="M1358" s="57"/>
      <c r="N1358" s="57"/>
      <c r="O1358" s="58"/>
      <c r="P1358" s="82"/>
      <c r="Q1358" s="81"/>
      <c r="R1358" s="81"/>
      <c r="S1358" s="57"/>
      <c r="T1358" s="82"/>
      <c r="U1358" s="82"/>
      <c r="V1358" s="57"/>
      <c r="W1358" s="57"/>
      <c r="X1358" s="57" t="str">
        <f t="shared" si="917"/>
        <v/>
      </c>
      <c r="Y1358" s="58" t="str">
        <f t="shared" ref="Y1358:AC1358" si="1198">TRIM(SUBSTITUTE(SUBSTITUTE(OFFSET($Q1358,0,COLUMN()-COLUMN($AL$1)),CHAR(160)," "),_xludf.UNICHAR(8239)," "))</f>
        <v>#NAME?</v>
      </c>
      <c r="Z1358" s="58" t="str">
        <f t="shared" si="1198"/>
        <v>#NAME?</v>
      </c>
      <c r="AA1358" s="58" t="str">
        <f t="shared" si="1198"/>
        <v>#NAME?</v>
      </c>
      <c r="AB1358" s="58" t="str">
        <f t="shared" si="1198"/>
        <v>#NAME?</v>
      </c>
      <c r="AC1358" s="58" t="str">
        <f t="shared" si="1198"/>
        <v>#NAME?</v>
      </c>
      <c r="AD1358" s="57">
        <f t="shared" si="906"/>
        <v>0</v>
      </c>
      <c r="AE1358" s="57" t="str">
        <f t="shared" si="907"/>
        <v/>
      </c>
      <c r="AF1358" s="57">
        <f t="shared" si="908"/>
        <v>0</v>
      </c>
      <c r="AG1358" s="59">
        <f t="shared" si="909"/>
        <v>0</v>
      </c>
      <c r="AH1358" s="15"/>
      <c r="AI1358" s="15"/>
      <c r="AJ1358" s="15"/>
      <c r="AK1358" s="15"/>
      <c r="AL1358" s="15"/>
      <c r="AM1358" s="15"/>
      <c r="AN1358" s="15"/>
      <c r="AO1358" s="15"/>
      <c r="AP1358" s="15"/>
      <c r="AQ1358" s="15"/>
      <c r="AR1358" s="15"/>
      <c r="AS1358" s="15"/>
      <c r="AT1358" s="15"/>
      <c r="AU1358" s="15"/>
    </row>
    <row r="1359" ht="24.0" customHeight="1">
      <c r="A1359" s="45">
        <v>2783.0</v>
      </c>
      <c r="B1359" s="57"/>
      <c r="C1359" s="57"/>
      <c r="D1359" s="88" t="str">
        <f t="array" ref="D1359">IFERROR(
  LOOKUP(2, 1/((TRIM(IMS!$E$8:$E$2574)=TRIM(IMS!$E1359))*(IMS!$C$8:$C$2574&lt;IMS!$C1359)),
         IMS!$C$8:$C$2574),
"")</f>
        <v/>
      </c>
      <c r="E1359" s="57"/>
      <c r="F1359" s="57"/>
      <c r="G1359" s="77" t="str">
        <f t="shared" si="901"/>
        <v/>
      </c>
      <c r="H1359" s="78" t="str">
        <f t="shared" si="902"/>
        <v/>
      </c>
      <c r="I1359" s="79"/>
      <c r="J1359" s="80" t="str">
        <f t="shared" si="903"/>
        <v>#NAME?</v>
      </c>
      <c r="K1359" s="58"/>
      <c r="L1359" s="58"/>
      <c r="M1359" s="57"/>
      <c r="N1359" s="57"/>
      <c r="O1359" s="58"/>
      <c r="P1359" s="82"/>
      <c r="Q1359" s="81"/>
      <c r="R1359" s="81"/>
      <c r="S1359" s="57"/>
      <c r="T1359" s="82"/>
      <c r="U1359" s="82"/>
      <c r="V1359" s="57"/>
      <c r="W1359" s="57"/>
      <c r="X1359" s="57" t="str">
        <f t="shared" si="917"/>
        <v/>
      </c>
      <c r="Y1359" s="58" t="str">
        <f t="shared" ref="Y1359:AC1359" si="1199">TRIM(SUBSTITUTE(SUBSTITUTE(OFFSET($Q1359,0,COLUMN()-COLUMN($AL$1)),CHAR(160)," "),_xludf.UNICHAR(8239)," "))</f>
        <v>#NAME?</v>
      </c>
      <c r="Z1359" s="58" t="str">
        <f t="shared" si="1199"/>
        <v>#NAME?</v>
      </c>
      <c r="AA1359" s="58" t="str">
        <f t="shared" si="1199"/>
        <v>#NAME?</v>
      </c>
      <c r="AB1359" s="58" t="str">
        <f t="shared" si="1199"/>
        <v>#NAME?</v>
      </c>
      <c r="AC1359" s="58" t="str">
        <f t="shared" si="1199"/>
        <v>#NAME?</v>
      </c>
      <c r="AD1359" s="57">
        <f t="shared" si="906"/>
        <v>0</v>
      </c>
      <c r="AE1359" s="57" t="str">
        <f t="shared" si="907"/>
        <v/>
      </c>
      <c r="AF1359" s="57">
        <f t="shared" si="908"/>
        <v>0</v>
      </c>
      <c r="AG1359" s="59">
        <f t="shared" si="909"/>
        <v>0</v>
      </c>
      <c r="AH1359" s="15"/>
      <c r="AI1359" s="15"/>
      <c r="AJ1359" s="15"/>
      <c r="AK1359" s="15"/>
      <c r="AL1359" s="15"/>
      <c r="AM1359" s="15"/>
      <c r="AN1359" s="15"/>
      <c r="AO1359" s="15"/>
      <c r="AP1359" s="15"/>
      <c r="AQ1359" s="15"/>
      <c r="AR1359" s="15"/>
      <c r="AS1359" s="15"/>
      <c r="AT1359" s="15"/>
      <c r="AU1359" s="15"/>
    </row>
    <row r="1360" ht="24.0" customHeight="1">
      <c r="A1360" s="45">
        <v>2784.0</v>
      </c>
      <c r="B1360" s="57"/>
      <c r="C1360" s="57"/>
      <c r="D1360" s="88" t="str">
        <f t="array" ref="D1360">IFERROR(
  LOOKUP(2, 1/((TRIM(IMS!$E$8:$E$2574)=TRIM(IMS!$E1360))*(IMS!$C$8:$C$2574&lt;IMS!$C1360)),
         IMS!$C$8:$C$2574),
"")</f>
        <v/>
      </c>
      <c r="E1360" s="57"/>
      <c r="F1360" s="57"/>
      <c r="G1360" s="77" t="str">
        <f t="shared" si="901"/>
        <v/>
      </c>
      <c r="H1360" s="78" t="str">
        <f t="shared" si="902"/>
        <v/>
      </c>
      <c r="I1360" s="79"/>
      <c r="J1360" s="80" t="str">
        <f t="shared" si="903"/>
        <v>#NAME?</v>
      </c>
      <c r="K1360" s="58"/>
      <c r="L1360" s="58"/>
      <c r="M1360" s="57"/>
      <c r="N1360" s="57"/>
      <c r="O1360" s="58"/>
      <c r="P1360" s="82"/>
      <c r="Q1360" s="81"/>
      <c r="R1360" s="81"/>
      <c r="S1360" s="57"/>
      <c r="T1360" s="82"/>
      <c r="U1360" s="82"/>
      <c r="V1360" s="57"/>
      <c r="W1360" s="57"/>
      <c r="X1360" s="57" t="str">
        <f t="shared" si="917"/>
        <v/>
      </c>
      <c r="Y1360" s="58" t="str">
        <f t="shared" ref="Y1360:AC1360" si="1200">TRIM(SUBSTITUTE(SUBSTITUTE(OFFSET($Q1360,0,COLUMN()-COLUMN($AL$1)),CHAR(160)," "),_xludf.UNICHAR(8239)," "))</f>
        <v>#NAME?</v>
      </c>
      <c r="Z1360" s="58" t="str">
        <f t="shared" si="1200"/>
        <v>#NAME?</v>
      </c>
      <c r="AA1360" s="58" t="str">
        <f t="shared" si="1200"/>
        <v>#NAME?</v>
      </c>
      <c r="AB1360" s="58" t="str">
        <f t="shared" si="1200"/>
        <v>#NAME?</v>
      </c>
      <c r="AC1360" s="58" t="str">
        <f t="shared" si="1200"/>
        <v>#NAME?</v>
      </c>
      <c r="AD1360" s="57">
        <f t="shared" si="906"/>
        <v>0</v>
      </c>
      <c r="AE1360" s="57" t="str">
        <f t="shared" si="907"/>
        <v/>
      </c>
      <c r="AF1360" s="57">
        <f t="shared" si="908"/>
        <v>0</v>
      </c>
      <c r="AG1360" s="59">
        <f t="shared" si="909"/>
        <v>0</v>
      </c>
      <c r="AH1360" s="15"/>
      <c r="AI1360" s="15"/>
      <c r="AJ1360" s="15"/>
      <c r="AK1360" s="15"/>
      <c r="AL1360" s="15"/>
      <c r="AM1360" s="15"/>
      <c r="AN1360" s="15"/>
      <c r="AO1360" s="15"/>
      <c r="AP1360" s="15"/>
      <c r="AQ1360" s="15"/>
      <c r="AR1360" s="15"/>
      <c r="AS1360" s="15"/>
      <c r="AT1360" s="15"/>
      <c r="AU1360" s="15"/>
    </row>
    <row r="1361" ht="24.0" customHeight="1">
      <c r="A1361" s="45">
        <v>2785.0</v>
      </c>
      <c r="B1361" s="57"/>
      <c r="C1361" s="57"/>
      <c r="D1361" s="88" t="str">
        <f t="array" ref="D1361">IFERROR(
  LOOKUP(2, 1/((TRIM(IMS!$E$8:$E$2574)=TRIM(IMS!$E1361))*(IMS!$C$8:$C$2574&lt;IMS!$C1361)),
         IMS!$C$8:$C$2574),
"")</f>
        <v/>
      </c>
      <c r="E1361" s="57"/>
      <c r="F1361" s="57"/>
      <c r="G1361" s="77" t="str">
        <f t="shared" si="901"/>
        <v/>
      </c>
      <c r="H1361" s="78" t="str">
        <f t="shared" si="902"/>
        <v/>
      </c>
      <c r="I1361" s="79"/>
      <c r="J1361" s="80" t="str">
        <f t="shared" si="903"/>
        <v>#NAME?</v>
      </c>
      <c r="K1361" s="58"/>
      <c r="L1361" s="58"/>
      <c r="M1361" s="57"/>
      <c r="N1361" s="57"/>
      <c r="O1361" s="58"/>
      <c r="P1361" s="82"/>
      <c r="Q1361" s="81"/>
      <c r="R1361" s="81"/>
      <c r="S1361" s="57"/>
      <c r="T1361" s="82"/>
      <c r="U1361" s="82"/>
      <c r="V1361" s="57"/>
      <c r="W1361" s="57"/>
      <c r="X1361" s="57" t="str">
        <f t="shared" si="917"/>
        <v/>
      </c>
      <c r="Y1361" s="58" t="str">
        <f t="shared" ref="Y1361:AC1361" si="1201">TRIM(SUBSTITUTE(SUBSTITUTE(OFFSET($Q1361,0,COLUMN()-COLUMN($AL$1)),CHAR(160)," "),_xludf.UNICHAR(8239)," "))</f>
        <v>#NAME?</v>
      </c>
      <c r="Z1361" s="58" t="str">
        <f t="shared" si="1201"/>
        <v>#NAME?</v>
      </c>
      <c r="AA1361" s="58" t="str">
        <f t="shared" si="1201"/>
        <v>#NAME?</v>
      </c>
      <c r="AB1361" s="58" t="str">
        <f t="shared" si="1201"/>
        <v>#NAME?</v>
      </c>
      <c r="AC1361" s="58" t="str">
        <f t="shared" si="1201"/>
        <v>#NAME?</v>
      </c>
      <c r="AD1361" s="57">
        <f t="shared" si="906"/>
        <v>0</v>
      </c>
      <c r="AE1361" s="57" t="str">
        <f t="shared" si="907"/>
        <v/>
      </c>
      <c r="AF1361" s="57">
        <f t="shared" si="908"/>
        <v>0</v>
      </c>
      <c r="AG1361" s="59">
        <f t="shared" si="909"/>
        <v>0</v>
      </c>
      <c r="AH1361" s="15"/>
      <c r="AI1361" s="15"/>
      <c r="AJ1361" s="15"/>
      <c r="AK1361" s="15"/>
      <c r="AL1361" s="15"/>
      <c r="AM1361" s="15"/>
      <c r="AN1361" s="15"/>
      <c r="AO1361" s="15"/>
      <c r="AP1361" s="15"/>
      <c r="AQ1361" s="15"/>
      <c r="AR1361" s="15"/>
      <c r="AS1361" s="15"/>
      <c r="AT1361" s="15"/>
      <c r="AU1361" s="15"/>
    </row>
    <row r="1362" ht="24.0" customHeight="1">
      <c r="A1362" s="45">
        <v>2786.0</v>
      </c>
      <c r="B1362" s="57"/>
      <c r="C1362" s="57"/>
      <c r="D1362" s="88" t="str">
        <f t="array" ref="D1362">IFERROR(
  LOOKUP(2, 1/((TRIM(IMS!$E$8:$E$2574)=TRIM(IMS!$E1362))*(IMS!$C$8:$C$2574&lt;IMS!$C1362)),
         IMS!$C$8:$C$2574),
"")</f>
        <v/>
      </c>
      <c r="E1362" s="57"/>
      <c r="F1362" s="57"/>
      <c r="G1362" s="77" t="str">
        <f t="shared" si="901"/>
        <v/>
      </c>
      <c r="H1362" s="78" t="str">
        <f t="shared" si="902"/>
        <v/>
      </c>
      <c r="I1362" s="79"/>
      <c r="J1362" s="80" t="str">
        <f t="shared" si="903"/>
        <v>#NAME?</v>
      </c>
      <c r="K1362" s="58"/>
      <c r="L1362" s="58"/>
      <c r="M1362" s="57"/>
      <c r="N1362" s="57"/>
      <c r="O1362" s="58"/>
      <c r="P1362" s="82"/>
      <c r="Q1362" s="81"/>
      <c r="R1362" s="81"/>
      <c r="S1362" s="57"/>
      <c r="T1362" s="82"/>
      <c r="U1362" s="82"/>
      <c r="V1362" s="57"/>
      <c r="W1362" s="57"/>
      <c r="X1362" s="57" t="str">
        <f t="shared" si="917"/>
        <v/>
      </c>
      <c r="Y1362" s="58" t="str">
        <f t="shared" ref="Y1362:AC1362" si="1202">TRIM(SUBSTITUTE(SUBSTITUTE(OFFSET($Q1362,0,COLUMN()-COLUMN($AL$1)),CHAR(160)," "),_xludf.UNICHAR(8239)," "))</f>
        <v>#NAME?</v>
      </c>
      <c r="Z1362" s="58" t="str">
        <f t="shared" si="1202"/>
        <v>#NAME?</v>
      </c>
      <c r="AA1362" s="58" t="str">
        <f t="shared" si="1202"/>
        <v>#NAME?</v>
      </c>
      <c r="AB1362" s="58" t="str">
        <f t="shared" si="1202"/>
        <v>#NAME?</v>
      </c>
      <c r="AC1362" s="58" t="str">
        <f t="shared" si="1202"/>
        <v>#NAME?</v>
      </c>
      <c r="AD1362" s="57">
        <f t="shared" si="906"/>
        <v>0</v>
      </c>
      <c r="AE1362" s="57" t="str">
        <f t="shared" si="907"/>
        <v/>
      </c>
      <c r="AF1362" s="57">
        <f t="shared" si="908"/>
        <v>0</v>
      </c>
      <c r="AG1362" s="59">
        <f t="shared" si="909"/>
        <v>0</v>
      </c>
      <c r="AH1362" s="15"/>
      <c r="AI1362" s="15"/>
      <c r="AJ1362" s="15"/>
      <c r="AK1362" s="15"/>
      <c r="AL1362" s="15"/>
      <c r="AM1362" s="15"/>
      <c r="AN1362" s="15"/>
      <c r="AO1362" s="15"/>
      <c r="AP1362" s="15"/>
      <c r="AQ1362" s="15"/>
      <c r="AR1362" s="15"/>
      <c r="AS1362" s="15"/>
      <c r="AT1362" s="15"/>
      <c r="AU1362" s="15"/>
    </row>
    <row r="1363" ht="24.0" customHeight="1">
      <c r="A1363" s="45">
        <v>2787.0</v>
      </c>
      <c r="B1363" s="57"/>
      <c r="C1363" s="57"/>
      <c r="D1363" s="88" t="str">
        <f t="array" ref="D1363">IFERROR(
  LOOKUP(2, 1/((TRIM(IMS!$E$8:$E$2574)=TRIM(IMS!$E1363))*(IMS!$C$8:$C$2574&lt;IMS!$C1363)),
         IMS!$C$8:$C$2574),
"")</f>
        <v/>
      </c>
      <c r="E1363" s="57"/>
      <c r="F1363" s="57"/>
      <c r="G1363" s="77" t="str">
        <f t="shared" si="901"/>
        <v/>
      </c>
      <c r="H1363" s="78" t="str">
        <f t="shared" si="902"/>
        <v/>
      </c>
      <c r="I1363" s="79"/>
      <c r="J1363" s="80" t="str">
        <f t="shared" si="903"/>
        <v>#NAME?</v>
      </c>
      <c r="K1363" s="58"/>
      <c r="L1363" s="58"/>
      <c r="M1363" s="57"/>
      <c r="N1363" s="57"/>
      <c r="O1363" s="58"/>
      <c r="P1363" s="82"/>
      <c r="Q1363" s="81"/>
      <c r="R1363" s="81"/>
      <c r="S1363" s="57"/>
      <c r="T1363" s="82"/>
      <c r="U1363" s="82"/>
      <c r="V1363" s="57"/>
      <c r="W1363" s="57"/>
      <c r="X1363" s="57" t="str">
        <f t="shared" si="917"/>
        <v/>
      </c>
      <c r="Y1363" s="58" t="str">
        <f t="shared" ref="Y1363:AC1363" si="1203">TRIM(SUBSTITUTE(SUBSTITUTE(OFFSET($Q1363,0,COLUMN()-COLUMN($AL$1)),CHAR(160)," "),_xludf.UNICHAR(8239)," "))</f>
        <v>#NAME?</v>
      </c>
      <c r="Z1363" s="58" t="str">
        <f t="shared" si="1203"/>
        <v>#NAME?</v>
      </c>
      <c r="AA1363" s="58" t="str">
        <f t="shared" si="1203"/>
        <v>#NAME?</v>
      </c>
      <c r="AB1363" s="58" t="str">
        <f t="shared" si="1203"/>
        <v>#NAME?</v>
      </c>
      <c r="AC1363" s="58" t="str">
        <f t="shared" si="1203"/>
        <v>#NAME?</v>
      </c>
      <c r="AD1363" s="57">
        <f t="shared" si="906"/>
        <v>0</v>
      </c>
      <c r="AE1363" s="57" t="str">
        <f t="shared" si="907"/>
        <v/>
      </c>
      <c r="AF1363" s="57">
        <f t="shared" si="908"/>
        <v>0</v>
      </c>
      <c r="AG1363" s="59">
        <f t="shared" si="909"/>
        <v>0</v>
      </c>
      <c r="AH1363" s="15"/>
      <c r="AI1363" s="15"/>
      <c r="AJ1363" s="15"/>
      <c r="AK1363" s="15"/>
      <c r="AL1363" s="15"/>
      <c r="AM1363" s="15"/>
      <c r="AN1363" s="15"/>
      <c r="AO1363" s="15"/>
      <c r="AP1363" s="15"/>
      <c r="AQ1363" s="15"/>
      <c r="AR1363" s="15"/>
      <c r="AS1363" s="15"/>
      <c r="AT1363" s="15"/>
      <c r="AU1363" s="15"/>
    </row>
    <row r="1364" ht="24.0" customHeight="1">
      <c r="A1364" s="45">
        <v>2788.0</v>
      </c>
      <c r="B1364" s="57"/>
      <c r="C1364" s="57"/>
      <c r="D1364" s="88" t="str">
        <f t="array" ref="D1364">IFERROR(
  LOOKUP(2, 1/((TRIM(IMS!$E$8:$E$2574)=TRIM(IMS!$E1364))*(IMS!$C$8:$C$2574&lt;IMS!$C1364)),
         IMS!$C$8:$C$2574),
"")</f>
        <v/>
      </c>
      <c r="E1364" s="57"/>
      <c r="F1364" s="57"/>
      <c r="G1364" s="77" t="str">
        <f t="shared" si="901"/>
        <v/>
      </c>
      <c r="H1364" s="78" t="str">
        <f t="shared" si="902"/>
        <v/>
      </c>
      <c r="I1364" s="79"/>
      <c r="J1364" s="80" t="str">
        <f t="shared" si="903"/>
        <v>#NAME?</v>
      </c>
      <c r="K1364" s="58"/>
      <c r="L1364" s="58"/>
      <c r="M1364" s="57"/>
      <c r="N1364" s="57"/>
      <c r="O1364" s="58"/>
      <c r="P1364" s="82"/>
      <c r="Q1364" s="81"/>
      <c r="R1364" s="81"/>
      <c r="S1364" s="57"/>
      <c r="T1364" s="82"/>
      <c r="U1364" s="82"/>
      <c r="V1364" s="57"/>
      <c r="W1364" s="57"/>
      <c r="X1364" s="57" t="str">
        <f t="shared" si="917"/>
        <v/>
      </c>
      <c r="Y1364" s="58" t="str">
        <f t="shared" ref="Y1364:AC1364" si="1204">TRIM(SUBSTITUTE(SUBSTITUTE(OFFSET($Q1364,0,COLUMN()-COLUMN($AL$1)),CHAR(160)," "),_xludf.UNICHAR(8239)," "))</f>
        <v>#NAME?</v>
      </c>
      <c r="Z1364" s="58" t="str">
        <f t="shared" si="1204"/>
        <v>#NAME?</v>
      </c>
      <c r="AA1364" s="58" t="str">
        <f t="shared" si="1204"/>
        <v>#NAME?</v>
      </c>
      <c r="AB1364" s="58" t="str">
        <f t="shared" si="1204"/>
        <v>#NAME?</v>
      </c>
      <c r="AC1364" s="58" t="str">
        <f t="shared" si="1204"/>
        <v>#NAME?</v>
      </c>
      <c r="AD1364" s="57">
        <f t="shared" si="906"/>
        <v>0</v>
      </c>
      <c r="AE1364" s="57" t="str">
        <f t="shared" si="907"/>
        <v/>
      </c>
      <c r="AF1364" s="57">
        <f t="shared" si="908"/>
        <v>0</v>
      </c>
      <c r="AG1364" s="59">
        <f t="shared" si="909"/>
        <v>0</v>
      </c>
      <c r="AH1364" s="15"/>
      <c r="AI1364" s="15"/>
      <c r="AJ1364" s="15"/>
      <c r="AK1364" s="15"/>
      <c r="AL1364" s="15"/>
      <c r="AM1364" s="15"/>
      <c r="AN1364" s="15"/>
      <c r="AO1364" s="15"/>
      <c r="AP1364" s="15"/>
      <c r="AQ1364" s="15"/>
      <c r="AR1364" s="15"/>
      <c r="AS1364" s="15"/>
      <c r="AT1364" s="15"/>
      <c r="AU1364" s="15"/>
    </row>
    <row r="1365" ht="24.0" customHeight="1">
      <c r="A1365" s="45">
        <v>2789.0</v>
      </c>
      <c r="B1365" s="57"/>
      <c r="C1365" s="57"/>
      <c r="D1365" s="88" t="str">
        <f t="array" ref="D1365">IFERROR(
  LOOKUP(2, 1/((TRIM(IMS!$E$8:$E$2574)=TRIM(IMS!$E1365))*(IMS!$C$8:$C$2574&lt;IMS!$C1365)),
         IMS!$C$8:$C$2574),
"")</f>
        <v/>
      </c>
      <c r="E1365" s="57"/>
      <c r="F1365" s="57"/>
      <c r="G1365" s="77" t="str">
        <f t="shared" si="901"/>
        <v/>
      </c>
      <c r="H1365" s="78" t="str">
        <f t="shared" si="902"/>
        <v/>
      </c>
      <c r="I1365" s="79"/>
      <c r="J1365" s="80" t="str">
        <f t="shared" si="903"/>
        <v>#NAME?</v>
      </c>
      <c r="K1365" s="58"/>
      <c r="L1365" s="58"/>
      <c r="M1365" s="57"/>
      <c r="N1365" s="57"/>
      <c r="O1365" s="58"/>
      <c r="P1365" s="82"/>
      <c r="Q1365" s="81"/>
      <c r="R1365" s="81"/>
      <c r="S1365" s="57"/>
      <c r="T1365" s="82"/>
      <c r="U1365" s="82"/>
      <c r="V1365" s="57"/>
      <c r="W1365" s="57"/>
      <c r="X1365" s="57" t="str">
        <f t="shared" si="917"/>
        <v/>
      </c>
      <c r="Y1365" s="58" t="str">
        <f t="shared" ref="Y1365:AC1365" si="1205">TRIM(SUBSTITUTE(SUBSTITUTE(OFFSET($Q1365,0,COLUMN()-COLUMN($AL$1)),CHAR(160)," "),_xludf.UNICHAR(8239)," "))</f>
        <v>#NAME?</v>
      </c>
      <c r="Z1365" s="58" t="str">
        <f t="shared" si="1205"/>
        <v>#NAME?</v>
      </c>
      <c r="AA1365" s="58" t="str">
        <f t="shared" si="1205"/>
        <v>#NAME?</v>
      </c>
      <c r="AB1365" s="58" t="str">
        <f t="shared" si="1205"/>
        <v>#NAME?</v>
      </c>
      <c r="AC1365" s="58" t="str">
        <f t="shared" si="1205"/>
        <v>#NAME?</v>
      </c>
      <c r="AD1365" s="57">
        <f t="shared" si="906"/>
        <v>0</v>
      </c>
      <c r="AE1365" s="57" t="str">
        <f t="shared" si="907"/>
        <v/>
      </c>
      <c r="AF1365" s="57">
        <f t="shared" si="908"/>
        <v>0</v>
      </c>
      <c r="AG1365" s="59">
        <f t="shared" si="909"/>
        <v>0</v>
      </c>
      <c r="AH1365" s="15"/>
      <c r="AI1365" s="15"/>
      <c r="AJ1365" s="15"/>
      <c r="AK1365" s="15"/>
      <c r="AL1365" s="15"/>
      <c r="AM1365" s="15"/>
      <c r="AN1365" s="15"/>
      <c r="AO1365" s="15"/>
      <c r="AP1365" s="15"/>
      <c r="AQ1365" s="15"/>
      <c r="AR1365" s="15"/>
      <c r="AS1365" s="15"/>
      <c r="AT1365" s="15"/>
      <c r="AU1365" s="15"/>
    </row>
    <row r="1366" ht="24.0" customHeight="1">
      <c r="A1366" s="45">
        <v>2790.0</v>
      </c>
      <c r="B1366" s="57"/>
      <c r="C1366" s="57"/>
      <c r="D1366" s="88" t="str">
        <f t="array" ref="D1366">IFERROR(
  LOOKUP(2, 1/((TRIM(IMS!$E$8:$E$2574)=TRIM(IMS!$E1366))*(IMS!$C$8:$C$2574&lt;IMS!$C1366)),
         IMS!$C$8:$C$2574),
"")</f>
        <v/>
      </c>
      <c r="E1366" s="57"/>
      <c r="F1366" s="57"/>
      <c r="G1366" s="77" t="str">
        <f t="shared" si="901"/>
        <v/>
      </c>
      <c r="H1366" s="78" t="str">
        <f t="shared" si="902"/>
        <v/>
      </c>
      <c r="I1366" s="79"/>
      <c r="J1366" s="80" t="str">
        <f t="shared" si="903"/>
        <v>#NAME?</v>
      </c>
      <c r="K1366" s="58"/>
      <c r="L1366" s="58"/>
      <c r="M1366" s="57"/>
      <c r="N1366" s="57"/>
      <c r="O1366" s="58"/>
      <c r="P1366" s="82"/>
      <c r="Q1366" s="81"/>
      <c r="R1366" s="81"/>
      <c r="S1366" s="57"/>
      <c r="T1366" s="82"/>
      <c r="U1366" s="82"/>
      <c r="V1366" s="57"/>
      <c r="W1366" s="57"/>
      <c r="X1366" s="57" t="str">
        <f t="shared" si="917"/>
        <v/>
      </c>
      <c r="Y1366" s="58" t="str">
        <f t="shared" ref="Y1366:AC1366" si="1206">TRIM(SUBSTITUTE(SUBSTITUTE(OFFSET($Q1366,0,COLUMN()-COLUMN($AL$1)),CHAR(160)," "),_xludf.UNICHAR(8239)," "))</f>
        <v>#NAME?</v>
      </c>
      <c r="Z1366" s="58" t="str">
        <f t="shared" si="1206"/>
        <v>#NAME?</v>
      </c>
      <c r="AA1366" s="58" t="str">
        <f t="shared" si="1206"/>
        <v>#NAME?</v>
      </c>
      <c r="AB1366" s="58" t="str">
        <f t="shared" si="1206"/>
        <v>#NAME?</v>
      </c>
      <c r="AC1366" s="58" t="str">
        <f t="shared" si="1206"/>
        <v>#NAME?</v>
      </c>
      <c r="AD1366" s="57">
        <f t="shared" si="906"/>
        <v>0</v>
      </c>
      <c r="AE1366" s="57" t="str">
        <f t="shared" si="907"/>
        <v/>
      </c>
      <c r="AF1366" s="57">
        <f t="shared" si="908"/>
        <v>0</v>
      </c>
      <c r="AG1366" s="59">
        <f t="shared" si="909"/>
        <v>0</v>
      </c>
      <c r="AH1366" s="15"/>
      <c r="AI1366" s="15"/>
      <c r="AJ1366" s="15"/>
      <c r="AK1366" s="15"/>
      <c r="AL1366" s="15"/>
      <c r="AM1366" s="15"/>
      <c r="AN1366" s="15"/>
      <c r="AO1366" s="15"/>
      <c r="AP1366" s="15"/>
      <c r="AQ1366" s="15"/>
      <c r="AR1366" s="15"/>
      <c r="AS1366" s="15"/>
      <c r="AT1366" s="15"/>
      <c r="AU1366" s="15"/>
    </row>
    <row r="1367" ht="24.0" customHeight="1">
      <c r="A1367" s="45">
        <v>2791.0</v>
      </c>
      <c r="B1367" s="57"/>
      <c r="C1367" s="57"/>
      <c r="D1367" s="88" t="str">
        <f t="array" ref="D1367">IFERROR(
  LOOKUP(2, 1/((TRIM(IMS!$E$8:$E$2574)=TRIM(IMS!$E1367))*(IMS!$C$8:$C$2574&lt;IMS!$C1367)),
         IMS!$C$8:$C$2574),
"")</f>
        <v/>
      </c>
      <c r="E1367" s="57"/>
      <c r="F1367" s="57"/>
      <c r="G1367" s="77" t="str">
        <f t="shared" si="901"/>
        <v/>
      </c>
      <c r="H1367" s="78" t="str">
        <f t="shared" si="902"/>
        <v/>
      </c>
      <c r="I1367" s="79"/>
      <c r="J1367" s="80" t="str">
        <f t="shared" si="903"/>
        <v>#NAME?</v>
      </c>
      <c r="K1367" s="58"/>
      <c r="L1367" s="58"/>
      <c r="M1367" s="57"/>
      <c r="N1367" s="57"/>
      <c r="O1367" s="58"/>
      <c r="P1367" s="82"/>
      <c r="Q1367" s="81"/>
      <c r="R1367" s="81"/>
      <c r="S1367" s="57"/>
      <c r="T1367" s="82"/>
      <c r="U1367" s="82"/>
      <c r="V1367" s="57"/>
      <c r="W1367" s="57"/>
      <c r="X1367" s="57" t="str">
        <f t="shared" si="917"/>
        <v/>
      </c>
      <c r="Y1367" s="58" t="str">
        <f t="shared" ref="Y1367:AC1367" si="1207">TRIM(SUBSTITUTE(SUBSTITUTE(OFFSET($Q1367,0,COLUMN()-COLUMN($AL$1)),CHAR(160)," "),_xludf.UNICHAR(8239)," "))</f>
        <v>#NAME?</v>
      </c>
      <c r="Z1367" s="58" t="str">
        <f t="shared" si="1207"/>
        <v>#NAME?</v>
      </c>
      <c r="AA1367" s="58" t="str">
        <f t="shared" si="1207"/>
        <v>#NAME?</v>
      </c>
      <c r="AB1367" s="58" t="str">
        <f t="shared" si="1207"/>
        <v>#NAME?</v>
      </c>
      <c r="AC1367" s="58" t="str">
        <f t="shared" si="1207"/>
        <v>#NAME?</v>
      </c>
      <c r="AD1367" s="57">
        <f t="shared" si="906"/>
        <v>0</v>
      </c>
      <c r="AE1367" s="57" t="str">
        <f t="shared" si="907"/>
        <v/>
      </c>
      <c r="AF1367" s="57">
        <f t="shared" si="908"/>
        <v>0</v>
      </c>
      <c r="AG1367" s="59">
        <f t="shared" si="909"/>
        <v>0</v>
      </c>
      <c r="AH1367" s="15"/>
      <c r="AI1367" s="15"/>
      <c r="AJ1367" s="15"/>
      <c r="AK1367" s="15"/>
      <c r="AL1367" s="15"/>
      <c r="AM1367" s="15"/>
      <c r="AN1367" s="15"/>
      <c r="AO1367" s="15"/>
      <c r="AP1367" s="15"/>
      <c r="AQ1367" s="15"/>
      <c r="AR1367" s="15"/>
      <c r="AS1367" s="15"/>
      <c r="AT1367" s="15"/>
      <c r="AU1367" s="15"/>
    </row>
    <row r="1368" ht="24.0" customHeight="1">
      <c r="A1368" s="45">
        <v>2792.0</v>
      </c>
      <c r="B1368" s="57"/>
      <c r="C1368" s="57"/>
      <c r="D1368" s="88" t="str">
        <f t="array" ref="D1368">IFERROR(
  LOOKUP(2, 1/((TRIM(IMS!$E$8:$E$2574)=TRIM(IMS!$E1368))*(IMS!$C$8:$C$2574&lt;IMS!$C1368)),
         IMS!$C$8:$C$2574),
"")</f>
        <v/>
      </c>
      <c r="E1368" s="57"/>
      <c r="F1368" s="57"/>
      <c r="G1368" s="77" t="str">
        <f t="shared" si="901"/>
        <v/>
      </c>
      <c r="H1368" s="78" t="str">
        <f t="shared" si="902"/>
        <v/>
      </c>
      <c r="I1368" s="79"/>
      <c r="J1368" s="80" t="str">
        <f t="shared" si="903"/>
        <v>#NAME?</v>
      </c>
      <c r="K1368" s="58"/>
      <c r="L1368" s="58"/>
      <c r="M1368" s="57"/>
      <c r="N1368" s="57"/>
      <c r="O1368" s="58"/>
      <c r="P1368" s="82"/>
      <c r="Q1368" s="81"/>
      <c r="R1368" s="81"/>
      <c r="S1368" s="57"/>
      <c r="T1368" s="82"/>
      <c r="U1368" s="82"/>
      <c r="V1368" s="57"/>
      <c r="W1368" s="57"/>
      <c r="X1368" s="57" t="str">
        <f t="shared" si="917"/>
        <v/>
      </c>
      <c r="Y1368" s="58" t="str">
        <f t="shared" ref="Y1368:AC1368" si="1208">TRIM(SUBSTITUTE(SUBSTITUTE(OFFSET($Q1368,0,COLUMN()-COLUMN($AL$1)),CHAR(160)," "),_xludf.UNICHAR(8239)," "))</f>
        <v>#NAME?</v>
      </c>
      <c r="Z1368" s="58" t="str">
        <f t="shared" si="1208"/>
        <v>#NAME?</v>
      </c>
      <c r="AA1368" s="58" t="str">
        <f t="shared" si="1208"/>
        <v>#NAME?</v>
      </c>
      <c r="AB1368" s="58" t="str">
        <f t="shared" si="1208"/>
        <v>#NAME?</v>
      </c>
      <c r="AC1368" s="58" t="str">
        <f t="shared" si="1208"/>
        <v>#NAME?</v>
      </c>
      <c r="AD1368" s="57">
        <f t="shared" si="906"/>
        <v>0</v>
      </c>
      <c r="AE1368" s="57" t="str">
        <f t="shared" si="907"/>
        <v/>
      </c>
      <c r="AF1368" s="57">
        <f t="shared" si="908"/>
        <v>0</v>
      </c>
      <c r="AG1368" s="59">
        <f t="shared" si="909"/>
        <v>0</v>
      </c>
      <c r="AH1368" s="15"/>
      <c r="AI1368" s="15"/>
      <c r="AJ1368" s="15"/>
      <c r="AK1368" s="15"/>
      <c r="AL1368" s="15"/>
      <c r="AM1368" s="15"/>
      <c r="AN1368" s="15"/>
      <c r="AO1368" s="15"/>
      <c r="AP1368" s="15"/>
      <c r="AQ1368" s="15"/>
      <c r="AR1368" s="15"/>
      <c r="AS1368" s="15"/>
      <c r="AT1368" s="15"/>
      <c r="AU1368" s="15"/>
    </row>
    <row r="1369" ht="24.0" customHeight="1">
      <c r="A1369" s="45">
        <v>2793.0</v>
      </c>
      <c r="B1369" s="57"/>
      <c r="C1369" s="57"/>
      <c r="D1369" s="88" t="str">
        <f t="array" ref="D1369">IFERROR(
  LOOKUP(2, 1/((TRIM(IMS!$E$8:$E$2574)=TRIM(IMS!$E1369))*(IMS!$C$8:$C$2574&lt;IMS!$C1369)),
         IMS!$C$8:$C$2574),
"")</f>
        <v/>
      </c>
      <c r="E1369" s="57"/>
      <c r="F1369" s="57"/>
      <c r="G1369" s="77" t="str">
        <f t="shared" si="901"/>
        <v/>
      </c>
      <c r="H1369" s="78" t="str">
        <f t="shared" si="902"/>
        <v/>
      </c>
      <c r="I1369" s="79"/>
      <c r="J1369" s="80" t="str">
        <f t="shared" si="903"/>
        <v>#NAME?</v>
      </c>
      <c r="K1369" s="58"/>
      <c r="L1369" s="58"/>
      <c r="M1369" s="57"/>
      <c r="N1369" s="57"/>
      <c r="O1369" s="58"/>
      <c r="P1369" s="82"/>
      <c r="Q1369" s="81"/>
      <c r="R1369" s="81"/>
      <c r="S1369" s="57"/>
      <c r="T1369" s="82"/>
      <c r="U1369" s="82"/>
      <c r="V1369" s="57"/>
      <c r="W1369" s="57"/>
      <c r="X1369" s="57" t="str">
        <f t="shared" si="917"/>
        <v/>
      </c>
      <c r="Y1369" s="58" t="str">
        <f t="shared" ref="Y1369:AC1369" si="1209">TRIM(SUBSTITUTE(SUBSTITUTE(OFFSET($Q1369,0,COLUMN()-COLUMN($AL$1)),CHAR(160)," "),_xludf.UNICHAR(8239)," "))</f>
        <v>#NAME?</v>
      </c>
      <c r="Z1369" s="58" t="str">
        <f t="shared" si="1209"/>
        <v>#NAME?</v>
      </c>
      <c r="AA1369" s="58" t="str">
        <f t="shared" si="1209"/>
        <v>#NAME?</v>
      </c>
      <c r="AB1369" s="58" t="str">
        <f t="shared" si="1209"/>
        <v>#NAME?</v>
      </c>
      <c r="AC1369" s="58" t="str">
        <f t="shared" si="1209"/>
        <v>#NAME?</v>
      </c>
      <c r="AD1369" s="57">
        <f t="shared" si="906"/>
        <v>0</v>
      </c>
      <c r="AE1369" s="57" t="str">
        <f t="shared" si="907"/>
        <v/>
      </c>
      <c r="AF1369" s="57">
        <f t="shared" si="908"/>
        <v>0</v>
      </c>
      <c r="AG1369" s="59">
        <f t="shared" si="909"/>
        <v>0</v>
      </c>
      <c r="AH1369" s="15"/>
      <c r="AI1369" s="15"/>
      <c r="AJ1369" s="15"/>
      <c r="AK1369" s="15"/>
      <c r="AL1369" s="15"/>
      <c r="AM1369" s="15"/>
      <c r="AN1369" s="15"/>
      <c r="AO1369" s="15"/>
      <c r="AP1369" s="15"/>
      <c r="AQ1369" s="15"/>
      <c r="AR1369" s="15"/>
      <c r="AS1369" s="15"/>
      <c r="AT1369" s="15"/>
      <c r="AU1369" s="15"/>
    </row>
    <row r="1370" ht="24.0" customHeight="1">
      <c r="A1370" s="45">
        <v>2794.0</v>
      </c>
      <c r="B1370" s="57"/>
      <c r="C1370" s="57"/>
      <c r="D1370" s="88" t="str">
        <f t="array" ref="D1370">IFERROR(
  LOOKUP(2, 1/((TRIM(IMS!$E$8:$E$2574)=TRIM(IMS!$E1370))*(IMS!$C$8:$C$2574&lt;IMS!$C1370)),
         IMS!$C$8:$C$2574),
"")</f>
        <v/>
      </c>
      <c r="E1370" s="57"/>
      <c r="F1370" s="57"/>
      <c r="G1370" s="77" t="str">
        <f t="shared" si="901"/>
        <v/>
      </c>
      <c r="H1370" s="78" t="str">
        <f t="shared" si="902"/>
        <v/>
      </c>
      <c r="I1370" s="79"/>
      <c r="J1370" s="80" t="str">
        <f t="shared" si="903"/>
        <v>#NAME?</v>
      </c>
      <c r="K1370" s="58"/>
      <c r="L1370" s="58"/>
      <c r="M1370" s="57"/>
      <c r="N1370" s="57"/>
      <c r="O1370" s="58"/>
      <c r="P1370" s="82"/>
      <c r="Q1370" s="81"/>
      <c r="R1370" s="81"/>
      <c r="S1370" s="57"/>
      <c r="T1370" s="82"/>
      <c r="U1370" s="82"/>
      <c r="V1370" s="57"/>
      <c r="W1370" s="57"/>
      <c r="X1370" s="57" t="str">
        <f t="shared" si="917"/>
        <v/>
      </c>
      <c r="Y1370" s="58" t="str">
        <f t="shared" ref="Y1370:AC1370" si="1210">TRIM(SUBSTITUTE(SUBSTITUTE(OFFSET($Q1370,0,COLUMN()-COLUMN($AL$1)),CHAR(160)," "),_xludf.UNICHAR(8239)," "))</f>
        <v>#NAME?</v>
      </c>
      <c r="Z1370" s="58" t="str">
        <f t="shared" si="1210"/>
        <v>#NAME?</v>
      </c>
      <c r="AA1370" s="58" t="str">
        <f t="shared" si="1210"/>
        <v>#NAME?</v>
      </c>
      <c r="AB1370" s="58" t="str">
        <f t="shared" si="1210"/>
        <v>#NAME?</v>
      </c>
      <c r="AC1370" s="58" t="str">
        <f t="shared" si="1210"/>
        <v>#NAME?</v>
      </c>
      <c r="AD1370" s="57">
        <f t="shared" si="906"/>
        <v>0</v>
      </c>
      <c r="AE1370" s="57" t="str">
        <f t="shared" si="907"/>
        <v/>
      </c>
      <c r="AF1370" s="57">
        <f t="shared" si="908"/>
        <v>0</v>
      </c>
      <c r="AG1370" s="59">
        <f t="shared" si="909"/>
        <v>0</v>
      </c>
      <c r="AH1370" s="15"/>
      <c r="AI1370" s="15"/>
      <c r="AJ1370" s="15"/>
      <c r="AK1370" s="15"/>
      <c r="AL1370" s="15"/>
      <c r="AM1370" s="15"/>
      <c r="AN1370" s="15"/>
      <c r="AO1370" s="15"/>
      <c r="AP1370" s="15"/>
      <c r="AQ1370" s="15"/>
      <c r="AR1370" s="15"/>
      <c r="AS1370" s="15"/>
      <c r="AT1370" s="15"/>
      <c r="AU1370" s="15"/>
    </row>
    <row r="1371" ht="24.0" customHeight="1">
      <c r="A1371" s="45">
        <v>2795.0</v>
      </c>
      <c r="B1371" s="57"/>
      <c r="C1371" s="57"/>
      <c r="D1371" s="88" t="str">
        <f t="array" ref="D1371">IFERROR(
  LOOKUP(2, 1/((TRIM(IMS!$E$8:$E$2574)=TRIM(IMS!$E1371))*(IMS!$C$8:$C$2574&lt;IMS!$C1371)),
         IMS!$C$8:$C$2574),
"")</f>
        <v/>
      </c>
      <c r="E1371" s="57"/>
      <c r="F1371" s="57"/>
      <c r="G1371" s="77" t="str">
        <f t="shared" si="901"/>
        <v/>
      </c>
      <c r="H1371" s="78" t="str">
        <f t="shared" si="902"/>
        <v/>
      </c>
      <c r="I1371" s="79"/>
      <c r="J1371" s="80" t="str">
        <f t="shared" si="903"/>
        <v>#NAME?</v>
      </c>
      <c r="K1371" s="58"/>
      <c r="L1371" s="58"/>
      <c r="M1371" s="57"/>
      <c r="N1371" s="57"/>
      <c r="O1371" s="58"/>
      <c r="P1371" s="82"/>
      <c r="Q1371" s="81"/>
      <c r="R1371" s="81"/>
      <c r="S1371" s="57"/>
      <c r="T1371" s="82"/>
      <c r="U1371" s="82"/>
      <c r="V1371" s="57"/>
      <c r="W1371" s="57"/>
      <c r="X1371" s="57" t="str">
        <f t="shared" si="917"/>
        <v/>
      </c>
      <c r="Y1371" s="58" t="str">
        <f t="shared" ref="Y1371:AC1371" si="1211">TRIM(SUBSTITUTE(SUBSTITUTE(OFFSET($Q1371,0,COLUMN()-COLUMN($AL$1)),CHAR(160)," "),_xludf.UNICHAR(8239)," "))</f>
        <v>#NAME?</v>
      </c>
      <c r="Z1371" s="58" t="str">
        <f t="shared" si="1211"/>
        <v>#NAME?</v>
      </c>
      <c r="AA1371" s="58" t="str">
        <f t="shared" si="1211"/>
        <v>#NAME?</v>
      </c>
      <c r="AB1371" s="58" t="str">
        <f t="shared" si="1211"/>
        <v>#NAME?</v>
      </c>
      <c r="AC1371" s="58" t="str">
        <f t="shared" si="1211"/>
        <v>#NAME?</v>
      </c>
      <c r="AD1371" s="57">
        <f t="shared" si="906"/>
        <v>0</v>
      </c>
      <c r="AE1371" s="57" t="str">
        <f t="shared" si="907"/>
        <v/>
      </c>
      <c r="AF1371" s="57">
        <f t="shared" si="908"/>
        <v>0</v>
      </c>
      <c r="AG1371" s="59">
        <f t="shared" si="909"/>
        <v>0</v>
      </c>
      <c r="AH1371" s="15"/>
      <c r="AI1371" s="15"/>
      <c r="AJ1371" s="15"/>
      <c r="AK1371" s="15"/>
      <c r="AL1371" s="15"/>
      <c r="AM1371" s="15"/>
      <c r="AN1371" s="15"/>
      <c r="AO1371" s="15"/>
      <c r="AP1371" s="15"/>
      <c r="AQ1371" s="15"/>
      <c r="AR1371" s="15"/>
      <c r="AS1371" s="15"/>
      <c r="AT1371" s="15"/>
      <c r="AU1371" s="15"/>
    </row>
    <row r="1372" ht="24.0" customHeight="1">
      <c r="A1372" s="45">
        <v>2796.0</v>
      </c>
      <c r="B1372" s="57"/>
      <c r="C1372" s="57"/>
      <c r="D1372" s="88" t="str">
        <f t="array" ref="D1372">IFERROR(
  LOOKUP(2, 1/((TRIM(IMS!$E$8:$E$2574)=TRIM(IMS!$E1372))*(IMS!$C$8:$C$2574&lt;IMS!$C1372)),
         IMS!$C$8:$C$2574),
"")</f>
        <v/>
      </c>
      <c r="E1372" s="57"/>
      <c r="F1372" s="57"/>
      <c r="G1372" s="77" t="str">
        <f t="shared" si="901"/>
        <v/>
      </c>
      <c r="H1372" s="78" t="str">
        <f t="shared" si="902"/>
        <v/>
      </c>
      <c r="I1372" s="79"/>
      <c r="J1372" s="80" t="str">
        <f t="shared" si="903"/>
        <v>#NAME?</v>
      </c>
      <c r="K1372" s="58"/>
      <c r="L1372" s="58"/>
      <c r="M1372" s="57"/>
      <c r="N1372" s="57"/>
      <c r="O1372" s="58"/>
      <c r="P1372" s="82"/>
      <c r="Q1372" s="81"/>
      <c r="R1372" s="81"/>
      <c r="S1372" s="57"/>
      <c r="T1372" s="82"/>
      <c r="U1372" s="82"/>
      <c r="V1372" s="57"/>
      <c r="W1372" s="57"/>
      <c r="X1372" s="57" t="str">
        <f t="shared" si="917"/>
        <v/>
      </c>
      <c r="Y1372" s="58" t="str">
        <f t="shared" ref="Y1372:AC1372" si="1212">TRIM(SUBSTITUTE(SUBSTITUTE(OFFSET($Q1372,0,COLUMN()-COLUMN($AL$1)),CHAR(160)," "),_xludf.UNICHAR(8239)," "))</f>
        <v>#NAME?</v>
      </c>
      <c r="Z1372" s="58" t="str">
        <f t="shared" si="1212"/>
        <v>#NAME?</v>
      </c>
      <c r="AA1372" s="58" t="str">
        <f t="shared" si="1212"/>
        <v>#NAME?</v>
      </c>
      <c r="AB1372" s="58" t="str">
        <f t="shared" si="1212"/>
        <v>#NAME?</v>
      </c>
      <c r="AC1372" s="58" t="str">
        <f t="shared" si="1212"/>
        <v>#NAME?</v>
      </c>
      <c r="AD1372" s="57">
        <f t="shared" si="906"/>
        <v>0</v>
      </c>
      <c r="AE1372" s="57" t="str">
        <f t="shared" si="907"/>
        <v/>
      </c>
      <c r="AF1372" s="57">
        <f t="shared" si="908"/>
        <v>0</v>
      </c>
      <c r="AG1372" s="59">
        <f t="shared" si="909"/>
        <v>0</v>
      </c>
      <c r="AH1372" s="15"/>
      <c r="AI1372" s="15"/>
      <c r="AJ1372" s="15"/>
      <c r="AK1372" s="15"/>
      <c r="AL1372" s="15"/>
      <c r="AM1372" s="15"/>
      <c r="AN1372" s="15"/>
      <c r="AO1372" s="15"/>
      <c r="AP1372" s="15"/>
      <c r="AQ1372" s="15"/>
      <c r="AR1372" s="15"/>
      <c r="AS1372" s="15"/>
      <c r="AT1372" s="15"/>
      <c r="AU1372" s="15"/>
    </row>
    <row r="1373" ht="24.0" customHeight="1">
      <c r="A1373" s="45">
        <v>2797.0</v>
      </c>
      <c r="B1373" s="57"/>
      <c r="C1373" s="57"/>
      <c r="D1373" s="88" t="str">
        <f t="array" ref="D1373">IFERROR(
  LOOKUP(2, 1/((TRIM(IMS!$E$8:$E$2574)=TRIM(IMS!$E1373))*(IMS!$C$8:$C$2574&lt;IMS!$C1373)),
         IMS!$C$8:$C$2574),
"")</f>
        <v/>
      </c>
      <c r="E1373" s="57"/>
      <c r="F1373" s="57"/>
      <c r="G1373" s="77" t="str">
        <f t="shared" si="901"/>
        <v/>
      </c>
      <c r="H1373" s="78" t="str">
        <f t="shared" si="902"/>
        <v/>
      </c>
      <c r="I1373" s="79"/>
      <c r="J1373" s="80" t="str">
        <f t="shared" si="903"/>
        <v>#NAME?</v>
      </c>
      <c r="K1373" s="58"/>
      <c r="L1373" s="58"/>
      <c r="M1373" s="57"/>
      <c r="N1373" s="57"/>
      <c r="O1373" s="58"/>
      <c r="P1373" s="82"/>
      <c r="Q1373" s="81"/>
      <c r="R1373" s="81"/>
      <c r="S1373" s="57"/>
      <c r="T1373" s="82"/>
      <c r="U1373" s="82"/>
      <c r="V1373" s="57"/>
      <c r="W1373" s="57"/>
      <c r="X1373" s="57" t="str">
        <f t="shared" si="917"/>
        <v/>
      </c>
      <c r="Y1373" s="58" t="str">
        <f t="shared" ref="Y1373:AC1373" si="1213">TRIM(SUBSTITUTE(SUBSTITUTE(OFFSET($Q1373,0,COLUMN()-COLUMN($AL$1)),CHAR(160)," "),_xludf.UNICHAR(8239)," "))</f>
        <v>#NAME?</v>
      </c>
      <c r="Z1373" s="58" t="str">
        <f t="shared" si="1213"/>
        <v>#NAME?</v>
      </c>
      <c r="AA1373" s="58" t="str">
        <f t="shared" si="1213"/>
        <v>#NAME?</v>
      </c>
      <c r="AB1373" s="58" t="str">
        <f t="shared" si="1213"/>
        <v>#NAME?</v>
      </c>
      <c r="AC1373" s="58" t="str">
        <f t="shared" si="1213"/>
        <v>#NAME?</v>
      </c>
      <c r="AD1373" s="57">
        <f t="shared" si="906"/>
        <v>0</v>
      </c>
      <c r="AE1373" s="57" t="str">
        <f t="shared" si="907"/>
        <v/>
      </c>
      <c r="AF1373" s="57">
        <f t="shared" si="908"/>
        <v>0</v>
      </c>
      <c r="AG1373" s="59">
        <f t="shared" si="909"/>
        <v>0</v>
      </c>
      <c r="AH1373" s="15"/>
      <c r="AI1373" s="15"/>
      <c r="AJ1373" s="15"/>
      <c r="AK1373" s="15"/>
      <c r="AL1373" s="15"/>
      <c r="AM1373" s="15"/>
      <c r="AN1373" s="15"/>
      <c r="AO1373" s="15"/>
      <c r="AP1373" s="15"/>
      <c r="AQ1373" s="15"/>
      <c r="AR1373" s="15"/>
      <c r="AS1373" s="15"/>
      <c r="AT1373" s="15"/>
      <c r="AU1373" s="15"/>
    </row>
    <row r="1374" ht="24.0" customHeight="1">
      <c r="A1374" s="45">
        <v>2798.0</v>
      </c>
      <c r="B1374" s="57"/>
      <c r="C1374" s="57"/>
      <c r="D1374" s="88" t="str">
        <f t="array" ref="D1374">IFERROR(
  LOOKUP(2, 1/((TRIM(IMS!$E$8:$E$2574)=TRIM(IMS!$E1374))*(IMS!$C$8:$C$2574&lt;IMS!$C1374)),
         IMS!$C$8:$C$2574),
"")</f>
        <v/>
      </c>
      <c r="E1374" s="57"/>
      <c r="F1374" s="57"/>
      <c r="G1374" s="77" t="str">
        <f t="shared" si="901"/>
        <v/>
      </c>
      <c r="H1374" s="78" t="str">
        <f t="shared" si="902"/>
        <v/>
      </c>
      <c r="I1374" s="79"/>
      <c r="J1374" s="80" t="str">
        <f t="shared" si="903"/>
        <v>#NAME?</v>
      </c>
      <c r="K1374" s="58"/>
      <c r="L1374" s="58"/>
      <c r="M1374" s="57"/>
      <c r="N1374" s="57"/>
      <c r="O1374" s="58"/>
      <c r="P1374" s="82"/>
      <c r="Q1374" s="81"/>
      <c r="R1374" s="81"/>
      <c r="S1374" s="57"/>
      <c r="T1374" s="82"/>
      <c r="U1374" s="82"/>
      <c r="V1374" s="57"/>
      <c r="W1374" s="57"/>
      <c r="X1374" s="57" t="str">
        <f t="shared" si="917"/>
        <v/>
      </c>
      <c r="Y1374" s="58" t="str">
        <f t="shared" ref="Y1374:AC1374" si="1214">TRIM(SUBSTITUTE(SUBSTITUTE(OFFSET($Q1374,0,COLUMN()-COLUMN($AL$1)),CHAR(160)," "),_xludf.UNICHAR(8239)," "))</f>
        <v>#NAME?</v>
      </c>
      <c r="Z1374" s="58" t="str">
        <f t="shared" si="1214"/>
        <v>#NAME?</v>
      </c>
      <c r="AA1374" s="58" t="str">
        <f t="shared" si="1214"/>
        <v>#NAME?</v>
      </c>
      <c r="AB1374" s="58" t="str">
        <f t="shared" si="1214"/>
        <v>#NAME?</v>
      </c>
      <c r="AC1374" s="58" t="str">
        <f t="shared" si="1214"/>
        <v>#NAME?</v>
      </c>
      <c r="AD1374" s="57">
        <f t="shared" si="906"/>
        <v>0</v>
      </c>
      <c r="AE1374" s="57" t="str">
        <f t="shared" si="907"/>
        <v/>
      </c>
      <c r="AF1374" s="57">
        <f t="shared" si="908"/>
        <v>0</v>
      </c>
      <c r="AG1374" s="59">
        <f t="shared" si="909"/>
        <v>0</v>
      </c>
      <c r="AH1374" s="15"/>
      <c r="AI1374" s="15"/>
      <c r="AJ1374" s="15"/>
      <c r="AK1374" s="15"/>
      <c r="AL1374" s="15"/>
      <c r="AM1374" s="15"/>
      <c r="AN1374" s="15"/>
      <c r="AO1374" s="15"/>
      <c r="AP1374" s="15"/>
      <c r="AQ1374" s="15"/>
      <c r="AR1374" s="15"/>
      <c r="AS1374" s="15"/>
      <c r="AT1374" s="15"/>
      <c r="AU1374" s="15"/>
    </row>
    <row r="1375" ht="24.0" customHeight="1">
      <c r="A1375" s="45">
        <v>2799.0</v>
      </c>
      <c r="B1375" s="57"/>
      <c r="C1375" s="57"/>
      <c r="D1375" s="88" t="str">
        <f t="array" ref="D1375">IFERROR(
  LOOKUP(2, 1/((TRIM(IMS!$E$8:$E$2574)=TRIM(IMS!$E1375))*(IMS!$C$8:$C$2574&lt;IMS!$C1375)),
         IMS!$C$8:$C$2574),
"")</f>
        <v/>
      </c>
      <c r="E1375" s="57"/>
      <c r="F1375" s="57"/>
      <c r="G1375" s="77" t="str">
        <f t="shared" si="901"/>
        <v/>
      </c>
      <c r="H1375" s="78" t="str">
        <f t="shared" si="902"/>
        <v/>
      </c>
      <c r="I1375" s="79"/>
      <c r="J1375" s="80" t="str">
        <f t="shared" si="903"/>
        <v>#NAME?</v>
      </c>
      <c r="K1375" s="58"/>
      <c r="L1375" s="58"/>
      <c r="M1375" s="57"/>
      <c r="N1375" s="57"/>
      <c r="O1375" s="58"/>
      <c r="P1375" s="82"/>
      <c r="Q1375" s="81"/>
      <c r="R1375" s="81"/>
      <c r="S1375" s="57"/>
      <c r="T1375" s="82"/>
      <c r="U1375" s="82"/>
      <c r="V1375" s="57"/>
      <c r="W1375" s="57"/>
      <c r="X1375" s="57" t="str">
        <f t="shared" si="917"/>
        <v/>
      </c>
      <c r="Y1375" s="58" t="str">
        <f t="shared" ref="Y1375:AC1375" si="1215">TRIM(SUBSTITUTE(SUBSTITUTE(OFFSET($Q1375,0,COLUMN()-COLUMN($AL$1)),CHAR(160)," "),_xludf.UNICHAR(8239)," "))</f>
        <v>#NAME?</v>
      </c>
      <c r="Z1375" s="58" t="str">
        <f t="shared" si="1215"/>
        <v>#NAME?</v>
      </c>
      <c r="AA1375" s="58" t="str">
        <f t="shared" si="1215"/>
        <v>#NAME?</v>
      </c>
      <c r="AB1375" s="58" t="str">
        <f t="shared" si="1215"/>
        <v>#NAME?</v>
      </c>
      <c r="AC1375" s="58" t="str">
        <f t="shared" si="1215"/>
        <v>#NAME?</v>
      </c>
      <c r="AD1375" s="57">
        <f t="shared" si="906"/>
        <v>0</v>
      </c>
      <c r="AE1375" s="57" t="str">
        <f t="shared" si="907"/>
        <v/>
      </c>
      <c r="AF1375" s="57">
        <f t="shared" si="908"/>
        <v>0</v>
      </c>
      <c r="AG1375" s="59">
        <f t="shared" si="909"/>
        <v>0</v>
      </c>
      <c r="AH1375" s="15"/>
      <c r="AI1375" s="15"/>
      <c r="AJ1375" s="15"/>
      <c r="AK1375" s="15"/>
      <c r="AL1375" s="15"/>
      <c r="AM1375" s="15"/>
      <c r="AN1375" s="15"/>
      <c r="AO1375" s="15"/>
      <c r="AP1375" s="15"/>
      <c r="AQ1375" s="15"/>
      <c r="AR1375" s="15"/>
      <c r="AS1375" s="15"/>
      <c r="AT1375" s="15"/>
      <c r="AU1375" s="15"/>
    </row>
    <row r="1376" ht="24.0" customHeight="1">
      <c r="A1376" s="45">
        <v>2800.0</v>
      </c>
      <c r="B1376" s="57"/>
      <c r="C1376" s="57"/>
      <c r="D1376" s="88" t="str">
        <f t="array" ref="D1376">IFERROR(
  LOOKUP(2, 1/((TRIM(IMS!$E$8:$E$2574)=TRIM(IMS!$E1376))*(IMS!$C$8:$C$2574&lt;IMS!$C1376)),
         IMS!$C$8:$C$2574),
"")</f>
        <v/>
      </c>
      <c r="E1376" s="57"/>
      <c r="F1376" s="57"/>
      <c r="G1376" s="77" t="str">
        <f t="shared" si="901"/>
        <v/>
      </c>
      <c r="H1376" s="78" t="str">
        <f t="shared" si="902"/>
        <v/>
      </c>
      <c r="I1376" s="79"/>
      <c r="J1376" s="80" t="str">
        <f t="shared" si="903"/>
        <v>#NAME?</v>
      </c>
      <c r="K1376" s="58"/>
      <c r="L1376" s="58"/>
      <c r="M1376" s="57"/>
      <c r="N1376" s="57"/>
      <c r="O1376" s="58"/>
      <c r="P1376" s="82"/>
      <c r="Q1376" s="81"/>
      <c r="R1376" s="81"/>
      <c r="S1376" s="57"/>
      <c r="T1376" s="82"/>
      <c r="U1376" s="82"/>
      <c r="V1376" s="57"/>
      <c r="W1376" s="57"/>
      <c r="X1376" s="57" t="str">
        <f t="shared" si="917"/>
        <v/>
      </c>
      <c r="Y1376" s="58" t="str">
        <f t="shared" ref="Y1376:AC1376" si="1216">TRIM(SUBSTITUTE(SUBSTITUTE(OFFSET($Q1376,0,COLUMN()-COLUMN($AL$1)),CHAR(160)," "),_xludf.UNICHAR(8239)," "))</f>
        <v>#NAME?</v>
      </c>
      <c r="Z1376" s="58" t="str">
        <f t="shared" si="1216"/>
        <v>#NAME?</v>
      </c>
      <c r="AA1376" s="58" t="str">
        <f t="shared" si="1216"/>
        <v>#NAME?</v>
      </c>
      <c r="AB1376" s="58" t="str">
        <f t="shared" si="1216"/>
        <v>#NAME?</v>
      </c>
      <c r="AC1376" s="58" t="str">
        <f t="shared" si="1216"/>
        <v>#NAME?</v>
      </c>
      <c r="AD1376" s="57">
        <f t="shared" si="906"/>
        <v>0</v>
      </c>
      <c r="AE1376" s="57" t="str">
        <f t="shared" si="907"/>
        <v/>
      </c>
      <c r="AF1376" s="57">
        <f t="shared" si="908"/>
        <v>0</v>
      </c>
      <c r="AG1376" s="59">
        <f t="shared" si="909"/>
        <v>0</v>
      </c>
      <c r="AH1376" s="15"/>
      <c r="AI1376" s="15"/>
      <c r="AJ1376" s="15"/>
      <c r="AK1376" s="15"/>
      <c r="AL1376" s="15"/>
      <c r="AM1376" s="15"/>
      <c r="AN1376" s="15"/>
      <c r="AO1376" s="15"/>
      <c r="AP1376" s="15"/>
      <c r="AQ1376" s="15"/>
      <c r="AR1376" s="15"/>
      <c r="AS1376" s="15"/>
      <c r="AT1376" s="15"/>
      <c r="AU1376" s="15"/>
    </row>
    <row r="1377" ht="24.0" customHeight="1">
      <c r="A1377" s="45">
        <v>2801.0</v>
      </c>
      <c r="B1377" s="57"/>
      <c r="C1377" s="57"/>
      <c r="D1377" s="88" t="str">
        <f t="array" ref="D1377">IFERROR(
  LOOKUP(2, 1/((TRIM(IMS!$E$8:$E$2574)=TRIM(IMS!$E1377))*(IMS!$C$8:$C$2574&lt;IMS!$C1377)),
         IMS!$C$8:$C$2574),
"")</f>
        <v/>
      </c>
      <c r="E1377" s="57"/>
      <c r="F1377" s="57"/>
      <c r="G1377" s="77" t="str">
        <f t="shared" si="901"/>
        <v/>
      </c>
      <c r="H1377" s="78" t="str">
        <f t="shared" si="902"/>
        <v/>
      </c>
      <c r="I1377" s="79"/>
      <c r="J1377" s="80" t="str">
        <f t="shared" si="903"/>
        <v>#NAME?</v>
      </c>
      <c r="K1377" s="58"/>
      <c r="L1377" s="58"/>
      <c r="M1377" s="57"/>
      <c r="N1377" s="57"/>
      <c r="O1377" s="58"/>
      <c r="P1377" s="82"/>
      <c r="Q1377" s="81"/>
      <c r="R1377" s="81"/>
      <c r="S1377" s="57"/>
      <c r="T1377" s="82"/>
      <c r="U1377" s="82"/>
      <c r="V1377" s="57"/>
      <c r="W1377" s="57"/>
      <c r="X1377" s="57" t="str">
        <f t="shared" si="917"/>
        <v/>
      </c>
      <c r="Y1377" s="58" t="str">
        <f t="shared" ref="Y1377:AC1377" si="1217">TRIM(SUBSTITUTE(SUBSTITUTE(OFFSET($Q1377,0,COLUMN()-COLUMN($AL$1)),CHAR(160)," "),_xludf.UNICHAR(8239)," "))</f>
        <v>#NAME?</v>
      </c>
      <c r="Z1377" s="58" t="str">
        <f t="shared" si="1217"/>
        <v>#NAME?</v>
      </c>
      <c r="AA1377" s="58" t="str">
        <f t="shared" si="1217"/>
        <v>#NAME?</v>
      </c>
      <c r="AB1377" s="58" t="str">
        <f t="shared" si="1217"/>
        <v>#NAME?</v>
      </c>
      <c r="AC1377" s="58" t="str">
        <f t="shared" si="1217"/>
        <v>#NAME?</v>
      </c>
      <c r="AD1377" s="57">
        <f t="shared" si="906"/>
        <v>0</v>
      </c>
      <c r="AE1377" s="57" t="str">
        <f t="shared" si="907"/>
        <v/>
      </c>
      <c r="AF1377" s="57">
        <f t="shared" si="908"/>
        <v>0</v>
      </c>
      <c r="AG1377" s="59">
        <f t="shared" si="909"/>
        <v>0</v>
      </c>
      <c r="AH1377" s="15"/>
      <c r="AI1377" s="15"/>
      <c r="AJ1377" s="15"/>
      <c r="AK1377" s="15"/>
      <c r="AL1377" s="15"/>
      <c r="AM1377" s="15"/>
      <c r="AN1377" s="15"/>
      <c r="AO1377" s="15"/>
      <c r="AP1377" s="15"/>
      <c r="AQ1377" s="15"/>
      <c r="AR1377" s="15"/>
      <c r="AS1377" s="15"/>
      <c r="AT1377" s="15"/>
      <c r="AU1377" s="15"/>
    </row>
    <row r="1378" ht="24.0" customHeight="1">
      <c r="A1378" s="45">
        <v>2802.0</v>
      </c>
      <c r="B1378" s="57"/>
      <c r="C1378" s="57"/>
      <c r="D1378" s="88" t="str">
        <f t="array" ref="D1378">IFERROR(
  LOOKUP(2, 1/((TRIM(IMS!$E$8:$E$2574)=TRIM(IMS!$E1378))*(IMS!$C$8:$C$2574&lt;IMS!$C1378)),
         IMS!$C$8:$C$2574),
"")</f>
        <v/>
      </c>
      <c r="E1378" s="57"/>
      <c r="F1378" s="57"/>
      <c r="G1378" s="77" t="str">
        <f t="shared" si="901"/>
        <v/>
      </c>
      <c r="H1378" s="78" t="str">
        <f t="shared" si="902"/>
        <v/>
      </c>
      <c r="I1378" s="79"/>
      <c r="J1378" s="80" t="str">
        <f t="shared" si="903"/>
        <v>#NAME?</v>
      </c>
      <c r="K1378" s="58"/>
      <c r="L1378" s="58"/>
      <c r="M1378" s="57"/>
      <c r="N1378" s="57"/>
      <c r="O1378" s="58"/>
      <c r="P1378" s="82"/>
      <c r="Q1378" s="81"/>
      <c r="R1378" s="81"/>
      <c r="S1378" s="57"/>
      <c r="T1378" s="82"/>
      <c r="U1378" s="82"/>
      <c r="V1378" s="57"/>
      <c r="W1378" s="57"/>
      <c r="X1378" s="57" t="str">
        <f t="shared" si="917"/>
        <v/>
      </c>
      <c r="Y1378" s="58" t="str">
        <f t="shared" ref="Y1378:AC1378" si="1218">TRIM(SUBSTITUTE(SUBSTITUTE(OFFSET($Q1378,0,COLUMN()-COLUMN($AL$1)),CHAR(160)," "),_xludf.UNICHAR(8239)," "))</f>
        <v>#NAME?</v>
      </c>
      <c r="Z1378" s="58" t="str">
        <f t="shared" si="1218"/>
        <v>#NAME?</v>
      </c>
      <c r="AA1378" s="58" t="str">
        <f t="shared" si="1218"/>
        <v>#NAME?</v>
      </c>
      <c r="AB1378" s="58" t="str">
        <f t="shared" si="1218"/>
        <v>#NAME?</v>
      </c>
      <c r="AC1378" s="58" t="str">
        <f t="shared" si="1218"/>
        <v>#NAME?</v>
      </c>
      <c r="AD1378" s="57">
        <f t="shared" si="906"/>
        <v>0</v>
      </c>
      <c r="AE1378" s="57" t="str">
        <f t="shared" si="907"/>
        <v/>
      </c>
      <c r="AF1378" s="57">
        <f t="shared" si="908"/>
        <v>0</v>
      </c>
      <c r="AG1378" s="59">
        <f t="shared" si="909"/>
        <v>0</v>
      </c>
      <c r="AH1378" s="15"/>
      <c r="AI1378" s="15"/>
      <c r="AJ1378" s="15"/>
      <c r="AK1378" s="15"/>
      <c r="AL1378" s="15"/>
      <c r="AM1378" s="15"/>
      <c r="AN1378" s="15"/>
      <c r="AO1378" s="15"/>
      <c r="AP1378" s="15"/>
      <c r="AQ1378" s="15"/>
      <c r="AR1378" s="15"/>
      <c r="AS1378" s="15"/>
      <c r="AT1378" s="15"/>
      <c r="AU1378" s="15"/>
    </row>
    <row r="1379" ht="24.0" customHeight="1">
      <c r="A1379" s="45">
        <v>2803.0</v>
      </c>
      <c r="B1379" s="57"/>
      <c r="C1379" s="57"/>
      <c r="D1379" s="88" t="str">
        <f t="array" ref="D1379">IFERROR(
  LOOKUP(2, 1/((TRIM(IMS!$E$8:$E$2574)=TRIM(IMS!$E1379))*(IMS!$C$8:$C$2574&lt;IMS!$C1379)),
         IMS!$C$8:$C$2574),
"")</f>
        <v/>
      </c>
      <c r="E1379" s="57"/>
      <c r="F1379" s="57"/>
      <c r="G1379" s="77" t="str">
        <f t="shared" si="901"/>
        <v/>
      </c>
      <c r="H1379" s="78" t="str">
        <f t="shared" si="902"/>
        <v/>
      </c>
      <c r="I1379" s="79"/>
      <c r="J1379" s="80" t="str">
        <f t="shared" si="903"/>
        <v>#NAME?</v>
      </c>
      <c r="K1379" s="58"/>
      <c r="L1379" s="58"/>
      <c r="M1379" s="57"/>
      <c r="N1379" s="57"/>
      <c r="O1379" s="58"/>
      <c r="P1379" s="82"/>
      <c r="Q1379" s="81"/>
      <c r="R1379" s="81"/>
      <c r="S1379" s="57"/>
      <c r="T1379" s="82"/>
      <c r="U1379" s="82"/>
      <c r="V1379" s="57"/>
      <c r="W1379" s="57"/>
      <c r="X1379" s="57" t="str">
        <f t="shared" si="917"/>
        <v/>
      </c>
      <c r="Y1379" s="58" t="str">
        <f t="shared" ref="Y1379:AC1379" si="1219">TRIM(SUBSTITUTE(SUBSTITUTE(OFFSET($Q1379,0,COLUMN()-COLUMN($AL$1)),CHAR(160)," "),_xludf.UNICHAR(8239)," "))</f>
        <v>#NAME?</v>
      </c>
      <c r="Z1379" s="58" t="str">
        <f t="shared" si="1219"/>
        <v>#NAME?</v>
      </c>
      <c r="AA1379" s="58" t="str">
        <f t="shared" si="1219"/>
        <v>#NAME?</v>
      </c>
      <c r="AB1379" s="58" t="str">
        <f t="shared" si="1219"/>
        <v>#NAME?</v>
      </c>
      <c r="AC1379" s="58" t="str">
        <f t="shared" si="1219"/>
        <v>#NAME?</v>
      </c>
      <c r="AD1379" s="57">
        <f t="shared" si="906"/>
        <v>0</v>
      </c>
      <c r="AE1379" s="57" t="str">
        <f t="shared" si="907"/>
        <v/>
      </c>
      <c r="AF1379" s="57">
        <f t="shared" si="908"/>
        <v>0</v>
      </c>
      <c r="AG1379" s="59">
        <f t="shared" si="909"/>
        <v>0</v>
      </c>
      <c r="AH1379" s="15"/>
      <c r="AI1379" s="15"/>
      <c r="AJ1379" s="15"/>
      <c r="AK1379" s="15"/>
      <c r="AL1379" s="15"/>
      <c r="AM1379" s="15"/>
      <c r="AN1379" s="15"/>
      <c r="AO1379" s="15"/>
      <c r="AP1379" s="15"/>
      <c r="AQ1379" s="15"/>
      <c r="AR1379" s="15"/>
      <c r="AS1379" s="15"/>
      <c r="AT1379" s="15"/>
      <c r="AU1379" s="15"/>
    </row>
    <row r="1380" ht="24.0" customHeight="1">
      <c r="A1380" s="45">
        <v>2804.0</v>
      </c>
      <c r="B1380" s="57"/>
      <c r="C1380" s="57"/>
      <c r="D1380" s="88" t="str">
        <f t="array" ref="D1380">IFERROR(
  LOOKUP(2, 1/((TRIM(IMS!$E$8:$E$2574)=TRIM(IMS!$E1380))*(IMS!$C$8:$C$2574&lt;IMS!$C1380)),
         IMS!$C$8:$C$2574),
"")</f>
        <v/>
      </c>
      <c r="E1380" s="57"/>
      <c r="F1380" s="57"/>
      <c r="G1380" s="77" t="str">
        <f t="shared" si="901"/>
        <v/>
      </c>
      <c r="H1380" s="78" t="str">
        <f t="shared" si="902"/>
        <v/>
      </c>
      <c r="I1380" s="79"/>
      <c r="J1380" s="80" t="str">
        <f t="shared" si="903"/>
        <v>#NAME?</v>
      </c>
      <c r="K1380" s="58"/>
      <c r="L1380" s="58"/>
      <c r="M1380" s="57"/>
      <c r="N1380" s="57"/>
      <c r="O1380" s="58"/>
      <c r="P1380" s="82"/>
      <c r="Q1380" s="81"/>
      <c r="R1380" s="81"/>
      <c r="S1380" s="57"/>
      <c r="T1380" s="82"/>
      <c r="U1380" s="82"/>
      <c r="V1380" s="57"/>
      <c r="W1380" s="57"/>
      <c r="X1380" s="57" t="str">
        <f t="shared" si="917"/>
        <v/>
      </c>
      <c r="Y1380" s="58" t="str">
        <f t="shared" ref="Y1380:AC1380" si="1220">TRIM(SUBSTITUTE(SUBSTITUTE(OFFSET($Q1380,0,COLUMN()-COLUMN($AL$1)),CHAR(160)," "),_xludf.UNICHAR(8239)," "))</f>
        <v>#NAME?</v>
      </c>
      <c r="Z1380" s="58" t="str">
        <f t="shared" si="1220"/>
        <v>#NAME?</v>
      </c>
      <c r="AA1380" s="58" t="str">
        <f t="shared" si="1220"/>
        <v>#NAME?</v>
      </c>
      <c r="AB1380" s="58" t="str">
        <f t="shared" si="1220"/>
        <v>#NAME?</v>
      </c>
      <c r="AC1380" s="58" t="str">
        <f t="shared" si="1220"/>
        <v>#NAME?</v>
      </c>
      <c r="AD1380" s="57">
        <f t="shared" si="906"/>
        <v>0</v>
      </c>
      <c r="AE1380" s="57" t="str">
        <f t="shared" si="907"/>
        <v/>
      </c>
      <c r="AF1380" s="57">
        <f t="shared" si="908"/>
        <v>0</v>
      </c>
      <c r="AG1380" s="59">
        <f t="shared" si="909"/>
        <v>0</v>
      </c>
      <c r="AH1380" s="15"/>
      <c r="AI1380" s="15"/>
      <c r="AJ1380" s="15"/>
      <c r="AK1380" s="15"/>
      <c r="AL1380" s="15"/>
      <c r="AM1380" s="15"/>
      <c r="AN1380" s="15"/>
      <c r="AO1380" s="15"/>
      <c r="AP1380" s="15"/>
      <c r="AQ1380" s="15"/>
      <c r="AR1380" s="15"/>
      <c r="AS1380" s="15"/>
      <c r="AT1380" s="15"/>
      <c r="AU1380" s="15"/>
    </row>
    <row r="1381" ht="24.0" customHeight="1">
      <c r="A1381" s="45">
        <v>2805.0</v>
      </c>
      <c r="B1381" s="57"/>
      <c r="C1381" s="57"/>
      <c r="D1381" s="88" t="str">
        <f t="array" ref="D1381">IFERROR(
  LOOKUP(2, 1/((TRIM(IMS!$E$8:$E$2574)=TRIM(IMS!$E1381))*(IMS!$C$8:$C$2574&lt;IMS!$C1381)),
         IMS!$C$8:$C$2574),
"")</f>
        <v/>
      </c>
      <c r="E1381" s="57"/>
      <c r="F1381" s="57"/>
      <c r="G1381" s="77" t="str">
        <f t="shared" si="901"/>
        <v/>
      </c>
      <c r="H1381" s="78" t="str">
        <f t="shared" si="902"/>
        <v/>
      </c>
      <c r="I1381" s="79"/>
      <c r="J1381" s="80" t="str">
        <f t="shared" si="903"/>
        <v>#NAME?</v>
      </c>
      <c r="K1381" s="58"/>
      <c r="L1381" s="58"/>
      <c r="M1381" s="57"/>
      <c r="N1381" s="57"/>
      <c r="O1381" s="58"/>
      <c r="P1381" s="82"/>
      <c r="Q1381" s="81"/>
      <c r="R1381" s="81"/>
      <c r="S1381" s="57"/>
      <c r="T1381" s="82"/>
      <c r="U1381" s="82"/>
      <c r="V1381" s="57"/>
      <c r="W1381" s="57"/>
      <c r="X1381" s="57" t="str">
        <f t="shared" si="917"/>
        <v/>
      </c>
      <c r="Y1381" s="58" t="str">
        <f t="shared" ref="Y1381:AC1381" si="1221">TRIM(SUBSTITUTE(SUBSTITUTE(OFFSET($Q1381,0,COLUMN()-COLUMN($AL$1)),CHAR(160)," "),_xludf.UNICHAR(8239)," "))</f>
        <v>#NAME?</v>
      </c>
      <c r="Z1381" s="58" t="str">
        <f t="shared" si="1221"/>
        <v>#NAME?</v>
      </c>
      <c r="AA1381" s="58" t="str">
        <f t="shared" si="1221"/>
        <v>#NAME?</v>
      </c>
      <c r="AB1381" s="58" t="str">
        <f t="shared" si="1221"/>
        <v>#NAME?</v>
      </c>
      <c r="AC1381" s="58" t="str">
        <f t="shared" si="1221"/>
        <v>#NAME?</v>
      </c>
      <c r="AD1381" s="57">
        <f t="shared" si="906"/>
        <v>0</v>
      </c>
      <c r="AE1381" s="57" t="str">
        <f t="shared" si="907"/>
        <v/>
      </c>
      <c r="AF1381" s="57">
        <f t="shared" si="908"/>
        <v>0</v>
      </c>
      <c r="AG1381" s="59">
        <f t="shared" si="909"/>
        <v>0</v>
      </c>
      <c r="AH1381" s="15"/>
      <c r="AI1381" s="15"/>
      <c r="AJ1381" s="15"/>
      <c r="AK1381" s="15"/>
      <c r="AL1381" s="15"/>
      <c r="AM1381" s="15"/>
      <c r="AN1381" s="15"/>
      <c r="AO1381" s="15"/>
      <c r="AP1381" s="15"/>
      <c r="AQ1381" s="15"/>
      <c r="AR1381" s="15"/>
      <c r="AS1381" s="15"/>
      <c r="AT1381" s="15"/>
      <c r="AU1381" s="15"/>
    </row>
    <row r="1382" ht="24.0" customHeight="1">
      <c r="A1382" s="45">
        <v>2806.0</v>
      </c>
      <c r="B1382" s="57"/>
      <c r="C1382" s="57"/>
      <c r="D1382" s="88" t="str">
        <f t="array" ref="D1382">IFERROR(
  LOOKUP(2, 1/((TRIM(IMS!$E$8:$E$2574)=TRIM(IMS!$E1382))*(IMS!$C$8:$C$2574&lt;IMS!$C1382)),
         IMS!$C$8:$C$2574),
"")</f>
        <v/>
      </c>
      <c r="E1382" s="57"/>
      <c r="F1382" s="57"/>
      <c r="G1382" s="77" t="str">
        <f t="shared" si="901"/>
        <v/>
      </c>
      <c r="H1382" s="78" t="str">
        <f t="shared" si="902"/>
        <v/>
      </c>
      <c r="I1382" s="79"/>
      <c r="J1382" s="80" t="str">
        <f t="shared" si="903"/>
        <v>#NAME?</v>
      </c>
      <c r="K1382" s="58"/>
      <c r="L1382" s="58"/>
      <c r="M1382" s="57"/>
      <c r="N1382" s="57"/>
      <c r="O1382" s="58"/>
      <c r="P1382" s="82"/>
      <c r="Q1382" s="81"/>
      <c r="R1382" s="81"/>
      <c r="S1382" s="57"/>
      <c r="T1382" s="82"/>
      <c r="U1382" s="82"/>
      <c r="V1382" s="57"/>
      <c r="W1382" s="57"/>
      <c r="X1382" s="57" t="str">
        <f t="shared" si="917"/>
        <v/>
      </c>
      <c r="Y1382" s="58" t="str">
        <f t="shared" ref="Y1382:AC1382" si="1222">TRIM(SUBSTITUTE(SUBSTITUTE(OFFSET($Q1382,0,COLUMN()-COLUMN($AL$1)),CHAR(160)," "),_xludf.UNICHAR(8239)," "))</f>
        <v>#NAME?</v>
      </c>
      <c r="Z1382" s="58" t="str">
        <f t="shared" si="1222"/>
        <v>#NAME?</v>
      </c>
      <c r="AA1382" s="58" t="str">
        <f t="shared" si="1222"/>
        <v>#NAME?</v>
      </c>
      <c r="AB1382" s="58" t="str">
        <f t="shared" si="1222"/>
        <v>#NAME?</v>
      </c>
      <c r="AC1382" s="58" t="str">
        <f t="shared" si="1222"/>
        <v>#NAME?</v>
      </c>
      <c r="AD1382" s="57">
        <f t="shared" si="906"/>
        <v>0</v>
      </c>
      <c r="AE1382" s="57" t="str">
        <f t="shared" si="907"/>
        <v/>
      </c>
      <c r="AF1382" s="57">
        <f t="shared" si="908"/>
        <v>0</v>
      </c>
      <c r="AG1382" s="59">
        <f t="shared" si="909"/>
        <v>0</v>
      </c>
      <c r="AH1382" s="15"/>
      <c r="AI1382" s="15"/>
      <c r="AJ1382" s="15"/>
      <c r="AK1382" s="15"/>
      <c r="AL1382" s="15"/>
      <c r="AM1382" s="15"/>
      <c r="AN1382" s="15"/>
      <c r="AO1382" s="15"/>
      <c r="AP1382" s="15"/>
      <c r="AQ1382" s="15"/>
      <c r="AR1382" s="15"/>
      <c r="AS1382" s="15"/>
      <c r="AT1382" s="15"/>
      <c r="AU1382" s="15"/>
    </row>
    <row r="1383" ht="24.0" customHeight="1">
      <c r="A1383" s="45">
        <v>2807.0</v>
      </c>
      <c r="B1383" s="57"/>
      <c r="C1383" s="57"/>
      <c r="D1383" s="88" t="str">
        <f t="array" ref="D1383">IFERROR(
  LOOKUP(2, 1/((TRIM(IMS!$E$8:$E$2574)=TRIM(IMS!$E1383))*(IMS!$C$8:$C$2574&lt;IMS!$C1383)),
         IMS!$C$8:$C$2574),
"")</f>
        <v/>
      </c>
      <c r="E1383" s="57"/>
      <c r="F1383" s="57"/>
      <c r="G1383" s="77" t="str">
        <f t="shared" si="901"/>
        <v/>
      </c>
      <c r="H1383" s="78" t="str">
        <f t="shared" si="902"/>
        <v/>
      </c>
      <c r="I1383" s="79"/>
      <c r="J1383" s="80" t="str">
        <f t="shared" si="903"/>
        <v>#NAME?</v>
      </c>
      <c r="K1383" s="58"/>
      <c r="L1383" s="58"/>
      <c r="M1383" s="57"/>
      <c r="N1383" s="57"/>
      <c r="O1383" s="58"/>
      <c r="P1383" s="82"/>
      <c r="Q1383" s="81"/>
      <c r="R1383" s="81"/>
      <c r="S1383" s="57"/>
      <c r="T1383" s="82"/>
      <c r="U1383" s="82"/>
      <c r="V1383" s="57"/>
      <c r="W1383" s="57"/>
      <c r="X1383" s="57" t="str">
        <f t="shared" si="917"/>
        <v/>
      </c>
      <c r="Y1383" s="58" t="str">
        <f t="shared" ref="Y1383:AC1383" si="1223">TRIM(SUBSTITUTE(SUBSTITUTE(OFFSET($Q1383,0,COLUMN()-COLUMN($AL$1)),CHAR(160)," "),_xludf.UNICHAR(8239)," "))</f>
        <v>#NAME?</v>
      </c>
      <c r="Z1383" s="58" t="str">
        <f t="shared" si="1223"/>
        <v>#NAME?</v>
      </c>
      <c r="AA1383" s="58" t="str">
        <f t="shared" si="1223"/>
        <v>#NAME?</v>
      </c>
      <c r="AB1383" s="58" t="str">
        <f t="shared" si="1223"/>
        <v>#NAME?</v>
      </c>
      <c r="AC1383" s="58" t="str">
        <f t="shared" si="1223"/>
        <v>#NAME?</v>
      </c>
      <c r="AD1383" s="57">
        <f t="shared" si="906"/>
        <v>0</v>
      </c>
      <c r="AE1383" s="57" t="str">
        <f t="shared" si="907"/>
        <v/>
      </c>
      <c r="AF1383" s="57">
        <f t="shared" si="908"/>
        <v>0</v>
      </c>
      <c r="AG1383" s="59">
        <f t="shared" si="909"/>
        <v>0</v>
      </c>
      <c r="AH1383" s="15"/>
      <c r="AI1383" s="15"/>
      <c r="AJ1383" s="15"/>
      <c r="AK1383" s="15"/>
      <c r="AL1383" s="15"/>
      <c r="AM1383" s="15"/>
      <c r="AN1383" s="15"/>
      <c r="AO1383" s="15"/>
      <c r="AP1383" s="15"/>
      <c r="AQ1383" s="15"/>
      <c r="AR1383" s="15"/>
      <c r="AS1383" s="15"/>
      <c r="AT1383" s="15"/>
      <c r="AU1383" s="15"/>
    </row>
    <row r="1384" ht="24.0" customHeight="1">
      <c r="A1384" s="45">
        <v>2808.0</v>
      </c>
      <c r="B1384" s="57"/>
      <c r="C1384" s="57"/>
      <c r="D1384" s="88" t="str">
        <f t="array" ref="D1384">IFERROR(
  LOOKUP(2, 1/((TRIM(IMS!$E$8:$E$2574)=TRIM(IMS!$E1384))*(IMS!$C$8:$C$2574&lt;IMS!$C1384)),
         IMS!$C$8:$C$2574),
"")</f>
        <v/>
      </c>
      <c r="E1384" s="57"/>
      <c r="F1384" s="57"/>
      <c r="G1384" s="77" t="str">
        <f t="shared" si="901"/>
        <v/>
      </c>
      <c r="H1384" s="78" t="str">
        <f t="shared" si="902"/>
        <v/>
      </c>
      <c r="I1384" s="79"/>
      <c r="J1384" s="80" t="str">
        <f t="shared" si="903"/>
        <v>#NAME?</v>
      </c>
      <c r="K1384" s="58"/>
      <c r="L1384" s="58"/>
      <c r="M1384" s="57"/>
      <c r="N1384" s="57"/>
      <c r="O1384" s="58"/>
      <c r="P1384" s="82"/>
      <c r="Q1384" s="81"/>
      <c r="R1384" s="81"/>
      <c r="S1384" s="57"/>
      <c r="T1384" s="82"/>
      <c r="U1384" s="82"/>
      <c r="V1384" s="57"/>
      <c r="W1384" s="57"/>
      <c r="X1384" s="57" t="str">
        <f t="shared" si="917"/>
        <v/>
      </c>
      <c r="Y1384" s="58" t="str">
        <f t="shared" ref="Y1384:AC1384" si="1224">TRIM(SUBSTITUTE(SUBSTITUTE(OFFSET($Q1384,0,COLUMN()-COLUMN($AL$1)),CHAR(160)," "),_xludf.UNICHAR(8239)," "))</f>
        <v>#NAME?</v>
      </c>
      <c r="Z1384" s="58" t="str">
        <f t="shared" si="1224"/>
        <v>#NAME?</v>
      </c>
      <c r="AA1384" s="58" t="str">
        <f t="shared" si="1224"/>
        <v>#NAME?</v>
      </c>
      <c r="AB1384" s="58" t="str">
        <f t="shared" si="1224"/>
        <v>#NAME?</v>
      </c>
      <c r="AC1384" s="58" t="str">
        <f t="shared" si="1224"/>
        <v>#NAME?</v>
      </c>
      <c r="AD1384" s="57">
        <f t="shared" si="906"/>
        <v>0</v>
      </c>
      <c r="AE1384" s="57" t="str">
        <f t="shared" si="907"/>
        <v/>
      </c>
      <c r="AF1384" s="57">
        <f t="shared" si="908"/>
        <v>0</v>
      </c>
      <c r="AG1384" s="59">
        <f t="shared" si="909"/>
        <v>0</v>
      </c>
      <c r="AH1384" s="15"/>
      <c r="AI1384" s="15"/>
      <c r="AJ1384" s="15"/>
      <c r="AK1384" s="15"/>
      <c r="AL1384" s="15"/>
      <c r="AM1384" s="15"/>
      <c r="AN1384" s="15"/>
      <c r="AO1384" s="15"/>
      <c r="AP1384" s="15"/>
      <c r="AQ1384" s="15"/>
      <c r="AR1384" s="15"/>
      <c r="AS1384" s="15"/>
      <c r="AT1384" s="15"/>
      <c r="AU1384" s="15"/>
    </row>
    <row r="1385" ht="24.0" customHeight="1">
      <c r="A1385" s="45">
        <v>2809.0</v>
      </c>
      <c r="B1385" s="57"/>
      <c r="C1385" s="57"/>
      <c r="D1385" s="88" t="str">
        <f t="array" ref="D1385">IFERROR(
  LOOKUP(2, 1/((TRIM(IMS!$E$8:$E$2574)=TRIM(IMS!$E1385))*(IMS!$C$8:$C$2574&lt;IMS!$C1385)),
         IMS!$C$8:$C$2574),
"")</f>
        <v/>
      </c>
      <c r="E1385" s="57"/>
      <c r="F1385" s="57"/>
      <c r="G1385" s="77" t="str">
        <f t="shared" si="901"/>
        <v/>
      </c>
      <c r="H1385" s="78" t="str">
        <f t="shared" si="902"/>
        <v/>
      </c>
      <c r="I1385" s="79"/>
      <c r="J1385" s="80" t="str">
        <f t="shared" si="903"/>
        <v>#NAME?</v>
      </c>
      <c r="K1385" s="58"/>
      <c r="L1385" s="58"/>
      <c r="M1385" s="57"/>
      <c r="N1385" s="57"/>
      <c r="O1385" s="58"/>
      <c r="P1385" s="82"/>
      <c r="Q1385" s="81"/>
      <c r="R1385" s="81"/>
      <c r="S1385" s="57"/>
      <c r="T1385" s="82"/>
      <c r="U1385" s="82"/>
      <c r="V1385" s="57"/>
      <c r="W1385" s="57"/>
      <c r="X1385" s="57" t="str">
        <f t="shared" si="917"/>
        <v/>
      </c>
      <c r="Y1385" s="58" t="str">
        <f t="shared" ref="Y1385:AC1385" si="1225">TRIM(SUBSTITUTE(SUBSTITUTE(OFFSET($Q1385,0,COLUMN()-COLUMN($AL$1)),CHAR(160)," "),_xludf.UNICHAR(8239)," "))</f>
        <v>#NAME?</v>
      </c>
      <c r="Z1385" s="58" t="str">
        <f t="shared" si="1225"/>
        <v>#NAME?</v>
      </c>
      <c r="AA1385" s="58" t="str">
        <f t="shared" si="1225"/>
        <v>#NAME?</v>
      </c>
      <c r="AB1385" s="58" t="str">
        <f t="shared" si="1225"/>
        <v>#NAME?</v>
      </c>
      <c r="AC1385" s="58" t="str">
        <f t="shared" si="1225"/>
        <v>#NAME?</v>
      </c>
      <c r="AD1385" s="57">
        <f t="shared" si="906"/>
        <v>0</v>
      </c>
      <c r="AE1385" s="57" t="str">
        <f t="shared" si="907"/>
        <v/>
      </c>
      <c r="AF1385" s="57">
        <f t="shared" si="908"/>
        <v>0</v>
      </c>
      <c r="AG1385" s="59">
        <f t="shared" si="909"/>
        <v>0</v>
      </c>
      <c r="AH1385" s="15"/>
      <c r="AI1385" s="15"/>
      <c r="AJ1385" s="15"/>
      <c r="AK1385" s="15"/>
      <c r="AL1385" s="15"/>
      <c r="AM1385" s="15"/>
      <c r="AN1385" s="15"/>
      <c r="AO1385" s="15"/>
      <c r="AP1385" s="15"/>
      <c r="AQ1385" s="15"/>
      <c r="AR1385" s="15"/>
      <c r="AS1385" s="15"/>
      <c r="AT1385" s="15"/>
      <c r="AU1385" s="15"/>
    </row>
    <row r="1386" ht="24.0" customHeight="1">
      <c r="A1386" s="45">
        <v>2810.0</v>
      </c>
      <c r="B1386" s="57"/>
      <c r="C1386" s="57"/>
      <c r="D1386" s="88" t="str">
        <f t="array" ref="D1386">IFERROR(
  LOOKUP(2, 1/((TRIM(IMS!$E$8:$E$2574)=TRIM(IMS!$E1386))*(IMS!$C$8:$C$2574&lt;IMS!$C1386)),
         IMS!$C$8:$C$2574),
"")</f>
        <v/>
      </c>
      <c r="E1386" s="57"/>
      <c r="F1386" s="57"/>
      <c r="G1386" s="77" t="str">
        <f t="shared" si="901"/>
        <v/>
      </c>
      <c r="H1386" s="78" t="str">
        <f t="shared" si="902"/>
        <v/>
      </c>
      <c r="I1386" s="79"/>
      <c r="J1386" s="80" t="str">
        <f t="shared" si="903"/>
        <v>#NAME?</v>
      </c>
      <c r="K1386" s="58"/>
      <c r="L1386" s="58"/>
      <c r="M1386" s="57"/>
      <c r="N1386" s="57"/>
      <c r="O1386" s="58"/>
      <c r="P1386" s="82"/>
      <c r="Q1386" s="81"/>
      <c r="R1386" s="81"/>
      <c r="S1386" s="57"/>
      <c r="T1386" s="82"/>
      <c r="U1386" s="82"/>
      <c r="V1386" s="57"/>
      <c r="W1386" s="57"/>
      <c r="X1386" s="57" t="str">
        <f t="shared" si="917"/>
        <v/>
      </c>
      <c r="Y1386" s="58" t="str">
        <f t="shared" ref="Y1386:AC1386" si="1226">TRIM(SUBSTITUTE(SUBSTITUTE(OFFSET($Q1386,0,COLUMN()-COLUMN($AL$1)),CHAR(160)," "),_xludf.UNICHAR(8239)," "))</f>
        <v>#NAME?</v>
      </c>
      <c r="Z1386" s="58" t="str">
        <f t="shared" si="1226"/>
        <v>#NAME?</v>
      </c>
      <c r="AA1386" s="58" t="str">
        <f t="shared" si="1226"/>
        <v>#NAME?</v>
      </c>
      <c r="AB1386" s="58" t="str">
        <f t="shared" si="1226"/>
        <v>#NAME?</v>
      </c>
      <c r="AC1386" s="58" t="str">
        <f t="shared" si="1226"/>
        <v>#NAME?</v>
      </c>
      <c r="AD1386" s="57">
        <f t="shared" si="906"/>
        <v>0</v>
      </c>
      <c r="AE1386" s="57" t="str">
        <f t="shared" si="907"/>
        <v/>
      </c>
      <c r="AF1386" s="57">
        <f t="shared" si="908"/>
        <v>0</v>
      </c>
      <c r="AG1386" s="59">
        <f t="shared" si="909"/>
        <v>0</v>
      </c>
      <c r="AH1386" s="15"/>
      <c r="AI1386" s="15"/>
      <c r="AJ1386" s="15"/>
      <c r="AK1386" s="15"/>
      <c r="AL1386" s="15"/>
      <c r="AM1386" s="15"/>
      <c r="AN1386" s="15"/>
      <c r="AO1386" s="15"/>
      <c r="AP1386" s="15"/>
      <c r="AQ1386" s="15"/>
      <c r="AR1386" s="15"/>
      <c r="AS1386" s="15"/>
      <c r="AT1386" s="15"/>
      <c r="AU1386" s="15"/>
    </row>
    <row r="1387" ht="24.0" customHeight="1">
      <c r="A1387" s="45">
        <v>2811.0</v>
      </c>
      <c r="B1387" s="57"/>
      <c r="C1387" s="57"/>
      <c r="D1387" s="88" t="str">
        <f t="array" ref="D1387">IFERROR(
  LOOKUP(2, 1/((TRIM(IMS!$E$8:$E$2574)=TRIM(IMS!$E1387))*(IMS!$C$8:$C$2574&lt;IMS!$C1387)),
         IMS!$C$8:$C$2574),
"")</f>
        <v/>
      </c>
      <c r="E1387" s="57"/>
      <c r="F1387" s="57"/>
      <c r="G1387" s="77" t="str">
        <f t="shared" si="901"/>
        <v/>
      </c>
      <c r="H1387" s="78" t="str">
        <f t="shared" si="902"/>
        <v/>
      </c>
      <c r="I1387" s="79"/>
      <c r="J1387" s="80" t="str">
        <f t="shared" si="903"/>
        <v>#NAME?</v>
      </c>
      <c r="K1387" s="58"/>
      <c r="L1387" s="58"/>
      <c r="M1387" s="57"/>
      <c r="N1387" s="57"/>
      <c r="O1387" s="58"/>
      <c r="P1387" s="82"/>
      <c r="Q1387" s="81"/>
      <c r="R1387" s="81"/>
      <c r="S1387" s="57"/>
      <c r="T1387" s="82"/>
      <c r="U1387" s="82"/>
      <c r="V1387" s="57"/>
      <c r="W1387" s="57"/>
      <c r="X1387" s="57" t="str">
        <f t="shared" si="917"/>
        <v/>
      </c>
      <c r="Y1387" s="58" t="str">
        <f t="shared" ref="Y1387:AC1387" si="1227">TRIM(SUBSTITUTE(SUBSTITUTE(OFFSET($Q1387,0,COLUMN()-COLUMN($AL$1)),CHAR(160)," "),_xludf.UNICHAR(8239)," "))</f>
        <v>#NAME?</v>
      </c>
      <c r="Z1387" s="58" t="str">
        <f t="shared" si="1227"/>
        <v>#NAME?</v>
      </c>
      <c r="AA1387" s="58" t="str">
        <f t="shared" si="1227"/>
        <v>#NAME?</v>
      </c>
      <c r="AB1387" s="58" t="str">
        <f t="shared" si="1227"/>
        <v>#NAME?</v>
      </c>
      <c r="AC1387" s="58" t="str">
        <f t="shared" si="1227"/>
        <v>#NAME?</v>
      </c>
      <c r="AD1387" s="57">
        <f t="shared" si="906"/>
        <v>0</v>
      </c>
      <c r="AE1387" s="57" t="str">
        <f t="shared" si="907"/>
        <v/>
      </c>
      <c r="AF1387" s="57">
        <f t="shared" si="908"/>
        <v>0</v>
      </c>
      <c r="AG1387" s="59">
        <f t="shared" si="909"/>
        <v>0</v>
      </c>
      <c r="AH1387" s="15"/>
      <c r="AI1387" s="15"/>
      <c r="AJ1387" s="15"/>
      <c r="AK1387" s="15"/>
      <c r="AL1387" s="15"/>
      <c r="AM1387" s="15"/>
      <c r="AN1387" s="15"/>
      <c r="AO1387" s="15"/>
      <c r="AP1387" s="15"/>
      <c r="AQ1387" s="15"/>
      <c r="AR1387" s="15"/>
      <c r="AS1387" s="15"/>
      <c r="AT1387" s="15"/>
      <c r="AU1387" s="15"/>
    </row>
    <row r="1388" ht="24.0" customHeight="1">
      <c r="A1388" s="45">
        <v>2812.0</v>
      </c>
      <c r="B1388" s="57"/>
      <c r="C1388" s="57"/>
      <c r="D1388" s="88" t="str">
        <f t="array" ref="D1388">IFERROR(
  LOOKUP(2, 1/((TRIM(IMS!$E$8:$E$2574)=TRIM(IMS!$E1388))*(IMS!$C$8:$C$2574&lt;IMS!$C1388)),
         IMS!$C$8:$C$2574),
"")</f>
        <v/>
      </c>
      <c r="E1388" s="57"/>
      <c r="F1388" s="57"/>
      <c r="G1388" s="77" t="str">
        <f t="shared" si="901"/>
        <v/>
      </c>
      <c r="H1388" s="78" t="str">
        <f t="shared" si="902"/>
        <v/>
      </c>
      <c r="I1388" s="79"/>
      <c r="J1388" s="80" t="str">
        <f t="shared" si="903"/>
        <v>#NAME?</v>
      </c>
      <c r="K1388" s="58"/>
      <c r="L1388" s="58"/>
      <c r="M1388" s="57"/>
      <c r="N1388" s="57"/>
      <c r="O1388" s="58"/>
      <c r="P1388" s="82"/>
      <c r="Q1388" s="81"/>
      <c r="R1388" s="81"/>
      <c r="S1388" s="57"/>
      <c r="T1388" s="82"/>
      <c r="U1388" s="82"/>
      <c r="V1388" s="57"/>
      <c r="W1388" s="57"/>
      <c r="X1388" s="57" t="str">
        <f t="shared" si="917"/>
        <v/>
      </c>
      <c r="Y1388" s="58" t="str">
        <f t="shared" ref="Y1388:AC1388" si="1228">TRIM(SUBSTITUTE(SUBSTITUTE(OFFSET($Q1388,0,COLUMN()-COLUMN($AL$1)),CHAR(160)," "),_xludf.UNICHAR(8239)," "))</f>
        <v>#NAME?</v>
      </c>
      <c r="Z1388" s="58" t="str">
        <f t="shared" si="1228"/>
        <v>#NAME?</v>
      </c>
      <c r="AA1388" s="58" t="str">
        <f t="shared" si="1228"/>
        <v>#NAME?</v>
      </c>
      <c r="AB1388" s="58" t="str">
        <f t="shared" si="1228"/>
        <v>#NAME?</v>
      </c>
      <c r="AC1388" s="58" t="str">
        <f t="shared" si="1228"/>
        <v>#NAME?</v>
      </c>
      <c r="AD1388" s="57">
        <f t="shared" si="906"/>
        <v>0</v>
      </c>
      <c r="AE1388" s="57" t="str">
        <f t="shared" si="907"/>
        <v/>
      </c>
      <c r="AF1388" s="57">
        <f t="shared" si="908"/>
        <v>0</v>
      </c>
      <c r="AG1388" s="59">
        <f t="shared" si="909"/>
        <v>0</v>
      </c>
      <c r="AH1388" s="15"/>
      <c r="AI1388" s="15"/>
      <c r="AJ1388" s="15"/>
      <c r="AK1388" s="15"/>
      <c r="AL1388" s="15"/>
      <c r="AM1388" s="15"/>
      <c r="AN1388" s="15"/>
      <c r="AO1388" s="15"/>
      <c r="AP1388" s="15"/>
      <c r="AQ1388" s="15"/>
      <c r="AR1388" s="15"/>
      <c r="AS1388" s="15"/>
      <c r="AT1388" s="15"/>
      <c r="AU1388" s="15"/>
    </row>
    <row r="1389" ht="24.0" customHeight="1">
      <c r="A1389" s="45">
        <v>2813.0</v>
      </c>
      <c r="B1389" s="57"/>
      <c r="C1389" s="57"/>
      <c r="D1389" s="88" t="str">
        <f t="array" ref="D1389">IFERROR(
  LOOKUP(2, 1/((TRIM(IMS!$E$8:$E$2574)=TRIM(IMS!$E1389))*(IMS!$C$8:$C$2574&lt;IMS!$C1389)),
         IMS!$C$8:$C$2574),
"")</f>
        <v/>
      </c>
      <c r="E1389" s="57"/>
      <c r="F1389" s="57"/>
      <c r="G1389" s="77" t="str">
        <f t="shared" si="901"/>
        <v/>
      </c>
      <c r="H1389" s="78" t="str">
        <f t="shared" si="902"/>
        <v/>
      </c>
      <c r="I1389" s="79"/>
      <c r="J1389" s="80" t="str">
        <f t="shared" si="903"/>
        <v>#NAME?</v>
      </c>
      <c r="K1389" s="58"/>
      <c r="L1389" s="58"/>
      <c r="M1389" s="57"/>
      <c r="N1389" s="57"/>
      <c r="O1389" s="58"/>
      <c r="P1389" s="82"/>
      <c r="Q1389" s="81"/>
      <c r="R1389" s="81"/>
      <c r="S1389" s="57"/>
      <c r="T1389" s="82"/>
      <c r="U1389" s="82"/>
      <c r="V1389" s="57"/>
      <c r="W1389" s="57"/>
      <c r="X1389" s="57" t="str">
        <f t="shared" si="917"/>
        <v/>
      </c>
      <c r="Y1389" s="58" t="str">
        <f t="shared" ref="Y1389:AC1389" si="1229">TRIM(SUBSTITUTE(SUBSTITUTE(OFFSET($Q1389,0,COLUMN()-COLUMN($AL$1)),CHAR(160)," "),_xludf.UNICHAR(8239)," "))</f>
        <v>#NAME?</v>
      </c>
      <c r="Z1389" s="58" t="str">
        <f t="shared" si="1229"/>
        <v>#NAME?</v>
      </c>
      <c r="AA1389" s="58" t="str">
        <f t="shared" si="1229"/>
        <v>#NAME?</v>
      </c>
      <c r="AB1389" s="58" t="str">
        <f t="shared" si="1229"/>
        <v>#NAME?</v>
      </c>
      <c r="AC1389" s="58" t="str">
        <f t="shared" si="1229"/>
        <v>#NAME?</v>
      </c>
      <c r="AD1389" s="57">
        <f t="shared" si="906"/>
        <v>0</v>
      </c>
      <c r="AE1389" s="57" t="str">
        <f t="shared" si="907"/>
        <v/>
      </c>
      <c r="AF1389" s="57">
        <f t="shared" si="908"/>
        <v>0</v>
      </c>
      <c r="AG1389" s="59">
        <f t="shared" si="909"/>
        <v>0</v>
      </c>
      <c r="AH1389" s="15"/>
      <c r="AI1389" s="15"/>
      <c r="AJ1389" s="15"/>
      <c r="AK1389" s="15"/>
      <c r="AL1389" s="15"/>
      <c r="AM1389" s="15"/>
      <c r="AN1389" s="15"/>
      <c r="AO1389" s="15"/>
      <c r="AP1389" s="15"/>
      <c r="AQ1389" s="15"/>
      <c r="AR1389" s="15"/>
      <c r="AS1389" s="15"/>
      <c r="AT1389" s="15"/>
      <c r="AU1389" s="15"/>
    </row>
    <row r="1390" ht="24.0" customHeight="1">
      <c r="A1390" s="45">
        <v>2814.0</v>
      </c>
      <c r="B1390" s="57"/>
      <c r="C1390" s="57"/>
      <c r="D1390" s="88" t="str">
        <f t="array" ref="D1390">IFERROR(
  LOOKUP(2, 1/((TRIM(IMS!$E$8:$E$2574)=TRIM(IMS!$E1390))*(IMS!$C$8:$C$2574&lt;IMS!$C1390)),
         IMS!$C$8:$C$2574),
"")</f>
        <v/>
      </c>
      <c r="E1390" s="57"/>
      <c r="F1390" s="57"/>
      <c r="G1390" s="77" t="str">
        <f t="shared" si="901"/>
        <v/>
      </c>
      <c r="H1390" s="78" t="str">
        <f t="shared" si="902"/>
        <v/>
      </c>
      <c r="I1390" s="79"/>
      <c r="J1390" s="80" t="str">
        <f t="shared" si="903"/>
        <v>#NAME?</v>
      </c>
      <c r="K1390" s="58"/>
      <c r="L1390" s="58"/>
      <c r="M1390" s="57"/>
      <c r="N1390" s="57"/>
      <c r="O1390" s="58"/>
      <c r="P1390" s="82"/>
      <c r="Q1390" s="81"/>
      <c r="R1390" s="81"/>
      <c r="S1390" s="57"/>
      <c r="T1390" s="82"/>
      <c r="U1390" s="82"/>
      <c r="V1390" s="57"/>
      <c r="W1390" s="57"/>
      <c r="X1390" s="57" t="str">
        <f t="shared" si="917"/>
        <v/>
      </c>
      <c r="Y1390" s="58" t="str">
        <f t="shared" ref="Y1390:AC1390" si="1230">TRIM(SUBSTITUTE(SUBSTITUTE(OFFSET($Q1390,0,COLUMN()-COLUMN($AL$1)),CHAR(160)," "),_xludf.UNICHAR(8239)," "))</f>
        <v>#NAME?</v>
      </c>
      <c r="Z1390" s="58" t="str">
        <f t="shared" si="1230"/>
        <v>#NAME?</v>
      </c>
      <c r="AA1390" s="58" t="str">
        <f t="shared" si="1230"/>
        <v>#NAME?</v>
      </c>
      <c r="AB1390" s="58" t="str">
        <f t="shared" si="1230"/>
        <v>#NAME?</v>
      </c>
      <c r="AC1390" s="58" t="str">
        <f t="shared" si="1230"/>
        <v>#NAME?</v>
      </c>
      <c r="AD1390" s="57">
        <f t="shared" si="906"/>
        <v>0</v>
      </c>
      <c r="AE1390" s="57" t="str">
        <f t="shared" si="907"/>
        <v/>
      </c>
      <c r="AF1390" s="57">
        <f t="shared" si="908"/>
        <v>0</v>
      </c>
      <c r="AG1390" s="59">
        <f t="shared" si="909"/>
        <v>0</v>
      </c>
      <c r="AH1390" s="15"/>
      <c r="AI1390" s="15"/>
      <c r="AJ1390" s="15"/>
      <c r="AK1390" s="15"/>
      <c r="AL1390" s="15"/>
      <c r="AM1390" s="15"/>
      <c r="AN1390" s="15"/>
      <c r="AO1390" s="15"/>
      <c r="AP1390" s="15"/>
      <c r="AQ1390" s="15"/>
      <c r="AR1390" s="15"/>
      <c r="AS1390" s="15"/>
      <c r="AT1390" s="15"/>
      <c r="AU1390" s="15"/>
    </row>
    <row r="1391" ht="24.0" customHeight="1">
      <c r="A1391" s="45">
        <v>2815.0</v>
      </c>
      <c r="B1391" s="57"/>
      <c r="C1391" s="57"/>
      <c r="D1391" s="88" t="str">
        <f t="array" ref="D1391">IFERROR(
  LOOKUP(2, 1/((TRIM(IMS!$E$8:$E$2574)=TRIM(IMS!$E1391))*(IMS!$C$8:$C$2574&lt;IMS!$C1391)),
         IMS!$C$8:$C$2574),
"")</f>
        <v/>
      </c>
      <c r="E1391" s="57"/>
      <c r="F1391" s="57"/>
      <c r="G1391" s="77" t="str">
        <f t="shared" si="901"/>
        <v/>
      </c>
      <c r="H1391" s="78" t="str">
        <f t="shared" si="902"/>
        <v/>
      </c>
      <c r="I1391" s="79"/>
      <c r="J1391" s="80" t="str">
        <f t="shared" si="903"/>
        <v>#NAME?</v>
      </c>
      <c r="K1391" s="58"/>
      <c r="L1391" s="58"/>
      <c r="M1391" s="57"/>
      <c r="N1391" s="57"/>
      <c r="O1391" s="58"/>
      <c r="P1391" s="82"/>
      <c r="Q1391" s="81"/>
      <c r="R1391" s="81"/>
      <c r="S1391" s="57"/>
      <c r="T1391" s="82"/>
      <c r="U1391" s="82"/>
      <c r="V1391" s="57"/>
      <c r="W1391" s="57"/>
      <c r="X1391" s="57" t="str">
        <f t="shared" si="917"/>
        <v/>
      </c>
      <c r="Y1391" s="58" t="str">
        <f t="shared" ref="Y1391:AC1391" si="1231">TRIM(SUBSTITUTE(SUBSTITUTE(OFFSET($Q1391,0,COLUMN()-COLUMN($AL$1)),CHAR(160)," "),_xludf.UNICHAR(8239)," "))</f>
        <v>#NAME?</v>
      </c>
      <c r="Z1391" s="58" t="str">
        <f t="shared" si="1231"/>
        <v>#NAME?</v>
      </c>
      <c r="AA1391" s="58" t="str">
        <f t="shared" si="1231"/>
        <v>#NAME?</v>
      </c>
      <c r="AB1391" s="58" t="str">
        <f t="shared" si="1231"/>
        <v>#NAME?</v>
      </c>
      <c r="AC1391" s="58" t="str">
        <f t="shared" si="1231"/>
        <v>#NAME?</v>
      </c>
      <c r="AD1391" s="57">
        <f t="shared" si="906"/>
        <v>0</v>
      </c>
      <c r="AE1391" s="57" t="str">
        <f t="shared" si="907"/>
        <v/>
      </c>
      <c r="AF1391" s="57">
        <f t="shared" si="908"/>
        <v>0</v>
      </c>
      <c r="AG1391" s="59">
        <f t="shared" si="909"/>
        <v>0</v>
      </c>
      <c r="AH1391" s="15"/>
      <c r="AI1391" s="15"/>
      <c r="AJ1391" s="15"/>
      <c r="AK1391" s="15"/>
      <c r="AL1391" s="15"/>
      <c r="AM1391" s="15"/>
      <c r="AN1391" s="15"/>
      <c r="AO1391" s="15"/>
      <c r="AP1391" s="15"/>
      <c r="AQ1391" s="15"/>
      <c r="AR1391" s="15"/>
      <c r="AS1391" s="15"/>
      <c r="AT1391" s="15"/>
      <c r="AU1391" s="15"/>
    </row>
    <row r="1392" ht="24.0" customHeight="1">
      <c r="A1392" s="45">
        <v>2816.0</v>
      </c>
      <c r="B1392" s="57"/>
      <c r="C1392" s="57"/>
      <c r="D1392" s="88" t="str">
        <f t="array" ref="D1392">IFERROR(
  LOOKUP(2, 1/((TRIM(IMS!$E$8:$E$2574)=TRIM(IMS!$E1392))*(IMS!$C$8:$C$2574&lt;IMS!$C1392)),
         IMS!$C$8:$C$2574),
"")</f>
        <v/>
      </c>
      <c r="E1392" s="57"/>
      <c r="F1392" s="57"/>
      <c r="G1392" s="77" t="str">
        <f t="shared" si="901"/>
        <v/>
      </c>
      <c r="H1392" s="78" t="str">
        <f t="shared" si="902"/>
        <v/>
      </c>
      <c r="I1392" s="79"/>
      <c r="J1392" s="80" t="str">
        <f t="shared" si="903"/>
        <v>#NAME?</v>
      </c>
      <c r="K1392" s="58"/>
      <c r="L1392" s="58"/>
      <c r="M1392" s="57"/>
      <c r="N1392" s="57"/>
      <c r="O1392" s="58"/>
      <c r="P1392" s="82"/>
      <c r="Q1392" s="81"/>
      <c r="R1392" s="81"/>
      <c r="S1392" s="57"/>
      <c r="T1392" s="82"/>
      <c r="U1392" s="82"/>
      <c r="V1392" s="57"/>
      <c r="W1392" s="57"/>
      <c r="X1392" s="57" t="str">
        <f t="shared" si="917"/>
        <v/>
      </c>
      <c r="Y1392" s="58" t="str">
        <f t="shared" ref="Y1392:AC1392" si="1232">TRIM(SUBSTITUTE(SUBSTITUTE(OFFSET($Q1392,0,COLUMN()-COLUMN($AL$1)),CHAR(160)," "),_xludf.UNICHAR(8239)," "))</f>
        <v>#NAME?</v>
      </c>
      <c r="Z1392" s="58" t="str">
        <f t="shared" si="1232"/>
        <v>#NAME?</v>
      </c>
      <c r="AA1392" s="58" t="str">
        <f t="shared" si="1232"/>
        <v>#NAME?</v>
      </c>
      <c r="AB1392" s="58" t="str">
        <f t="shared" si="1232"/>
        <v>#NAME?</v>
      </c>
      <c r="AC1392" s="58" t="str">
        <f t="shared" si="1232"/>
        <v>#NAME?</v>
      </c>
      <c r="AD1392" s="57">
        <f t="shared" si="906"/>
        <v>0</v>
      </c>
      <c r="AE1392" s="57" t="str">
        <f t="shared" si="907"/>
        <v/>
      </c>
      <c r="AF1392" s="57">
        <f t="shared" si="908"/>
        <v>0</v>
      </c>
      <c r="AG1392" s="59">
        <f t="shared" si="909"/>
        <v>0</v>
      </c>
      <c r="AH1392" s="15"/>
      <c r="AI1392" s="15"/>
      <c r="AJ1392" s="15"/>
      <c r="AK1392" s="15"/>
      <c r="AL1392" s="15"/>
      <c r="AM1392" s="15"/>
      <c r="AN1392" s="15"/>
      <c r="AO1392" s="15"/>
      <c r="AP1392" s="15"/>
      <c r="AQ1392" s="15"/>
      <c r="AR1392" s="15"/>
      <c r="AS1392" s="15"/>
      <c r="AT1392" s="15"/>
      <c r="AU1392" s="15"/>
    </row>
    <row r="1393" ht="24.0" customHeight="1">
      <c r="A1393" s="45">
        <v>2817.0</v>
      </c>
      <c r="B1393" s="57"/>
      <c r="C1393" s="57"/>
      <c r="D1393" s="88" t="str">
        <f t="array" ref="D1393">IFERROR(
  LOOKUP(2, 1/((TRIM(IMS!$E$8:$E$2574)=TRIM(IMS!$E1393))*(IMS!$C$8:$C$2574&lt;IMS!$C1393)),
         IMS!$C$8:$C$2574),
"")</f>
        <v/>
      </c>
      <c r="E1393" s="57"/>
      <c r="F1393" s="57"/>
      <c r="G1393" s="77" t="str">
        <f t="shared" si="901"/>
        <v/>
      </c>
      <c r="H1393" s="78" t="str">
        <f t="shared" si="902"/>
        <v/>
      </c>
      <c r="I1393" s="79"/>
      <c r="J1393" s="80" t="str">
        <f t="shared" si="903"/>
        <v>#NAME?</v>
      </c>
      <c r="K1393" s="58"/>
      <c r="L1393" s="58"/>
      <c r="M1393" s="57"/>
      <c r="N1393" s="57"/>
      <c r="O1393" s="58"/>
      <c r="P1393" s="82"/>
      <c r="Q1393" s="81"/>
      <c r="R1393" s="81"/>
      <c r="S1393" s="57"/>
      <c r="T1393" s="82"/>
      <c r="U1393" s="82"/>
      <c r="V1393" s="57"/>
      <c r="W1393" s="57"/>
      <c r="X1393" s="57" t="str">
        <f t="shared" si="917"/>
        <v/>
      </c>
      <c r="Y1393" s="58" t="str">
        <f t="shared" ref="Y1393:AC1393" si="1233">TRIM(SUBSTITUTE(SUBSTITUTE(OFFSET($Q1393,0,COLUMN()-COLUMN($AL$1)),CHAR(160)," "),_xludf.UNICHAR(8239)," "))</f>
        <v>#NAME?</v>
      </c>
      <c r="Z1393" s="58" t="str">
        <f t="shared" si="1233"/>
        <v>#NAME?</v>
      </c>
      <c r="AA1393" s="58" t="str">
        <f t="shared" si="1233"/>
        <v>#NAME?</v>
      </c>
      <c r="AB1393" s="58" t="str">
        <f t="shared" si="1233"/>
        <v>#NAME?</v>
      </c>
      <c r="AC1393" s="58" t="str">
        <f t="shared" si="1233"/>
        <v>#NAME?</v>
      </c>
      <c r="AD1393" s="57">
        <f t="shared" si="906"/>
        <v>0</v>
      </c>
      <c r="AE1393" s="57" t="str">
        <f t="shared" si="907"/>
        <v/>
      </c>
      <c r="AF1393" s="57">
        <f t="shared" si="908"/>
        <v>0</v>
      </c>
      <c r="AG1393" s="59">
        <f t="shared" si="909"/>
        <v>0</v>
      </c>
      <c r="AH1393" s="15"/>
      <c r="AI1393" s="15"/>
      <c r="AJ1393" s="15"/>
      <c r="AK1393" s="15"/>
      <c r="AL1393" s="15"/>
      <c r="AM1393" s="15"/>
      <c r="AN1393" s="15"/>
      <c r="AO1393" s="15"/>
      <c r="AP1393" s="15"/>
      <c r="AQ1393" s="15"/>
      <c r="AR1393" s="15"/>
      <c r="AS1393" s="15"/>
      <c r="AT1393" s="15"/>
      <c r="AU1393" s="15"/>
    </row>
    <row r="1394" ht="24.0" customHeight="1">
      <c r="A1394" s="45">
        <v>2818.0</v>
      </c>
      <c r="B1394" s="57"/>
      <c r="C1394" s="57"/>
      <c r="D1394" s="88" t="str">
        <f t="array" ref="D1394">IFERROR(
  LOOKUP(2, 1/((TRIM(IMS!$E$8:$E$2574)=TRIM(IMS!$E1394))*(IMS!$C$8:$C$2574&lt;IMS!$C1394)),
         IMS!$C$8:$C$2574),
"")</f>
        <v/>
      </c>
      <c r="E1394" s="57"/>
      <c r="F1394" s="57"/>
      <c r="G1394" s="77" t="str">
        <f t="shared" si="901"/>
        <v/>
      </c>
      <c r="H1394" s="78" t="str">
        <f t="shared" si="902"/>
        <v/>
      </c>
      <c r="I1394" s="79"/>
      <c r="J1394" s="80" t="str">
        <f t="shared" si="903"/>
        <v>#NAME?</v>
      </c>
      <c r="K1394" s="58"/>
      <c r="L1394" s="58"/>
      <c r="M1394" s="57"/>
      <c r="N1394" s="57"/>
      <c r="O1394" s="58"/>
      <c r="P1394" s="82"/>
      <c r="Q1394" s="81"/>
      <c r="R1394" s="81"/>
      <c r="S1394" s="57"/>
      <c r="T1394" s="82"/>
      <c r="U1394" s="82"/>
      <c r="V1394" s="57"/>
      <c r="W1394" s="57"/>
      <c r="X1394" s="57" t="str">
        <f t="shared" si="917"/>
        <v/>
      </c>
      <c r="Y1394" s="58" t="str">
        <f t="shared" ref="Y1394:AC1394" si="1234">TRIM(SUBSTITUTE(SUBSTITUTE(OFFSET($Q1394,0,COLUMN()-COLUMN($AL$1)),CHAR(160)," "),_xludf.UNICHAR(8239)," "))</f>
        <v>#NAME?</v>
      </c>
      <c r="Z1394" s="58" t="str">
        <f t="shared" si="1234"/>
        <v>#NAME?</v>
      </c>
      <c r="AA1394" s="58" t="str">
        <f t="shared" si="1234"/>
        <v>#NAME?</v>
      </c>
      <c r="AB1394" s="58" t="str">
        <f t="shared" si="1234"/>
        <v>#NAME?</v>
      </c>
      <c r="AC1394" s="58" t="str">
        <f t="shared" si="1234"/>
        <v>#NAME?</v>
      </c>
      <c r="AD1394" s="57">
        <f t="shared" si="906"/>
        <v>0</v>
      </c>
      <c r="AE1394" s="57" t="str">
        <f t="shared" si="907"/>
        <v/>
      </c>
      <c r="AF1394" s="57">
        <f t="shared" si="908"/>
        <v>0</v>
      </c>
      <c r="AG1394" s="59">
        <f t="shared" si="909"/>
        <v>0</v>
      </c>
      <c r="AH1394" s="15"/>
      <c r="AI1394" s="15"/>
      <c r="AJ1394" s="15"/>
      <c r="AK1394" s="15"/>
      <c r="AL1394" s="15"/>
      <c r="AM1394" s="15"/>
      <c r="AN1394" s="15"/>
      <c r="AO1394" s="15"/>
      <c r="AP1394" s="15"/>
      <c r="AQ1394" s="15"/>
      <c r="AR1394" s="15"/>
      <c r="AS1394" s="15"/>
      <c r="AT1394" s="15"/>
      <c r="AU1394" s="15"/>
    </row>
    <row r="1395" ht="24.0" customHeight="1">
      <c r="A1395" s="45">
        <v>2819.0</v>
      </c>
      <c r="B1395" s="57"/>
      <c r="C1395" s="57"/>
      <c r="D1395" s="88" t="str">
        <f t="array" ref="D1395">IFERROR(
  LOOKUP(2, 1/((TRIM(IMS!$E$8:$E$2574)=TRIM(IMS!$E1395))*(IMS!$C$8:$C$2574&lt;IMS!$C1395)),
         IMS!$C$8:$C$2574),
"")</f>
        <v/>
      </c>
      <c r="E1395" s="57"/>
      <c r="F1395" s="57"/>
      <c r="G1395" s="77" t="str">
        <f t="shared" si="901"/>
        <v/>
      </c>
      <c r="H1395" s="78" t="str">
        <f t="shared" si="902"/>
        <v/>
      </c>
      <c r="I1395" s="79"/>
      <c r="J1395" s="80" t="str">
        <f t="shared" si="903"/>
        <v>#NAME?</v>
      </c>
      <c r="K1395" s="58"/>
      <c r="L1395" s="58"/>
      <c r="M1395" s="57"/>
      <c r="N1395" s="57"/>
      <c r="O1395" s="58"/>
      <c r="P1395" s="82"/>
      <c r="Q1395" s="81"/>
      <c r="R1395" s="81"/>
      <c r="S1395" s="57"/>
      <c r="T1395" s="82"/>
      <c r="U1395" s="82"/>
      <c r="V1395" s="57"/>
      <c r="W1395" s="57"/>
      <c r="X1395" s="57" t="str">
        <f t="shared" si="917"/>
        <v/>
      </c>
      <c r="Y1395" s="58" t="str">
        <f t="shared" ref="Y1395:AC1395" si="1235">TRIM(SUBSTITUTE(SUBSTITUTE(OFFSET($Q1395,0,COLUMN()-COLUMN($AL$1)),CHAR(160)," "),_xludf.UNICHAR(8239)," "))</f>
        <v>#NAME?</v>
      </c>
      <c r="Z1395" s="58" t="str">
        <f t="shared" si="1235"/>
        <v>#NAME?</v>
      </c>
      <c r="AA1395" s="58" t="str">
        <f t="shared" si="1235"/>
        <v>#NAME?</v>
      </c>
      <c r="AB1395" s="58" t="str">
        <f t="shared" si="1235"/>
        <v>#NAME?</v>
      </c>
      <c r="AC1395" s="58" t="str">
        <f t="shared" si="1235"/>
        <v>#NAME?</v>
      </c>
      <c r="AD1395" s="57">
        <f t="shared" si="906"/>
        <v>0</v>
      </c>
      <c r="AE1395" s="57" t="str">
        <f t="shared" si="907"/>
        <v/>
      </c>
      <c r="AF1395" s="57">
        <f t="shared" si="908"/>
        <v>0</v>
      </c>
      <c r="AG1395" s="59">
        <f t="shared" si="909"/>
        <v>0</v>
      </c>
      <c r="AH1395" s="15"/>
      <c r="AI1395" s="15"/>
      <c r="AJ1395" s="15"/>
      <c r="AK1395" s="15"/>
      <c r="AL1395" s="15"/>
      <c r="AM1395" s="15"/>
      <c r="AN1395" s="15"/>
      <c r="AO1395" s="15"/>
      <c r="AP1395" s="15"/>
      <c r="AQ1395" s="15"/>
      <c r="AR1395" s="15"/>
      <c r="AS1395" s="15"/>
      <c r="AT1395" s="15"/>
      <c r="AU1395" s="15"/>
    </row>
    <row r="1396" ht="24.0" customHeight="1">
      <c r="A1396" s="45">
        <v>2820.0</v>
      </c>
      <c r="B1396" s="57"/>
      <c r="C1396" s="57"/>
      <c r="D1396" s="88" t="str">
        <f t="array" ref="D1396">IFERROR(
  LOOKUP(2, 1/((TRIM(IMS!$E$8:$E$2574)=TRIM(IMS!$E1396))*(IMS!$C$8:$C$2574&lt;IMS!$C1396)),
         IMS!$C$8:$C$2574),
"")</f>
        <v/>
      </c>
      <c r="E1396" s="57"/>
      <c r="F1396" s="57"/>
      <c r="G1396" s="77" t="str">
        <f t="shared" si="901"/>
        <v/>
      </c>
      <c r="H1396" s="78" t="str">
        <f t="shared" si="902"/>
        <v/>
      </c>
      <c r="I1396" s="79"/>
      <c r="J1396" s="80" t="str">
        <f t="shared" si="903"/>
        <v>#NAME?</v>
      </c>
      <c r="K1396" s="58"/>
      <c r="L1396" s="58"/>
      <c r="M1396" s="57"/>
      <c r="N1396" s="57"/>
      <c r="O1396" s="58"/>
      <c r="P1396" s="82"/>
      <c r="Q1396" s="81"/>
      <c r="R1396" s="81"/>
      <c r="S1396" s="57"/>
      <c r="T1396" s="82"/>
      <c r="U1396" s="82"/>
      <c r="V1396" s="57"/>
      <c r="W1396" s="57"/>
      <c r="X1396" s="57" t="str">
        <f t="shared" si="917"/>
        <v/>
      </c>
      <c r="Y1396" s="58" t="str">
        <f t="shared" ref="Y1396:AC1396" si="1236">TRIM(SUBSTITUTE(SUBSTITUTE(OFFSET($Q1396,0,COLUMN()-COLUMN($AL$1)),CHAR(160)," "),_xludf.UNICHAR(8239)," "))</f>
        <v>#NAME?</v>
      </c>
      <c r="Z1396" s="58" t="str">
        <f t="shared" si="1236"/>
        <v>#NAME?</v>
      </c>
      <c r="AA1396" s="58" t="str">
        <f t="shared" si="1236"/>
        <v>#NAME?</v>
      </c>
      <c r="AB1396" s="58" t="str">
        <f t="shared" si="1236"/>
        <v>#NAME?</v>
      </c>
      <c r="AC1396" s="58" t="str">
        <f t="shared" si="1236"/>
        <v>#NAME?</v>
      </c>
      <c r="AD1396" s="57">
        <f t="shared" si="906"/>
        <v>0</v>
      </c>
      <c r="AE1396" s="57" t="str">
        <f t="shared" si="907"/>
        <v/>
      </c>
      <c r="AF1396" s="57">
        <f t="shared" si="908"/>
        <v>0</v>
      </c>
      <c r="AG1396" s="59">
        <f t="shared" si="909"/>
        <v>0</v>
      </c>
      <c r="AH1396" s="15"/>
      <c r="AI1396" s="15"/>
      <c r="AJ1396" s="15"/>
      <c r="AK1396" s="15"/>
      <c r="AL1396" s="15"/>
      <c r="AM1396" s="15"/>
      <c r="AN1396" s="15"/>
      <c r="AO1396" s="15"/>
      <c r="AP1396" s="15"/>
      <c r="AQ1396" s="15"/>
      <c r="AR1396" s="15"/>
      <c r="AS1396" s="15"/>
      <c r="AT1396" s="15"/>
      <c r="AU1396" s="15"/>
    </row>
    <row r="1397" ht="24.0" customHeight="1">
      <c r="A1397" s="45">
        <v>2821.0</v>
      </c>
      <c r="B1397" s="57"/>
      <c r="C1397" s="57"/>
      <c r="D1397" s="88" t="str">
        <f t="array" ref="D1397">IFERROR(
  LOOKUP(2, 1/((TRIM(IMS!$E$8:$E$2574)=TRIM(IMS!$E1397))*(IMS!$C$8:$C$2574&lt;IMS!$C1397)),
         IMS!$C$8:$C$2574),
"")</f>
        <v/>
      </c>
      <c r="E1397" s="57"/>
      <c r="F1397" s="57"/>
      <c r="G1397" s="77" t="str">
        <f t="shared" si="901"/>
        <v/>
      </c>
      <c r="H1397" s="78" t="str">
        <f t="shared" si="902"/>
        <v/>
      </c>
      <c r="I1397" s="79"/>
      <c r="J1397" s="80" t="str">
        <f t="shared" si="903"/>
        <v>#NAME?</v>
      </c>
      <c r="K1397" s="58"/>
      <c r="L1397" s="58"/>
      <c r="M1397" s="57"/>
      <c r="N1397" s="57"/>
      <c r="O1397" s="58"/>
      <c r="P1397" s="82"/>
      <c r="Q1397" s="81"/>
      <c r="R1397" s="81"/>
      <c r="S1397" s="57"/>
      <c r="T1397" s="82"/>
      <c r="U1397" s="82"/>
      <c r="V1397" s="57"/>
      <c r="W1397" s="57"/>
      <c r="X1397" s="57" t="str">
        <f t="shared" si="917"/>
        <v/>
      </c>
      <c r="Y1397" s="58" t="str">
        <f t="shared" ref="Y1397:AC1397" si="1237">TRIM(SUBSTITUTE(SUBSTITUTE(OFFSET($Q1397,0,COLUMN()-COLUMN($AL$1)),CHAR(160)," "),_xludf.UNICHAR(8239)," "))</f>
        <v>#NAME?</v>
      </c>
      <c r="Z1397" s="58" t="str">
        <f t="shared" si="1237"/>
        <v>#NAME?</v>
      </c>
      <c r="AA1397" s="58" t="str">
        <f t="shared" si="1237"/>
        <v>#NAME?</v>
      </c>
      <c r="AB1397" s="58" t="str">
        <f t="shared" si="1237"/>
        <v>#NAME?</v>
      </c>
      <c r="AC1397" s="58" t="str">
        <f t="shared" si="1237"/>
        <v>#NAME?</v>
      </c>
      <c r="AD1397" s="57">
        <f t="shared" si="906"/>
        <v>0</v>
      </c>
      <c r="AE1397" s="57" t="str">
        <f t="shared" si="907"/>
        <v/>
      </c>
      <c r="AF1397" s="57">
        <f t="shared" si="908"/>
        <v>0</v>
      </c>
      <c r="AG1397" s="59">
        <f t="shared" si="909"/>
        <v>0</v>
      </c>
      <c r="AH1397" s="15"/>
      <c r="AI1397" s="15"/>
      <c r="AJ1397" s="15"/>
      <c r="AK1397" s="15"/>
      <c r="AL1397" s="15"/>
      <c r="AM1397" s="15"/>
      <c r="AN1397" s="15"/>
      <c r="AO1397" s="15"/>
      <c r="AP1397" s="15"/>
      <c r="AQ1397" s="15"/>
      <c r="AR1397" s="15"/>
      <c r="AS1397" s="15"/>
      <c r="AT1397" s="15"/>
      <c r="AU1397" s="15"/>
    </row>
    <row r="1398" ht="24.0" customHeight="1">
      <c r="A1398" s="45">
        <v>2822.0</v>
      </c>
      <c r="B1398" s="57"/>
      <c r="C1398" s="57"/>
      <c r="D1398" s="88" t="str">
        <f t="array" ref="D1398">IFERROR(
  LOOKUP(2, 1/((TRIM(IMS!$E$8:$E$2574)=TRIM(IMS!$E1398))*(IMS!$C$8:$C$2574&lt;IMS!$C1398)),
         IMS!$C$8:$C$2574),
"")</f>
        <v/>
      </c>
      <c r="E1398" s="57"/>
      <c r="F1398" s="57"/>
      <c r="G1398" s="77" t="str">
        <f t="shared" si="901"/>
        <v/>
      </c>
      <c r="H1398" s="78" t="str">
        <f t="shared" si="902"/>
        <v/>
      </c>
      <c r="I1398" s="79"/>
      <c r="J1398" s="80" t="str">
        <f t="shared" si="903"/>
        <v>#NAME?</v>
      </c>
      <c r="K1398" s="58"/>
      <c r="L1398" s="58"/>
      <c r="M1398" s="57"/>
      <c r="N1398" s="57"/>
      <c r="O1398" s="58"/>
      <c r="P1398" s="82"/>
      <c r="Q1398" s="81"/>
      <c r="R1398" s="81"/>
      <c r="S1398" s="57"/>
      <c r="T1398" s="82"/>
      <c r="U1398" s="82"/>
      <c r="V1398" s="57"/>
      <c r="W1398" s="57"/>
      <c r="X1398" s="57" t="str">
        <f t="shared" si="917"/>
        <v/>
      </c>
      <c r="Y1398" s="58" t="str">
        <f t="shared" ref="Y1398:AC1398" si="1238">TRIM(SUBSTITUTE(SUBSTITUTE(OFFSET($Q1398,0,COLUMN()-COLUMN($AL$1)),CHAR(160)," "),_xludf.UNICHAR(8239)," "))</f>
        <v>#NAME?</v>
      </c>
      <c r="Z1398" s="58" t="str">
        <f t="shared" si="1238"/>
        <v>#NAME?</v>
      </c>
      <c r="AA1398" s="58" t="str">
        <f t="shared" si="1238"/>
        <v>#NAME?</v>
      </c>
      <c r="AB1398" s="58" t="str">
        <f t="shared" si="1238"/>
        <v>#NAME?</v>
      </c>
      <c r="AC1398" s="58" t="str">
        <f t="shared" si="1238"/>
        <v>#NAME?</v>
      </c>
      <c r="AD1398" s="57">
        <f t="shared" si="906"/>
        <v>0</v>
      </c>
      <c r="AE1398" s="57" t="str">
        <f t="shared" si="907"/>
        <v/>
      </c>
      <c r="AF1398" s="57">
        <f t="shared" si="908"/>
        <v>0</v>
      </c>
      <c r="AG1398" s="59">
        <f t="shared" si="909"/>
        <v>0</v>
      </c>
      <c r="AH1398" s="15"/>
      <c r="AI1398" s="15"/>
      <c r="AJ1398" s="15"/>
      <c r="AK1398" s="15"/>
      <c r="AL1398" s="15"/>
      <c r="AM1398" s="15"/>
      <c r="AN1398" s="15"/>
      <c r="AO1398" s="15"/>
      <c r="AP1398" s="15"/>
      <c r="AQ1398" s="15"/>
      <c r="AR1398" s="15"/>
      <c r="AS1398" s="15"/>
      <c r="AT1398" s="15"/>
      <c r="AU1398" s="15"/>
    </row>
    <row r="1399" ht="24.0" customHeight="1">
      <c r="A1399" s="45">
        <v>2823.0</v>
      </c>
      <c r="B1399" s="57"/>
      <c r="C1399" s="57"/>
      <c r="D1399" s="88" t="str">
        <f t="array" ref="D1399">IFERROR(
  LOOKUP(2, 1/((TRIM(IMS!$E$8:$E$2574)=TRIM(IMS!$E1399))*(IMS!$C$8:$C$2574&lt;IMS!$C1399)),
         IMS!$C$8:$C$2574),
"")</f>
        <v/>
      </c>
      <c r="E1399" s="57"/>
      <c r="F1399" s="57"/>
      <c r="G1399" s="77" t="str">
        <f t="shared" si="901"/>
        <v/>
      </c>
      <c r="H1399" s="78" t="str">
        <f t="shared" si="902"/>
        <v/>
      </c>
      <c r="I1399" s="79"/>
      <c r="J1399" s="80" t="str">
        <f t="shared" si="903"/>
        <v>#NAME?</v>
      </c>
      <c r="K1399" s="58"/>
      <c r="L1399" s="58"/>
      <c r="M1399" s="57"/>
      <c r="N1399" s="57"/>
      <c r="O1399" s="58"/>
      <c r="P1399" s="82"/>
      <c r="Q1399" s="81"/>
      <c r="R1399" s="81"/>
      <c r="S1399" s="57"/>
      <c r="T1399" s="82"/>
      <c r="U1399" s="82"/>
      <c r="V1399" s="57"/>
      <c r="W1399" s="57"/>
      <c r="X1399" s="57" t="str">
        <f t="shared" si="917"/>
        <v/>
      </c>
      <c r="Y1399" s="58" t="str">
        <f t="shared" ref="Y1399:AC1399" si="1239">TRIM(SUBSTITUTE(SUBSTITUTE(OFFSET($Q1399,0,COLUMN()-COLUMN($AL$1)),CHAR(160)," "),_xludf.UNICHAR(8239)," "))</f>
        <v>#NAME?</v>
      </c>
      <c r="Z1399" s="58" t="str">
        <f t="shared" si="1239"/>
        <v>#NAME?</v>
      </c>
      <c r="AA1399" s="58" t="str">
        <f t="shared" si="1239"/>
        <v>#NAME?</v>
      </c>
      <c r="AB1399" s="58" t="str">
        <f t="shared" si="1239"/>
        <v>#NAME?</v>
      </c>
      <c r="AC1399" s="58" t="str">
        <f t="shared" si="1239"/>
        <v>#NAME?</v>
      </c>
      <c r="AD1399" s="57">
        <f t="shared" si="906"/>
        <v>0</v>
      </c>
      <c r="AE1399" s="57" t="str">
        <f t="shared" si="907"/>
        <v/>
      </c>
      <c r="AF1399" s="57">
        <f t="shared" si="908"/>
        <v>0</v>
      </c>
      <c r="AG1399" s="59">
        <f t="shared" si="909"/>
        <v>0</v>
      </c>
      <c r="AH1399" s="15"/>
      <c r="AI1399" s="15"/>
      <c r="AJ1399" s="15"/>
      <c r="AK1399" s="15"/>
      <c r="AL1399" s="15"/>
      <c r="AM1399" s="15"/>
      <c r="AN1399" s="15"/>
      <c r="AO1399" s="15"/>
      <c r="AP1399" s="15"/>
      <c r="AQ1399" s="15"/>
      <c r="AR1399" s="15"/>
      <c r="AS1399" s="15"/>
      <c r="AT1399" s="15"/>
      <c r="AU1399" s="15"/>
    </row>
    <row r="1400" ht="24.0" customHeight="1">
      <c r="A1400" s="45">
        <v>2824.0</v>
      </c>
      <c r="B1400" s="57"/>
      <c r="C1400" s="57"/>
      <c r="D1400" s="88" t="str">
        <f t="array" ref="D1400">IFERROR(
  LOOKUP(2, 1/((TRIM(IMS!$E$8:$E$2574)=TRIM(IMS!$E1400))*(IMS!$C$8:$C$2574&lt;IMS!$C1400)),
         IMS!$C$8:$C$2574),
"")</f>
        <v/>
      </c>
      <c r="E1400" s="57"/>
      <c r="F1400" s="57"/>
      <c r="G1400" s="77" t="str">
        <f t="shared" si="901"/>
        <v/>
      </c>
      <c r="H1400" s="78" t="str">
        <f t="shared" si="902"/>
        <v/>
      </c>
      <c r="I1400" s="79"/>
      <c r="J1400" s="80" t="str">
        <f t="shared" si="903"/>
        <v>#NAME?</v>
      </c>
      <c r="K1400" s="58"/>
      <c r="L1400" s="58"/>
      <c r="M1400" s="57"/>
      <c r="N1400" s="57"/>
      <c r="O1400" s="58"/>
      <c r="P1400" s="82"/>
      <c r="Q1400" s="81"/>
      <c r="R1400" s="81"/>
      <c r="S1400" s="57"/>
      <c r="T1400" s="82"/>
      <c r="U1400" s="82"/>
      <c r="V1400" s="57"/>
      <c r="W1400" s="57"/>
      <c r="X1400" s="57" t="str">
        <f t="shared" si="917"/>
        <v/>
      </c>
      <c r="Y1400" s="58" t="str">
        <f t="shared" ref="Y1400:AC1400" si="1240">TRIM(SUBSTITUTE(SUBSTITUTE(OFFSET($Q1400,0,COLUMN()-COLUMN($AL$1)),CHAR(160)," "),_xludf.UNICHAR(8239)," "))</f>
        <v>#NAME?</v>
      </c>
      <c r="Z1400" s="58" t="str">
        <f t="shared" si="1240"/>
        <v>#NAME?</v>
      </c>
      <c r="AA1400" s="58" t="str">
        <f t="shared" si="1240"/>
        <v>#NAME?</v>
      </c>
      <c r="AB1400" s="58" t="str">
        <f t="shared" si="1240"/>
        <v>#NAME?</v>
      </c>
      <c r="AC1400" s="58" t="str">
        <f t="shared" si="1240"/>
        <v>#NAME?</v>
      </c>
      <c r="AD1400" s="57">
        <f t="shared" si="906"/>
        <v>0</v>
      </c>
      <c r="AE1400" s="57" t="str">
        <f t="shared" si="907"/>
        <v/>
      </c>
      <c r="AF1400" s="57">
        <f t="shared" si="908"/>
        <v>0</v>
      </c>
      <c r="AG1400" s="59">
        <f t="shared" si="909"/>
        <v>0</v>
      </c>
      <c r="AH1400" s="15"/>
      <c r="AI1400" s="15"/>
      <c r="AJ1400" s="15"/>
      <c r="AK1400" s="15"/>
      <c r="AL1400" s="15"/>
      <c r="AM1400" s="15"/>
      <c r="AN1400" s="15"/>
      <c r="AO1400" s="15"/>
      <c r="AP1400" s="15"/>
      <c r="AQ1400" s="15"/>
      <c r="AR1400" s="15"/>
      <c r="AS1400" s="15"/>
      <c r="AT1400" s="15"/>
      <c r="AU1400" s="15"/>
    </row>
    <row r="1401" ht="24.0" customHeight="1">
      <c r="A1401" s="45">
        <v>2825.0</v>
      </c>
      <c r="B1401" s="57"/>
      <c r="C1401" s="57"/>
      <c r="D1401" s="88" t="str">
        <f t="array" ref="D1401">IFERROR(
  LOOKUP(2, 1/((TRIM(IMS!$E$8:$E$2574)=TRIM(IMS!$E1401))*(IMS!$C$8:$C$2574&lt;IMS!$C1401)),
         IMS!$C$8:$C$2574),
"")</f>
        <v/>
      </c>
      <c r="E1401" s="57"/>
      <c r="F1401" s="57"/>
      <c r="G1401" s="77" t="str">
        <f t="shared" si="901"/>
        <v/>
      </c>
      <c r="H1401" s="78" t="str">
        <f t="shared" si="902"/>
        <v/>
      </c>
      <c r="I1401" s="79"/>
      <c r="J1401" s="80" t="str">
        <f t="shared" si="903"/>
        <v>#NAME?</v>
      </c>
      <c r="K1401" s="58"/>
      <c r="L1401" s="58"/>
      <c r="M1401" s="57"/>
      <c r="N1401" s="57"/>
      <c r="O1401" s="58"/>
      <c r="P1401" s="82"/>
      <c r="Q1401" s="81"/>
      <c r="R1401" s="81"/>
      <c r="S1401" s="57"/>
      <c r="T1401" s="82"/>
      <c r="U1401" s="82"/>
      <c r="V1401" s="57"/>
      <c r="W1401" s="57"/>
      <c r="X1401" s="57" t="str">
        <f t="shared" si="917"/>
        <v/>
      </c>
      <c r="Y1401" s="58" t="str">
        <f t="shared" ref="Y1401:AC1401" si="1241">TRIM(SUBSTITUTE(SUBSTITUTE(OFFSET($Q1401,0,COLUMN()-COLUMN($AL$1)),CHAR(160)," "),_xludf.UNICHAR(8239)," "))</f>
        <v>#NAME?</v>
      </c>
      <c r="Z1401" s="58" t="str">
        <f t="shared" si="1241"/>
        <v>#NAME?</v>
      </c>
      <c r="AA1401" s="58" t="str">
        <f t="shared" si="1241"/>
        <v>#NAME?</v>
      </c>
      <c r="AB1401" s="58" t="str">
        <f t="shared" si="1241"/>
        <v>#NAME?</v>
      </c>
      <c r="AC1401" s="58" t="str">
        <f t="shared" si="1241"/>
        <v>#NAME?</v>
      </c>
      <c r="AD1401" s="57">
        <f t="shared" si="906"/>
        <v>0</v>
      </c>
      <c r="AE1401" s="57" t="str">
        <f t="shared" si="907"/>
        <v/>
      </c>
      <c r="AF1401" s="57">
        <f t="shared" si="908"/>
        <v>0</v>
      </c>
      <c r="AG1401" s="59">
        <f t="shared" si="909"/>
        <v>0</v>
      </c>
      <c r="AH1401" s="15"/>
      <c r="AI1401" s="15"/>
      <c r="AJ1401" s="15"/>
      <c r="AK1401" s="15"/>
      <c r="AL1401" s="15"/>
      <c r="AM1401" s="15"/>
      <c r="AN1401" s="15"/>
      <c r="AO1401" s="15"/>
      <c r="AP1401" s="15"/>
      <c r="AQ1401" s="15"/>
      <c r="AR1401" s="15"/>
      <c r="AS1401" s="15"/>
      <c r="AT1401" s="15"/>
      <c r="AU1401" s="15"/>
    </row>
    <row r="1402" ht="24.0" customHeight="1">
      <c r="A1402" s="45">
        <v>2826.0</v>
      </c>
      <c r="B1402" s="57"/>
      <c r="C1402" s="57"/>
      <c r="D1402" s="88" t="str">
        <f t="array" ref="D1402">IFERROR(
  LOOKUP(2, 1/((TRIM(IMS!$E$8:$E$2574)=TRIM(IMS!$E1402))*(IMS!$C$8:$C$2574&lt;IMS!$C1402)),
         IMS!$C$8:$C$2574),
"")</f>
        <v/>
      </c>
      <c r="E1402" s="57"/>
      <c r="F1402" s="57"/>
      <c r="G1402" s="77" t="str">
        <f t="shared" si="901"/>
        <v/>
      </c>
      <c r="H1402" s="78" t="str">
        <f t="shared" si="902"/>
        <v/>
      </c>
      <c r="I1402" s="79"/>
      <c r="J1402" s="80" t="str">
        <f t="shared" si="903"/>
        <v>#NAME?</v>
      </c>
      <c r="K1402" s="58"/>
      <c r="L1402" s="58"/>
      <c r="M1402" s="57"/>
      <c r="N1402" s="57"/>
      <c r="O1402" s="58"/>
      <c r="P1402" s="82"/>
      <c r="Q1402" s="81"/>
      <c r="R1402" s="81"/>
      <c r="S1402" s="57"/>
      <c r="T1402" s="82"/>
      <c r="U1402" s="82"/>
      <c r="V1402" s="57"/>
      <c r="W1402" s="57"/>
      <c r="X1402" s="57" t="str">
        <f t="shared" si="917"/>
        <v/>
      </c>
      <c r="Y1402" s="58" t="str">
        <f t="shared" ref="Y1402:AC1402" si="1242">TRIM(SUBSTITUTE(SUBSTITUTE(OFFSET($Q1402,0,COLUMN()-COLUMN($AL$1)),CHAR(160)," "),_xludf.UNICHAR(8239)," "))</f>
        <v>#NAME?</v>
      </c>
      <c r="Z1402" s="58" t="str">
        <f t="shared" si="1242"/>
        <v>#NAME?</v>
      </c>
      <c r="AA1402" s="58" t="str">
        <f t="shared" si="1242"/>
        <v>#NAME?</v>
      </c>
      <c r="AB1402" s="58" t="str">
        <f t="shared" si="1242"/>
        <v>#NAME?</v>
      </c>
      <c r="AC1402" s="58" t="str">
        <f t="shared" si="1242"/>
        <v>#NAME?</v>
      </c>
      <c r="AD1402" s="57">
        <f t="shared" si="906"/>
        <v>0</v>
      </c>
      <c r="AE1402" s="57" t="str">
        <f t="shared" si="907"/>
        <v/>
      </c>
      <c r="AF1402" s="57">
        <f t="shared" si="908"/>
        <v>0</v>
      </c>
      <c r="AG1402" s="59">
        <f t="shared" si="909"/>
        <v>0</v>
      </c>
      <c r="AH1402" s="15"/>
      <c r="AI1402" s="15"/>
      <c r="AJ1402" s="15"/>
      <c r="AK1402" s="15"/>
      <c r="AL1402" s="15"/>
      <c r="AM1402" s="15"/>
      <c r="AN1402" s="15"/>
      <c r="AO1402" s="15"/>
      <c r="AP1402" s="15"/>
      <c r="AQ1402" s="15"/>
      <c r="AR1402" s="15"/>
      <c r="AS1402" s="15"/>
      <c r="AT1402" s="15"/>
      <c r="AU1402" s="15"/>
    </row>
    <row r="1403" ht="24.0" customHeight="1">
      <c r="A1403" s="45">
        <v>2827.0</v>
      </c>
      <c r="B1403" s="57"/>
      <c r="C1403" s="57"/>
      <c r="D1403" s="88" t="str">
        <f t="array" ref="D1403">IFERROR(
  LOOKUP(2, 1/((TRIM(IMS!$E$8:$E$2574)=TRIM(IMS!$E1403))*(IMS!$C$8:$C$2574&lt;IMS!$C1403)),
         IMS!$C$8:$C$2574),
"")</f>
        <v/>
      </c>
      <c r="E1403" s="57"/>
      <c r="F1403" s="57"/>
      <c r="G1403" s="77" t="str">
        <f t="shared" si="901"/>
        <v/>
      </c>
      <c r="H1403" s="78" t="str">
        <f t="shared" si="902"/>
        <v/>
      </c>
      <c r="I1403" s="79"/>
      <c r="J1403" s="80" t="str">
        <f t="shared" si="903"/>
        <v>#NAME?</v>
      </c>
      <c r="K1403" s="58"/>
      <c r="L1403" s="58"/>
      <c r="M1403" s="57"/>
      <c r="N1403" s="57"/>
      <c r="O1403" s="58"/>
      <c r="P1403" s="82"/>
      <c r="Q1403" s="81"/>
      <c r="R1403" s="81"/>
      <c r="S1403" s="57"/>
      <c r="T1403" s="82"/>
      <c r="U1403" s="82"/>
      <c r="V1403" s="57"/>
      <c r="W1403" s="57"/>
      <c r="X1403" s="57" t="str">
        <f t="shared" si="917"/>
        <v/>
      </c>
      <c r="Y1403" s="58" t="str">
        <f t="shared" ref="Y1403:AC1403" si="1243">TRIM(SUBSTITUTE(SUBSTITUTE(OFFSET($Q1403,0,COLUMN()-COLUMN($AL$1)),CHAR(160)," "),_xludf.UNICHAR(8239)," "))</f>
        <v>#NAME?</v>
      </c>
      <c r="Z1403" s="58" t="str">
        <f t="shared" si="1243"/>
        <v>#NAME?</v>
      </c>
      <c r="AA1403" s="58" t="str">
        <f t="shared" si="1243"/>
        <v>#NAME?</v>
      </c>
      <c r="AB1403" s="58" t="str">
        <f t="shared" si="1243"/>
        <v>#NAME?</v>
      </c>
      <c r="AC1403" s="58" t="str">
        <f t="shared" si="1243"/>
        <v>#NAME?</v>
      </c>
      <c r="AD1403" s="57">
        <f t="shared" si="906"/>
        <v>0</v>
      </c>
      <c r="AE1403" s="57" t="str">
        <f t="shared" si="907"/>
        <v/>
      </c>
      <c r="AF1403" s="57">
        <f t="shared" si="908"/>
        <v>0</v>
      </c>
      <c r="AG1403" s="59">
        <f t="shared" si="909"/>
        <v>0</v>
      </c>
      <c r="AH1403" s="15"/>
      <c r="AI1403" s="15"/>
      <c r="AJ1403" s="15"/>
      <c r="AK1403" s="15"/>
      <c r="AL1403" s="15"/>
      <c r="AM1403" s="15"/>
      <c r="AN1403" s="15"/>
      <c r="AO1403" s="15"/>
      <c r="AP1403" s="15"/>
      <c r="AQ1403" s="15"/>
      <c r="AR1403" s="15"/>
      <c r="AS1403" s="15"/>
      <c r="AT1403" s="15"/>
      <c r="AU1403" s="15"/>
    </row>
    <row r="1404" ht="24.0" customHeight="1">
      <c r="A1404" s="45">
        <v>2828.0</v>
      </c>
      <c r="B1404" s="57"/>
      <c r="C1404" s="57"/>
      <c r="D1404" s="88" t="str">
        <f t="array" ref="D1404">IFERROR(
  LOOKUP(2, 1/((TRIM(IMS!$E$8:$E$2574)=TRIM(IMS!$E1404))*(IMS!$C$8:$C$2574&lt;IMS!$C1404)),
         IMS!$C$8:$C$2574),
"")</f>
        <v/>
      </c>
      <c r="E1404" s="57"/>
      <c r="F1404" s="57"/>
      <c r="G1404" s="77" t="str">
        <f t="shared" si="901"/>
        <v/>
      </c>
      <c r="H1404" s="78" t="str">
        <f t="shared" si="902"/>
        <v/>
      </c>
      <c r="I1404" s="79"/>
      <c r="J1404" s="80" t="str">
        <f t="shared" si="903"/>
        <v>#NAME?</v>
      </c>
      <c r="K1404" s="58"/>
      <c r="L1404" s="58"/>
      <c r="M1404" s="57"/>
      <c r="N1404" s="57"/>
      <c r="O1404" s="58"/>
      <c r="P1404" s="82"/>
      <c r="Q1404" s="81"/>
      <c r="R1404" s="81"/>
      <c r="S1404" s="57"/>
      <c r="T1404" s="82"/>
      <c r="U1404" s="82"/>
      <c r="V1404" s="57"/>
      <c r="W1404" s="57"/>
      <c r="X1404" s="57" t="str">
        <f t="shared" si="917"/>
        <v/>
      </c>
      <c r="Y1404" s="58" t="str">
        <f t="shared" ref="Y1404:AC1404" si="1244">TRIM(SUBSTITUTE(SUBSTITUTE(OFFSET($Q1404,0,COLUMN()-COLUMN($AL$1)),CHAR(160)," "),_xludf.UNICHAR(8239)," "))</f>
        <v>#NAME?</v>
      </c>
      <c r="Z1404" s="58" t="str">
        <f t="shared" si="1244"/>
        <v>#NAME?</v>
      </c>
      <c r="AA1404" s="58" t="str">
        <f t="shared" si="1244"/>
        <v>#NAME?</v>
      </c>
      <c r="AB1404" s="58" t="str">
        <f t="shared" si="1244"/>
        <v>#NAME?</v>
      </c>
      <c r="AC1404" s="58" t="str">
        <f t="shared" si="1244"/>
        <v>#NAME?</v>
      </c>
      <c r="AD1404" s="57">
        <f t="shared" si="906"/>
        <v>0</v>
      </c>
      <c r="AE1404" s="57" t="str">
        <f t="shared" si="907"/>
        <v/>
      </c>
      <c r="AF1404" s="57">
        <f t="shared" si="908"/>
        <v>0</v>
      </c>
      <c r="AG1404" s="59">
        <f t="shared" si="909"/>
        <v>0</v>
      </c>
      <c r="AH1404" s="15"/>
      <c r="AI1404" s="15"/>
      <c r="AJ1404" s="15"/>
      <c r="AK1404" s="15"/>
      <c r="AL1404" s="15"/>
      <c r="AM1404" s="15"/>
      <c r="AN1404" s="15"/>
      <c r="AO1404" s="15"/>
      <c r="AP1404" s="15"/>
      <c r="AQ1404" s="15"/>
      <c r="AR1404" s="15"/>
      <c r="AS1404" s="15"/>
      <c r="AT1404" s="15"/>
      <c r="AU1404" s="15"/>
    </row>
    <row r="1405" ht="24.0" customHeight="1">
      <c r="A1405" s="45">
        <v>2829.0</v>
      </c>
      <c r="B1405" s="57"/>
      <c r="C1405" s="57"/>
      <c r="D1405" s="88" t="str">
        <f t="array" ref="D1405">IFERROR(
  LOOKUP(2, 1/((TRIM(IMS!$E$8:$E$2574)=TRIM(IMS!$E1405))*(IMS!$C$8:$C$2574&lt;IMS!$C1405)),
         IMS!$C$8:$C$2574),
"")</f>
        <v/>
      </c>
      <c r="E1405" s="57"/>
      <c r="F1405" s="57"/>
      <c r="G1405" s="77" t="str">
        <f t="shared" si="901"/>
        <v/>
      </c>
      <c r="H1405" s="78" t="str">
        <f t="shared" si="902"/>
        <v/>
      </c>
      <c r="I1405" s="79"/>
      <c r="J1405" s="80" t="str">
        <f t="shared" si="903"/>
        <v>#NAME?</v>
      </c>
      <c r="K1405" s="58"/>
      <c r="L1405" s="58"/>
      <c r="M1405" s="57"/>
      <c r="N1405" s="57"/>
      <c r="O1405" s="58"/>
      <c r="P1405" s="82"/>
      <c r="Q1405" s="81"/>
      <c r="R1405" s="81"/>
      <c r="S1405" s="57"/>
      <c r="T1405" s="82"/>
      <c r="U1405" s="82"/>
      <c r="V1405" s="57"/>
      <c r="W1405" s="57"/>
      <c r="X1405" s="57" t="str">
        <f t="shared" si="917"/>
        <v/>
      </c>
      <c r="Y1405" s="58" t="str">
        <f t="shared" ref="Y1405:AC1405" si="1245">TRIM(SUBSTITUTE(SUBSTITUTE(OFFSET($Q1405,0,COLUMN()-COLUMN($AL$1)),CHAR(160)," "),_xludf.UNICHAR(8239)," "))</f>
        <v>#NAME?</v>
      </c>
      <c r="Z1405" s="58" t="str">
        <f t="shared" si="1245"/>
        <v>#NAME?</v>
      </c>
      <c r="AA1405" s="58" t="str">
        <f t="shared" si="1245"/>
        <v>#NAME?</v>
      </c>
      <c r="AB1405" s="58" t="str">
        <f t="shared" si="1245"/>
        <v>#NAME?</v>
      </c>
      <c r="AC1405" s="58" t="str">
        <f t="shared" si="1245"/>
        <v>#NAME?</v>
      </c>
      <c r="AD1405" s="57">
        <f t="shared" si="906"/>
        <v>0</v>
      </c>
      <c r="AE1405" s="57" t="str">
        <f t="shared" si="907"/>
        <v/>
      </c>
      <c r="AF1405" s="57">
        <f t="shared" si="908"/>
        <v>0</v>
      </c>
      <c r="AG1405" s="59">
        <f t="shared" si="909"/>
        <v>0</v>
      </c>
      <c r="AH1405" s="15"/>
      <c r="AI1405" s="15"/>
      <c r="AJ1405" s="15"/>
      <c r="AK1405" s="15"/>
      <c r="AL1405" s="15"/>
      <c r="AM1405" s="15"/>
      <c r="AN1405" s="15"/>
      <c r="AO1405" s="15"/>
      <c r="AP1405" s="15"/>
      <c r="AQ1405" s="15"/>
      <c r="AR1405" s="15"/>
      <c r="AS1405" s="15"/>
      <c r="AT1405" s="15"/>
      <c r="AU1405" s="15"/>
    </row>
    <row r="1406" ht="24.0" customHeight="1">
      <c r="A1406" s="45">
        <v>2830.0</v>
      </c>
      <c r="B1406" s="57"/>
      <c r="C1406" s="57"/>
      <c r="D1406" s="88" t="str">
        <f t="array" ref="D1406">IFERROR(
  LOOKUP(2, 1/((TRIM(IMS!$E$8:$E$2574)=TRIM(IMS!$E1406))*(IMS!$C$8:$C$2574&lt;IMS!$C1406)),
         IMS!$C$8:$C$2574),
"")</f>
        <v/>
      </c>
      <c r="E1406" s="57"/>
      <c r="F1406" s="57"/>
      <c r="G1406" s="77" t="str">
        <f t="shared" si="901"/>
        <v/>
      </c>
      <c r="H1406" s="78" t="str">
        <f t="shared" si="902"/>
        <v/>
      </c>
      <c r="I1406" s="79"/>
      <c r="J1406" s="80" t="str">
        <f t="shared" si="903"/>
        <v>#NAME?</v>
      </c>
      <c r="K1406" s="58"/>
      <c r="L1406" s="58"/>
      <c r="M1406" s="57"/>
      <c r="N1406" s="57"/>
      <c r="O1406" s="58"/>
      <c r="P1406" s="82"/>
      <c r="Q1406" s="81"/>
      <c r="R1406" s="81"/>
      <c r="S1406" s="57"/>
      <c r="T1406" s="82"/>
      <c r="U1406" s="82"/>
      <c r="V1406" s="57"/>
      <c r="W1406" s="57"/>
      <c r="X1406" s="57" t="str">
        <f t="shared" si="917"/>
        <v/>
      </c>
      <c r="Y1406" s="58" t="str">
        <f t="shared" ref="Y1406:AC1406" si="1246">TRIM(SUBSTITUTE(SUBSTITUTE(OFFSET($Q1406,0,COLUMN()-COLUMN($AL$1)),CHAR(160)," "),_xludf.UNICHAR(8239)," "))</f>
        <v>#NAME?</v>
      </c>
      <c r="Z1406" s="58" t="str">
        <f t="shared" si="1246"/>
        <v>#NAME?</v>
      </c>
      <c r="AA1406" s="58" t="str">
        <f t="shared" si="1246"/>
        <v>#NAME?</v>
      </c>
      <c r="AB1406" s="58" t="str">
        <f t="shared" si="1246"/>
        <v>#NAME?</v>
      </c>
      <c r="AC1406" s="58" t="str">
        <f t="shared" si="1246"/>
        <v>#NAME?</v>
      </c>
      <c r="AD1406" s="57">
        <f t="shared" si="906"/>
        <v>0</v>
      </c>
      <c r="AE1406" s="57" t="str">
        <f t="shared" si="907"/>
        <v/>
      </c>
      <c r="AF1406" s="57">
        <f t="shared" si="908"/>
        <v>0</v>
      </c>
      <c r="AG1406" s="59">
        <f t="shared" si="909"/>
        <v>0</v>
      </c>
      <c r="AH1406" s="15"/>
      <c r="AI1406" s="15"/>
      <c r="AJ1406" s="15"/>
      <c r="AK1406" s="15"/>
      <c r="AL1406" s="15"/>
      <c r="AM1406" s="15"/>
      <c r="AN1406" s="15"/>
      <c r="AO1406" s="15"/>
      <c r="AP1406" s="15"/>
      <c r="AQ1406" s="15"/>
      <c r="AR1406" s="15"/>
      <c r="AS1406" s="15"/>
      <c r="AT1406" s="15"/>
      <c r="AU1406" s="15"/>
    </row>
    <row r="1407" ht="24.0" customHeight="1">
      <c r="A1407" s="45">
        <v>2831.0</v>
      </c>
      <c r="B1407" s="57"/>
      <c r="C1407" s="57"/>
      <c r="D1407" s="88" t="str">
        <f t="array" ref="D1407">IFERROR(
  LOOKUP(2, 1/((TRIM(IMS!$E$8:$E$2574)=TRIM(IMS!$E1407))*(IMS!$C$8:$C$2574&lt;IMS!$C1407)),
         IMS!$C$8:$C$2574),
"")</f>
        <v/>
      </c>
      <c r="E1407" s="57"/>
      <c r="F1407" s="57"/>
      <c r="G1407" s="77" t="str">
        <f t="shared" si="901"/>
        <v/>
      </c>
      <c r="H1407" s="78" t="str">
        <f t="shared" si="902"/>
        <v/>
      </c>
      <c r="I1407" s="79"/>
      <c r="J1407" s="80" t="str">
        <f t="shared" si="903"/>
        <v>#NAME?</v>
      </c>
      <c r="K1407" s="58"/>
      <c r="L1407" s="58"/>
      <c r="M1407" s="57"/>
      <c r="N1407" s="57"/>
      <c r="O1407" s="58"/>
      <c r="P1407" s="82"/>
      <c r="Q1407" s="81"/>
      <c r="R1407" s="81"/>
      <c r="S1407" s="57"/>
      <c r="T1407" s="82"/>
      <c r="U1407" s="82"/>
      <c r="V1407" s="57"/>
      <c r="W1407" s="57"/>
      <c r="X1407" s="57" t="str">
        <f t="shared" si="917"/>
        <v/>
      </c>
      <c r="Y1407" s="58" t="str">
        <f t="shared" ref="Y1407:AC1407" si="1247">TRIM(SUBSTITUTE(SUBSTITUTE(OFFSET($Q1407,0,COLUMN()-COLUMN($AL$1)),CHAR(160)," "),_xludf.UNICHAR(8239)," "))</f>
        <v>#NAME?</v>
      </c>
      <c r="Z1407" s="58" t="str">
        <f t="shared" si="1247"/>
        <v>#NAME?</v>
      </c>
      <c r="AA1407" s="58" t="str">
        <f t="shared" si="1247"/>
        <v>#NAME?</v>
      </c>
      <c r="AB1407" s="58" t="str">
        <f t="shared" si="1247"/>
        <v>#NAME?</v>
      </c>
      <c r="AC1407" s="58" t="str">
        <f t="shared" si="1247"/>
        <v>#NAME?</v>
      </c>
      <c r="AD1407" s="57">
        <f t="shared" si="906"/>
        <v>0</v>
      </c>
      <c r="AE1407" s="57" t="str">
        <f t="shared" si="907"/>
        <v/>
      </c>
      <c r="AF1407" s="57">
        <f t="shared" si="908"/>
        <v>0</v>
      </c>
      <c r="AG1407" s="59">
        <f t="shared" si="909"/>
        <v>0</v>
      </c>
      <c r="AH1407" s="15"/>
      <c r="AI1407" s="15"/>
      <c r="AJ1407" s="15"/>
      <c r="AK1407" s="15"/>
      <c r="AL1407" s="15"/>
      <c r="AM1407" s="15"/>
      <c r="AN1407" s="15"/>
      <c r="AO1407" s="15"/>
      <c r="AP1407" s="15"/>
      <c r="AQ1407" s="15"/>
      <c r="AR1407" s="15"/>
      <c r="AS1407" s="15"/>
      <c r="AT1407" s="15"/>
      <c r="AU1407" s="15"/>
    </row>
    <row r="1408" ht="24.0" customHeight="1">
      <c r="A1408" s="45">
        <v>2832.0</v>
      </c>
      <c r="B1408" s="57"/>
      <c r="C1408" s="57"/>
      <c r="D1408" s="88" t="str">
        <f t="array" ref="D1408">IFERROR(
  LOOKUP(2, 1/((TRIM(IMS!$E$8:$E$2574)=TRIM(IMS!$E1408))*(IMS!$C$8:$C$2574&lt;IMS!$C1408)),
         IMS!$C$8:$C$2574),
"")</f>
        <v/>
      </c>
      <c r="E1408" s="57"/>
      <c r="F1408" s="57"/>
      <c r="G1408" s="77" t="str">
        <f t="shared" si="901"/>
        <v/>
      </c>
      <c r="H1408" s="78" t="str">
        <f t="shared" si="902"/>
        <v/>
      </c>
      <c r="I1408" s="79"/>
      <c r="J1408" s="80" t="str">
        <f t="shared" si="903"/>
        <v>#NAME?</v>
      </c>
      <c r="K1408" s="58"/>
      <c r="L1408" s="58"/>
      <c r="M1408" s="57"/>
      <c r="N1408" s="57"/>
      <c r="O1408" s="58"/>
      <c r="P1408" s="82"/>
      <c r="Q1408" s="81"/>
      <c r="R1408" s="81"/>
      <c r="S1408" s="57"/>
      <c r="T1408" s="82"/>
      <c r="U1408" s="82"/>
      <c r="V1408" s="57"/>
      <c r="W1408" s="57"/>
      <c r="X1408" s="57" t="str">
        <f t="shared" si="917"/>
        <v/>
      </c>
      <c r="Y1408" s="58" t="str">
        <f t="shared" ref="Y1408:AC1408" si="1248">TRIM(SUBSTITUTE(SUBSTITUTE(OFFSET($Q1408,0,COLUMN()-COLUMN($AL$1)),CHAR(160)," "),_xludf.UNICHAR(8239)," "))</f>
        <v>#NAME?</v>
      </c>
      <c r="Z1408" s="58" t="str">
        <f t="shared" si="1248"/>
        <v>#NAME?</v>
      </c>
      <c r="AA1408" s="58" t="str">
        <f t="shared" si="1248"/>
        <v>#NAME?</v>
      </c>
      <c r="AB1408" s="58" t="str">
        <f t="shared" si="1248"/>
        <v>#NAME?</v>
      </c>
      <c r="AC1408" s="58" t="str">
        <f t="shared" si="1248"/>
        <v>#NAME?</v>
      </c>
      <c r="AD1408" s="57">
        <f t="shared" si="906"/>
        <v>0</v>
      </c>
      <c r="AE1408" s="57" t="str">
        <f t="shared" si="907"/>
        <v/>
      </c>
      <c r="AF1408" s="57">
        <f t="shared" si="908"/>
        <v>0</v>
      </c>
      <c r="AG1408" s="59">
        <f t="shared" si="909"/>
        <v>0</v>
      </c>
      <c r="AH1408" s="15"/>
      <c r="AI1408" s="15"/>
      <c r="AJ1408" s="15"/>
      <c r="AK1408" s="15"/>
      <c r="AL1408" s="15"/>
      <c r="AM1408" s="15"/>
      <c r="AN1408" s="15"/>
      <c r="AO1408" s="15"/>
      <c r="AP1408" s="15"/>
      <c r="AQ1408" s="15"/>
      <c r="AR1408" s="15"/>
      <c r="AS1408" s="15"/>
      <c r="AT1408" s="15"/>
      <c r="AU1408" s="15"/>
    </row>
    <row r="1409" ht="24.0" customHeight="1">
      <c r="A1409" s="45">
        <v>2833.0</v>
      </c>
      <c r="B1409" s="57"/>
      <c r="C1409" s="57"/>
      <c r="D1409" s="88" t="str">
        <f t="array" ref="D1409">IFERROR(
  LOOKUP(2, 1/((TRIM(IMS!$E$8:$E$2574)=TRIM(IMS!$E1409))*(IMS!$C$8:$C$2574&lt;IMS!$C1409)),
         IMS!$C$8:$C$2574),
"")</f>
        <v/>
      </c>
      <c r="E1409" s="57"/>
      <c r="F1409" s="57"/>
      <c r="G1409" s="77" t="str">
        <f t="shared" si="901"/>
        <v/>
      </c>
      <c r="H1409" s="78" t="str">
        <f t="shared" si="902"/>
        <v/>
      </c>
      <c r="I1409" s="79"/>
      <c r="J1409" s="80" t="str">
        <f t="shared" si="903"/>
        <v>#NAME?</v>
      </c>
      <c r="K1409" s="58"/>
      <c r="L1409" s="58"/>
      <c r="M1409" s="57"/>
      <c r="N1409" s="57"/>
      <c r="O1409" s="58"/>
      <c r="P1409" s="82"/>
      <c r="Q1409" s="81"/>
      <c r="R1409" s="81"/>
      <c r="S1409" s="57"/>
      <c r="T1409" s="82"/>
      <c r="U1409" s="82"/>
      <c r="V1409" s="57"/>
      <c r="W1409" s="57"/>
      <c r="X1409" s="57" t="str">
        <f t="shared" si="917"/>
        <v/>
      </c>
      <c r="Y1409" s="58" t="str">
        <f t="shared" ref="Y1409:AC1409" si="1249">TRIM(SUBSTITUTE(SUBSTITUTE(OFFSET($Q1409,0,COLUMN()-COLUMN($AL$1)),CHAR(160)," "),_xludf.UNICHAR(8239)," "))</f>
        <v>#NAME?</v>
      </c>
      <c r="Z1409" s="58" t="str">
        <f t="shared" si="1249"/>
        <v>#NAME?</v>
      </c>
      <c r="AA1409" s="58" t="str">
        <f t="shared" si="1249"/>
        <v>#NAME?</v>
      </c>
      <c r="AB1409" s="58" t="str">
        <f t="shared" si="1249"/>
        <v>#NAME?</v>
      </c>
      <c r="AC1409" s="58" t="str">
        <f t="shared" si="1249"/>
        <v>#NAME?</v>
      </c>
      <c r="AD1409" s="57">
        <f t="shared" si="906"/>
        <v>0</v>
      </c>
      <c r="AE1409" s="57" t="str">
        <f t="shared" si="907"/>
        <v/>
      </c>
      <c r="AF1409" s="57">
        <f t="shared" si="908"/>
        <v>0</v>
      </c>
      <c r="AG1409" s="59">
        <f t="shared" si="909"/>
        <v>0</v>
      </c>
      <c r="AH1409" s="15"/>
      <c r="AI1409" s="15"/>
      <c r="AJ1409" s="15"/>
      <c r="AK1409" s="15"/>
      <c r="AL1409" s="15"/>
      <c r="AM1409" s="15"/>
      <c r="AN1409" s="15"/>
      <c r="AO1409" s="15"/>
      <c r="AP1409" s="15"/>
      <c r="AQ1409" s="15"/>
      <c r="AR1409" s="15"/>
      <c r="AS1409" s="15"/>
      <c r="AT1409" s="15"/>
      <c r="AU1409" s="15"/>
    </row>
    <row r="1410" ht="24.0" customHeight="1">
      <c r="A1410" s="45">
        <v>2834.0</v>
      </c>
      <c r="B1410" s="57"/>
      <c r="C1410" s="57"/>
      <c r="D1410" s="88" t="str">
        <f t="array" ref="D1410">IFERROR(
  LOOKUP(2, 1/((TRIM(IMS!$E$8:$E$2574)=TRIM(IMS!$E1410))*(IMS!$C$8:$C$2574&lt;IMS!$C1410)),
         IMS!$C$8:$C$2574),
"")</f>
        <v/>
      </c>
      <c r="E1410" s="57"/>
      <c r="F1410" s="57"/>
      <c r="G1410" s="77" t="str">
        <f t="shared" si="901"/>
        <v/>
      </c>
      <c r="H1410" s="78" t="str">
        <f t="shared" si="902"/>
        <v/>
      </c>
      <c r="I1410" s="79"/>
      <c r="J1410" s="80" t="str">
        <f t="shared" si="903"/>
        <v>#NAME?</v>
      </c>
      <c r="K1410" s="58"/>
      <c r="L1410" s="58"/>
      <c r="M1410" s="57"/>
      <c r="N1410" s="57"/>
      <c r="O1410" s="58"/>
      <c r="P1410" s="82"/>
      <c r="Q1410" s="81"/>
      <c r="R1410" s="81"/>
      <c r="S1410" s="57"/>
      <c r="T1410" s="82"/>
      <c r="U1410" s="82"/>
      <c r="V1410" s="57"/>
      <c r="W1410" s="57"/>
      <c r="X1410" s="57" t="str">
        <f t="shared" si="917"/>
        <v/>
      </c>
      <c r="Y1410" s="58" t="str">
        <f t="shared" ref="Y1410:AC1410" si="1250">TRIM(SUBSTITUTE(SUBSTITUTE(OFFSET($Q1410,0,COLUMN()-COLUMN($AL$1)),CHAR(160)," "),_xludf.UNICHAR(8239)," "))</f>
        <v>#NAME?</v>
      </c>
      <c r="Z1410" s="58" t="str">
        <f t="shared" si="1250"/>
        <v>#NAME?</v>
      </c>
      <c r="AA1410" s="58" t="str">
        <f t="shared" si="1250"/>
        <v>#NAME?</v>
      </c>
      <c r="AB1410" s="58" t="str">
        <f t="shared" si="1250"/>
        <v>#NAME?</v>
      </c>
      <c r="AC1410" s="58" t="str">
        <f t="shared" si="1250"/>
        <v>#NAME?</v>
      </c>
      <c r="AD1410" s="57">
        <f t="shared" si="906"/>
        <v>0</v>
      </c>
      <c r="AE1410" s="57" t="str">
        <f t="shared" si="907"/>
        <v/>
      </c>
      <c r="AF1410" s="57">
        <f t="shared" si="908"/>
        <v>0</v>
      </c>
      <c r="AG1410" s="59">
        <f t="shared" si="909"/>
        <v>0</v>
      </c>
      <c r="AH1410" s="15"/>
      <c r="AI1410" s="15"/>
      <c r="AJ1410" s="15"/>
      <c r="AK1410" s="15"/>
      <c r="AL1410" s="15"/>
      <c r="AM1410" s="15"/>
      <c r="AN1410" s="15"/>
      <c r="AO1410" s="15"/>
      <c r="AP1410" s="15"/>
      <c r="AQ1410" s="15"/>
      <c r="AR1410" s="15"/>
      <c r="AS1410" s="15"/>
      <c r="AT1410" s="15"/>
      <c r="AU1410" s="15"/>
    </row>
    <row r="1411" ht="24.0" customHeight="1">
      <c r="A1411" s="45">
        <v>2835.0</v>
      </c>
      <c r="B1411" s="57"/>
      <c r="C1411" s="57"/>
      <c r="D1411" s="88" t="str">
        <f t="array" ref="D1411">IFERROR(
  LOOKUP(2, 1/((TRIM(IMS!$E$8:$E$2574)=TRIM(IMS!$E1411))*(IMS!$C$8:$C$2574&lt;IMS!$C1411)),
         IMS!$C$8:$C$2574),
"")</f>
        <v/>
      </c>
      <c r="E1411" s="57"/>
      <c r="F1411" s="57"/>
      <c r="G1411" s="77" t="str">
        <f t="shared" si="901"/>
        <v/>
      </c>
      <c r="H1411" s="78" t="str">
        <f t="shared" si="902"/>
        <v/>
      </c>
      <c r="I1411" s="79"/>
      <c r="J1411" s="80" t="str">
        <f t="shared" si="903"/>
        <v>#NAME?</v>
      </c>
      <c r="K1411" s="58"/>
      <c r="L1411" s="58"/>
      <c r="M1411" s="57"/>
      <c r="N1411" s="57"/>
      <c r="O1411" s="58"/>
      <c r="P1411" s="82"/>
      <c r="Q1411" s="81"/>
      <c r="R1411" s="81"/>
      <c r="S1411" s="57"/>
      <c r="T1411" s="82"/>
      <c r="U1411" s="82"/>
      <c r="V1411" s="57"/>
      <c r="W1411" s="57"/>
      <c r="X1411" s="57" t="str">
        <f t="shared" si="917"/>
        <v/>
      </c>
      <c r="Y1411" s="58" t="str">
        <f t="shared" ref="Y1411:AC1411" si="1251">TRIM(SUBSTITUTE(SUBSTITUTE(OFFSET($Q1411,0,COLUMN()-COLUMN($AL$1)),CHAR(160)," "),_xludf.UNICHAR(8239)," "))</f>
        <v>#NAME?</v>
      </c>
      <c r="Z1411" s="58" t="str">
        <f t="shared" si="1251"/>
        <v>#NAME?</v>
      </c>
      <c r="AA1411" s="58" t="str">
        <f t="shared" si="1251"/>
        <v>#NAME?</v>
      </c>
      <c r="AB1411" s="58" t="str">
        <f t="shared" si="1251"/>
        <v>#NAME?</v>
      </c>
      <c r="AC1411" s="58" t="str">
        <f t="shared" si="1251"/>
        <v>#NAME?</v>
      </c>
      <c r="AD1411" s="57">
        <f t="shared" si="906"/>
        <v>0</v>
      </c>
      <c r="AE1411" s="57" t="str">
        <f t="shared" si="907"/>
        <v/>
      </c>
      <c r="AF1411" s="57">
        <f t="shared" si="908"/>
        <v>0</v>
      </c>
      <c r="AG1411" s="59">
        <f t="shared" si="909"/>
        <v>0</v>
      </c>
      <c r="AH1411" s="15"/>
      <c r="AI1411" s="15"/>
      <c r="AJ1411" s="15"/>
      <c r="AK1411" s="15"/>
      <c r="AL1411" s="15"/>
      <c r="AM1411" s="15"/>
      <c r="AN1411" s="15"/>
      <c r="AO1411" s="15"/>
      <c r="AP1411" s="15"/>
      <c r="AQ1411" s="15"/>
      <c r="AR1411" s="15"/>
      <c r="AS1411" s="15"/>
      <c r="AT1411" s="15"/>
      <c r="AU1411" s="15"/>
    </row>
    <row r="1412" ht="24.0" customHeight="1">
      <c r="A1412" s="45">
        <v>2836.0</v>
      </c>
      <c r="B1412" s="57"/>
      <c r="C1412" s="57"/>
      <c r="D1412" s="88" t="str">
        <f t="array" ref="D1412">IFERROR(
  LOOKUP(2, 1/((TRIM(IMS!$E$8:$E$2574)=TRIM(IMS!$E1412))*(IMS!$C$8:$C$2574&lt;IMS!$C1412)),
         IMS!$C$8:$C$2574),
"")</f>
        <v/>
      </c>
      <c r="E1412" s="57"/>
      <c r="F1412" s="57"/>
      <c r="G1412" s="77" t="str">
        <f t="shared" si="901"/>
        <v/>
      </c>
      <c r="H1412" s="78" t="str">
        <f t="shared" si="902"/>
        <v/>
      </c>
      <c r="I1412" s="79"/>
      <c r="J1412" s="80" t="str">
        <f t="shared" si="903"/>
        <v>#NAME?</v>
      </c>
      <c r="K1412" s="58"/>
      <c r="L1412" s="58"/>
      <c r="M1412" s="57"/>
      <c r="N1412" s="57"/>
      <c r="O1412" s="58"/>
      <c r="P1412" s="82"/>
      <c r="Q1412" s="81"/>
      <c r="R1412" s="81"/>
      <c r="S1412" s="57"/>
      <c r="T1412" s="82"/>
      <c r="U1412" s="82"/>
      <c r="V1412" s="57"/>
      <c r="W1412" s="57"/>
      <c r="X1412" s="57" t="str">
        <f t="shared" si="917"/>
        <v/>
      </c>
      <c r="Y1412" s="58" t="str">
        <f t="shared" ref="Y1412:AC1412" si="1252">TRIM(SUBSTITUTE(SUBSTITUTE(OFFSET($Q1412,0,COLUMN()-COLUMN($AL$1)),CHAR(160)," "),_xludf.UNICHAR(8239)," "))</f>
        <v>#NAME?</v>
      </c>
      <c r="Z1412" s="58" t="str">
        <f t="shared" si="1252"/>
        <v>#NAME?</v>
      </c>
      <c r="AA1412" s="58" t="str">
        <f t="shared" si="1252"/>
        <v>#NAME?</v>
      </c>
      <c r="AB1412" s="58" t="str">
        <f t="shared" si="1252"/>
        <v>#NAME?</v>
      </c>
      <c r="AC1412" s="58" t="str">
        <f t="shared" si="1252"/>
        <v>#NAME?</v>
      </c>
      <c r="AD1412" s="57">
        <f t="shared" si="906"/>
        <v>0</v>
      </c>
      <c r="AE1412" s="57" t="str">
        <f t="shared" si="907"/>
        <v/>
      </c>
      <c r="AF1412" s="57">
        <f t="shared" si="908"/>
        <v>0</v>
      </c>
      <c r="AG1412" s="59">
        <f t="shared" si="909"/>
        <v>0</v>
      </c>
      <c r="AH1412" s="15"/>
      <c r="AI1412" s="15"/>
      <c r="AJ1412" s="15"/>
      <c r="AK1412" s="15"/>
      <c r="AL1412" s="15"/>
      <c r="AM1412" s="15"/>
      <c r="AN1412" s="15"/>
      <c r="AO1412" s="15"/>
      <c r="AP1412" s="15"/>
      <c r="AQ1412" s="15"/>
      <c r="AR1412" s="15"/>
      <c r="AS1412" s="15"/>
      <c r="AT1412" s="15"/>
      <c r="AU1412" s="15"/>
    </row>
    <row r="1413" ht="24.0" customHeight="1">
      <c r="A1413" s="45">
        <v>2837.0</v>
      </c>
      <c r="B1413" s="57"/>
      <c r="C1413" s="57"/>
      <c r="D1413" s="88" t="str">
        <f t="array" ref="D1413">IFERROR(
  LOOKUP(2, 1/((TRIM(IMS!$E$8:$E$2574)=TRIM(IMS!$E1413))*(IMS!$C$8:$C$2574&lt;IMS!$C1413)),
         IMS!$C$8:$C$2574),
"")</f>
        <v/>
      </c>
      <c r="E1413" s="57"/>
      <c r="F1413" s="57"/>
      <c r="G1413" s="77" t="str">
        <f t="shared" si="901"/>
        <v/>
      </c>
      <c r="H1413" s="78" t="str">
        <f t="shared" si="902"/>
        <v/>
      </c>
      <c r="I1413" s="79"/>
      <c r="J1413" s="80" t="str">
        <f t="shared" si="903"/>
        <v>#NAME?</v>
      </c>
      <c r="K1413" s="58"/>
      <c r="L1413" s="58"/>
      <c r="M1413" s="57"/>
      <c r="N1413" s="57"/>
      <c r="O1413" s="58"/>
      <c r="P1413" s="82"/>
      <c r="Q1413" s="81"/>
      <c r="R1413" s="81"/>
      <c r="S1413" s="57"/>
      <c r="T1413" s="82"/>
      <c r="U1413" s="82"/>
      <c r="V1413" s="57"/>
      <c r="W1413" s="57"/>
      <c r="X1413" s="57" t="str">
        <f t="shared" si="917"/>
        <v/>
      </c>
      <c r="Y1413" s="58" t="str">
        <f t="shared" ref="Y1413:AC1413" si="1253">TRIM(SUBSTITUTE(SUBSTITUTE(OFFSET($Q1413,0,COLUMN()-COLUMN($AL$1)),CHAR(160)," "),_xludf.UNICHAR(8239)," "))</f>
        <v>#NAME?</v>
      </c>
      <c r="Z1413" s="58" t="str">
        <f t="shared" si="1253"/>
        <v>#NAME?</v>
      </c>
      <c r="AA1413" s="58" t="str">
        <f t="shared" si="1253"/>
        <v>#NAME?</v>
      </c>
      <c r="AB1413" s="58" t="str">
        <f t="shared" si="1253"/>
        <v>#NAME?</v>
      </c>
      <c r="AC1413" s="58" t="str">
        <f t="shared" si="1253"/>
        <v>#NAME?</v>
      </c>
      <c r="AD1413" s="57">
        <f t="shared" si="906"/>
        <v>0</v>
      </c>
      <c r="AE1413" s="57" t="str">
        <f t="shared" si="907"/>
        <v/>
      </c>
      <c r="AF1413" s="57">
        <f t="shared" si="908"/>
        <v>0</v>
      </c>
      <c r="AG1413" s="59">
        <f t="shared" si="909"/>
        <v>0</v>
      </c>
      <c r="AH1413" s="15"/>
      <c r="AI1413" s="15"/>
      <c r="AJ1413" s="15"/>
      <c r="AK1413" s="15"/>
      <c r="AL1413" s="15"/>
      <c r="AM1413" s="15"/>
      <c r="AN1413" s="15"/>
      <c r="AO1413" s="15"/>
      <c r="AP1413" s="15"/>
      <c r="AQ1413" s="15"/>
      <c r="AR1413" s="15"/>
      <c r="AS1413" s="15"/>
      <c r="AT1413" s="15"/>
      <c r="AU1413" s="15"/>
    </row>
    <row r="1414" ht="24.0" customHeight="1">
      <c r="A1414" s="45">
        <v>2838.0</v>
      </c>
      <c r="B1414" s="57"/>
      <c r="C1414" s="57"/>
      <c r="D1414" s="88" t="str">
        <f t="array" ref="D1414">IFERROR(
  LOOKUP(2, 1/((TRIM(IMS!$E$8:$E$2574)=TRIM(IMS!$E1414))*(IMS!$C$8:$C$2574&lt;IMS!$C1414)),
         IMS!$C$8:$C$2574),
"")</f>
        <v/>
      </c>
      <c r="E1414" s="57"/>
      <c r="F1414" s="57"/>
      <c r="G1414" s="77" t="str">
        <f t="shared" si="901"/>
        <v/>
      </c>
      <c r="H1414" s="78" t="str">
        <f t="shared" si="902"/>
        <v/>
      </c>
      <c r="I1414" s="79"/>
      <c r="J1414" s="80" t="str">
        <f t="shared" si="903"/>
        <v>#NAME?</v>
      </c>
      <c r="K1414" s="58"/>
      <c r="L1414" s="58"/>
      <c r="M1414" s="57"/>
      <c r="N1414" s="57"/>
      <c r="O1414" s="58"/>
      <c r="P1414" s="82"/>
      <c r="Q1414" s="81"/>
      <c r="R1414" s="81"/>
      <c r="S1414" s="57"/>
      <c r="T1414" s="82"/>
      <c r="U1414" s="82"/>
      <c r="V1414" s="57"/>
      <c r="W1414" s="57"/>
      <c r="X1414" s="57" t="str">
        <f t="shared" si="917"/>
        <v/>
      </c>
      <c r="Y1414" s="58" t="str">
        <f t="shared" ref="Y1414:AC1414" si="1254">TRIM(SUBSTITUTE(SUBSTITUTE(OFFSET($Q1414,0,COLUMN()-COLUMN($AL$1)),CHAR(160)," "),_xludf.UNICHAR(8239)," "))</f>
        <v>#NAME?</v>
      </c>
      <c r="Z1414" s="58" t="str">
        <f t="shared" si="1254"/>
        <v>#NAME?</v>
      </c>
      <c r="AA1414" s="58" t="str">
        <f t="shared" si="1254"/>
        <v>#NAME?</v>
      </c>
      <c r="AB1414" s="58" t="str">
        <f t="shared" si="1254"/>
        <v>#NAME?</v>
      </c>
      <c r="AC1414" s="58" t="str">
        <f t="shared" si="1254"/>
        <v>#NAME?</v>
      </c>
      <c r="AD1414" s="57">
        <f t="shared" si="906"/>
        <v>0</v>
      </c>
      <c r="AE1414" s="57" t="str">
        <f t="shared" si="907"/>
        <v/>
      </c>
      <c r="AF1414" s="57">
        <f t="shared" si="908"/>
        <v>0</v>
      </c>
      <c r="AG1414" s="59">
        <f t="shared" si="909"/>
        <v>0</v>
      </c>
      <c r="AH1414" s="15"/>
      <c r="AI1414" s="15"/>
      <c r="AJ1414" s="15"/>
      <c r="AK1414" s="15"/>
      <c r="AL1414" s="15"/>
      <c r="AM1414" s="15"/>
      <c r="AN1414" s="15"/>
      <c r="AO1414" s="15"/>
      <c r="AP1414" s="15"/>
      <c r="AQ1414" s="15"/>
      <c r="AR1414" s="15"/>
      <c r="AS1414" s="15"/>
      <c r="AT1414" s="15"/>
      <c r="AU1414" s="15"/>
    </row>
    <row r="1415" ht="24.0" customHeight="1">
      <c r="A1415" s="45">
        <v>2839.0</v>
      </c>
      <c r="B1415" s="57"/>
      <c r="C1415" s="57"/>
      <c r="D1415" s="88" t="str">
        <f t="array" ref="D1415">IFERROR(
  LOOKUP(2, 1/((TRIM(IMS!$E$8:$E$2574)=TRIM(IMS!$E1415))*(IMS!$C$8:$C$2574&lt;IMS!$C1415)),
         IMS!$C$8:$C$2574),
"")</f>
        <v/>
      </c>
      <c r="E1415" s="57"/>
      <c r="F1415" s="57"/>
      <c r="G1415" s="77" t="str">
        <f t="shared" si="901"/>
        <v/>
      </c>
      <c r="H1415" s="78" t="str">
        <f t="shared" si="902"/>
        <v/>
      </c>
      <c r="I1415" s="79"/>
      <c r="J1415" s="80" t="str">
        <f t="shared" si="903"/>
        <v>#NAME?</v>
      </c>
      <c r="K1415" s="58"/>
      <c r="L1415" s="58"/>
      <c r="M1415" s="57"/>
      <c r="N1415" s="57"/>
      <c r="O1415" s="58"/>
      <c r="P1415" s="82"/>
      <c r="Q1415" s="81"/>
      <c r="R1415" s="81"/>
      <c r="S1415" s="57"/>
      <c r="T1415" s="82"/>
      <c r="U1415" s="82"/>
      <c r="V1415" s="57"/>
      <c r="W1415" s="57"/>
      <c r="X1415" s="57" t="str">
        <f t="shared" si="917"/>
        <v/>
      </c>
      <c r="Y1415" s="58" t="str">
        <f t="shared" ref="Y1415:AC1415" si="1255">TRIM(SUBSTITUTE(SUBSTITUTE(OFFSET($Q1415,0,COLUMN()-COLUMN($AL$1)),CHAR(160)," "),_xludf.UNICHAR(8239)," "))</f>
        <v>#NAME?</v>
      </c>
      <c r="Z1415" s="58" t="str">
        <f t="shared" si="1255"/>
        <v>#NAME?</v>
      </c>
      <c r="AA1415" s="58" t="str">
        <f t="shared" si="1255"/>
        <v>#NAME?</v>
      </c>
      <c r="AB1415" s="58" t="str">
        <f t="shared" si="1255"/>
        <v>#NAME?</v>
      </c>
      <c r="AC1415" s="58" t="str">
        <f t="shared" si="1255"/>
        <v>#NAME?</v>
      </c>
      <c r="AD1415" s="57">
        <f t="shared" si="906"/>
        <v>0</v>
      </c>
      <c r="AE1415" s="57" t="str">
        <f t="shared" si="907"/>
        <v/>
      </c>
      <c r="AF1415" s="57">
        <f t="shared" si="908"/>
        <v>0</v>
      </c>
      <c r="AG1415" s="59">
        <f t="shared" si="909"/>
        <v>0</v>
      </c>
      <c r="AH1415" s="15"/>
      <c r="AI1415" s="15"/>
      <c r="AJ1415" s="15"/>
      <c r="AK1415" s="15"/>
      <c r="AL1415" s="15"/>
      <c r="AM1415" s="15"/>
      <c r="AN1415" s="15"/>
      <c r="AO1415" s="15"/>
      <c r="AP1415" s="15"/>
      <c r="AQ1415" s="15"/>
      <c r="AR1415" s="15"/>
      <c r="AS1415" s="15"/>
      <c r="AT1415" s="15"/>
      <c r="AU1415" s="15"/>
    </row>
    <row r="1416" ht="24.0" customHeight="1">
      <c r="A1416" s="45">
        <v>2840.0</v>
      </c>
      <c r="B1416" s="57"/>
      <c r="C1416" s="57"/>
      <c r="D1416" s="88" t="str">
        <f t="array" ref="D1416">IFERROR(
  LOOKUP(2, 1/((TRIM(IMS!$E$8:$E$2574)=TRIM(IMS!$E1416))*(IMS!$C$8:$C$2574&lt;IMS!$C1416)),
         IMS!$C$8:$C$2574),
"")</f>
        <v/>
      </c>
      <c r="E1416" s="57"/>
      <c r="F1416" s="57"/>
      <c r="G1416" s="77" t="str">
        <f t="shared" si="901"/>
        <v/>
      </c>
      <c r="H1416" s="78" t="str">
        <f t="shared" si="902"/>
        <v/>
      </c>
      <c r="I1416" s="79"/>
      <c r="J1416" s="80" t="str">
        <f t="shared" si="903"/>
        <v>#NAME?</v>
      </c>
      <c r="K1416" s="58"/>
      <c r="L1416" s="58"/>
      <c r="M1416" s="57"/>
      <c r="N1416" s="57"/>
      <c r="O1416" s="58"/>
      <c r="P1416" s="82"/>
      <c r="Q1416" s="81"/>
      <c r="R1416" s="81"/>
      <c r="S1416" s="57"/>
      <c r="T1416" s="82"/>
      <c r="U1416" s="82"/>
      <c r="V1416" s="57"/>
      <c r="W1416" s="57"/>
      <c r="X1416" s="57" t="str">
        <f t="shared" si="917"/>
        <v/>
      </c>
      <c r="Y1416" s="58" t="str">
        <f t="shared" ref="Y1416:AC1416" si="1256">TRIM(SUBSTITUTE(SUBSTITUTE(OFFSET($Q1416,0,COLUMN()-COLUMN($AL$1)),CHAR(160)," "),_xludf.UNICHAR(8239)," "))</f>
        <v>#NAME?</v>
      </c>
      <c r="Z1416" s="58" t="str">
        <f t="shared" si="1256"/>
        <v>#NAME?</v>
      </c>
      <c r="AA1416" s="58" t="str">
        <f t="shared" si="1256"/>
        <v>#NAME?</v>
      </c>
      <c r="AB1416" s="58" t="str">
        <f t="shared" si="1256"/>
        <v>#NAME?</v>
      </c>
      <c r="AC1416" s="58" t="str">
        <f t="shared" si="1256"/>
        <v>#NAME?</v>
      </c>
      <c r="AD1416" s="57">
        <f t="shared" si="906"/>
        <v>0</v>
      </c>
      <c r="AE1416" s="57" t="str">
        <f t="shared" si="907"/>
        <v/>
      </c>
      <c r="AF1416" s="57">
        <f t="shared" si="908"/>
        <v>0</v>
      </c>
      <c r="AG1416" s="59">
        <f t="shared" si="909"/>
        <v>0</v>
      </c>
      <c r="AH1416" s="15"/>
      <c r="AI1416" s="15"/>
      <c r="AJ1416" s="15"/>
      <c r="AK1416" s="15"/>
      <c r="AL1416" s="15"/>
      <c r="AM1416" s="15"/>
      <c r="AN1416" s="15"/>
      <c r="AO1416" s="15"/>
      <c r="AP1416" s="15"/>
      <c r="AQ1416" s="15"/>
      <c r="AR1416" s="15"/>
      <c r="AS1416" s="15"/>
      <c r="AT1416" s="15"/>
      <c r="AU1416" s="15"/>
    </row>
    <row r="1417" ht="24.0" customHeight="1">
      <c r="A1417" s="45">
        <v>2841.0</v>
      </c>
      <c r="B1417" s="57"/>
      <c r="C1417" s="57"/>
      <c r="D1417" s="88" t="str">
        <f t="array" ref="D1417">IFERROR(
  LOOKUP(2, 1/((TRIM(IMS!$E$8:$E$2574)=TRIM(IMS!$E1417))*(IMS!$C$8:$C$2574&lt;IMS!$C1417)),
         IMS!$C$8:$C$2574),
"")</f>
        <v/>
      </c>
      <c r="E1417" s="57"/>
      <c r="F1417" s="57"/>
      <c r="G1417" s="77" t="str">
        <f t="shared" si="901"/>
        <v/>
      </c>
      <c r="H1417" s="78" t="str">
        <f t="shared" si="902"/>
        <v/>
      </c>
      <c r="I1417" s="79"/>
      <c r="J1417" s="80" t="str">
        <f t="shared" si="903"/>
        <v>#NAME?</v>
      </c>
      <c r="K1417" s="58"/>
      <c r="L1417" s="58"/>
      <c r="M1417" s="57"/>
      <c r="N1417" s="57"/>
      <c r="O1417" s="58"/>
      <c r="P1417" s="82"/>
      <c r="Q1417" s="81"/>
      <c r="R1417" s="81"/>
      <c r="S1417" s="57"/>
      <c r="T1417" s="82"/>
      <c r="U1417" s="82"/>
      <c r="V1417" s="57"/>
      <c r="W1417" s="57"/>
      <c r="X1417" s="57" t="str">
        <f t="shared" si="917"/>
        <v/>
      </c>
      <c r="Y1417" s="58" t="str">
        <f t="shared" ref="Y1417:AC1417" si="1257">TRIM(SUBSTITUTE(SUBSTITUTE(OFFSET($Q1417,0,COLUMN()-COLUMN($AL$1)),CHAR(160)," "),_xludf.UNICHAR(8239)," "))</f>
        <v>#NAME?</v>
      </c>
      <c r="Z1417" s="58" t="str">
        <f t="shared" si="1257"/>
        <v>#NAME?</v>
      </c>
      <c r="AA1417" s="58" t="str">
        <f t="shared" si="1257"/>
        <v>#NAME?</v>
      </c>
      <c r="AB1417" s="58" t="str">
        <f t="shared" si="1257"/>
        <v>#NAME?</v>
      </c>
      <c r="AC1417" s="58" t="str">
        <f t="shared" si="1257"/>
        <v>#NAME?</v>
      </c>
      <c r="AD1417" s="57">
        <f t="shared" si="906"/>
        <v>0</v>
      </c>
      <c r="AE1417" s="57" t="str">
        <f t="shared" si="907"/>
        <v/>
      </c>
      <c r="AF1417" s="57">
        <f t="shared" si="908"/>
        <v>0</v>
      </c>
      <c r="AG1417" s="59">
        <f t="shared" si="909"/>
        <v>0</v>
      </c>
      <c r="AH1417" s="15"/>
      <c r="AI1417" s="15"/>
      <c r="AJ1417" s="15"/>
      <c r="AK1417" s="15"/>
      <c r="AL1417" s="15"/>
      <c r="AM1417" s="15"/>
      <c r="AN1417" s="15"/>
      <c r="AO1417" s="15"/>
      <c r="AP1417" s="15"/>
      <c r="AQ1417" s="15"/>
      <c r="AR1417" s="15"/>
      <c r="AS1417" s="15"/>
      <c r="AT1417" s="15"/>
      <c r="AU1417" s="15"/>
    </row>
    <row r="1418" ht="24.0" customHeight="1">
      <c r="A1418" s="45">
        <v>2842.0</v>
      </c>
      <c r="B1418" s="57"/>
      <c r="C1418" s="57"/>
      <c r="D1418" s="88" t="str">
        <f t="array" ref="D1418">IFERROR(
  LOOKUP(2, 1/((TRIM(IMS!$E$8:$E$2574)=TRIM(IMS!$E1418))*(IMS!$C$8:$C$2574&lt;IMS!$C1418)),
         IMS!$C$8:$C$2574),
"")</f>
        <v/>
      </c>
      <c r="E1418" s="57"/>
      <c r="F1418" s="57"/>
      <c r="G1418" s="77" t="str">
        <f t="shared" si="901"/>
        <v/>
      </c>
      <c r="H1418" s="78" t="str">
        <f t="shared" si="902"/>
        <v/>
      </c>
      <c r="I1418" s="79"/>
      <c r="J1418" s="80" t="str">
        <f t="shared" si="903"/>
        <v>#NAME?</v>
      </c>
      <c r="K1418" s="58"/>
      <c r="L1418" s="58"/>
      <c r="M1418" s="57"/>
      <c r="N1418" s="57"/>
      <c r="O1418" s="58"/>
      <c r="P1418" s="82"/>
      <c r="Q1418" s="81"/>
      <c r="R1418" s="81"/>
      <c r="S1418" s="57"/>
      <c r="T1418" s="82"/>
      <c r="U1418" s="82"/>
      <c r="V1418" s="57"/>
      <c r="W1418" s="57"/>
      <c r="X1418" s="57" t="str">
        <f t="shared" si="917"/>
        <v/>
      </c>
      <c r="Y1418" s="58" t="str">
        <f t="shared" ref="Y1418:AC1418" si="1258">TRIM(SUBSTITUTE(SUBSTITUTE(OFFSET($Q1418,0,COLUMN()-COLUMN($AL$1)),CHAR(160)," "),_xludf.UNICHAR(8239)," "))</f>
        <v>#NAME?</v>
      </c>
      <c r="Z1418" s="58" t="str">
        <f t="shared" si="1258"/>
        <v>#NAME?</v>
      </c>
      <c r="AA1418" s="58" t="str">
        <f t="shared" si="1258"/>
        <v>#NAME?</v>
      </c>
      <c r="AB1418" s="58" t="str">
        <f t="shared" si="1258"/>
        <v>#NAME?</v>
      </c>
      <c r="AC1418" s="58" t="str">
        <f t="shared" si="1258"/>
        <v>#NAME?</v>
      </c>
      <c r="AD1418" s="57">
        <f t="shared" si="906"/>
        <v>0</v>
      </c>
      <c r="AE1418" s="57" t="str">
        <f t="shared" si="907"/>
        <v/>
      </c>
      <c r="AF1418" s="57">
        <f t="shared" si="908"/>
        <v>0</v>
      </c>
      <c r="AG1418" s="59">
        <f t="shared" si="909"/>
        <v>0</v>
      </c>
      <c r="AH1418" s="15"/>
      <c r="AI1418" s="15"/>
      <c r="AJ1418" s="15"/>
      <c r="AK1418" s="15"/>
      <c r="AL1418" s="15"/>
      <c r="AM1418" s="15"/>
      <c r="AN1418" s="15"/>
      <c r="AO1418" s="15"/>
      <c r="AP1418" s="15"/>
      <c r="AQ1418" s="15"/>
      <c r="AR1418" s="15"/>
      <c r="AS1418" s="15"/>
      <c r="AT1418" s="15"/>
      <c r="AU1418" s="15"/>
    </row>
    <row r="1419" ht="24.0" customHeight="1">
      <c r="A1419" s="45">
        <v>2843.0</v>
      </c>
      <c r="B1419" s="57"/>
      <c r="C1419" s="57"/>
      <c r="D1419" s="88" t="str">
        <f t="array" ref="D1419">IFERROR(
  LOOKUP(2, 1/((TRIM(IMS!$E$8:$E$2574)=TRIM(IMS!$E1419))*(IMS!$C$8:$C$2574&lt;IMS!$C1419)),
         IMS!$C$8:$C$2574),
"")</f>
        <v/>
      </c>
      <c r="E1419" s="57"/>
      <c r="F1419" s="57"/>
      <c r="G1419" s="77" t="str">
        <f t="shared" si="901"/>
        <v/>
      </c>
      <c r="H1419" s="78" t="str">
        <f t="shared" si="902"/>
        <v/>
      </c>
      <c r="I1419" s="79"/>
      <c r="J1419" s="80" t="str">
        <f t="shared" si="903"/>
        <v>#NAME?</v>
      </c>
      <c r="K1419" s="58"/>
      <c r="L1419" s="58"/>
      <c r="M1419" s="57"/>
      <c r="N1419" s="57"/>
      <c r="O1419" s="58"/>
      <c r="P1419" s="82"/>
      <c r="Q1419" s="81"/>
      <c r="R1419" s="81"/>
      <c r="S1419" s="57"/>
      <c r="T1419" s="82"/>
      <c r="U1419" s="82"/>
      <c r="V1419" s="57"/>
      <c r="W1419" s="57"/>
      <c r="X1419" s="57" t="str">
        <f t="shared" si="917"/>
        <v/>
      </c>
      <c r="Y1419" s="58" t="str">
        <f t="shared" ref="Y1419:AC1419" si="1259">TRIM(SUBSTITUTE(SUBSTITUTE(OFFSET($Q1419,0,COLUMN()-COLUMN($AL$1)),CHAR(160)," "),_xludf.UNICHAR(8239)," "))</f>
        <v>#NAME?</v>
      </c>
      <c r="Z1419" s="58" t="str">
        <f t="shared" si="1259"/>
        <v>#NAME?</v>
      </c>
      <c r="AA1419" s="58" t="str">
        <f t="shared" si="1259"/>
        <v>#NAME?</v>
      </c>
      <c r="AB1419" s="58" t="str">
        <f t="shared" si="1259"/>
        <v>#NAME?</v>
      </c>
      <c r="AC1419" s="58" t="str">
        <f t="shared" si="1259"/>
        <v>#NAME?</v>
      </c>
      <c r="AD1419" s="57">
        <f t="shared" si="906"/>
        <v>0</v>
      </c>
      <c r="AE1419" s="57" t="str">
        <f t="shared" si="907"/>
        <v/>
      </c>
      <c r="AF1419" s="57">
        <f t="shared" si="908"/>
        <v>0</v>
      </c>
      <c r="AG1419" s="59">
        <f t="shared" si="909"/>
        <v>0</v>
      </c>
      <c r="AH1419" s="15"/>
      <c r="AI1419" s="15"/>
      <c r="AJ1419" s="15"/>
      <c r="AK1419" s="15"/>
      <c r="AL1419" s="15"/>
      <c r="AM1419" s="15"/>
      <c r="AN1419" s="15"/>
      <c r="AO1419" s="15"/>
      <c r="AP1419" s="15"/>
      <c r="AQ1419" s="15"/>
      <c r="AR1419" s="15"/>
      <c r="AS1419" s="15"/>
      <c r="AT1419" s="15"/>
      <c r="AU1419" s="15"/>
    </row>
    <row r="1420" ht="24.0" customHeight="1">
      <c r="A1420" s="45">
        <v>2844.0</v>
      </c>
      <c r="B1420" s="57"/>
      <c r="C1420" s="57"/>
      <c r="D1420" s="88" t="str">
        <f t="array" ref="D1420">IFERROR(
  LOOKUP(2, 1/((TRIM(IMS!$E$8:$E$2574)=TRIM(IMS!$E1420))*(IMS!$C$8:$C$2574&lt;IMS!$C1420)),
         IMS!$C$8:$C$2574),
"")</f>
        <v/>
      </c>
      <c r="E1420" s="57"/>
      <c r="F1420" s="57"/>
      <c r="G1420" s="77" t="str">
        <f t="shared" si="901"/>
        <v/>
      </c>
      <c r="H1420" s="78" t="str">
        <f t="shared" si="902"/>
        <v/>
      </c>
      <c r="I1420" s="79"/>
      <c r="J1420" s="80" t="str">
        <f t="shared" si="903"/>
        <v>#NAME?</v>
      </c>
      <c r="K1420" s="58"/>
      <c r="L1420" s="58"/>
      <c r="M1420" s="57"/>
      <c r="N1420" s="57"/>
      <c r="O1420" s="58"/>
      <c r="P1420" s="82"/>
      <c r="Q1420" s="81"/>
      <c r="R1420" s="81"/>
      <c r="S1420" s="57"/>
      <c r="T1420" s="82"/>
      <c r="U1420" s="82"/>
      <c r="V1420" s="57"/>
      <c r="W1420" s="57"/>
      <c r="X1420" s="57" t="str">
        <f t="shared" si="917"/>
        <v/>
      </c>
      <c r="Y1420" s="58" t="str">
        <f t="shared" ref="Y1420:AC1420" si="1260">TRIM(SUBSTITUTE(SUBSTITUTE(OFFSET($Q1420,0,COLUMN()-COLUMN($AL$1)),CHAR(160)," "),_xludf.UNICHAR(8239)," "))</f>
        <v>#NAME?</v>
      </c>
      <c r="Z1420" s="58" t="str">
        <f t="shared" si="1260"/>
        <v>#NAME?</v>
      </c>
      <c r="AA1420" s="58" t="str">
        <f t="shared" si="1260"/>
        <v>#NAME?</v>
      </c>
      <c r="AB1420" s="58" t="str">
        <f t="shared" si="1260"/>
        <v>#NAME?</v>
      </c>
      <c r="AC1420" s="58" t="str">
        <f t="shared" si="1260"/>
        <v>#NAME?</v>
      </c>
      <c r="AD1420" s="57">
        <f t="shared" si="906"/>
        <v>0</v>
      </c>
      <c r="AE1420" s="57" t="str">
        <f t="shared" si="907"/>
        <v/>
      </c>
      <c r="AF1420" s="57">
        <f t="shared" si="908"/>
        <v>0</v>
      </c>
      <c r="AG1420" s="59">
        <f t="shared" si="909"/>
        <v>0</v>
      </c>
      <c r="AH1420" s="15"/>
      <c r="AI1420" s="15"/>
      <c r="AJ1420" s="15"/>
      <c r="AK1420" s="15"/>
      <c r="AL1420" s="15"/>
      <c r="AM1420" s="15"/>
      <c r="AN1420" s="15"/>
      <c r="AO1420" s="15"/>
      <c r="AP1420" s="15"/>
      <c r="AQ1420" s="15"/>
      <c r="AR1420" s="15"/>
      <c r="AS1420" s="15"/>
      <c r="AT1420" s="15"/>
      <c r="AU1420" s="15"/>
    </row>
    <row r="1421" ht="24.0" customHeight="1">
      <c r="A1421" s="45">
        <v>2845.0</v>
      </c>
      <c r="B1421" s="57"/>
      <c r="C1421" s="57"/>
      <c r="D1421" s="88" t="str">
        <f t="array" ref="D1421">IFERROR(
  LOOKUP(2, 1/((TRIM(IMS!$E$8:$E$2574)=TRIM(IMS!$E1421))*(IMS!$C$8:$C$2574&lt;IMS!$C1421)),
         IMS!$C$8:$C$2574),
"")</f>
        <v/>
      </c>
      <c r="E1421" s="57"/>
      <c r="F1421" s="57"/>
      <c r="G1421" s="77" t="str">
        <f t="shared" si="901"/>
        <v/>
      </c>
      <c r="H1421" s="78" t="str">
        <f t="shared" si="902"/>
        <v/>
      </c>
      <c r="I1421" s="79"/>
      <c r="J1421" s="80" t="str">
        <f t="shared" si="903"/>
        <v>#NAME?</v>
      </c>
      <c r="K1421" s="58"/>
      <c r="L1421" s="58"/>
      <c r="M1421" s="57"/>
      <c r="N1421" s="57"/>
      <c r="O1421" s="58"/>
      <c r="P1421" s="82"/>
      <c r="Q1421" s="81"/>
      <c r="R1421" s="81"/>
      <c r="S1421" s="57"/>
      <c r="T1421" s="82"/>
      <c r="U1421" s="82"/>
      <c r="V1421" s="57"/>
      <c r="W1421" s="57"/>
      <c r="X1421" s="57" t="str">
        <f t="shared" si="917"/>
        <v/>
      </c>
      <c r="Y1421" s="58" t="str">
        <f t="shared" ref="Y1421:AC1421" si="1261">TRIM(SUBSTITUTE(SUBSTITUTE(OFFSET($Q1421,0,COLUMN()-COLUMN($AL$1)),CHAR(160)," "),_xludf.UNICHAR(8239)," "))</f>
        <v>#NAME?</v>
      </c>
      <c r="Z1421" s="58" t="str">
        <f t="shared" si="1261"/>
        <v>#NAME?</v>
      </c>
      <c r="AA1421" s="58" t="str">
        <f t="shared" si="1261"/>
        <v>#NAME?</v>
      </c>
      <c r="AB1421" s="58" t="str">
        <f t="shared" si="1261"/>
        <v>#NAME?</v>
      </c>
      <c r="AC1421" s="58" t="str">
        <f t="shared" si="1261"/>
        <v>#NAME?</v>
      </c>
      <c r="AD1421" s="57">
        <f t="shared" si="906"/>
        <v>0</v>
      </c>
      <c r="AE1421" s="57" t="str">
        <f t="shared" si="907"/>
        <v/>
      </c>
      <c r="AF1421" s="57">
        <f t="shared" si="908"/>
        <v>0</v>
      </c>
      <c r="AG1421" s="59">
        <f t="shared" si="909"/>
        <v>0</v>
      </c>
      <c r="AH1421" s="15"/>
      <c r="AI1421" s="15"/>
      <c r="AJ1421" s="15"/>
      <c r="AK1421" s="15"/>
      <c r="AL1421" s="15"/>
      <c r="AM1421" s="15"/>
      <c r="AN1421" s="15"/>
      <c r="AO1421" s="15"/>
      <c r="AP1421" s="15"/>
      <c r="AQ1421" s="15"/>
      <c r="AR1421" s="15"/>
      <c r="AS1421" s="15"/>
      <c r="AT1421" s="15"/>
      <c r="AU1421" s="15"/>
    </row>
    <row r="1422" ht="24.0" customHeight="1">
      <c r="A1422" s="45">
        <v>2846.0</v>
      </c>
      <c r="B1422" s="57"/>
      <c r="C1422" s="57"/>
      <c r="D1422" s="88" t="str">
        <f t="array" ref="D1422">IFERROR(
  LOOKUP(2, 1/((TRIM(IMS!$E$8:$E$2574)=TRIM(IMS!$E1422))*(IMS!$C$8:$C$2574&lt;IMS!$C1422)),
         IMS!$C$8:$C$2574),
"")</f>
        <v/>
      </c>
      <c r="E1422" s="57"/>
      <c r="F1422" s="57"/>
      <c r="G1422" s="77" t="str">
        <f t="shared" si="901"/>
        <v/>
      </c>
      <c r="H1422" s="78" t="str">
        <f t="shared" si="902"/>
        <v/>
      </c>
      <c r="I1422" s="79"/>
      <c r="J1422" s="80" t="str">
        <f t="shared" si="903"/>
        <v>#NAME?</v>
      </c>
      <c r="K1422" s="58"/>
      <c r="L1422" s="58"/>
      <c r="M1422" s="57"/>
      <c r="N1422" s="57"/>
      <c r="O1422" s="58"/>
      <c r="P1422" s="82"/>
      <c r="Q1422" s="81"/>
      <c r="R1422" s="81"/>
      <c r="S1422" s="57"/>
      <c r="T1422" s="82"/>
      <c r="U1422" s="82"/>
      <c r="V1422" s="57"/>
      <c r="W1422" s="57"/>
      <c r="X1422" s="57" t="str">
        <f t="shared" si="917"/>
        <v/>
      </c>
      <c r="Y1422" s="58" t="str">
        <f t="shared" ref="Y1422:AC1422" si="1262">TRIM(SUBSTITUTE(SUBSTITUTE(OFFSET($Q1422,0,COLUMN()-COLUMN($AL$1)),CHAR(160)," "),_xludf.UNICHAR(8239)," "))</f>
        <v>#NAME?</v>
      </c>
      <c r="Z1422" s="58" t="str">
        <f t="shared" si="1262"/>
        <v>#NAME?</v>
      </c>
      <c r="AA1422" s="58" t="str">
        <f t="shared" si="1262"/>
        <v>#NAME?</v>
      </c>
      <c r="AB1422" s="58" t="str">
        <f t="shared" si="1262"/>
        <v>#NAME?</v>
      </c>
      <c r="AC1422" s="58" t="str">
        <f t="shared" si="1262"/>
        <v>#NAME?</v>
      </c>
      <c r="AD1422" s="57">
        <f t="shared" si="906"/>
        <v>0</v>
      </c>
      <c r="AE1422" s="57" t="str">
        <f t="shared" si="907"/>
        <v/>
      </c>
      <c r="AF1422" s="57">
        <f t="shared" si="908"/>
        <v>0</v>
      </c>
      <c r="AG1422" s="59">
        <f t="shared" si="909"/>
        <v>0</v>
      </c>
      <c r="AH1422" s="15"/>
      <c r="AI1422" s="15"/>
      <c r="AJ1422" s="15"/>
      <c r="AK1422" s="15"/>
      <c r="AL1422" s="15"/>
      <c r="AM1422" s="15"/>
      <c r="AN1422" s="15"/>
      <c r="AO1422" s="15"/>
      <c r="AP1422" s="15"/>
      <c r="AQ1422" s="15"/>
      <c r="AR1422" s="15"/>
      <c r="AS1422" s="15"/>
      <c r="AT1422" s="15"/>
      <c r="AU1422" s="15"/>
    </row>
    <row r="1423" ht="24.0" customHeight="1">
      <c r="A1423" s="45">
        <v>2847.0</v>
      </c>
      <c r="B1423" s="57"/>
      <c r="C1423" s="57"/>
      <c r="D1423" s="88" t="str">
        <f t="array" ref="D1423">IFERROR(
  LOOKUP(2, 1/((TRIM(IMS!$E$8:$E$2574)=TRIM(IMS!$E1423))*(IMS!$C$8:$C$2574&lt;IMS!$C1423)),
         IMS!$C$8:$C$2574),
"")</f>
        <v/>
      </c>
      <c r="E1423" s="57"/>
      <c r="F1423" s="57"/>
      <c r="G1423" s="77" t="str">
        <f t="shared" si="901"/>
        <v/>
      </c>
      <c r="H1423" s="78" t="str">
        <f t="shared" si="902"/>
        <v/>
      </c>
      <c r="I1423" s="79"/>
      <c r="J1423" s="80" t="str">
        <f t="shared" si="903"/>
        <v>#NAME?</v>
      </c>
      <c r="K1423" s="58"/>
      <c r="L1423" s="58"/>
      <c r="M1423" s="57"/>
      <c r="N1423" s="57"/>
      <c r="O1423" s="58"/>
      <c r="P1423" s="82"/>
      <c r="Q1423" s="81"/>
      <c r="R1423" s="81"/>
      <c r="S1423" s="57"/>
      <c r="T1423" s="82"/>
      <c r="U1423" s="82"/>
      <c r="V1423" s="57"/>
      <c r="W1423" s="57"/>
      <c r="X1423" s="57" t="str">
        <f t="shared" si="917"/>
        <v/>
      </c>
      <c r="Y1423" s="58" t="str">
        <f t="shared" ref="Y1423:AC1423" si="1263">TRIM(SUBSTITUTE(SUBSTITUTE(OFFSET($Q1423,0,COLUMN()-COLUMN($AL$1)),CHAR(160)," "),_xludf.UNICHAR(8239)," "))</f>
        <v>#NAME?</v>
      </c>
      <c r="Z1423" s="58" t="str">
        <f t="shared" si="1263"/>
        <v>#NAME?</v>
      </c>
      <c r="AA1423" s="58" t="str">
        <f t="shared" si="1263"/>
        <v>#NAME?</v>
      </c>
      <c r="AB1423" s="58" t="str">
        <f t="shared" si="1263"/>
        <v>#NAME?</v>
      </c>
      <c r="AC1423" s="58" t="str">
        <f t="shared" si="1263"/>
        <v>#NAME?</v>
      </c>
      <c r="AD1423" s="57">
        <f t="shared" si="906"/>
        <v>0</v>
      </c>
      <c r="AE1423" s="57" t="str">
        <f t="shared" si="907"/>
        <v/>
      </c>
      <c r="AF1423" s="57">
        <f t="shared" si="908"/>
        <v>0</v>
      </c>
      <c r="AG1423" s="59">
        <f t="shared" si="909"/>
        <v>0</v>
      </c>
      <c r="AH1423" s="15"/>
      <c r="AI1423" s="15"/>
      <c r="AJ1423" s="15"/>
      <c r="AK1423" s="15"/>
      <c r="AL1423" s="15"/>
      <c r="AM1423" s="15"/>
      <c r="AN1423" s="15"/>
      <c r="AO1423" s="15"/>
      <c r="AP1423" s="15"/>
      <c r="AQ1423" s="15"/>
      <c r="AR1423" s="15"/>
      <c r="AS1423" s="15"/>
      <c r="AT1423" s="15"/>
      <c r="AU1423" s="15"/>
    </row>
    <row r="1424" ht="24.0" customHeight="1">
      <c r="A1424" s="45">
        <v>2848.0</v>
      </c>
      <c r="B1424" s="57"/>
      <c r="C1424" s="57"/>
      <c r="D1424" s="88" t="str">
        <f t="array" ref="D1424">IFERROR(
  LOOKUP(2, 1/((TRIM(IMS!$E$8:$E$2574)=TRIM(IMS!$E1424))*(IMS!$C$8:$C$2574&lt;IMS!$C1424)),
         IMS!$C$8:$C$2574),
"")</f>
        <v/>
      </c>
      <c r="E1424" s="57"/>
      <c r="F1424" s="57"/>
      <c r="G1424" s="77" t="str">
        <f t="shared" si="901"/>
        <v/>
      </c>
      <c r="H1424" s="78" t="str">
        <f t="shared" si="902"/>
        <v/>
      </c>
      <c r="I1424" s="79"/>
      <c r="J1424" s="80" t="str">
        <f t="shared" si="903"/>
        <v>#NAME?</v>
      </c>
      <c r="K1424" s="58"/>
      <c r="L1424" s="58"/>
      <c r="M1424" s="57"/>
      <c r="N1424" s="57"/>
      <c r="O1424" s="58"/>
      <c r="P1424" s="82"/>
      <c r="Q1424" s="81"/>
      <c r="R1424" s="81"/>
      <c r="S1424" s="57"/>
      <c r="T1424" s="82"/>
      <c r="U1424" s="82"/>
      <c r="V1424" s="57"/>
      <c r="W1424" s="57"/>
      <c r="X1424" s="57" t="str">
        <f t="shared" si="917"/>
        <v/>
      </c>
      <c r="Y1424" s="58" t="str">
        <f t="shared" ref="Y1424:AC1424" si="1264">TRIM(SUBSTITUTE(SUBSTITUTE(OFFSET($Q1424,0,COLUMN()-COLUMN($AL$1)),CHAR(160)," "),_xludf.UNICHAR(8239)," "))</f>
        <v>#NAME?</v>
      </c>
      <c r="Z1424" s="58" t="str">
        <f t="shared" si="1264"/>
        <v>#NAME?</v>
      </c>
      <c r="AA1424" s="58" t="str">
        <f t="shared" si="1264"/>
        <v>#NAME?</v>
      </c>
      <c r="AB1424" s="58" t="str">
        <f t="shared" si="1264"/>
        <v>#NAME?</v>
      </c>
      <c r="AC1424" s="58" t="str">
        <f t="shared" si="1264"/>
        <v>#NAME?</v>
      </c>
      <c r="AD1424" s="57">
        <f t="shared" si="906"/>
        <v>0</v>
      </c>
      <c r="AE1424" s="57" t="str">
        <f t="shared" si="907"/>
        <v/>
      </c>
      <c r="AF1424" s="57">
        <f t="shared" si="908"/>
        <v>0</v>
      </c>
      <c r="AG1424" s="59">
        <f t="shared" si="909"/>
        <v>0</v>
      </c>
      <c r="AH1424" s="15"/>
      <c r="AI1424" s="15"/>
      <c r="AJ1424" s="15"/>
      <c r="AK1424" s="15"/>
      <c r="AL1424" s="15"/>
      <c r="AM1424" s="15"/>
      <c r="AN1424" s="15"/>
      <c r="AO1424" s="15"/>
      <c r="AP1424" s="15"/>
      <c r="AQ1424" s="15"/>
      <c r="AR1424" s="15"/>
      <c r="AS1424" s="15"/>
      <c r="AT1424" s="15"/>
      <c r="AU1424" s="15"/>
    </row>
    <row r="1425" ht="24.0" customHeight="1">
      <c r="A1425" s="45">
        <v>2849.0</v>
      </c>
      <c r="B1425" s="57"/>
      <c r="C1425" s="57"/>
      <c r="D1425" s="88" t="str">
        <f t="array" ref="D1425">IFERROR(
  LOOKUP(2, 1/((TRIM(IMS!$E$8:$E$2574)=TRIM(IMS!$E1425))*(IMS!$C$8:$C$2574&lt;IMS!$C1425)),
         IMS!$C$8:$C$2574),
"")</f>
        <v/>
      </c>
      <c r="E1425" s="57"/>
      <c r="F1425" s="57"/>
      <c r="G1425" s="77" t="str">
        <f t="shared" si="901"/>
        <v/>
      </c>
      <c r="H1425" s="78" t="str">
        <f t="shared" si="902"/>
        <v/>
      </c>
      <c r="I1425" s="79"/>
      <c r="J1425" s="80" t="str">
        <f t="shared" si="903"/>
        <v>#NAME?</v>
      </c>
      <c r="K1425" s="58"/>
      <c r="L1425" s="58"/>
      <c r="M1425" s="57"/>
      <c r="N1425" s="57"/>
      <c r="O1425" s="58"/>
      <c r="P1425" s="82"/>
      <c r="Q1425" s="81"/>
      <c r="R1425" s="81"/>
      <c r="S1425" s="57"/>
      <c r="T1425" s="82"/>
      <c r="U1425" s="82"/>
      <c r="V1425" s="57"/>
      <c r="W1425" s="57"/>
      <c r="X1425" s="57" t="str">
        <f t="shared" si="917"/>
        <v/>
      </c>
      <c r="Y1425" s="58" t="str">
        <f t="shared" ref="Y1425:AC1425" si="1265">TRIM(SUBSTITUTE(SUBSTITUTE(OFFSET($Q1425,0,COLUMN()-COLUMN($AL$1)),CHAR(160)," "),_xludf.UNICHAR(8239)," "))</f>
        <v>#NAME?</v>
      </c>
      <c r="Z1425" s="58" t="str">
        <f t="shared" si="1265"/>
        <v>#NAME?</v>
      </c>
      <c r="AA1425" s="58" t="str">
        <f t="shared" si="1265"/>
        <v>#NAME?</v>
      </c>
      <c r="AB1425" s="58" t="str">
        <f t="shared" si="1265"/>
        <v>#NAME?</v>
      </c>
      <c r="AC1425" s="58" t="str">
        <f t="shared" si="1265"/>
        <v>#NAME?</v>
      </c>
      <c r="AD1425" s="57">
        <f t="shared" si="906"/>
        <v>0</v>
      </c>
      <c r="AE1425" s="57" t="str">
        <f t="shared" si="907"/>
        <v/>
      </c>
      <c r="AF1425" s="57">
        <f t="shared" si="908"/>
        <v>0</v>
      </c>
      <c r="AG1425" s="59">
        <f t="shared" si="909"/>
        <v>0</v>
      </c>
      <c r="AH1425" s="15"/>
      <c r="AI1425" s="15"/>
      <c r="AJ1425" s="15"/>
      <c r="AK1425" s="15"/>
      <c r="AL1425" s="15"/>
      <c r="AM1425" s="15"/>
      <c r="AN1425" s="15"/>
      <c r="AO1425" s="15"/>
      <c r="AP1425" s="15"/>
      <c r="AQ1425" s="15"/>
      <c r="AR1425" s="15"/>
      <c r="AS1425" s="15"/>
      <c r="AT1425" s="15"/>
      <c r="AU1425" s="15"/>
    </row>
    <row r="1426" ht="24.0" customHeight="1">
      <c r="A1426" s="45">
        <v>2850.0</v>
      </c>
      <c r="B1426" s="57"/>
      <c r="C1426" s="57"/>
      <c r="D1426" s="88" t="str">
        <f t="array" ref="D1426">IFERROR(
  LOOKUP(2, 1/((TRIM(IMS!$E$8:$E$2574)=TRIM(IMS!$E1426))*(IMS!$C$8:$C$2574&lt;IMS!$C1426)),
         IMS!$C$8:$C$2574),
"")</f>
        <v/>
      </c>
      <c r="E1426" s="57"/>
      <c r="F1426" s="57"/>
      <c r="G1426" s="77" t="str">
        <f t="shared" si="901"/>
        <v/>
      </c>
      <c r="H1426" s="78" t="str">
        <f t="shared" si="902"/>
        <v/>
      </c>
      <c r="I1426" s="79"/>
      <c r="J1426" s="80" t="str">
        <f t="shared" si="903"/>
        <v>#NAME?</v>
      </c>
      <c r="K1426" s="58"/>
      <c r="L1426" s="58"/>
      <c r="M1426" s="57"/>
      <c r="N1426" s="57"/>
      <c r="O1426" s="58"/>
      <c r="P1426" s="82"/>
      <c r="Q1426" s="81"/>
      <c r="R1426" s="81"/>
      <c r="S1426" s="57"/>
      <c r="T1426" s="82"/>
      <c r="U1426" s="82"/>
      <c r="V1426" s="57"/>
      <c r="W1426" s="57"/>
      <c r="X1426" s="57" t="str">
        <f t="shared" si="917"/>
        <v/>
      </c>
      <c r="Y1426" s="58" t="str">
        <f t="shared" ref="Y1426:AC1426" si="1266">TRIM(SUBSTITUTE(SUBSTITUTE(OFFSET($Q1426,0,COLUMN()-COLUMN($AL$1)),CHAR(160)," "),_xludf.UNICHAR(8239)," "))</f>
        <v>#NAME?</v>
      </c>
      <c r="Z1426" s="58" t="str">
        <f t="shared" si="1266"/>
        <v>#NAME?</v>
      </c>
      <c r="AA1426" s="58" t="str">
        <f t="shared" si="1266"/>
        <v>#NAME?</v>
      </c>
      <c r="AB1426" s="58" t="str">
        <f t="shared" si="1266"/>
        <v>#NAME?</v>
      </c>
      <c r="AC1426" s="58" t="str">
        <f t="shared" si="1266"/>
        <v>#NAME?</v>
      </c>
      <c r="AD1426" s="57">
        <f t="shared" si="906"/>
        <v>0</v>
      </c>
      <c r="AE1426" s="57" t="str">
        <f t="shared" si="907"/>
        <v/>
      </c>
      <c r="AF1426" s="57">
        <f t="shared" si="908"/>
        <v>0</v>
      </c>
      <c r="AG1426" s="59">
        <f t="shared" si="909"/>
        <v>0</v>
      </c>
      <c r="AH1426" s="15"/>
      <c r="AI1426" s="15"/>
      <c r="AJ1426" s="15"/>
      <c r="AK1426" s="15"/>
      <c r="AL1426" s="15"/>
      <c r="AM1426" s="15"/>
      <c r="AN1426" s="15"/>
      <c r="AO1426" s="15"/>
      <c r="AP1426" s="15"/>
      <c r="AQ1426" s="15"/>
      <c r="AR1426" s="15"/>
      <c r="AS1426" s="15"/>
      <c r="AT1426" s="15"/>
      <c r="AU1426" s="15"/>
    </row>
    <row r="1427" ht="24.0" customHeight="1">
      <c r="A1427" s="45">
        <v>2851.0</v>
      </c>
      <c r="B1427" s="57"/>
      <c r="C1427" s="57"/>
      <c r="D1427" s="88" t="str">
        <f t="array" ref="D1427">IFERROR(
  LOOKUP(2, 1/((TRIM(IMS!$E$8:$E$2574)=TRIM(IMS!$E1427))*(IMS!$C$8:$C$2574&lt;IMS!$C1427)),
         IMS!$C$8:$C$2574),
"")</f>
        <v/>
      </c>
      <c r="E1427" s="57"/>
      <c r="F1427" s="57"/>
      <c r="G1427" s="77" t="str">
        <f t="shared" si="901"/>
        <v/>
      </c>
      <c r="H1427" s="78" t="str">
        <f t="shared" si="902"/>
        <v/>
      </c>
      <c r="I1427" s="79"/>
      <c r="J1427" s="80" t="str">
        <f t="shared" si="903"/>
        <v>#NAME?</v>
      </c>
      <c r="K1427" s="58"/>
      <c r="L1427" s="58"/>
      <c r="M1427" s="57"/>
      <c r="N1427" s="57"/>
      <c r="O1427" s="58"/>
      <c r="P1427" s="82"/>
      <c r="Q1427" s="81"/>
      <c r="R1427" s="81"/>
      <c r="S1427" s="57"/>
      <c r="T1427" s="82"/>
      <c r="U1427" s="82"/>
      <c r="V1427" s="57"/>
      <c r="W1427" s="57"/>
      <c r="X1427" s="57" t="str">
        <f t="shared" si="917"/>
        <v/>
      </c>
      <c r="Y1427" s="58" t="str">
        <f t="shared" ref="Y1427:AC1427" si="1267">TRIM(SUBSTITUTE(SUBSTITUTE(OFFSET($Q1427,0,COLUMN()-COLUMN($AL$1)),CHAR(160)," "),_xludf.UNICHAR(8239)," "))</f>
        <v>#NAME?</v>
      </c>
      <c r="Z1427" s="58" t="str">
        <f t="shared" si="1267"/>
        <v>#NAME?</v>
      </c>
      <c r="AA1427" s="58" t="str">
        <f t="shared" si="1267"/>
        <v>#NAME?</v>
      </c>
      <c r="AB1427" s="58" t="str">
        <f t="shared" si="1267"/>
        <v>#NAME?</v>
      </c>
      <c r="AC1427" s="58" t="str">
        <f t="shared" si="1267"/>
        <v>#NAME?</v>
      </c>
      <c r="AD1427" s="57">
        <f t="shared" si="906"/>
        <v>0</v>
      </c>
      <c r="AE1427" s="57" t="str">
        <f t="shared" si="907"/>
        <v/>
      </c>
      <c r="AF1427" s="57">
        <f t="shared" si="908"/>
        <v>0</v>
      </c>
      <c r="AG1427" s="59">
        <f t="shared" si="909"/>
        <v>0</v>
      </c>
      <c r="AH1427" s="15"/>
      <c r="AI1427" s="15"/>
      <c r="AJ1427" s="15"/>
      <c r="AK1427" s="15"/>
      <c r="AL1427" s="15"/>
      <c r="AM1427" s="15"/>
      <c r="AN1427" s="15"/>
      <c r="AO1427" s="15"/>
      <c r="AP1427" s="15"/>
      <c r="AQ1427" s="15"/>
      <c r="AR1427" s="15"/>
      <c r="AS1427" s="15"/>
      <c r="AT1427" s="15"/>
      <c r="AU1427" s="15"/>
    </row>
    <row r="1428" ht="24.0" customHeight="1">
      <c r="A1428" s="45">
        <v>2852.0</v>
      </c>
      <c r="B1428" s="57"/>
      <c r="C1428" s="57"/>
      <c r="D1428" s="88" t="str">
        <f t="array" ref="D1428">IFERROR(
  LOOKUP(2, 1/((TRIM(IMS!$E$8:$E$2574)=TRIM(IMS!$E1428))*(IMS!$C$8:$C$2574&lt;IMS!$C1428)),
         IMS!$C$8:$C$2574),
"")</f>
        <v/>
      </c>
      <c r="E1428" s="57"/>
      <c r="F1428" s="57"/>
      <c r="G1428" s="77" t="str">
        <f t="shared" si="901"/>
        <v/>
      </c>
      <c r="H1428" s="78" t="str">
        <f t="shared" si="902"/>
        <v/>
      </c>
      <c r="I1428" s="79"/>
      <c r="J1428" s="80" t="str">
        <f t="shared" si="903"/>
        <v>#NAME?</v>
      </c>
      <c r="K1428" s="58"/>
      <c r="L1428" s="58"/>
      <c r="M1428" s="57"/>
      <c r="N1428" s="57"/>
      <c r="O1428" s="58"/>
      <c r="P1428" s="82"/>
      <c r="Q1428" s="81"/>
      <c r="R1428" s="81"/>
      <c r="S1428" s="57"/>
      <c r="T1428" s="82"/>
      <c r="U1428" s="82"/>
      <c r="V1428" s="57"/>
      <c r="W1428" s="57"/>
      <c r="X1428" s="57" t="str">
        <f t="shared" si="917"/>
        <v/>
      </c>
      <c r="Y1428" s="58" t="str">
        <f t="shared" ref="Y1428:AC1428" si="1268">TRIM(SUBSTITUTE(SUBSTITUTE(OFFSET($Q1428,0,COLUMN()-COLUMN($AL$1)),CHAR(160)," "),_xludf.UNICHAR(8239)," "))</f>
        <v>#NAME?</v>
      </c>
      <c r="Z1428" s="58" t="str">
        <f t="shared" si="1268"/>
        <v>#NAME?</v>
      </c>
      <c r="AA1428" s="58" t="str">
        <f t="shared" si="1268"/>
        <v>#NAME?</v>
      </c>
      <c r="AB1428" s="58" t="str">
        <f t="shared" si="1268"/>
        <v>#NAME?</v>
      </c>
      <c r="AC1428" s="58" t="str">
        <f t="shared" si="1268"/>
        <v>#NAME?</v>
      </c>
      <c r="AD1428" s="57">
        <f t="shared" si="906"/>
        <v>0</v>
      </c>
      <c r="AE1428" s="57" t="str">
        <f t="shared" si="907"/>
        <v/>
      </c>
      <c r="AF1428" s="57">
        <f t="shared" si="908"/>
        <v>0</v>
      </c>
      <c r="AG1428" s="59">
        <f t="shared" si="909"/>
        <v>0</v>
      </c>
      <c r="AH1428" s="15"/>
      <c r="AI1428" s="15"/>
      <c r="AJ1428" s="15"/>
      <c r="AK1428" s="15"/>
      <c r="AL1428" s="15"/>
      <c r="AM1428" s="15"/>
      <c r="AN1428" s="15"/>
      <c r="AO1428" s="15"/>
      <c r="AP1428" s="15"/>
      <c r="AQ1428" s="15"/>
      <c r="AR1428" s="15"/>
      <c r="AS1428" s="15"/>
      <c r="AT1428" s="15"/>
      <c r="AU1428" s="15"/>
    </row>
    <row r="1429" ht="24.0" customHeight="1">
      <c r="A1429" s="45">
        <v>2853.0</v>
      </c>
      <c r="B1429" s="57"/>
      <c r="C1429" s="57"/>
      <c r="D1429" s="88" t="str">
        <f t="array" ref="D1429">IFERROR(
  LOOKUP(2, 1/((TRIM(IMS!$E$8:$E$2574)=TRIM(IMS!$E1429))*(IMS!$C$8:$C$2574&lt;IMS!$C1429)),
         IMS!$C$8:$C$2574),
"")</f>
        <v/>
      </c>
      <c r="E1429" s="57"/>
      <c r="F1429" s="57"/>
      <c r="G1429" s="77" t="str">
        <f t="shared" si="901"/>
        <v/>
      </c>
      <c r="H1429" s="78" t="str">
        <f t="shared" si="902"/>
        <v/>
      </c>
      <c r="I1429" s="79"/>
      <c r="J1429" s="80" t="str">
        <f t="shared" si="903"/>
        <v>#NAME?</v>
      </c>
      <c r="K1429" s="58"/>
      <c r="L1429" s="58"/>
      <c r="M1429" s="57"/>
      <c r="N1429" s="57"/>
      <c r="O1429" s="58"/>
      <c r="P1429" s="82"/>
      <c r="Q1429" s="81"/>
      <c r="R1429" s="81"/>
      <c r="S1429" s="57"/>
      <c r="T1429" s="82"/>
      <c r="U1429" s="82"/>
      <c r="V1429" s="57"/>
      <c r="W1429" s="57"/>
      <c r="X1429" s="57" t="str">
        <f t="shared" si="917"/>
        <v/>
      </c>
      <c r="Y1429" s="58" t="str">
        <f t="shared" ref="Y1429:AC1429" si="1269">TRIM(SUBSTITUTE(SUBSTITUTE(OFFSET($Q1429,0,COLUMN()-COLUMN($AL$1)),CHAR(160)," "),_xludf.UNICHAR(8239)," "))</f>
        <v>#NAME?</v>
      </c>
      <c r="Z1429" s="58" t="str">
        <f t="shared" si="1269"/>
        <v>#NAME?</v>
      </c>
      <c r="AA1429" s="58" t="str">
        <f t="shared" si="1269"/>
        <v>#NAME?</v>
      </c>
      <c r="AB1429" s="58" t="str">
        <f t="shared" si="1269"/>
        <v>#NAME?</v>
      </c>
      <c r="AC1429" s="58" t="str">
        <f t="shared" si="1269"/>
        <v>#NAME?</v>
      </c>
      <c r="AD1429" s="57">
        <f t="shared" si="906"/>
        <v>0</v>
      </c>
      <c r="AE1429" s="57" t="str">
        <f t="shared" si="907"/>
        <v/>
      </c>
      <c r="AF1429" s="57">
        <f t="shared" si="908"/>
        <v>0</v>
      </c>
      <c r="AG1429" s="59">
        <f t="shared" si="909"/>
        <v>0</v>
      </c>
      <c r="AH1429" s="15"/>
      <c r="AI1429" s="15"/>
      <c r="AJ1429" s="15"/>
      <c r="AK1429" s="15"/>
      <c r="AL1429" s="15"/>
      <c r="AM1429" s="15"/>
      <c r="AN1429" s="15"/>
      <c r="AO1429" s="15"/>
      <c r="AP1429" s="15"/>
      <c r="AQ1429" s="15"/>
      <c r="AR1429" s="15"/>
      <c r="AS1429" s="15"/>
      <c r="AT1429" s="15"/>
      <c r="AU1429" s="15"/>
    </row>
    <row r="1430" ht="24.0" customHeight="1">
      <c r="A1430" s="45">
        <v>2854.0</v>
      </c>
      <c r="B1430" s="57"/>
      <c r="C1430" s="57"/>
      <c r="D1430" s="88" t="str">
        <f t="array" ref="D1430">IFERROR(
  LOOKUP(2, 1/((TRIM(IMS!$E$8:$E$2574)=TRIM(IMS!$E1430))*(IMS!$C$8:$C$2574&lt;IMS!$C1430)),
         IMS!$C$8:$C$2574),
"")</f>
        <v/>
      </c>
      <c r="E1430" s="57"/>
      <c r="F1430" s="57"/>
      <c r="G1430" s="77" t="str">
        <f t="shared" si="901"/>
        <v/>
      </c>
      <c r="H1430" s="78" t="str">
        <f t="shared" si="902"/>
        <v/>
      </c>
      <c r="I1430" s="79"/>
      <c r="J1430" s="80" t="str">
        <f t="shared" si="903"/>
        <v>#NAME?</v>
      </c>
      <c r="K1430" s="58"/>
      <c r="L1430" s="58"/>
      <c r="M1430" s="57"/>
      <c r="N1430" s="57"/>
      <c r="O1430" s="58"/>
      <c r="P1430" s="82"/>
      <c r="Q1430" s="81"/>
      <c r="R1430" s="81"/>
      <c r="S1430" s="57"/>
      <c r="T1430" s="82"/>
      <c r="U1430" s="82"/>
      <c r="V1430" s="57"/>
      <c r="W1430" s="57"/>
      <c r="X1430" s="57" t="str">
        <f t="shared" si="917"/>
        <v/>
      </c>
      <c r="Y1430" s="58" t="str">
        <f t="shared" ref="Y1430:AC1430" si="1270">TRIM(SUBSTITUTE(SUBSTITUTE(OFFSET($Q1430,0,COLUMN()-COLUMN($AL$1)),CHAR(160)," "),_xludf.UNICHAR(8239)," "))</f>
        <v>#NAME?</v>
      </c>
      <c r="Z1430" s="58" t="str">
        <f t="shared" si="1270"/>
        <v>#NAME?</v>
      </c>
      <c r="AA1430" s="58" t="str">
        <f t="shared" si="1270"/>
        <v>#NAME?</v>
      </c>
      <c r="AB1430" s="58" t="str">
        <f t="shared" si="1270"/>
        <v>#NAME?</v>
      </c>
      <c r="AC1430" s="58" t="str">
        <f t="shared" si="1270"/>
        <v>#NAME?</v>
      </c>
      <c r="AD1430" s="57">
        <f t="shared" si="906"/>
        <v>0</v>
      </c>
      <c r="AE1430" s="57" t="str">
        <f t="shared" si="907"/>
        <v/>
      </c>
      <c r="AF1430" s="57">
        <f t="shared" si="908"/>
        <v>0</v>
      </c>
      <c r="AG1430" s="59">
        <f t="shared" si="909"/>
        <v>0</v>
      </c>
      <c r="AH1430" s="15"/>
      <c r="AI1430" s="15"/>
      <c r="AJ1430" s="15"/>
      <c r="AK1430" s="15"/>
      <c r="AL1430" s="15"/>
      <c r="AM1430" s="15"/>
      <c r="AN1430" s="15"/>
      <c r="AO1430" s="15"/>
      <c r="AP1430" s="15"/>
      <c r="AQ1430" s="15"/>
      <c r="AR1430" s="15"/>
      <c r="AS1430" s="15"/>
      <c r="AT1430" s="15"/>
      <c r="AU1430" s="15"/>
    </row>
    <row r="1431" ht="24.0" customHeight="1">
      <c r="A1431" s="45">
        <v>2855.0</v>
      </c>
      <c r="B1431" s="57"/>
      <c r="C1431" s="57"/>
      <c r="D1431" s="88" t="str">
        <f t="array" ref="D1431">IFERROR(
  LOOKUP(2, 1/((TRIM(IMS!$E$8:$E$2574)=TRIM(IMS!$E1431))*(IMS!$C$8:$C$2574&lt;IMS!$C1431)),
         IMS!$C$8:$C$2574),
"")</f>
        <v/>
      </c>
      <c r="E1431" s="57"/>
      <c r="F1431" s="57"/>
      <c r="G1431" s="77" t="str">
        <f t="shared" si="901"/>
        <v/>
      </c>
      <c r="H1431" s="78" t="str">
        <f t="shared" si="902"/>
        <v/>
      </c>
      <c r="I1431" s="79"/>
      <c r="J1431" s="80" t="str">
        <f t="shared" si="903"/>
        <v>#NAME?</v>
      </c>
      <c r="K1431" s="58"/>
      <c r="L1431" s="58"/>
      <c r="M1431" s="57"/>
      <c r="N1431" s="57"/>
      <c r="O1431" s="58"/>
      <c r="P1431" s="82"/>
      <c r="Q1431" s="81"/>
      <c r="R1431" s="81"/>
      <c r="S1431" s="57"/>
      <c r="T1431" s="82"/>
      <c r="U1431" s="82"/>
      <c r="V1431" s="57"/>
      <c r="W1431" s="57"/>
      <c r="X1431" s="57" t="str">
        <f t="shared" si="917"/>
        <v/>
      </c>
      <c r="Y1431" s="58" t="str">
        <f t="shared" ref="Y1431:AC1431" si="1271">TRIM(SUBSTITUTE(SUBSTITUTE(OFFSET($Q1431,0,COLUMN()-COLUMN($AL$1)),CHAR(160)," "),_xludf.UNICHAR(8239)," "))</f>
        <v>#NAME?</v>
      </c>
      <c r="Z1431" s="58" t="str">
        <f t="shared" si="1271"/>
        <v>#NAME?</v>
      </c>
      <c r="AA1431" s="58" t="str">
        <f t="shared" si="1271"/>
        <v>#NAME?</v>
      </c>
      <c r="AB1431" s="58" t="str">
        <f t="shared" si="1271"/>
        <v>#NAME?</v>
      </c>
      <c r="AC1431" s="58" t="str">
        <f t="shared" si="1271"/>
        <v>#NAME?</v>
      </c>
      <c r="AD1431" s="57">
        <f t="shared" si="906"/>
        <v>0</v>
      </c>
      <c r="AE1431" s="57" t="str">
        <f t="shared" si="907"/>
        <v/>
      </c>
      <c r="AF1431" s="57">
        <f t="shared" si="908"/>
        <v>0</v>
      </c>
      <c r="AG1431" s="59">
        <f t="shared" si="909"/>
        <v>0</v>
      </c>
      <c r="AH1431" s="15"/>
      <c r="AI1431" s="15"/>
      <c r="AJ1431" s="15"/>
      <c r="AK1431" s="15"/>
      <c r="AL1431" s="15"/>
      <c r="AM1431" s="15"/>
      <c r="AN1431" s="15"/>
      <c r="AO1431" s="15"/>
      <c r="AP1431" s="15"/>
      <c r="AQ1431" s="15"/>
      <c r="AR1431" s="15"/>
      <c r="AS1431" s="15"/>
      <c r="AT1431" s="15"/>
      <c r="AU1431" s="15"/>
    </row>
    <row r="1432" ht="24.0" customHeight="1">
      <c r="A1432" s="45">
        <v>2856.0</v>
      </c>
      <c r="B1432" s="57"/>
      <c r="C1432" s="57"/>
      <c r="D1432" s="88" t="str">
        <f t="array" ref="D1432">IFERROR(
  LOOKUP(2, 1/((TRIM(IMS!$E$8:$E$2574)=TRIM(IMS!$E1432))*(IMS!$C$8:$C$2574&lt;IMS!$C1432)),
         IMS!$C$8:$C$2574),
"")</f>
        <v/>
      </c>
      <c r="E1432" s="57"/>
      <c r="F1432" s="57"/>
      <c r="G1432" s="77" t="str">
        <f t="shared" si="901"/>
        <v/>
      </c>
      <c r="H1432" s="78" t="str">
        <f t="shared" si="902"/>
        <v/>
      </c>
      <c r="I1432" s="79"/>
      <c r="J1432" s="80" t="str">
        <f t="shared" si="903"/>
        <v>#NAME?</v>
      </c>
      <c r="K1432" s="58"/>
      <c r="L1432" s="58"/>
      <c r="M1432" s="57"/>
      <c r="N1432" s="57"/>
      <c r="O1432" s="58"/>
      <c r="P1432" s="82"/>
      <c r="Q1432" s="81"/>
      <c r="R1432" s="81"/>
      <c r="S1432" s="57"/>
      <c r="T1432" s="82"/>
      <c r="U1432" s="82"/>
      <c r="V1432" s="57"/>
      <c r="W1432" s="57"/>
      <c r="X1432" s="57" t="str">
        <f t="shared" si="917"/>
        <v/>
      </c>
      <c r="Y1432" s="58" t="str">
        <f t="shared" ref="Y1432:AC1432" si="1272">TRIM(SUBSTITUTE(SUBSTITUTE(OFFSET($Q1432,0,COLUMN()-COLUMN($AL$1)),CHAR(160)," "),_xludf.UNICHAR(8239)," "))</f>
        <v>#NAME?</v>
      </c>
      <c r="Z1432" s="58" t="str">
        <f t="shared" si="1272"/>
        <v>#NAME?</v>
      </c>
      <c r="AA1432" s="58" t="str">
        <f t="shared" si="1272"/>
        <v>#NAME?</v>
      </c>
      <c r="AB1432" s="58" t="str">
        <f t="shared" si="1272"/>
        <v>#NAME?</v>
      </c>
      <c r="AC1432" s="58" t="str">
        <f t="shared" si="1272"/>
        <v>#NAME?</v>
      </c>
      <c r="AD1432" s="57">
        <f t="shared" si="906"/>
        <v>0</v>
      </c>
      <c r="AE1432" s="57" t="str">
        <f t="shared" si="907"/>
        <v/>
      </c>
      <c r="AF1432" s="57">
        <f t="shared" si="908"/>
        <v>0</v>
      </c>
      <c r="AG1432" s="59">
        <f t="shared" si="909"/>
        <v>0</v>
      </c>
      <c r="AH1432" s="15"/>
      <c r="AI1432" s="15"/>
      <c r="AJ1432" s="15"/>
      <c r="AK1432" s="15"/>
      <c r="AL1432" s="15"/>
      <c r="AM1432" s="15"/>
      <c r="AN1432" s="15"/>
      <c r="AO1432" s="15"/>
      <c r="AP1432" s="15"/>
      <c r="AQ1432" s="15"/>
      <c r="AR1432" s="15"/>
      <c r="AS1432" s="15"/>
      <c r="AT1432" s="15"/>
      <c r="AU1432" s="15"/>
    </row>
    <row r="1433" ht="24.0" customHeight="1">
      <c r="A1433" s="45">
        <v>2857.0</v>
      </c>
      <c r="B1433" s="57"/>
      <c r="C1433" s="57"/>
      <c r="D1433" s="88" t="str">
        <f t="array" ref="D1433">IFERROR(
  LOOKUP(2, 1/((TRIM(IMS!$E$8:$E$2574)=TRIM(IMS!$E1433))*(IMS!$C$8:$C$2574&lt;IMS!$C1433)),
         IMS!$C$8:$C$2574),
"")</f>
        <v/>
      </c>
      <c r="E1433" s="57"/>
      <c r="F1433" s="57"/>
      <c r="G1433" s="77" t="str">
        <f t="shared" si="901"/>
        <v/>
      </c>
      <c r="H1433" s="78" t="str">
        <f t="shared" si="902"/>
        <v/>
      </c>
      <c r="I1433" s="79"/>
      <c r="J1433" s="80" t="str">
        <f t="shared" si="903"/>
        <v>#NAME?</v>
      </c>
      <c r="K1433" s="58"/>
      <c r="L1433" s="58"/>
      <c r="M1433" s="57"/>
      <c r="N1433" s="57"/>
      <c r="O1433" s="58"/>
      <c r="P1433" s="82"/>
      <c r="Q1433" s="81"/>
      <c r="R1433" s="81"/>
      <c r="S1433" s="57"/>
      <c r="T1433" s="82"/>
      <c r="U1433" s="82"/>
      <c r="V1433" s="57"/>
      <c r="W1433" s="57"/>
      <c r="X1433" s="57" t="str">
        <f t="shared" si="917"/>
        <v/>
      </c>
      <c r="Y1433" s="58" t="str">
        <f t="shared" ref="Y1433:AC1433" si="1273">TRIM(SUBSTITUTE(SUBSTITUTE(OFFSET($Q1433,0,COLUMN()-COLUMN($AL$1)),CHAR(160)," "),_xludf.UNICHAR(8239)," "))</f>
        <v>#NAME?</v>
      </c>
      <c r="Z1433" s="58" t="str">
        <f t="shared" si="1273"/>
        <v>#NAME?</v>
      </c>
      <c r="AA1433" s="58" t="str">
        <f t="shared" si="1273"/>
        <v>#NAME?</v>
      </c>
      <c r="AB1433" s="58" t="str">
        <f t="shared" si="1273"/>
        <v>#NAME?</v>
      </c>
      <c r="AC1433" s="58" t="str">
        <f t="shared" si="1273"/>
        <v>#NAME?</v>
      </c>
      <c r="AD1433" s="57">
        <f t="shared" si="906"/>
        <v>0</v>
      </c>
      <c r="AE1433" s="57" t="str">
        <f t="shared" si="907"/>
        <v/>
      </c>
      <c r="AF1433" s="57">
        <f t="shared" si="908"/>
        <v>0</v>
      </c>
      <c r="AG1433" s="59">
        <f t="shared" si="909"/>
        <v>0</v>
      </c>
      <c r="AH1433" s="15"/>
      <c r="AI1433" s="15"/>
      <c r="AJ1433" s="15"/>
      <c r="AK1433" s="15"/>
      <c r="AL1433" s="15"/>
      <c r="AM1433" s="15"/>
      <c r="AN1433" s="15"/>
      <c r="AO1433" s="15"/>
      <c r="AP1433" s="15"/>
      <c r="AQ1433" s="15"/>
      <c r="AR1433" s="15"/>
      <c r="AS1433" s="15"/>
      <c r="AT1433" s="15"/>
      <c r="AU1433" s="15"/>
    </row>
    <row r="1434" ht="24.0" customHeight="1">
      <c r="A1434" s="45">
        <v>2858.0</v>
      </c>
      <c r="B1434" s="57"/>
      <c r="C1434" s="57"/>
      <c r="D1434" s="88" t="str">
        <f t="array" ref="D1434">IFERROR(
  LOOKUP(2, 1/((TRIM(IMS!$E$8:$E$2574)=TRIM(IMS!$E1434))*(IMS!$C$8:$C$2574&lt;IMS!$C1434)),
         IMS!$C$8:$C$2574),
"")</f>
        <v/>
      </c>
      <c r="E1434" s="57"/>
      <c r="F1434" s="57"/>
      <c r="G1434" s="77" t="str">
        <f t="shared" si="901"/>
        <v/>
      </c>
      <c r="H1434" s="78" t="str">
        <f t="shared" si="902"/>
        <v/>
      </c>
      <c r="I1434" s="79"/>
      <c r="J1434" s="80" t="str">
        <f t="shared" si="903"/>
        <v>#NAME?</v>
      </c>
      <c r="K1434" s="58"/>
      <c r="L1434" s="58"/>
      <c r="M1434" s="57"/>
      <c r="N1434" s="57"/>
      <c r="O1434" s="58"/>
      <c r="P1434" s="82"/>
      <c r="Q1434" s="81"/>
      <c r="R1434" s="81"/>
      <c r="S1434" s="57"/>
      <c r="T1434" s="82"/>
      <c r="U1434" s="82"/>
      <c r="V1434" s="57"/>
      <c r="W1434" s="57"/>
      <c r="X1434" s="57" t="str">
        <f t="shared" si="917"/>
        <v/>
      </c>
      <c r="Y1434" s="58" t="str">
        <f t="shared" ref="Y1434:AC1434" si="1274">TRIM(SUBSTITUTE(SUBSTITUTE(OFFSET($Q1434,0,COLUMN()-COLUMN($AL$1)),CHAR(160)," "),_xludf.UNICHAR(8239)," "))</f>
        <v>#NAME?</v>
      </c>
      <c r="Z1434" s="58" t="str">
        <f t="shared" si="1274"/>
        <v>#NAME?</v>
      </c>
      <c r="AA1434" s="58" t="str">
        <f t="shared" si="1274"/>
        <v>#NAME?</v>
      </c>
      <c r="AB1434" s="58" t="str">
        <f t="shared" si="1274"/>
        <v>#NAME?</v>
      </c>
      <c r="AC1434" s="58" t="str">
        <f t="shared" si="1274"/>
        <v>#NAME?</v>
      </c>
      <c r="AD1434" s="57">
        <f t="shared" si="906"/>
        <v>0</v>
      </c>
      <c r="AE1434" s="57" t="str">
        <f t="shared" si="907"/>
        <v/>
      </c>
      <c r="AF1434" s="57">
        <f t="shared" si="908"/>
        <v>0</v>
      </c>
      <c r="AG1434" s="59">
        <f t="shared" si="909"/>
        <v>0</v>
      </c>
      <c r="AH1434" s="15"/>
      <c r="AI1434" s="15"/>
      <c r="AJ1434" s="15"/>
      <c r="AK1434" s="15"/>
      <c r="AL1434" s="15"/>
      <c r="AM1434" s="15"/>
      <c r="AN1434" s="15"/>
      <c r="AO1434" s="15"/>
      <c r="AP1434" s="15"/>
      <c r="AQ1434" s="15"/>
      <c r="AR1434" s="15"/>
      <c r="AS1434" s="15"/>
      <c r="AT1434" s="15"/>
      <c r="AU1434" s="15"/>
    </row>
    <row r="1435" ht="24.0" customHeight="1">
      <c r="A1435" s="45">
        <v>2859.0</v>
      </c>
      <c r="B1435" s="57"/>
      <c r="C1435" s="57"/>
      <c r="D1435" s="88" t="str">
        <f t="array" ref="D1435">IFERROR(
  LOOKUP(2, 1/((TRIM(IMS!$E$8:$E$2574)=TRIM(IMS!$E1435))*(IMS!$C$8:$C$2574&lt;IMS!$C1435)),
         IMS!$C$8:$C$2574),
"")</f>
        <v/>
      </c>
      <c r="E1435" s="57"/>
      <c r="F1435" s="57"/>
      <c r="G1435" s="77" t="str">
        <f t="shared" si="901"/>
        <v/>
      </c>
      <c r="H1435" s="78" t="str">
        <f t="shared" si="902"/>
        <v/>
      </c>
      <c r="I1435" s="79"/>
      <c r="J1435" s="80" t="str">
        <f t="shared" si="903"/>
        <v>#NAME?</v>
      </c>
      <c r="K1435" s="58"/>
      <c r="L1435" s="58"/>
      <c r="M1435" s="57"/>
      <c r="N1435" s="57"/>
      <c r="O1435" s="58"/>
      <c r="P1435" s="82"/>
      <c r="Q1435" s="81"/>
      <c r="R1435" s="81"/>
      <c r="S1435" s="57"/>
      <c r="T1435" s="82"/>
      <c r="U1435" s="82"/>
      <c r="V1435" s="57"/>
      <c r="W1435" s="57"/>
      <c r="X1435" s="57" t="str">
        <f t="shared" si="917"/>
        <v/>
      </c>
      <c r="Y1435" s="58" t="str">
        <f t="shared" ref="Y1435:AC1435" si="1275">TRIM(SUBSTITUTE(SUBSTITUTE(OFFSET($Q1435,0,COLUMN()-COLUMN($AL$1)),CHAR(160)," "),_xludf.UNICHAR(8239)," "))</f>
        <v>#NAME?</v>
      </c>
      <c r="Z1435" s="58" t="str">
        <f t="shared" si="1275"/>
        <v>#NAME?</v>
      </c>
      <c r="AA1435" s="58" t="str">
        <f t="shared" si="1275"/>
        <v>#NAME?</v>
      </c>
      <c r="AB1435" s="58" t="str">
        <f t="shared" si="1275"/>
        <v>#NAME?</v>
      </c>
      <c r="AC1435" s="58" t="str">
        <f t="shared" si="1275"/>
        <v>#NAME?</v>
      </c>
      <c r="AD1435" s="57">
        <f t="shared" si="906"/>
        <v>0</v>
      </c>
      <c r="AE1435" s="57" t="str">
        <f t="shared" si="907"/>
        <v/>
      </c>
      <c r="AF1435" s="57">
        <f t="shared" si="908"/>
        <v>0</v>
      </c>
      <c r="AG1435" s="59">
        <f t="shared" si="909"/>
        <v>0</v>
      </c>
      <c r="AH1435" s="15"/>
      <c r="AI1435" s="15"/>
      <c r="AJ1435" s="15"/>
      <c r="AK1435" s="15"/>
      <c r="AL1435" s="15"/>
      <c r="AM1435" s="15"/>
      <c r="AN1435" s="15"/>
      <c r="AO1435" s="15"/>
      <c r="AP1435" s="15"/>
      <c r="AQ1435" s="15"/>
      <c r="AR1435" s="15"/>
      <c r="AS1435" s="15"/>
      <c r="AT1435" s="15"/>
      <c r="AU1435" s="15"/>
    </row>
    <row r="1436" ht="24.0" customHeight="1">
      <c r="A1436" s="45">
        <v>2860.0</v>
      </c>
      <c r="B1436" s="57"/>
      <c r="C1436" s="57"/>
      <c r="D1436" s="88" t="str">
        <f t="array" ref="D1436">IFERROR(
  LOOKUP(2, 1/((TRIM(IMS!$E$8:$E$2574)=TRIM(IMS!$E1436))*(IMS!$C$8:$C$2574&lt;IMS!$C1436)),
         IMS!$C$8:$C$2574),
"")</f>
        <v/>
      </c>
      <c r="E1436" s="57"/>
      <c r="F1436" s="57"/>
      <c r="G1436" s="77" t="str">
        <f t="shared" si="901"/>
        <v/>
      </c>
      <c r="H1436" s="78" t="str">
        <f t="shared" si="902"/>
        <v/>
      </c>
      <c r="I1436" s="79"/>
      <c r="J1436" s="80" t="str">
        <f t="shared" si="903"/>
        <v>#NAME?</v>
      </c>
      <c r="K1436" s="58"/>
      <c r="L1436" s="58"/>
      <c r="M1436" s="57"/>
      <c r="N1436" s="57"/>
      <c r="O1436" s="58"/>
      <c r="P1436" s="82"/>
      <c r="Q1436" s="81"/>
      <c r="R1436" s="81"/>
      <c r="S1436" s="57"/>
      <c r="T1436" s="82"/>
      <c r="U1436" s="82"/>
      <c r="V1436" s="57"/>
      <c r="W1436" s="57"/>
      <c r="X1436" s="57" t="str">
        <f t="shared" si="917"/>
        <v/>
      </c>
      <c r="Y1436" s="58" t="str">
        <f t="shared" ref="Y1436:AC1436" si="1276">TRIM(SUBSTITUTE(SUBSTITUTE(OFFSET($Q1436,0,COLUMN()-COLUMN($AL$1)),CHAR(160)," "),_xludf.UNICHAR(8239)," "))</f>
        <v>#NAME?</v>
      </c>
      <c r="Z1436" s="58" t="str">
        <f t="shared" si="1276"/>
        <v>#NAME?</v>
      </c>
      <c r="AA1436" s="58" t="str">
        <f t="shared" si="1276"/>
        <v>#NAME?</v>
      </c>
      <c r="AB1436" s="58" t="str">
        <f t="shared" si="1276"/>
        <v>#NAME?</v>
      </c>
      <c r="AC1436" s="58" t="str">
        <f t="shared" si="1276"/>
        <v>#NAME?</v>
      </c>
      <c r="AD1436" s="57">
        <f t="shared" si="906"/>
        <v>0</v>
      </c>
      <c r="AE1436" s="57" t="str">
        <f t="shared" si="907"/>
        <v/>
      </c>
      <c r="AF1436" s="57">
        <f t="shared" si="908"/>
        <v>0</v>
      </c>
      <c r="AG1436" s="59">
        <f t="shared" si="909"/>
        <v>0</v>
      </c>
      <c r="AH1436" s="15"/>
      <c r="AI1436" s="15"/>
      <c r="AJ1436" s="15"/>
      <c r="AK1436" s="15"/>
      <c r="AL1436" s="15"/>
      <c r="AM1436" s="15"/>
      <c r="AN1436" s="15"/>
      <c r="AO1436" s="15"/>
      <c r="AP1436" s="15"/>
      <c r="AQ1436" s="15"/>
      <c r="AR1436" s="15"/>
      <c r="AS1436" s="15"/>
      <c r="AT1436" s="15"/>
      <c r="AU1436" s="15"/>
    </row>
    <row r="1437" ht="24.0" customHeight="1">
      <c r="A1437" s="45">
        <v>2861.0</v>
      </c>
      <c r="B1437" s="57"/>
      <c r="C1437" s="57"/>
      <c r="D1437" s="88" t="str">
        <f t="array" ref="D1437">IFERROR(
  LOOKUP(2, 1/((TRIM(IMS!$E$8:$E$2574)=TRIM(IMS!$E1437))*(IMS!$C$8:$C$2574&lt;IMS!$C1437)),
         IMS!$C$8:$C$2574),
"")</f>
        <v/>
      </c>
      <c r="E1437" s="57"/>
      <c r="F1437" s="57"/>
      <c r="G1437" s="77" t="str">
        <f t="shared" si="901"/>
        <v/>
      </c>
      <c r="H1437" s="78" t="str">
        <f t="shared" si="902"/>
        <v/>
      </c>
      <c r="I1437" s="79"/>
      <c r="J1437" s="80" t="str">
        <f t="shared" si="903"/>
        <v>#NAME?</v>
      </c>
      <c r="K1437" s="58"/>
      <c r="L1437" s="58"/>
      <c r="M1437" s="57"/>
      <c r="N1437" s="57"/>
      <c r="O1437" s="58"/>
      <c r="P1437" s="82"/>
      <c r="Q1437" s="81"/>
      <c r="R1437" s="81"/>
      <c r="S1437" s="57"/>
      <c r="T1437" s="82"/>
      <c r="U1437" s="82"/>
      <c r="V1437" s="57"/>
      <c r="W1437" s="57"/>
      <c r="X1437" s="57" t="str">
        <f t="shared" si="917"/>
        <v/>
      </c>
      <c r="Y1437" s="58" t="str">
        <f t="shared" ref="Y1437:AC1437" si="1277">TRIM(SUBSTITUTE(SUBSTITUTE(OFFSET($Q1437,0,COLUMN()-COLUMN($AL$1)),CHAR(160)," "),_xludf.UNICHAR(8239)," "))</f>
        <v>#NAME?</v>
      </c>
      <c r="Z1437" s="58" t="str">
        <f t="shared" si="1277"/>
        <v>#NAME?</v>
      </c>
      <c r="AA1437" s="58" t="str">
        <f t="shared" si="1277"/>
        <v>#NAME?</v>
      </c>
      <c r="AB1437" s="58" t="str">
        <f t="shared" si="1277"/>
        <v>#NAME?</v>
      </c>
      <c r="AC1437" s="58" t="str">
        <f t="shared" si="1277"/>
        <v>#NAME?</v>
      </c>
      <c r="AD1437" s="57">
        <f t="shared" si="906"/>
        <v>0</v>
      </c>
      <c r="AE1437" s="57" t="str">
        <f t="shared" si="907"/>
        <v/>
      </c>
      <c r="AF1437" s="57">
        <f t="shared" si="908"/>
        <v>0</v>
      </c>
      <c r="AG1437" s="59">
        <f t="shared" si="909"/>
        <v>0</v>
      </c>
      <c r="AH1437" s="15"/>
      <c r="AI1437" s="15"/>
      <c r="AJ1437" s="15"/>
      <c r="AK1437" s="15"/>
      <c r="AL1437" s="15"/>
      <c r="AM1437" s="15"/>
      <c r="AN1437" s="15"/>
      <c r="AO1437" s="15"/>
      <c r="AP1437" s="15"/>
      <c r="AQ1437" s="15"/>
      <c r="AR1437" s="15"/>
      <c r="AS1437" s="15"/>
      <c r="AT1437" s="15"/>
      <c r="AU1437" s="15"/>
    </row>
    <row r="1438" ht="24.0" customHeight="1">
      <c r="A1438" s="45">
        <v>2862.0</v>
      </c>
      <c r="B1438" s="57"/>
      <c r="C1438" s="57"/>
      <c r="D1438" s="88" t="str">
        <f t="array" ref="D1438">IFERROR(
  LOOKUP(2, 1/((TRIM(IMS!$E$8:$E$2574)=TRIM(IMS!$E1438))*(IMS!$C$8:$C$2574&lt;IMS!$C1438)),
         IMS!$C$8:$C$2574),
"")</f>
        <v/>
      </c>
      <c r="E1438" s="57"/>
      <c r="F1438" s="57"/>
      <c r="G1438" s="77" t="str">
        <f t="shared" si="901"/>
        <v/>
      </c>
      <c r="H1438" s="78" t="str">
        <f t="shared" si="902"/>
        <v/>
      </c>
      <c r="I1438" s="79"/>
      <c r="J1438" s="80" t="str">
        <f t="shared" si="903"/>
        <v>#NAME?</v>
      </c>
      <c r="K1438" s="58"/>
      <c r="L1438" s="58"/>
      <c r="M1438" s="57"/>
      <c r="N1438" s="57"/>
      <c r="O1438" s="58"/>
      <c r="P1438" s="82"/>
      <c r="Q1438" s="81"/>
      <c r="R1438" s="81"/>
      <c r="S1438" s="57"/>
      <c r="T1438" s="82"/>
      <c r="U1438" s="82"/>
      <c r="V1438" s="57"/>
      <c r="W1438" s="57"/>
      <c r="X1438" s="57" t="str">
        <f t="shared" si="917"/>
        <v/>
      </c>
      <c r="Y1438" s="58" t="str">
        <f t="shared" ref="Y1438:AC1438" si="1278">TRIM(SUBSTITUTE(SUBSTITUTE(OFFSET($Q1438,0,COLUMN()-COLUMN($AL$1)),CHAR(160)," "),_xludf.UNICHAR(8239)," "))</f>
        <v>#NAME?</v>
      </c>
      <c r="Z1438" s="58" t="str">
        <f t="shared" si="1278"/>
        <v>#NAME?</v>
      </c>
      <c r="AA1438" s="58" t="str">
        <f t="shared" si="1278"/>
        <v>#NAME?</v>
      </c>
      <c r="AB1438" s="58" t="str">
        <f t="shared" si="1278"/>
        <v>#NAME?</v>
      </c>
      <c r="AC1438" s="58" t="str">
        <f t="shared" si="1278"/>
        <v>#NAME?</v>
      </c>
      <c r="AD1438" s="57">
        <f t="shared" si="906"/>
        <v>0</v>
      </c>
      <c r="AE1438" s="57" t="str">
        <f t="shared" si="907"/>
        <v/>
      </c>
      <c r="AF1438" s="57">
        <f t="shared" si="908"/>
        <v>0</v>
      </c>
      <c r="AG1438" s="59">
        <f t="shared" si="909"/>
        <v>0</v>
      </c>
      <c r="AH1438" s="15"/>
      <c r="AI1438" s="15"/>
      <c r="AJ1438" s="15"/>
      <c r="AK1438" s="15"/>
      <c r="AL1438" s="15"/>
      <c r="AM1438" s="15"/>
      <c r="AN1438" s="15"/>
      <c r="AO1438" s="15"/>
      <c r="AP1438" s="15"/>
      <c r="AQ1438" s="15"/>
      <c r="AR1438" s="15"/>
      <c r="AS1438" s="15"/>
      <c r="AT1438" s="15"/>
      <c r="AU1438" s="15"/>
    </row>
    <row r="1439" ht="24.0" customHeight="1">
      <c r="A1439" s="45">
        <v>2863.0</v>
      </c>
      <c r="B1439" s="57"/>
      <c r="C1439" s="57"/>
      <c r="D1439" s="88" t="str">
        <f t="array" ref="D1439">IFERROR(
  LOOKUP(2, 1/((TRIM(IMS!$E$8:$E$2574)=TRIM(IMS!$E1439))*(IMS!$C$8:$C$2574&lt;IMS!$C1439)),
         IMS!$C$8:$C$2574),
"")</f>
        <v/>
      </c>
      <c r="E1439" s="57"/>
      <c r="F1439" s="57"/>
      <c r="G1439" s="77" t="str">
        <f t="shared" si="901"/>
        <v/>
      </c>
      <c r="H1439" s="78" t="str">
        <f t="shared" si="902"/>
        <v/>
      </c>
      <c r="I1439" s="79"/>
      <c r="J1439" s="80" t="str">
        <f t="shared" si="903"/>
        <v>#NAME?</v>
      </c>
      <c r="K1439" s="58"/>
      <c r="L1439" s="58"/>
      <c r="M1439" s="57"/>
      <c r="N1439" s="57"/>
      <c r="O1439" s="58"/>
      <c r="P1439" s="82"/>
      <c r="Q1439" s="81"/>
      <c r="R1439" s="81"/>
      <c r="S1439" s="57"/>
      <c r="T1439" s="82"/>
      <c r="U1439" s="82"/>
      <c r="V1439" s="57"/>
      <c r="W1439" s="57"/>
      <c r="X1439" s="57" t="str">
        <f t="shared" si="917"/>
        <v/>
      </c>
      <c r="Y1439" s="58" t="str">
        <f t="shared" ref="Y1439:AC1439" si="1279">TRIM(SUBSTITUTE(SUBSTITUTE(OFFSET($Q1439,0,COLUMN()-COLUMN($AL$1)),CHAR(160)," "),_xludf.UNICHAR(8239)," "))</f>
        <v>#NAME?</v>
      </c>
      <c r="Z1439" s="58" t="str">
        <f t="shared" si="1279"/>
        <v>#NAME?</v>
      </c>
      <c r="AA1439" s="58" t="str">
        <f t="shared" si="1279"/>
        <v>#NAME?</v>
      </c>
      <c r="AB1439" s="58" t="str">
        <f t="shared" si="1279"/>
        <v>#NAME?</v>
      </c>
      <c r="AC1439" s="58" t="str">
        <f t="shared" si="1279"/>
        <v>#NAME?</v>
      </c>
      <c r="AD1439" s="57">
        <f t="shared" si="906"/>
        <v>0</v>
      </c>
      <c r="AE1439" s="57" t="str">
        <f t="shared" si="907"/>
        <v/>
      </c>
      <c r="AF1439" s="57">
        <f t="shared" si="908"/>
        <v>0</v>
      </c>
      <c r="AG1439" s="59">
        <f t="shared" si="909"/>
        <v>0</v>
      </c>
      <c r="AH1439" s="15"/>
      <c r="AI1439" s="15"/>
      <c r="AJ1439" s="15"/>
      <c r="AK1439" s="15"/>
      <c r="AL1439" s="15"/>
      <c r="AM1439" s="15"/>
      <c r="AN1439" s="15"/>
      <c r="AO1439" s="15"/>
      <c r="AP1439" s="15"/>
      <c r="AQ1439" s="15"/>
      <c r="AR1439" s="15"/>
      <c r="AS1439" s="15"/>
      <c r="AT1439" s="15"/>
      <c r="AU1439" s="15"/>
    </row>
    <row r="1440" ht="24.0" customHeight="1">
      <c r="A1440" s="45">
        <v>2864.0</v>
      </c>
      <c r="B1440" s="57"/>
      <c r="C1440" s="57"/>
      <c r="D1440" s="88" t="str">
        <f t="array" ref="D1440">IFERROR(
  LOOKUP(2, 1/((TRIM(IMS!$E$8:$E$2574)=TRIM(IMS!$E1440))*(IMS!$C$8:$C$2574&lt;IMS!$C1440)),
         IMS!$C$8:$C$2574),
"")</f>
        <v/>
      </c>
      <c r="E1440" s="57"/>
      <c r="F1440" s="57"/>
      <c r="G1440" s="77" t="str">
        <f t="shared" si="901"/>
        <v/>
      </c>
      <c r="H1440" s="78" t="str">
        <f t="shared" si="902"/>
        <v/>
      </c>
      <c r="I1440" s="79"/>
      <c r="J1440" s="80" t="str">
        <f t="shared" si="903"/>
        <v>#NAME?</v>
      </c>
      <c r="K1440" s="58"/>
      <c r="L1440" s="58"/>
      <c r="M1440" s="57"/>
      <c r="N1440" s="57"/>
      <c r="O1440" s="58"/>
      <c r="P1440" s="82"/>
      <c r="Q1440" s="81"/>
      <c r="R1440" s="81"/>
      <c r="S1440" s="57"/>
      <c r="T1440" s="82"/>
      <c r="U1440" s="82"/>
      <c r="V1440" s="57"/>
      <c r="W1440" s="57"/>
      <c r="X1440" s="57" t="str">
        <f t="shared" si="917"/>
        <v/>
      </c>
      <c r="Y1440" s="58" t="str">
        <f t="shared" ref="Y1440:AC1440" si="1280">TRIM(SUBSTITUTE(SUBSTITUTE(OFFSET($Q1440,0,COLUMN()-COLUMN($AL$1)),CHAR(160)," "),_xludf.UNICHAR(8239)," "))</f>
        <v>#NAME?</v>
      </c>
      <c r="Z1440" s="58" t="str">
        <f t="shared" si="1280"/>
        <v>#NAME?</v>
      </c>
      <c r="AA1440" s="58" t="str">
        <f t="shared" si="1280"/>
        <v>#NAME?</v>
      </c>
      <c r="AB1440" s="58" t="str">
        <f t="shared" si="1280"/>
        <v>#NAME?</v>
      </c>
      <c r="AC1440" s="58" t="str">
        <f t="shared" si="1280"/>
        <v>#NAME?</v>
      </c>
      <c r="AD1440" s="57">
        <f t="shared" si="906"/>
        <v>0</v>
      </c>
      <c r="AE1440" s="57" t="str">
        <f t="shared" si="907"/>
        <v/>
      </c>
      <c r="AF1440" s="57">
        <f t="shared" si="908"/>
        <v>0</v>
      </c>
      <c r="AG1440" s="59">
        <f t="shared" si="909"/>
        <v>0</v>
      </c>
      <c r="AH1440" s="15"/>
      <c r="AI1440" s="15"/>
      <c r="AJ1440" s="15"/>
      <c r="AK1440" s="15"/>
      <c r="AL1440" s="15"/>
      <c r="AM1440" s="15"/>
      <c r="AN1440" s="15"/>
      <c r="AO1440" s="15"/>
      <c r="AP1440" s="15"/>
      <c r="AQ1440" s="15"/>
      <c r="AR1440" s="15"/>
      <c r="AS1440" s="15"/>
      <c r="AT1440" s="15"/>
      <c r="AU1440" s="15"/>
    </row>
    <row r="1441" ht="24.0" customHeight="1">
      <c r="A1441" s="45">
        <v>2865.0</v>
      </c>
      <c r="B1441" s="57"/>
      <c r="C1441" s="57"/>
      <c r="D1441" s="88" t="str">
        <f t="array" ref="D1441">IFERROR(
  LOOKUP(2, 1/((TRIM(IMS!$E$8:$E$2574)=TRIM(IMS!$E1441))*(IMS!$C$8:$C$2574&lt;IMS!$C1441)),
         IMS!$C$8:$C$2574),
"")</f>
        <v/>
      </c>
      <c r="E1441" s="57"/>
      <c r="F1441" s="57"/>
      <c r="G1441" s="77" t="str">
        <f t="shared" si="901"/>
        <v/>
      </c>
      <c r="H1441" s="78" t="str">
        <f t="shared" si="902"/>
        <v/>
      </c>
      <c r="I1441" s="79"/>
      <c r="J1441" s="80" t="str">
        <f t="shared" si="903"/>
        <v>#NAME?</v>
      </c>
      <c r="K1441" s="58"/>
      <c r="L1441" s="58"/>
      <c r="M1441" s="57"/>
      <c r="N1441" s="57"/>
      <c r="O1441" s="58"/>
      <c r="P1441" s="82"/>
      <c r="Q1441" s="81"/>
      <c r="R1441" s="81"/>
      <c r="S1441" s="57"/>
      <c r="T1441" s="82"/>
      <c r="U1441" s="82"/>
      <c r="V1441" s="57"/>
      <c r="W1441" s="57"/>
      <c r="X1441" s="57" t="str">
        <f t="shared" si="917"/>
        <v/>
      </c>
      <c r="Y1441" s="58" t="str">
        <f t="shared" ref="Y1441:AC1441" si="1281">TRIM(SUBSTITUTE(SUBSTITUTE(OFFSET($Q1441,0,COLUMN()-COLUMN($AL$1)),CHAR(160)," "),_xludf.UNICHAR(8239)," "))</f>
        <v>#NAME?</v>
      </c>
      <c r="Z1441" s="58" t="str">
        <f t="shared" si="1281"/>
        <v>#NAME?</v>
      </c>
      <c r="AA1441" s="58" t="str">
        <f t="shared" si="1281"/>
        <v>#NAME?</v>
      </c>
      <c r="AB1441" s="58" t="str">
        <f t="shared" si="1281"/>
        <v>#NAME?</v>
      </c>
      <c r="AC1441" s="58" t="str">
        <f t="shared" si="1281"/>
        <v>#NAME?</v>
      </c>
      <c r="AD1441" s="57">
        <f t="shared" si="906"/>
        <v>0</v>
      </c>
      <c r="AE1441" s="57" t="str">
        <f t="shared" si="907"/>
        <v/>
      </c>
      <c r="AF1441" s="57">
        <f t="shared" si="908"/>
        <v>0</v>
      </c>
      <c r="AG1441" s="59">
        <f t="shared" si="909"/>
        <v>0</v>
      </c>
      <c r="AH1441" s="15"/>
      <c r="AI1441" s="15"/>
      <c r="AJ1441" s="15"/>
      <c r="AK1441" s="15"/>
      <c r="AL1441" s="15"/>
      <c r="AM1441" s="15"/>
      <c r="AN1441" s="15"/>
      <c r="AO1441" s="15"/>
      <c r="AP1441" s="15"/>
      <c r="AQ1441" s="15"/>
      <c r="AR1441" s="15"/>
      <c r="AS1441" s="15"/>
      <c r="AT1441" s="15"/>
      <c r="AU1441" s="15"/>
    </row>
    <row r="1442" ht="24.0" customHeight="1">
      <c r="A1442" s="45">
        <v>2866.0</v>
      </c>
      <c r="B1442" s="57"/>
      <c r="C1442" s="57"/>
      <c r="D1442" s="88" t="str">
        <f t="array" ref="D1442">IFERROR(
  LOOKUP(2, 1/((TRIM(IMS!$E$8:$E$2574)=TRIM(IMS!$E1442))*(IMS!$C$8:$C$2574&lt;IMS!$C1442)),
         IMS!$C$8:$C$2574),
"")</f>
        <v/>
      </c>
      <c r="E1442" s="57"/>
      <c r="F1442" s="57"/>
      <c r="G1442" s="77" t="str">
        <f t="shared" si="901"/>
        <v/>
      </c>
      <c r="H1442" s="78" t="str">
        <f t="shared" si="902"/>
        <v/>
      </c>
      <c r="I1442" s="79"/>
      <c r="J1442" s="80" t="str">
        <f t="shared" si="903"/>
        <v>#NAME?</v>
      </c>
      <c r="K1442" s="58"/>
      <c r="L1442" s="58"/>
      <c r="M1442" s="57"/>
      <c r="N1442" s="57"/>
      <c r="O1442" s="58"/>
      <c r="P1442" s="82"/>
      <c r="Q1442" s="81"/>
      <c r="R1442" s="81"/>
      <c r="S1442" s="57"/>
      <c r="T1442" s="82"/>
      <c r="U1442" s="82"/>
      <c r="V1442" s="57"/>
      <c r="W1442" s="57"/>
      <c r="X1442" s="57" t="str">
        <f t="shared" si="917"/>
        <v/>
      </c>
      <c r="Y1442" s="58" t="str">
        <f t="shared" ref="Y1442:AC1442" si="1282">TRIM(SUBSTITUTE(SUBSTITUTE(OFFSET($Q1442,0,COLUMN()-COLUMN($AL$1)),CHAR(160)," "),_xludf.UNICHAR(8239)," "))</f>
        <v>#NAME?</v>
      </c>
      <c r="Z1442" s="58" t="str">
        <f t="shared" si="1282"/>
        <v>#NAME?</v>
      </c>
      <c r="AA1442" s="58" t="str">
        <f t="shared" si="1282"/>
        <v>#NAME?</v>
      </c>
      <c r="AB1442" s="58" t="str">
        <f t="shared" si="1282"/>
        <v>#NAME?</v>
      </c>
      <c r="AC1442" s="58" t="str">
        <f t="shared" si="1282"/>
        <v>#NAME?</v>
      </c>
      <c r="AD1442" s="57">
        <f t="shared" si="906"/>
        <v>0</v>
      </c>
      <c r="AE1442" s="57" t="str">
        <f t="shared" si="907"/>
        <v/>
      </c>
      <c r="AF1442" s="57">
        <f t="shared" si="908"/>
        <v>0</v>
      </c>
      <c r="AG1442" s="59">
        <f t="shared" si="909"/>
        <v>0</v>
      </c>
      <c r="AH1442" s="15"/>
      <c r="AI1442" s="15"/>
      <c r="AJ1442" s="15"/>
      <c r="AK1442" s="15"/>
      <c r="AL1442" s="15"/>
      <c r="AM1442" s="15"/>
      <c r="AN1442" s="15"/>
      <c r="AO1442" s="15"/>
      <c r="AP1442" s="15"/>
      <c r="AQ1442" s="15"/>
      <c r="AR1442" s="15"/>
      <c r="AS1442" s="15"/>
      <c r="AT1442" s="15"/>
      <c r="AU1442" s="15"/>
    </row>
    <row r="1443" ht="24.0" customHeight="1">
      <c r="A1443" s="45">
        <v>2867.0</v>
      </c>
      <c r="B1443" s="57"/>
      <c r="C1443" s="57"/>
      <c r="D1443" s="88" t="str">
        <f t="array" ref="D1443">IFERROR(
  LOOKUP(2, 1/((TRIM(IMS!$E$8:$E$2574)=TRIM(IMS!$E1443))*(IMS!$C$8:$C$2574&lt;IMS!$C1443)),
         IMS!$C$8:$C$2574),
"")</f>
        <v/>
      </c>
      <c r="E1443" s="57"/>
      <c r="F1443" s="57"/>
      <c r="G1443" s="77" t="str">
        <f t="shared" si="901"/>
        <v/>
      </c>
      <c r="H1443" s="78" t="str">
        <f t="shared" si="902"/>
        <v/>
      </c>
      <c r="I1443" s="79"/>
      <c r="J1443" s="80" t="str">
        <f t="shared" si="903"/>
        <v>#NAME?</v>
      </c>
      <c r="K1443" s="58"/>
      <c r="L1443" s="58"/>
      <c r="M1443" s="57"/>
      <c r="N1443" s="57"/>
      <c r="O1443" s="58"/>
      <c r="P1443" s="82"/>
      <c r="Q1443" s="81"/>
      <c r="R1443" s="81"/>
      <c r="S1443" s="57"/>
      <c r="T1443" s="82"/>
      <c r="U1443" s="82"/>
      <c r="V1443" s="57"/>
      <c r="W1443" s="57"/>
      <c r="X1443" s="57" t="str">
        <f t="shared" si="917"/>
        <v/>
      </c>
      <c r="Y1443" s="58" t="str">
        <f t="shared" ref="Y1443:AC1443" si="1283">TRIM(SUBSTITUTE(SUBSTITUTE(OFFSET($Q1443,0,COLUMN()-COLUMN($AL$1)),CHAR(160)," "),_xludf.UNICHAR(8239)," "))</f>
        <v>#NAME?</v>
      </c>
      <c r="Z1443" s="58" t="str">
        <f t="shared" si="1283"/>
        <v>#NAME?</v>
      </c>
      <c r="AA1443" s="58" t="str">
        <f t="shared" si="1283"/>
        <v>#NAME?</v>
      </c>
      <c r="AB1443" s="58" t="str">
        <f t="shared" si="1283"/>
        <v>#NAME?</v>
      </c>
      <c r="AC1443" s="58" t="str">
        <f t="shared" si="1283"/>
        <v>#NAME?</v>
      </c>
      <c r="AD1443" s="57">
        <f t="shared" si="906"/>
        <v>0</v>
      </c>
      <c r="AE1443" s="57" t="str">
        <f t="shared" si="907"/>
        <v/>
      </c>
      <c r="AF1443" s="57">
        <f t="shared" si="908"/>
        <v>0</v>
      </c>
      <c r="AG1443" s="59">
        <f t="shared" si="909"/>
        <v>0</v>
      </c>
      <c r="AH1443" s="15"/>
      <c r="AI1443" s="15"/>
      <c r="AJ1443" s="15"/>
      <c r="AK1443" s="15"/>
      <c r="AL1443" s="15"/>
      <c r="AM1443" s="15"/>
      <c r="AN1443" s="15"/>
      <c r="AO1443" s="15"/>
      <c r="AP1443" s="15"/>
      <c r="AQ1443" s="15"/>
      <c r="AR1443" s="15"/>
      <c r="AS1443" s="15"/>
      <c r="AT1443" s="15"/>
      <c r="AU1443" s="15"/>
    </row>
    <row r="1444" ht="24.0" customHeight="1">
      <c r="A1444" s="45">
        <v>2868.0</v>
      </c>
      <c r="B1444" s="57"/>
      <c r="C1444" s="57"/>
      <c r="D1444" s="88" t="str">
        <f t="array" ref="D1444">IFERROR(
  LOOKUP(2, 1/((TRIM(IMS!$E$8:$E$2574)=TRIM(IMS!$E1444))*(IMS!$C$8:$C$2574&lt;IMS!$C1444)),
         IMS!$C$8:$C$2574),
"")</f>
        <v/>
      </c>
      <c r="E1444" s="57"/>
      <c r="F1444" s="57"/>
      <c r="G1444" s="77" t="str">
        <f t="shared" si="901"/>
        <v/>
      </c>
      <c r="H1444" s="78" t="str">
        <f t="shared" si="902"/>
        <v/>
      </c>
      <c r="I1444" s="79"/>
      <c r="J1444" s="80" t="str">
        <f t="shared" si="903"/>
        <v>#NAME?</v>
      </c>
      <c r="K1444" s="58"/>
      <c r="L1444" s="58"/>
      <c r="M1444" s="57"/>
      <c r="N1444" s="57"/>
      <c r="O1444" s="58"/>
      <c r="P1444" s="82"/>
      <c r="Q1444" s="81"/>
      <c r="R1444" s="81"/>
      <c r="S1444" s="57"/>
      <c r="T1444" s="82"/>
      <c r="U1444" s="82"/>
      <c r="V1444" s="57"/>
      <c r="W1444" s="57"/>
      <c r="X1444" s="57" t="str">
        <f t="shared" si="917"/>
        <v/>
      </c>
      <c r="Y1444" s="58" t="str">
        <f t="shared" ref="Y1444:AC1444" si="1284">TRIM(SUBSTITUTE(SUBSTITUTE(OFFSET($Q1444,0,COLUMN()-COLUMN($AL$1)),CHAR(160)," "),_xludf.UNICHAR(8239)," "))</f>
        <v>#NAME?</v>
      </c>
      <c r="Z1444" s="58" t="str">
        <f t="shared" si="1284"/>
        <v>#NAME?</v>
      </c>
      <c r="AA1444" s="58" t="str">
        <f t="shared" si="1284"/>
        <v>#NAME?</v>
      </c>
      <c r="AB1444" s="58" t="str">
        <f t="shared" si="1284"/>
        <v>#NAME?</v>
      </c>
      <c r="AC1444" s="58" t="str">
        <f t="shared" si="1284"/>
        <v>#NAME?</v>
      </c>
      <c r="AD1444" s="57">
        <f t="shared" si="906"/>
        <v>0</v>
      </c>
      <c r="AE1444" s="57" t="str">
        <f t="shared" si="907"/>
        <v/>
      </c>
      <c r="AF1444" s="57">
        <f t="shared" si="908"/>
        <v>0</v>
      </c>
      <c r="AG1444" s="59">
        <f t="shared" si="909"/>
        <v>0</v>
      </c>
      <c r="AH1444" s="15"/>
      <c r="AI1444" s="15"/>
      <c r="AJ1444" s="15"/>
      <c r="AK1444" s="15"/>
      <c r="AL1444" s="15"/>
      <c r="AM1444" s="15"/>
      <c r="AN1444" s="15"/>
      <c r="AO1444" s="15"/>
      <c r="AP1444" s="15"/>
      <c r="AQ1444" s="15"/>
      <c r="AR1444" s="15"/>
      <c r="AS1444" s="15"/>
      <c r="AT1444" s="15"/>
      <c r="AU1444" s="15"/>
    </row>
    <row r="1445" ht="24.0" customHeight="1">
      <c r="A1445" s="45">
        <v>2869.0</v>
      </c>
      <c r="B1445" s="57"/>
      <c r="C1445" s="57"/>
      <c r="D1445" s="88" t="str">
        <f t="array" ref="D1445">IFERROR(
  LOOKUP(2, 1/((TRIM(IMS!$E$8:$E$2574)=TRIM(IMS!$E1445))*(IMS!$C$8:$C$2574&lt;IMS!$C1445)),
         IMS!$C$8:$C$2574),
"")</f>
        <v/>
      </c>
      <c r="E1445" s="57"/>
      <c r="F1445" s="57"/>
      <c r="G1445" s="77" t="str">
        <f t="shared" si="901"/>
        <v/>
      </c>
      <c r="H1445" s="78" t="str">
        <f t="shared" si="902"/>
        <v/>
      </c>
      <c r="I1445" s="79"/>
      <c r="J1445" s="80" t="str">
        <f t="shared" si="903"/>
        <v>#NAME?</v>
      </c>
      <c r="K1445" s="58"/>
      <c r="L1445" s="58"/>
      <c r="M1445" s="57"/>
      <c r="N1445" s="57"/>
      <c r="O1445" s="58"/>
      <c r="P1445" s="82"/>
      <c r="Q1445" s="81"/>
      <c r="R1445" s="81"/>
      <c r="S1445" s="57"/>
      <c r="T1445" s="82"/>
      <c r="U1445" s="82"/>
      <c r="V1445" s="57"/>
      <c r="W1445" s="57"/>
      <c r="X1445" s="57" t="str">
        <f t="shared" si="917"/>
        <v/>
      </c>
      <c r="Y1445" s="58" t="str">
        <f t="shared" ref="Y1445:AC1445" si="1285">TRIM(SUBSTITUTE(SUBSTITUTE(OFFSET($Q1445,0,COLUMN()-COLUMN($AL$1)),CHAR(160)," "),_xludf.UNICHAR(8239)," "))</f>
        <v>#NAME?</v>
      </c>
      <c r="Z1445" s="58" t="str">
        <f t="shared" si="1285"/>
        <v>#NAME?</v>
      </c>
      <c r="AA1445" s="58" t="str">
        <f t="shared" si="1285"/>
        <v>#NAME?</v>
      </c>
      <c r="AB1445" s="58" t="str">
        <f t="shared" si="1285"/>
        <v>#NAME?</v>
      </c>
      <c r="AC1445" s="58" t="str">
        <f t="shared" si="1285"/>
        <v>#NAME?</v>
      </c>
      <c r="AD1445" s="57">
        <f t="shared" si="906"/>
        <v>0</v>
      </c>
      <c r="AE1445" s="57" t="str">
        <f t="shared" si="907"/>
        <v/>
      </c>
      <c r="AF1445" s="57">
        <f t="shared" si="908"/>
        <v>0</v>
      </c>
      <c r="AG1445" s="59">
        <f t="shared" si="909"/>
        <v>0</v>
      </c>
      <c r="AH1445" s="15"/>
      <c r="AI1445" s="15"/>
      <c r="AJ1445" s="15"/>
      <c r="AK1445" s="15"/>
      <c r="AL1445" s="15"/>
      <c r="AM1445" s="15"/>
      <c r="AN1445" s="15"/>
      <c r="AO1445" s="15"/>
      <c r="AP1445" s="15"/>
      <c r="AQ1445" s="15"/>
      <c r="AR1445" s="15"/>
      <c r="AS1445" s="15"/>
      <c r="AT1445" s="15"/>
      <c r="AU1445" s="15"/>
    </row>
    <row r="1446" ht="24.0" customHeight="1">
      <c r="A1446" s="45">
        <v>2870.0</v>
      </c>
      <c r="B1446" s="57"/>
      <c r="C1446" s="57"/>
      <c r="D1446" s="88" t="str">
        <f t="array" ref="D1446">IFERROR(
  LOOKUP(2, 1/((TRIM(IMS!$E$8:$E$2574)=TRIM(IMS!$E1446))*(IMS!$C$8:$C$2574&lt;IMS!$C1446)),
         IMS!$C$8:$C$2574),
"")</f>
        <v/>
      </c>
      <c r="E1446" s="57"/>
      <c r="F1446" s="57"/>
      <c r="G1446" s="77" t="str">
        <f t="shared" si="901"/>
        <v/>
      </c>
      <c r="H1446" s="78" t="str">
        <f t="shared" si="902"/>
        <v/>
      </c>
      <c r="I1446" s="79"/>
      <c r="J1446" s="80" t="str">
        <f t="shared" si="903"/>
        <v>#NAME?</v>
      </c>
      <c r="K1446" s="58"/>
      <c r="L1446" s="58"/>
      <c r="M1446" s="57"/>
      <c r="N1446" s="57"/>
      <c r="O1446" s="58"/>
      <c r="P1446" s="82"/>
      <c r="Q1446" s="81"/>
      <c r="R1446" s="81"/>
      <c r="S1446" s="57"/>
      <c r="T1446" s="82"/>
      <c r="U1446" s="82"/>
      <c r="V1446" s="57"/>
      <c r="W1446" s="57"/>
      <c r="X1446" s="57" t="str">
        <f t="shared" si="917"/>
        <v/>
      </c>
      <c r="Y1446" s="58" t="str">
        <f t="shared" ref="Y1446:AC1446" si="1286">TRIM(SUBSTITUTE(SUBSTITUTE(OFFSET($Q1446,0,COLUMN()-COLUMN($AL$1)),CHAR(160)," "),_xludf.UNICHAR(8239)," "))</f>
        <v>#NAME?</v>
      </c>
      <c r="Z1446" s="58" t="str">
        <f t="shared" si="1286"/>
        <v>#NAME?</v>
      </c>
      <c r="AA1446" s="58" t="str">
        <f t="shared" si="1286"/>
        <v>#NAME?</v>
      </c>
      <c r="AB1446" s="58" t="str">
        <f t="shared" si="1286"/>
        <v>#NAME?</v>
      </c>
      <c r="AC1446" s="58" t="str">
        <f t="shared" si="1286"/>
        <v>#NAME?</v>
      </c>
      <c r="AD1446" s="57">
        <f t="shared" si="906"/>
        <v>0</v>
      </c>
      <c r="AE1446" s="57" t="str">
        <f t="shared" si="907"/>
        <v/>
      </c>
      <c r="AF1446" s="57">
        <f t="shared" si="908"/>
        <v>0</v>
      </c>
      <c r="AG1446" s="59">
        <f t="shared" si="909"/>
        <v>0</v>
      </c>
      <c r="AH1446" s="15"/>
      <c r="AI1446" s="15"/>
      <c r="AJ1446" s="15"/>
      <c r="AK1446" s="15"/>
      <c r="AL1446" s="15"/>
      <c r="AM1446" s="15"/>
      <c r="AN1446" s="15"/>
      <c r="AO1446" s="15"/>
      <c r="AP1446" s="15"/>
      <c r="AQ1446" s="15"/>
      <c r="AR1446" s="15"/>
      <c r="AS1446" s="15"/>
      <c r="AT1446" s="15"/>
      <c r="AU1446" s="15"/>
    </row>
    <row r="1447" ht="24.0" customHeight="1">
      <c r="A1447" s="45">
        <v>2871.0</v>
      </c>
      <c r="B1447" s="57"/>
      <c r="C1447" s="57"/>
      <c r="D1447" s="88" t="str">
        <f t="array" ref="D1447">IFERROR(
  LOOKUP(2, 1/((TRIM(IMS!$E$8:$E$2574)=TRIM(IMS!$E1447))*(IMS!$C$8:$C$2574&lt;IMS!$C1447)),
         IMS!$C$8:$C$2574),
"")</f>
        <v/>
      </c>
      <c r="E1447" s="57"/>
      <c r="F1447" s="57"/>
      <c r="G1447" s="77" t="str">
        <f t="shared" si="901"/>
        <v/>
      </c>
      <c r="H1447" s="78" t="str">
        <f t="shared" si="902"/>
        <v/>
      </c>
      <c r="I1447" s="79"/>
      <c r="J1447" s="80" t="str">
        <f t="shared" si="903"/>
        <v>#NAME?</v>
      </c>
      <c r="K1447" s="58"/>
      <c r="L1447" s="58"/>
      <c r="M1447" s="57"/>
      <c r="N1447" s="57"/>
      <c r="O1447" s="58"/>
      <c r="P1447" s="82"/>
      <c r="Q1447" s="81"/>
      <c r="R1447" s="81"/>
      <c r="S1447" s="57"/>
      <c r="T1447" s="82"/>
      <c r="U1447" s="82"/>
      <c r="V1447" s="57"/>
      <c r="W1447" s="57"/>
      <c r="X1447" s="57" t="str">
        <f t="shared" si="917"/>
        <v/>
      </c>
      <c r="Y1447" s="58" t="str">
        <f t="shared" ref="Y1447:AC1447" si="1287">TRIM(SUBSTITUTE(SUBSTITUTE(OFFSET($Q1447,0,COLUMN()-COLUMN($AL$1)),CHAR(160)," "),_xludf.UNICHAR(8239)," "))</f>
        <v>#NAME?</v>
      </c>
      <c r="Z1447" s="58" t="str">
        <f t="shared" si="1287"/>
        <v>#NAME?</v>
      </c>
      <c r="AA1447" s="58" t="str">
        <f t="shared" si="1287"/>
        <v>#NAME?</v>
      </c>
      <c r="AB1447" s="58" t="str">
        <f t="shared" si="1287"/>
        <v>#NAME?</v>
      </c>
      <c r="AC1447" s="58" t="str">
        <f t="shared" si="1287"/>
        <v>#NAME?</v>
      </c>
      <c r="AD1447" s="57">
        <f t="shared" si="906"/>
        <v>0</v>
      </c>
      <c r="AE1447" s="57" t="str">
        <f t="shared" si="907"/>
        <v/>
      </c>
      <c r="AF1447" s="57">
        <f t="shared" si="908"/>
        <v>0</v>
      </c>
      <c r="AG1447" s="59">
        <f t="shared" si="909"/>
        <v>0</v>
      </c>
      <c r="AH1447" s="15"/>
      <c r="AI1447" s="15"/>
      <c r="AJ1447" s="15"/>
      <c r="AK1447" s="15"/>
      <c r="AL1447" s="15"/>
      <c r="AM1447" s="15"/>
      <c r="AN1447" s="15"/>
      <c r="AO1447" s="15"/>
      <c r="AP1447" s="15"/>
      <c r="AQ1447" s="15"/>
      <c r="AR1447" s="15"/>
      <c r="AS1447" s="15"/>
      <c r="AT1447" s="15"/>
      <c r="AU1447" s="15"/>
    </row>
    <row r="1448" ht="24.0" customHeight="1">
      <c r="A1448" s="45">
        <v>2872.0</v>
      </c>
      <c r="B1448" s="57"/>
      <c r="C1448" s="57"/>
      <c r="D1448" s="88" t="str">
        <f t="array" ref="D1448">IFERROR(
  LOOKUP(2, 1/((TRIM(IMS!$E$8:$E$2574)=TRIM(IMS!$E1448))*(IMS!$C$8:$C$2574&lt;IMS!$C1448)),
         IMS!$C$8:$C$2574),
"")</f>
        <v/>
      </c>
      <c r="E1448" s="57"/>
      <c r="F1448" s="57"/>
      <c r="G1448" s="77" t="str">
        <f t="shared" si="901"/>
        <v/>
      </c>
      <c r="H1448" s="78" t="str">
        <f t="shared" si="902"/>
        <v/>
      </c>
      <c r="I1448" s="79"/>
      <c r="J1448" s="80" t="str">
        <f t="shared" si="903"/>
        <v>#NAME?</v>
      </c>
      <c r="K1448" s="58"/>
      <c r="L1448" s="58"/>
      <c r="M1448" s="57"/>
      <c r="N1448" s="57"/>
      <c r="O1448" s="58"/>
      <c r="P1448" s="82"/>
      <c r="Q1448" s="81"/>
      <c r="R1448" s="81"/>
      <c r="S1448" s="57"/>
      <c r="T1448" s="82"/>
      <c r="U1448" s="82"/>
      <c r="V1448" s="57"/>
      <c r="W1448" s="57"/>
      <c r="X1448" s="57" t="str">
        <f t="shared" si="917"/>
        <v/>
      </c>
      <c r="Y1448" s="58" t="str">
        <f t="shared" ref="Y1448:AC1448" si="1288">TRIM(SUBSTITUTE(SUBSTITUTE(OFFSET($Q1448,0,COLUMN()-COLUMN($AL$1)),CHAR(160)," "),_xludf.UNICHAR(8239)," "))</f>
        <v>#NAME?</v>
      </c>
      <c r="Z1448" s="58" t="str">
        <f t="shared" si="1288"/>
        <v>#NAME?</v>
      </c>
      <c r="AA1448" s="58" t="str">
        <f t="shared" si="1288"/>
        <v>#NAME?</v>
      </c>
      <c r="AB1448" s="58" t="str">
        <f t="shared" si="1288"/>
        <v>#NAME?</v>
      </c>
      <c r="AC1448" s="58" t="str">
        <f t="shared" si="1288"/>
        <v>#NAME?</v>
      </c>
      <c r="AD1448" s="57">
        <f t="shared" si="906"/>
        <v>0</v>
      </c>
      <c r="AE1448" s="57" t="str">
        <f t="shared" si="907"/>
        <v/>
      </c>
      <c r="AF1448" s="57">
        <f t="shared" si="908"/>
        <v>0</v>
      </c>
      <c r="AG1448" s="59">
        <f t="shared" si="909"/>
        <v>0</v>
      </c>
      <c r="AH1448" s="15"/>
      <c r="AI1448" s="15"/>
      <c r="AJ1448" s="15"/>
      <c r="AK1448" s="15"/>
      <c r="AL1448" s="15"/>
      <c r="AM1448" s="15"/>
      <c r="AN1448" s="15"/>
      <c r="AO1448" s="15"/>
      <c r="AP1448" s="15"/>
      <c r="AQ1448" s="15"/>
      <c r="AR1448" s="15"/>
      <c r="AS1448" s="15"/>
      <c r="AT1448" s="15"/>
      <c r="AU1448" s="15"/>
    </row>
    <row r="1449" ht="24.0" customHeight="1">
      <c r="A1449" s="45">
        <v>2873.0</v>
      </c>
      <c r="B1449" s="57"/>
      <c r="C1449" s="57"/>
      <c r="D1449" s="88" t="str">
        <f t="array" ref="D1449">IFERROR(
  LOOKUP(2, 1/((TRIM(IMS!$E$8:$E$2574)=TRIM(IMS!$E1449))*(IMS!$C$8:$C$2574&lt;IMS!$C1449)),
         IMS!$C$8:$C$2574),
"")</f>
        <v/>
      </c>
      <c r="E1449" s="57"/>
      <c r="F1449" s="57"/>
      <c r="G1449" s="77" t="str">
        <f t="shared" si="901"/>
        <v/>
      </c>
      <c r="H1449" s="78" t="str">
        <f t="shared" si="902"/>
        <v/>
      </c>
      <c r="I1449" s="79"/>
      <c r="J1449" s="80" t="str">
        <f t="shared" si="903"/>
        <v>#NAME?</v>
      </c>
      <c r="K1449" s="58"/>
      <c r="L1449" s="58"/>
      <c r="M1449" s="57"/>
      <c r="N1449" s="57"/>
      <c r="O1449" s="58"/>
      <c r="P1449" s="82"/>
      <c r="Q1449" s="81"/>
      <c r="R1449" s="81"/>
      <c r="S1449" s="57"/>
      <c r="T1449" s="82"/>
      <c r="U1449" s="82"/>
      <c r="V1449" s="57"/>
      <c r="W1449" s="57"/>
      <c r="X1449" s="57" t="str">
        <f t="shared" si="917"/>
        <v/>
      </c>
      <c r="Y1449" s="58" t="str">
        <f t="shared" ref="Y1449:AC1449" si="1289">TRIM(SUBSTITUTE(SUBSTITUTE(OFFSET($Q1449,0,COLUMN()-COLUMN($AL$1)),CHAR(160)," "),_xludf.UNICHAR(8239)," "))</f>
        <v>#NAME?</v>
      </c>
      <c r="Z1449" s="58" t="str">
        <f t="shared" si="1289"/>
        <v>#NAME?</v>
      </c>
      <c r="AA1449" s="58" t="str">
        <f t="shared" si="1289"/>
        <v>#NAME?</v>
      </c>
      <c r="AB1449" s="58" t="str">
        <f t="shared" si="1289"/>
        <v>#NAME?</v>
      </c>
      <c r="AC1449" s="58" t="str">
        <f t="shared" si="1289"/>
        <v>#NAME?</v>
      </c>
      <c r="AD1449" s="57">
        <f t="shared" si="906"/>
        <v>0</v>
      </c>
      <c r="AE1449" s="57" t="str">
        <f t="shared" si="907"/>
        <v/>
      </c>
      <c r="AF1449" s="57">
        <f t="shared" si="908"/>
        <v>0</v>
      </c>
      <c r="AG1449" s="59">
        <f t="shared" si="909"/>
        <v>0</v>
      </c>
      <c r="AH1449" s="15"/>
      <c r="AI1449" s="15"/>
      <c r="AJ1449" s="15"/>
      <c r="AK1449" s="15"/>
      <c r="AL1449" s="15"/>
      <c r="AM1449" s="15"/>
      <c r="AN1449" s="15"/>
      <c r="AO1449" s="15"/>
      <c r="AP1449" s="15"/>
      <c r="AQ1449" s="15"/>
      <c r="AR1449" s="15"/>
      <c r="AS1449" s="15"/>
      <c r="AT1449" s="15"/>
      <c r="AU1449" s="15"/>
    </row>
    <row r="1450" ht="24.0" customHeight="1">
      <c r="A1450" s="45">
        <v>2874.0</v>
      </c>
      <c r="B1450" s="57"/>
      <c r="C1450" s="57"/>
      <c r="D1450" s="88" t="str">
        <f t="array" ref="D1450">IFERROR(
  LOOKUP(2, 1/((TRIM(IMS!$E$8:$E$2574)=TRIM(IMS!$E1450))*(IMS!$C$8:$C$2574&lt;IMS!$C1450)),
         IMS!$C$8:$C$2574),
"")</f>
        <v/>
      </c>
      <c r="E1450" s="57"/>
      <c r="F1450" s="57"/>
      <c r="G1450" s="77" t="str">
        <f t="shared" si="901"/>
        <v/>
      </c>
      <c r="H1450" s="78" t="str">
        <f t="shared" si="902"/>
        <v/>
      </c>
      <c r="I1450" s="79"/>
      <c r="J1450" s="80" t="str">
        <f t="shared" si="903"/>
        <v>#NAME?</v>
      </c>
      <c r="K1450" s="58"/>
      <c r="L1450" s="58"/>
      <c r="M1450" s="57"/>
      <c r="N1450" s="57"/>
      <c r="O1450" s="58"/>
      <c r="P1450" s="82"/>
      <c r="Q1450" s="81"/>
      <c r="R1450" s="81"/>
      <c r="S1450" s="57"/>
      <c r="T1450" s="82"/>
      <c r="U1450" s="82"/>
      <c r="V1450" s="57"/>
      <c r="W1450" s="57"/>
      <c r="X1450" s="57" t="str">
        <f t="shared" si="917"/>
        <v/>
      </c>
      <c r="Y1450" s="58" t="str">
        <f t="shared" ref="Y1450:AC1450" si="1290">TRIM(SUBSTITUTE(SUBSTITUTE(OFFSET($Q1450,0,COLUMN()-COLUMN($AL$1)),CHAR(160)," "),_xludf.UNICHAR(8239)," "))</f>
        <v>#NAME?</v>
      </c>
      <c r="Z1450" s="58" t="str">
        <f t="shared" si="1290"/>
        <v>#NAME?</v>
      </c>
      <c r="AA1450" s="58" t="str">
        <f t="shared" si="1290"/>
        <v>#NAME?</v>
      </c>
      <c r="AB1450" s="58" t="str">
        <f t="shared" si="1290"/>
        <v>#NAME?</v>
      </c>
      <c r="AC1450" s="58" t="str">
        <f t="shared" si="1290"/>
        <v>#NAME?</v>
      </c>
      <c r="AD1450" s="57">
        <f t="shared" si="906"/>
        <v>0</v>
      </c>
      <c r="AE1450" s="57" t="str">
        <f t="shared" si="907"/>
        <v/>
      </c>
      <c r="AF1450" s="57">
        <f t="shared" si="908"/>
        <v>0</v>
      </c>
      <c r="AG1450" s="59">
        <f t="shared" si="909"/>
        <v>0</v>
      </c>
      <c r="AH1450" s="15"/>
      <c r="AI1450" s="15"/>
      <c r="AJ1450" s="15"/>
      <c r="AK1450" s="15"/>
      <c r="AL1450" s="15"/>
      <c r="AM1450" s="15"/>
      <c r="AN1450" s="15"/>
      <c r="AO1450" s="15"/>
      <c r="AP1450" s="15"/>
      <c r="AQ1450" s="15"/>
      <c r="AR1450" s="15"/>
      <c r="AS1450" s="15"/>
      <c r="AT1450" s="15"/>
      <c r="AU1450" s="15"/>
    </row>
    <row r="1451" ht="24.0" customHeight="1">
      <c r="A1451" s="45">
        <v>2875.0</v>
      </c>
      <c r="B1451" s="57"/>
      <c r="C1451" s="57"/>
      <c r="D1451" s="88" t="str">
        <f t="array" ref="D1451">IFERROR(
  LOOKUP(2, 1/((TRIM(IMS!$E$8:$E$2574)=TRIM(IMS!$E1451))*(IMS!$C$8:$C$2574&lt;IMS!$C1451)),
         IMS!$C$8:$C$2574),
"")</f>
        <v/>
      </c>
      <c r="E1451" s="57"/>
      <c r="F1451" s="57"/>
      <c r="G1451" s="77" t="str">
        <f t="shared" si="901"/>
        <v/>
      </c>
      <c r="H1451" s="78" t="str">
        <f t="shared" si="902"/>
        <v/>
      </c>
      <c r="I1451" s="79"/>
      <c r="J1451" s="80" t="str">
        <f t="shared" si="903"/>
        <v>#NAME?</v>
      </c>
      <c r="K1451" s="58"/>
      <c r="L1451" s="58"/>
      <c r="M1451" s="57"/>
      <c r="N1451" s="57"/>
      <c r="O1451" s="58"/>
      <c r="P1451" s="82"/>
      <c r="Q1451" s="81"/>
      <c r="R1451" s="81"/>
      <c r="S1451" s="57"/>
      <c r="T1451" s="82"/>
      <c r="U1451" s="82"/>
      <c r="V1451" s="57"/>
      <c r="W1451" s="57"/>
      <c r="X1451" s="57" t="str">
        <f t="shared" si="917"/>
        <v/>
      </c>
      <c r="Y1451" s="58" t="str">
        <f t="shared" ref="Y1451:AC1451" si="1291">TRIM(SUBSTITUTE(SUBSTITUTE(OFFSET($Q1451,0,COLUMN()-COLUMN($AL$1)),CHAR(160)," "),_xludf.UNICHAR(8239)," "))</f>
        <v>#NAME?</v>
      </c>
      <c r="Z1451" s="58" t="str">
        <f t="shared" si="1291"/>
        <v>#NAME?</v>
      </c>
      <c r="AA1451" s="58" t="str">
        <f t="shared" si="1291"/>
        <v>#NAME?</v>
      </c>
      <c r="AB1451" s="58" t="str">
        <f t="shared" si="1291"/>
        <v>#NAME?</v>
      </c>
      <c r="AC1451" s="58" t="str">
        <f t="shared" si="1291"/>
        <v>#NAME?</v>
      </c>
      <c r="AD1451" s="57">
        <f t="shared" si="906"/>
        <v>0</v>
      </c>
      <c r="AE1451" s="57" t="str">
        <f t="shared" si="907"/>
        <v/>
      </c>
      <c r="AF1451" s="57">
        <f t="shared" si="908"/>
        <v>0</v>
      </c>
      <c r="AG1451" s="59">
        <f t="shared" si="909"/>
        <v>0</v>
      </c>
      <c r="AH1451" s="15"/>
      <c r="AI1451" s="15"/>
      <c r="AJ1451" s="15"/>
      <c r="AK1451" s="15"/>
      <c r="AL1451" s="15"/>
      <c r="AM1451" s="15"/>
      <c r="AN1451" s="15"/>
      <c r="AO1451" s="15"/>
      <c r="AP1451" s="15"/>
      <c r="AQ1451" s="15"/>
      <c r="AR1451" s="15"/>
      <c r="AS1451" s="15"/>
      <c r="AT1451" s="15"/>
      <c r="AU1451" s="15"/>
    </row>
    <row r="1452" ht="24.0" customHeight="1">
      <c r="A1452" s="45">
        <v>2876.0</v>
      </c>
      <c r="B1452" s="57"/>
      <c r="C1452" s="57"/>
      <c r="D1452" s="88" t="str">
        <f t="array" ref="D1452">IFERROR(
  LOOKUP(2, 1/((TRIM(IMS!$E$8:$E$2574)=TRIM(IMS!$E1452))*(IMS!$C$8:$C$2574&lt;IMS!$C1452)),
         IMS!$C$8:$C$2574),
"")</f>
        <v/>
      </c>
      <c r="E1452" s="57"/>
      <c r="F1452" s="57"/>
      <c r="G1452" s="77" t="str">
        <f t="shared" si="901"/>
        <v/>
      </c>
      <c r="H1452" s="78" t="str">
        <f t="shared" si="902"/>
        <v/>
      </c>
      <c r="I1452" s="79"/>
      <c r="J1452" s="80" t="str">
        <f t="shared" si="903"/>
        <v>#NAME?</v>
      </c>
      <c r="K1452" s="58"/>
      <c r="L1452" s="58"/>
      <c r="M1452" s="57"/>
      <c r="N1452" s="57"/>
      <c r="O1452" s="58"/>
      <c r="P1452" s="82"/>
      <c r="Q1452" s="81"/>
      <c r="R1452" s="81"/>
      <c r="S1452" s="57"/>
      <c r="T1452" s="82"/>
      <c r="U1452" s="82"/>
      <c r="V1452" s="57"/>
      <c r="W1452" s="57"/>
      <c r="X1452" s="57" t="str">
        <f t="shared" si="917"/>
        <v/>
      </c>
      <c r="Y1452" s="58" t="str">
        <f t="shared" ref="Y1452:AC1452" si="1292">TRIM(SUBSTITUTE(SUBSTITUTE(OFFSET($Q1452,0,COLUMN()-COLUMN($AL$1)),CHAR(160)," "),_xludf.UNICHAR(8239)," "))</f>
        <v>#NAME?</v>
      </c>
      <c r="Z1452" s="58" t="str">
        <f t="shared" si="1292"/>
        <v>#NAME?</v>
      </c>
      <c r="AA1452" s="58" t="str">
        <f t="shared" si="1292"/>
        <v>#NAME?</v>
      </c>
      <c r="AB1452" s="58" t="str">
        <f t="shared" si="1292"/>
        <v>#NAME?</v>
      </c>
      <c r="AC1452" s="58" t="str">
        <f t="shared" si="1292"/>
        <v>#NAME?</v>
      </c>
      <c r="AD1452" s="57">
        <f t="shared" si="906"/>
        <v>0</v>
      </c>
      <c r="AE1452" s="57" t="str">
        <f t="shared" si="907"/>
        <v/>
      </c>
      <c r="AF1452" s="57">
        <f t="shared" si="908"/>
        <v>0</v>
      </c>
      <c r="AG1452" s="59">
        <f t="shared" si="909"/>
        <v>0</v>
      </c>
      <c r="AH1452" s="15"/>
      <c r="AI1452" s="15"/>
      <c r="AJ1452" s="15"/>
      <c r="AK1452" s="15"/>
      <c r="AL1452" s="15"/>
      <c r="AM1452" s="15"/>
      <c r="AN1452" s="15"/>
      <c r="AO1452" s="15"/>
      <c r="AP1452" s="15"/>
      <c r="AQ1452" s="15"/>
      <c r="AR1452" s="15"/>
      <c r="AS1452" s="15"/>
      <c r="AT1452" s="15"/>
      <c r="AU1452" s="15"/>
    </row>
    <row r="1453" ht="24.0" customHeight="1">
      <c r="A1453" s="45">
        <v>2877.0</v>
      </c>
      <c r="B1453" s="57"/>
      <c r="C1453" s="57"/>
      <c r="D1453" s="88" t="str">
        <f t="array" ref="D1453">IFERROR(
  LOOKUP(2, 1/((TRIM(IMS!$E$8:$E$2574)=TRIM(IMS!$E1453))*(IMS!$C$8:$C$2574&lt;IMS!$C1453)),
         IMS!$C$8:$C$2574),
"")</f>
        <v/>
      </c>
      <c r="E1453" s="57"/>
      <c r="F1453" s="57"/>
      <c r="G1453" s="77" t="str">
        <f t="shared" si="901"/>
        <v/>
      </c>
      <c r="H1453" s="78" t="str">
        <f t="shared" si="902"/>
        <v/>
      </c>
      <c r="I1453" s="79"/>
      <c r="J1453" s="80" t="str">
        <f t="shared" si="903"/>
        <v>#NAME?</v>
      </c>
      <c r="K1453" s="58"/>
      <c r="L1453" s="58"/>
      <c r="M1453" s="57"/>
      <c r="N1453" s="57"/>
      <c r="O1453" s="58"/>
      <c r="P1453" s="82"/>
      <c r="Q1453" s="81"/>
      <c r="R1453" s="81"/>
      <c r="S1453" s="57"/>
      <c r="T1453" s="82"/>
      <c r="U1453" s="82"/>
      <c r="V1453" s="57"/>
      <c r="W1453" s="57"/>
      <c r="X1453" s="57" t="str">
        <f t="shared" si="917"/>
        <v/>
      </c>
      <c r="Y1453" s="58" t="str">
        <f t="shared" ref="Y1453:AC1453" si="1293">TRIM(SUBSTITUTE(SUBSTITUTE(OFFSET($Q1453,0,COLUMN()-COLUMN($AL$1)),CHAR(160)," "),_xludf.UNICHAR(8239)," "))</f>
        <v>#NAME?</v>
      </c>
      <c r="Z1453" s="58" t="str">
        <f t="shared" si="1293"/>
        <v>#NAME?</v>
      </c>
      <c r="AA1453" s="58" t="str">
        <f t="shared" si="1293"/>
        <v>#NAME?</v>
      </c>
      <c r="AB1453" s="58" t="str">
        <f t="shared" si="1293"/>
        <v>#NAME?</v>
      </c>
      <c r="AC1453" s="58" t="str">
        <f t="shared" si="1293"/>
        <v>#NAME?</v>
      </c>
      <c r="AD1453" s="57">
        <f t="shared" si="906"/>
        <v>0</v>
      </c>
      <c r="AE1453" s="57" t="str">
        <f t="shared" si="907"/>
        <v/>
      </c>
      <c r="AF1453" s="57">
        <f t="shared" si="908"/>
        <v>0</v>
      </c>
      <c r="AG1453" s="59">
        <f t="shared" si="909"/>
        <v>0</v>
      </c>
      <c r="AH1453" s="15"/>
      <c r="AI1453" s="15"/>
      <c r="AJ1453" s="15"/>
      <c r="AK1453" s="15"/>
      <c r="AL1453" s="15"/>
      <c r="AM1453" s="15"/>
      <c r="AN1453" s="15"/>
      <c r="AO1453" s="15"/>
      <c r="AP1453" s="15"/>
      <c r="AQ1453" s="15"/>
      <c r="AR1453" s="15"/>
      <c r="AS1453" s="15"/>
      <c r="AT1453" s="15"/>
      <c r="AU1453" s="15"/>
    </row>
    <row r="1454" ht="24.0" customHeight="1">
      <c r="A1454" s="45">
        <v>2878.0</v>
      </c>
      <c r="B1454" s="57"/>
      <c r="C1454" s="57"/>
      <c r="D1454" s="88" t="str">
        <f t="array" ref="D1454">IFERROR(
  LOOKUP(2, 1/((TRIM(IMS!$E$8:$E$2574)=TRIM(IMS!$E1454))*(IMS!$C$8:$C$2574&lt;IMS!$C1454)),
         IMS!$C$8:$C$2574),
"")</f>
        <v/>
      </c>
      <c r="E1454" s="57"/>
      <c r="F1454" s="57"/>
      <c r="G1454" s="77" t="str">
        <f t="shared" si="901"/>
        <v/>
      </c>
      <c r="H1454" s="78" t="str">
        <f t="shared" si="902"/>
        <v/>
      </c>
      <c r="I1454" s="79"/>
      <c r="J1454" s="80" t="str">
        <f t="shared" si="903"/>
        <v>#NAME?</v>
      </c>
      <c r="K1454" s="58"/>
      <c r="L1454" s="58"/>
      <c r="M1454" s="57"/>
      <c r="N1454" s="57"/>
      <c r="O1454" s="58"/>
      <c r="P1454" s="82"/>
      <c r="Q1454" s="81"/>
      <c r="R1454" s="81"/>
      <c r="S1454" s="57"/>
      <c r="T1454" s="82"/>
      <c r="U1454" s="82"/>
      <c r="V1454" s="57"/>
      <c r="W1454" s="57"/>
      <c r="X1454" s="57" t="str">
        <f t="shared" si="917"/>
        <v/>
      </c>
      <c r="Y1454" s="58" t="str">
        <f t="shared" ref="Y1454:AC1454" si="1294">TRIM(SUBSTITUTE(SUBSTITUTE(OFFSET($Q1454,0,COLUMN()-COLUMN($AL$1)),CHAR(160)," "),_xludf.UNICHAR(8239)," "))</f>
        <v>#NAME?</v>
      </c>
      <c r="Z1454" s="58" t="str">
        <f t="shared" si="1294"/>
        <v>#NAME?</v>
      </c>
      <c r="AA1454" s="58" t="str">
        <f t="shared" si="1294"/>
        <v>#NAME?</v>
      </c>
      <c r="AB1454" s="58" t="str">
        <f t="shared" si="1294"/>
        <v>#NAME?</v>
      </c>
      <c r="AC1454" s="58" t="str">
        <f t="shared" si="1294"/>
        <v>#NAME?</v>
      </c>
      <c r="AD1454" s="57">
        <f t="shared" si="906"/>
        <v>0</v>
      </c>
      <c r="AE1454" s="57" t="str">
        <f t="shared" si="907"/>
        <v/>
      </c>
      <c r="AF1454" s="57">
        <f t="shared" si="908"/>
        <v>0</v>
      </c>
      <c r="AG1454" s="59">
        <f t="shared" si="909"/>
        <v>0</v>
      </c>
      <c r="AH1454" s="15"/>
      <c r="AI1454" s="15"/>
      <c r="AJ1454" s="15"/>
      <c r="AK1454" s="15"/>
      <c r="AL1454" s="15"/>
      <c r="AM1454" s="15"/>
      <c r="AN1454" s="15"/>
      <c r="AO1454" s="15"/>
      <c r="AP1454" s="15"/>
      <c r="AQ1454" s="15"/>
      <c r="AR1454" s="15"/>
      <c r="AS1454" s="15"/>
      <c r="AT1454" s="15"/>
      <c r="AU1454" s="15"/>
    </row>
    <row r="1455" ht="24.0" customHeight="1">
      <c r="A1455" s="45">
        <v>2879.0</v>
      </c>
      <c r="B1455" s="57"/>
      <c r="C1455" s="57"/>
      <c r="D1455" s="88" t="str">
        <f t="array" ref="D1455">IFERROR(
  LOOKUP(2, 1/((TRIM(IMS!$E$8:$E$2574)=TRIM(IMS!$E1455))*(IMS!$C$8:$C$2574&lt;IMS!$C1455)),
         IMS!$C$8:$C$2574),
"")</f>
        <v/>
      </c>
      <c r="E1455" s="57"/>
      <c r="F1455" s="57"/>
      <c r="G1455" s="77" t="str">
        <f t="shared" si="901"/>
        <v/>
      </c>
      <c r="H1455" s="78" t="str">
        <f t="shared" si="902"/>
        <v/>
      </c>
      <c r="I1455" s="79"/>
      <c r="J1455" s="80" t="str">
        <f t="shared" si="903"/>
        <v>#NAME?</v>
      </c>
      <c r="K1455" s="58"/>
      <c r="L1455" s="58"/>
      <c r="M1455" s="57"/>
      <c r="N1455" s="57"/>
      <c r="O1455" s="58"/>
      <c r="P1455" s="82"/>
      <c r="Q1455" s="81"/>
      <c r="R1455" s="81"/>
      <c r="S1455" s="57"/>
      <c r="T1455" s="82"/>
      <c r="U1455" s="82"/>
      <c r="V1455" s="57"/>
      <c r="W1455" s="57"/>
      <c r="X1455" s="57" t="str">
        <f t="shared" si="917"/>
        <v/>
      </c>
      <c r="Y1455" s="58" t="str">
        <f t="shared" ref="Y1455:AC1455" si="1295">TRIM(SUBSTITUTE(SUBSTITUTE(OFFSET($Q1455,0,COLUMN()-COLUMN($AL$1)),CHAR(160)," "),_xludf.UNICHAR(8239)," "))</f>
        <v>#NAME?</v>
      </c>
      <c r="Z1455" s="58" t="str">
        <f t="shared" si="1295"/>
        <v>#NAME?</v>
      </c>
      <c r="AA1455" s="58" t="str">
        <f t="shared" si="1295"/>
        <v>#NAME?</v>
      </c>
      <c r="AB1455" s="58" t="str">
        <f t="shared" si="1295"/>
        <v>#NAME?</v>
      </c>
      <c r="AC1455" s="58" t="str">
        <f t="shared" si="1295"/>
        <v>#NAME?</v>
      </c>
      <c r="AD1455" s="57">
        <f t="shared" si="906"/>
        <v>0</v>
      </c>
      <c r="AE1455" s="57" t="str">
        <f t="shared" si="907"/>
        <v/>
      </c>
      <c r="AF1455" s="57">
        <f t="shared" si="908"/>
        <v>0</v>
      </c>
      <c r="AG1455" s="59">
        <f t="shared" si="909"/>
        <v>0</v>
      </c>
      <c r="AH1455" s="15"/>
      <c r="AI1455" s="15"/>
      <c r="AJ1455" s="15"/>
      <c r="AK1455" s="15"/>
      <c r="AL1455" s="15"/>
      <c r="AM1455" s="15"/>
      <c r="AN1455" s="15"/>
      <c r="AO1455" s="15"/>
      <c r="AP1455" s="15"/>
      <c r="AQ1455" s="15"/>
      <c r="AR1455" s="15"/>
      <c r="AS1455" s="15"/>
      <c r="AT1455" s="15"/>
      <c r="AU1455" s="15"/>
    </row>
    <row r="1456" ht="24.0" customHeight="1">
      <c r="A1456" s="45">
        <v>2880.0</v>
      </c>
      <c r="B1456" s="57"/>
      <c r="C1456" s="57"/>
      <c r="D1456" s="88" t="str">
        <f t="array" ref="D1456">IFERROR(
  LOOKUP(2, 1/((TRIM(IMS!$E$8:$E$2574)=TRIM(IMS!$E1456))*(IMS!$C$8:$C$2574&lt;IMS!$C1456)),
         IMS!$C$8:$C$2574),
"")</f>
        <v/>
      </c>
      <c r="E1456" s="57"/>
      <c r="F1456" s="57"/>
      <c r="G1456" s="77" t="str">
        <f t="shared" si="901"/>
        <v/>
      </c>
      <c r="H1456" s="78" t="str">
        <f t="shared" si="902"/>
        <v/>
      </c>
      <c r="I1456" s="79"/>
      <c r="J1456" s="80" t="str">
        <f t="shared" si="903"/>
        <v>#NAME?</v>
      </c>
      <c r="K1456" s="58"/>
      <c r="L1456" s="58"/>
      <c r="M1456" s="57"/>
      <c r="N1456" s="57"/>
      <c r="O1456" s="58"/>
      <c r="P1456" s="82"/>
      <c r="Q1456" s="81"/>
      <c r="R1456" s="81"/>
      <c r="S1456" s="57"/>
      <c r="T1456" s="82"/>
      <c r="U1456" s="82"/>
      <c r="V1456" s="57"/>
      <c r="W1456" s="57"/>
      <c r="X1456" s="57" t="str">
        <f t="shared" si="917"/>
        <v/>
      </c>
      <c r="Y1456" s="58" t="str">
        <f t="shared" ref="Y1456:AC1456" si="1296">TRIM(SUBSTITUTE(SUBSTITUTE(OFFSET($Q1456,0,COLUMN()-COLUMN($AL$1)),CHAR(160)," "),_xludf.UNICHAR(8239)," "))</f>
        <v>#NAME?</v>
      </c>
      <c r="Z1456" s="58" t="str">
        <f t="shared" si="1296"/>
        <v>#NAME?</v>
      </c>
      <c r="AA1456" s="58" t="str">
        <f t="shared" si="1296"/>
        <v>#NAME?</v>
      </c>
      <c r="AB1456" s="58" t="str">
        <f t="shared" si="1296"/>
        <v>#NAME?</v>
      </c>
      <c r="AC1456" s="58" t="str">
        <f t="shared" si="1296"/>
        <v>#NAME?</v>
      </c>
      <c r="AD1456" s="57">
        <f t="shared" si="906"/>
        <v>0</v>
      </c>
      <c r="AE1456" s="57" t="str">
        <f t="shared" si="907"/>
        <v/>
      </c>
      <c r="AF1456" s="57">
        <f t="shared" si="908"/>
        <v>0</v>
      </c>
      <c r="AG1456" s="59">
        <f t="shared" si="909"/>
        <v>0</v>
      </c>
      <c r="AH1456" s="15"/>
      <c r="AI1456" s="15"/>
      <c r="AJ1456" s="15"/>
      <c r="AK1456" s="15"/>
      <c r="AL1456" s="15"/>
      <c r="AM1456" s="15"/>
      <c r="AN1456" s="15"/>
      <c r="AO1456" s="15"/>
      <c r="AP1456" s="15"/>
      <c r="AQ1456" s="15"/>
      <c r="AR1456" s="15"/>
      <c r="AS1456" s="15"/>
      <c r="AT1456" s="15"/>
      <c r="AU1456" s="15"/>
    </row>
    <row r="1457" ht="24.0" customHeight="1">
      <c r="A1457" s="45">
        <v>2881.0</v>
      </c>
      <c r="B1457" s="57"/>
      <c r="C1457" s="57"/>
      <c r="D1457" s="88" t="str">
        <f t="array" ref="D1457">IFERROR(
  LOOKUP(2, 1/((TRIM(IMS!$E$8:$E$2574)=TRIM(IMS!$E1457))*(IMS!$C$8:$C$2574&lt;IMS!$C1457)),
         IMS!$C$8:$C$2574),
"")</f>
        <v/>
      </c>
      <c r="E1457" s="57"/>
      <c r="F1457" s="57"/>
      <c r="G1457" s="77" t="str">
        <f t="shared" si="901"/>
        <v/>
      </c>
      <c r="H1457" s="78" t="str">
        <f t="shared" si="902"/>
        <v/>
      </c>
      <c r="I1457" s="79"/>
      <c r="J1457" s="80" t="str">
        <f t="shared" si="903"/>
        <v>#NAME?</v>
      </c>
      <c r="K1457" s="58"/>
      <c r="L1457" s="58"/>
      <c r="M1457" s="57"/>
      <c r="N1457" s="57"/>
      <c r="O1457" s="58"/>
      <c r="P1457" s="82"/>
      <c r="Q1457" s="81"/>
      <c r="R1457" s="81"/>
      <c r="S1457" s="57"/>
      <c r="T1457" s="82"/>
      <c r="U1457" s="82"/>
      <c r="V1457" s="57"/>
      <c r="W1457" s="57"/>
      <c r="X1457" s="57" t="str">
        <f t="shared" si="917"/>
        <v/>
      </c>
      <c r="Y1457" s="58" t="str">
        <f t="shared" ref="Y1457:AC1457" si="1297">TRIM(SUBSTITUTE(SUBSTITUTE(OFFSET($Q1457,0,COLUMN()-COLUMN($AL$1)),CHAR(160)," "),_xludf.UNICHAR(8239)," "))</f>
        <v>#NAME?</v>
      </c>
      <c r="Z1457" s="58" t="str">
        <f t="shared" si="1297"/>
        <v>#NAME?</v>
      </c>
      <c r="AA1457" s="58" t="str">
        <f t="shared" si="1297"/>
        <v>#NAME?</v>
      </c>
      <c r="AB1457" s="58" t="str">
        <f t="shared" si="1297"/>
        <v>#NAME?</v>
      </c>
      <c r="AC1457" s="58" t="str">
        <f t="shared" si="1297"/>
        <v>#NAME?</v>
      </c>
      <c r="AD1457" s="57">
        <f t="shared" si="906"/>
        <v>0</v>
      </c>
      <c r="AE1457" s="57" t="str">
        <f t="shared" si="907"/>
        <v/>
      </c>
      <c r="AF1457" s="57">
        <f t="shared" si="908"/>
        <v>0</v>
      </c>
      <c r="AG1457" s="59">
        <f t="shared" si="909"/>
        <v>0</v>
      </c>
      <c r="AH1457" s="15"/>
      <c r="AI1457" s="15"/>
      <c r="AJ1457" s="15"/>
      <c r="AK1457" s="15"/>
      <c r="AL1457" s="15"/>
      <c r="AM1457" s="15"/>
      <c r="AN1457" s="15"/>
      <c r="AO1457" s="15"/>
      <c r="AP1457" s="15"/>
      <c r="AQ1457" s="15"/>
      <c r="AR1457" s="15"/>
      <c r="AS1457" s="15"/>
      <c r="AT1457" s="15"/>
      <c r="AU1457" s="15"/>
    </row>
    <row r="1458" ht="24.0" customHeight="1">
      <c r="A1458" s="45">
        <v>2882.0</v>
      </c>
      <c r="B1458" s="57"/>
      <c r="C1458" s="57"/>
      <c r="D1458" s="88" t="str">
        <f t="array" ref="D1458">IFERROR(
  LOOKUP(2, 1/((TRIM(IMS!$E$8:$E$2574)=TRIM(IMS!$E1458))*(IMS!$C$8:$C$2574&lt;IMS!$C1458)),
         IMS!$C$8:$C$2574),
"")</f>
        <v/>
      </c>
      <c r="E1458" s="57"/>
      <c r="F1458" s="57"/>
      <c r="G1458" s="77" t="str">
        <f t="shared" si="901"/>
        <v/>
      </c>
      <c r="H1458" s="78" t="str">
        <f t="shared" si="902"/>
        <v/>
      </c>
      <c r="I1458" s="79"/>
      <c r="J1458" s="80" t="str">
        <f t="shared" si="903"/>
        <v>#NAME?</v>
      </c>
      <c r="K1458" s="58"/>
      <c r="L1458" s="58"/>
      <c r="M1458" s="57"/>
      <c r="N1458" s="57"/>
      <c r="O1458" s="58"/>
      <c r="P1458" s="82"/>
      <c r="Q1458" s="81"/>
      <c r="R1458" s="81"/>
      <c r="S1458" s="57"/>
      <c r="T1458" s="82"/>
      <c r="U1458" s="82"/>
      <c r="V1458" s="57"/>
      <c r="W1458" s="57"/>
      <c r="X1458" s="57" t="str">
        <f t="shared" si="917"/>
        <v/>
      </c>
      <c r="Y1458" s="58" t="str">
        <f t="shared" ref="Y1458:AC1458" si="1298">TRIM(SUBSTITUTE(SUBSTITUTE(OFFSET($Q1458,0,COLUMN()-COLUMN($AL$1)),CHAR(160)," "),_xludf.UNICHAR(8239)," "))</f>
        <v>#NAME?</v>
      </c>
      <c r="Z1458" s="58" t="str">
        <f t="shared" si="1298"/>
        <v>#NAME?</v>
      </c>
      <c r="AA1458" s="58" t="str">
        <f t="shared" si="1298"/>
        <v>#NAME?</v>
      </c>
      <c r="AB1458" s="58" t="str">
        <f t="shared" si="1298"/>
        <v>#NAME?</v>
      </c>
      <c r="AC1458" s="58" t="str">
        <f t="shared" si="1298"/>
        <v>#NAME?</v>
      </c>
      <c r="AD1458" s="57">
        <f t="shared" si="906"/>
        <v>0</v>
      </c>
      <c r="AE1458" s="57" t="str">
        <f t="shared" si="907"/>
        <v/>
      </c>
      <c r="AF1458" s="57">
        <f t="shared" si="908"/>
        <v>0</v>
      </c>
      <c r="AG1458" s="59">
        <f t="shared" si="909"/>
        <v>0</v>
      </c>
      <c r="AH1458" s="15"/>
      <c r="AI1458" s="15"/>
      <c r="AJ1458" s="15"/>
      <c r="AK1458" s="15"/>
      <c r="AL1458" s="15"/>
      <c r="AM1458" s="15"/>
      <c r="AN1458" s="15"/>
      <c r="AO1458" s="15"/>
      <c r="AP1458" s="15"/>
      <c r="AQ1458" s="15"/>
      <c r="AR1458" s="15"/>
      <c r="AS1458" s="15"/>
      <c r="AT1458" s="15"/>
      <c r="AU1458" s="15"/>
    </row>
    <row r="1459" ht="24.0" customHeight="1">
      <c r="A1459" s="45">
        <v>2883.0</v>
      </c>
      <c r="B1459" s="57"/>
      <c r="C1459" s="57"/>
      <c r="D1459" s="88" t="str">
        <f t="array" ref="D1459">IFERROR(
  LOOKUP(2, 1/((TRIM(IMS!$E$8:$E$2574)=TRIM(IMS!$E1459))*(IMS!$C$8:$C$2574&lt;IMS!$C1459)),
         IMS!$C$8:$C$2574),
"")</f>
        <v/>
      </c>
      <c r="E1459" s="57"/>
      <c r="F1459" s="57"/>
      <c r="G1459" s="77" t="str">
        <f t="shared" si="901"/>
        <v/>
      </c>
      <c r="H1459" s="78" t="str">
        <f t="shared" si="902"/>
        <v/>
      </c>
      <c r="I1459" s="79"/>
      <c r="J1459" s="80" t="str">
        <f t="shared" si="903"/>
        <v>#NAME?</v>
      </c>
      <c r="K1459" s="58"/>
      <c r="L1459" s="58"/>
      <c r="M1459" s="57"/>
      <c r="N1459" s="57"/>
      <c r="O1459" s="58"/>
      <c r="P1459" s="82"/>
      <c r="Q1459" s="81"/>
      <c r="R1459" s="81"/>
      <c r="S1459" s="57"/>
      <c r="T1459" s="82"/>
      <c r="U1459" s="82"/>
      <c r="V1459" s="57"/>
      <c r="W1459" s="57"/>
      <c r="X1459" s="57" t="str">
        <f t="shared" si="917"/>
        <v/>
      </c>
      <c r="Y1459" s="58" t="str">
        <f t="shared" ref="Y1459:AC1459" si="1299">TRIM(SUBSTITUTE(SUBSTITUTE(OFFSET($Q1459,0,COLUMN()-COLUMN($AL$1)),CHAR(160)," "),_xludf.UNICHAR(8239)," "))</f>
        <v>#NAME?</v>
      </c>
      <c r="Z1459" s="58" t="str">
        <f t="shared" si="1299"/>
        <v>#NAME?</v>
      </c>
      <c r="AA1459" s="58" t="str">
        <f t="shared" si="1299"/>
        <v>#NAME?</v>
      </c>
      <c r="AB1459" s="58" t="str">
        <f t="shared" si="1299"/>
        <v>#NAME?</v>
      </c>
      <c r="AC1459" s="58" t="str">
        <f t="shared" si="1299"/>
        <v>#NAME?</v>
      </c>
      <c r="AD1459" s="57">
        <f t="shared" si="906"/>
        <v>0</v>
      </c>
      <c r="AE1459" s="57" t="str">
        <f t="shared" si="907"/>
        <v/>
      </c>
      <c r="AF1459" s="57">
        <f t="shared" si="908"/>
        <v>0</v>
      </c>
      <c r="AG1459" s="59">
        <f t="shared" si="909"/>
        <v>0</v>
      </c>
      <c r="AH1459" s="15"/>
      <c r="AI1459" s="15"/>
      <c r="AJ1459" s="15"/>
      <c r="AK1459" s="15"/>
      <c r="AL1459" s="15"/>
      <c r="AM1459" s="15"/>
      <c r="AN1459" s="15"/>
      <c r="AO1459" s="15"/>
      <c r="AP1459" s="15"/>
      <c r="AQ1459" s="15"/>
      <c r="AR1459" s="15"/>
      <c r="AS1459" s="15"/>
      <c r="AT1459" s="15"/>
      <c r="AU1459" s="15"/>
    </row>
    <row r="1460" ht="24.0" customHeight="1">
      <c r="A1460" s="45">
        <v>2884.0</v>
      </c>
      <c r="B1460" s="57"/>
      <c r="C1460" s="57"/>
      <c r="D1460" s="88" t="str">
        <f t="array" ref="D1460">IFERROR(
  LOOKUP(2, 1/((TRIM(IMS!$E$8:$E$2574)=TRIM(IMS!$E1460))*(IMS!$C$8:$C$2574&lt;IMS!$C1460)),
         IMS!$C$8:$C$2574),
"")</f>
        <v/>
      </c>
      <c r="E1460" s="57"/>
      <c r="F1460" s="57"/>
      <c r="G1460" s="77" t="str">
        <f t="shared" si="901"/>
        <v/>
      </c>
      <c r="H1460" s="78" t="str">
        <f t="shared" si="902"/>
        <v/>
      </c>
      <c r="I1460" s="79"/>
      <c r="J1460" s="80" t="str">
        <f t="shared" si="903"/>
        <v>#NAME?</v>
      </c>
      <c r="K1460" s="58"/>
      <c r="L1460" s="58"/>
      <c r="M1460" s="57"/>
      <c r="N1460" s="57"/>
      <c r="O1460" s="58"/>
      <c r="P1460" s="82"/>
      <c r="Q1460" s="81"/>
      <c r="R1460" s="81"/>
      <c r="S1460" s="57"/>
      <c r="T1460" s="82"/>
      <c r="U1460" s="82"/>
      <c r="V1460" s="57"/>
      <c r="W1460" s="57"/>
      <c r="X1460" s="57" t="str">
        <f t="shared" si="917"/>
        <v/>
      </c>
      <c r="Y1460" s="58" t="str">
        <f t="shared" ref="Y1460:AC1460" si="1300">TRIM(SUBSTITUTE(SUBSTITUTE(OFFSET($Q1460,0,COLUMN()-COLUMN($AL$1)),CHAR(160)," "),_xludf.UNICHAR(8239)," "))</f>
        <v>#NAME?</v>
      </c>
      <c r="Z1460" s="58" t="str">
        <f t="shared" si="1300"/>
        <v>#NAME?</v>
      </c>
      <c r="AA1460" s="58" t="str">
        <f t="shared" si="1300"/>
        <v>#NAME?</v>
      </c>
      <c r="AB1460" s="58" t="str">
        <f t="shared" si="1300"/>
        <v>#NAME?</v>
      </c>
      <c r="AC1460" s="58" t="str">
        <f t="shared" si="1300"/>
        <v>#NAME?</v>
      </c>
      <c r="AD1460" s="57">
        <f t="shared" si="906"/>
        <v>0</v>
      </c>
      <c r="AE1460" s="57" t="str">
        <f t="shared" si="907"/>
        <v/>
      </c>
      <c r="AF1460" s="57">
        <f t="shared" si="908"/>
        <v>0</v>
      </c>
      <c r="AG1460" s="59">
        <f t="shared" si="909"/>
        <v>0</v>
      </c>
      <c r="AH1460" s="15"/>
      <c r="AI1460" s="15"/>
      <c r="AJ1460" s="15"/>
      <c r="AK1460" s="15"/>
      <c r="AL1460" s="15"/>
      <c r="AM1460" s="15"/>
      <c r="AN1460" s="15"/>
      <c r="AO1460" s="15"/>
      <c r="AP1460" s="15"/>
      <c r="AQ1460" s="15"/>
      <c r="AR1460" s="15"/>
      <c r="AS1460" s="15"/>
      <c r="AT1460" s="15"/>
      <c r="AU1460" s="15"/>
    </row>
    <row r="1461" ht="24.0" customHeight="1">
      <c r="A1461" s="45">
        <v>2885.0</v>
      </c>
      <c r="B1461" s="57"/>
      <c r="C1461" s="57"/>
      <c r="D1461" s="88" t="str">
        <f t="array" ref="D1461">IFERROR(
  LOOKUP(2, 1/((TRIM(IMS!$E$8:$E$2574)=TRIM(IMS!$E1461))*(IMS!$C$8:$C$2574&lt;IMS!$C1461)),
         IMS!$C$8:$C$2574),
"")</f>
        <v/>
      </c>
      <c r="E1461" s="57"/>
      <c r="F1461" s="57"/>
      <c r="G1461" s="77" t="str">
        <f t="shared" si="901"/>
        <v/>
      </c>
      <c r="H1461" s="78" t="str">
        <f t="shared" si="902"/>
        <v/>
      </c>
      <c r="I1461" s="79"/>
      <c r="J1461" s="80" t="str">
        <f t="shared" si="903"/>
        <v>#NAME?</v>
      </c>
      <c r="K1461" s="58"/>
      <c r="L1461" s="58"/>
      <c r="M1461" s="57"/>
      <c r="N1461" s="57"/>
      <c r="O1461" s="58"/>
      <c r="P1461" s="82"/>
      <c r="Q1461" s="81"/>
      <c r="R1461" s="81"/>
      <c r="S1461" s="57"/>
      <c r="T1461" s="82"/>
      <c r="U1461" s="82"/>
      <c r="V1461" s="57"/>
      <c r="W1461" s="57"/>
      <c r="X1461" s="57" t="str">
        <f t="shared" si="917"/>
        <v/>
      </c>
      <c r="Y1461" s="58" t="str">
        <f t="shared" ref="Y1461:AC1461" si="1301">TRIM(SUBSTITUTE(SUBSTITUTE(OFFSET($Q1461,0,COLUMN()-COLUMN($AL$1)),CHAR(160)," "),_xludf.UNICHAR(8239)," "))</f>
        <v>#NAME?</v>
      </c>
      <c r="Z1461" s="58" t="str">
        <f t="shared" si="1301"/>
        <v>#NAME?</v>
      </c>
      <c r="AA1461" s="58" t="str">
        <f t="shared" si="1301"/>
        <v>#NAME?</v>
      </c>
      <c r="AB1461" s="58" t="str">
        <f t="shared" si="1301"/>
        <v>#NAME?</v>
      </c>
      <c r="AC1461" s="58" t="str">
        <f t="shared" si="1301"/>
        <v>#NAME?</v>
      </c>
      <c r="AD1461" s="57">
        <f t="shared" si="906"/>
        <v>0</v>
      </c>
      <c r="AE1461" s="57" t="str">
        <f t="shared" si="907"/>
        <v/>
      </c>
      <c r="AF1461" s="57">
        <f t="shared" si="908"/>
        <v>0</v>
      </c>
      <c r="AG1461" s="59">
        <f t="shared" si="909"/>
        <v>0</v>
      </c>
      <c r="AH1461" s="15"/>
      <c r="AI1461" s="15"/>
      <c r="AJ1461" s="15"/>
      <c r="AK1461" s="15"/>
      <c r="AL1461" s="15"/>
      <c r="AM1461" s="15"/>
      <c r="AN1461" s="15"/>
      <c r="AO1461" s="15"/>
      <c r="AP1461" s="15"/>
      <c r="AQ1461" s="15"/>
      <c r="AR1461" s="15"/>
      <c r="AS1461" s="15"/>
      <c r="AT1461" s="15"/>
      <c r="AU1461" s="15"/>
    </row>
    <row r="1462" ht="24.0" customHeight="1">
      <c r="A1462" s="45">
        <v>2886.0</v>
      </c>
      <c r="B1462" s="57"/>
      <c r="C1462" s="57"/>
      <c r="D1462" s="88" t="str">
        <f t="array" ref="D1462">IFERROR(
  LOOKUP(2, 1/((TRIM(IMS!$E$8:$E$2574)=TRIM(IMS!$E1462))*(IMS!$C$8:$C$2574&lt;IMS!$C1462)),
         IMS!$C$8:$C$2574),
"")</f>
        <v/>
      </c>
      <c r="E1462" s="57"/>
      <c r="F1462" s="57"/>
      <c r="G1462" s="77" t="str">
        <f t="shared" si="901"/>
        <v/>
      </c>
      <c r="H1462" s="78" t="str">
        <f t="shared" si="902"/>
        <v/>
      </c>
      <c r="I1462" s="79"/>
      <c r="J1462" s="80" t="str">
        <f t="shared" si="903"/>
        <v>#NAME?</v>
      </c>
      <c r="K1462" s="58"/>
      <c r="L1462" s="58"/>
      <c r="M1462" s="57"/>
      <c r="N1462" s="57"/>
      <c r="O1462" s="58"/>
      <c r="P1462" s="82"/>
      <c r="Q1462" s="81"/>
      <c r="R1462" s="81"/>
      <c r="S1462" s="57"/>
      <c r="T1462" s="82"/>
      <c r="U1462" s="82"/>
      <c r="V1462" s="57"/>
      <c r="W1462" s="57"/>
      <c r="X1462" s="57" t="str">
        <f t="shared" si="917"/>
        <v/>
      </c>
      <c r="Y1462" s="58" t="str">
        <f t="shared" ref="Y1462:AC1462" si="1302">TRIM(SUBSTITUTE(SUBSTITUTE(OFFSET($Q1462,0,COLUMN()-COLUMN($AL$1)),CHAR(160)," "),_xludf.UNICHAR(8239)," "))</f>
        <v>#NAME?</v>
      </c>
      <c r="Z1462" s="58" t="str">
        <f t="shared" si="1302"/>
        <v>#NAME?</v>
      </c>
      <c r="AA1462" s="58" t="str">
        <f t="shared" si="1302"/>
        <v>#NAME?</v>
      </c>
      <c r="AB1462" s="58" t="str">
        <f t="shared" si="1302"/>
        <v>#NAME?</v>
      </c>
      <c r="AC1462" s="58" t="str">
        <f t="shared" si="1302"/>
        <v>#NAME?</v>
      </c>
      <c r="AD1462" s="57">
        <f t="shared" si="906"/>
        <v>0</v>
      </c>
      <c r="AE1462" s="57" t="str">
        <f t="shared" si="907"/>
        <v/>
      </c>
      <c r="AF1462" s="57">
        <f t="shared" si="908"/>
        <v>0</v>
      </c>
      <c r="AG1462" s="59">
        <f t="shared" si="909"/>
        <v>0</v>
      </c>
      <c r="AH1462" s="15"/>
      <c r="AI1462" s="15"/>
      <c r="AJ1462" s="15"/>
      <c r="AK1462" s="15"/>
      <c r="AL1462" s="15"/>
      <c r="AM1462" s="15"/>
      <c r="AN1462" s="15"/>
      <c r="AO1462" s="15"/>
      <c r="AP1462" s="15"/>
      <c r="AQ1462" s="15"/>
      <c r="AR1462" s="15"/>
      <c r="AS1462" s="15"/>
      <c r="AT1462" s="15"/>
      <c r="AU1462" s="15"/>
    </row>
    <row r="1463" ht="24.0" customHeight="1">
      <c r="A1463" s="45">
        <v>2887.0</v>
      </c>
      <c r="B1463" s="57"/>
      <c r="C1463" s="57"/>
      <c r="D1463" s="88" t="str">
        <f t="array" ref="D1463">IFERROR(
  LOOKUP(2, 1/((TRIM(IMS!$E$8:$E$2574)=TRIM(IMS!$E1463))*(IMS!$C$8:$C$2574&lt;IMS!$C1463)),
         IMS!$C$8:$C$2574),
"")</f>
        <v/>
      </c>
      <c r="E1463" s="57"/>
      <c r="F1463" s="57"/>
      <c r="G1463" s="77" t="str">
        <f t="shared" si="901"/>
        <v/>
      </c>
      <c r="H1463" s="78" t="str">
        <f t="shared" si="902"/>
        <v/>
      </c>
      <c r="I1463" s="79"/>
      <c r="J1463" s="80" t="str">
        <f t="shared" si="903"/>
        <v>#NAME?</v>
      </c>
      <c r="K1463" s="58"/>
      <c r="L1463" s="58"/>
      <c r="M1463" s="57"/>
      <c r="N1463" s="57"/>
      <c r="O1463" s="58"/>
      <c r="P1463" s="82"/>
      <c r="Q1463" s="81"/>
      <c r="R1463" s="81"/>
      <c r="S1463" s="57"/>
      <c r="T1463" s="82"/>
      <c r="U1463" s="82"/>
      <c r="V1463" s="57"/>
      <c r="W1463" s="57"/>
      <c r="X1463" s="57" t="str">
        <f t="shared" si="917"/>
        <v/>
      </c>
      <c r="Y1463" s="58" t="str">
        <f t="shared" ref="Y1463:AC1463" si="1303">TRIM(SUBSTITUTE(SUBSTITUTE(OFFSET($Q1463,0,COLUMN()-COLUMN($AL$1)),CHAR(160)," "),_xludf.UNICHAR(8239)," "))</f>
        <v>#NAME?</v>
      </c>
      <c r="Z1463" s="58" t="str">
        <f t="shared" si="1303"/>
        <v>#NAME?</v>
      </c>
      <c r="AA1463" s="58" t="str">
        <f t="shared" si="1303"/>
        <v>#NAME?</v>
      </c>
      <c r="AB1463" s="58" t="str">
        <f t="shared" si="1303"/>
        <v>#NAME?</v>
      </c>
      <c r="AC1463" s="58" t="str">
        <f t="shared" si="1303"/>
        <v>#NAME?</v>
      </c>
      <c r="AD1463" s="57">
        <f t="shared" si="906"/>
        <v>0</v>
      </c>
      <c r="AE1463" s="57" t="str">
        <f t="shared" si="907"/>
        <v/>
      </c>
      <c r="AF1463" s="57">
        <f t="shared" si="908"/>
        <v>0</v>
      </c>
      <c r="AG1463" s="59">
        <f t="shared" si="909"/>
        <v>0</v>
      </c>
      <c r="AH1463" s="15"/>
      <c r="AI1463" s="15"/>
      <c r="AJ1463" s="15"/>
      <c r="AK1463" s="15"/>
      <c r="AL1463" s="15"/>
      <c r="AM1463" s="15"/>
      <c r="AN1463" s="15"/>
      <c r="AO1463" s="15"/>
      <c r="AP1463" s="15"/>
      <c r="AQ1463" s="15"/>
      <c r="AR1463" s="15"/>
      <c r="AS1463" s="15"/>
      <c r="AT1463" s="15"/>
      <c r="AU1463" s="15"/>
    </row>
    <row r="1464" ht="24.0" customHeight="1">
      <c r="A1464" s="45">
        <v>2888.0</v>
      </c>
      <c r="B1464" s="57"/>
      <c r="C1464" s="57"/>
      <c r="D1464" s="88" t="str">
        <f t="array" ref="D1464">IFERROR(
  LOOKUP(2, 1/((TRIM(IMS!$E$8:$E$2574)=TRIM(IMS!$E1464))*(IMS!$C$8:$C$2574&lt;IMS!$C1464)),
         IMS!$C$8:$C$2574),
"")</f>
        <v/>
      </c>
      <c r="E1464" s="57"/>
      <c r="F1464" s="57"/>
      <c r="G1464" s="77" t="str">
        <f t="shared" si="901"/>
        <v/>
      </c>
      <c r="H1464" s="78" t="str">
        <f t="shared" si="902"/>
        <v/>
      </c>
      <c r="I1464" s="79"/>
      <c r="J1464" s="80" t="str">
        <f t="shared" si="903"/>
        <v>#NAME?</v>
      </c>
      <c r="K1464" s="58"/>
      <c r="L1464" s="58"/>
      <c r="M1464" s="57"/>
      <c r="N1464" s="57"/>
      <c r="O1464" s="58"/>
      <c r="P1464" s="82"/>
      <c r="Q1464" s="81"/>
      <c r="R1464" s="81"/>
      <c r="S1464" s="57"/>
      <c r="T1464" s="82"/>
      <c r="U1464" s="82"/>
      <c r="V1464" s="57"/>
      <c r="W1464" s="57"/>
      <c r="X1464" s="57" t="str">
        <f t="shared" si="917"/>
        <v/>
      </c>
      <c r="Y1464" s="58" t="str">
        <f t="shared" ref="Y1464:AC1464" si="1304">TRIM(SUBSTITUTE(SUBSTITUTE(OFFSET($Q1464,0,COLUMN()-COLUMN($AL$1)),CHAR(160)," "),_xludf.UNICHAR(8239)," "))</f>
        <v>#NAME?</v>
      </c>
      <c r="Z1464" s="58" t="str">
        <f t="shared" si="1304"/>
        <v>#NAME?</v>
      </c>
      <c r="AA1464" s="58" t="str">
        <f t="shared" si="1304"/>
        <v>#NAME?</v>
      </c>
      <c r="AB1464" s="58" t="str">
        <f t="shared" si="1304"/>
        <v>#NAME?</v>
      </c>
      <c r="AC1464" s="58" t="str">
        <f t="shared" si="1304"/>
        <v>#NAME?</v>
      </c>
      <c r="AD1464" s="57">
        <f t="shared" si="906"/>
        <v>0</v>
      </c>
      <c r="AE1464" s="57" t="str">
        <f t="shared" si="907"/>
        <v/>
      </c>
      <c r="AF1464" s="57">
        <f t="shared" si="908"/>
        <v>0</v>
      </c>
      <c r="AG1464" s="59">
        <f t="shared" si="909"/>
        <v>0</v>
      </c>
      <c r="AH1464" s="15"/>
      <c r="AI1464" s="15"/>
      <c r="AJ1464" s="15"/>
      <c r="AK1464" s="15"/>
      <c r="AL1464" s="15"/>
      <c r="AM1464" s="15"/>
      <c r="AN1464" s="15"/>
      <c r="AO1464" s="15"/>
      <c r="AP1464" s="15"/>
      <c r="AQ1464" s="15"/>
      <c r="AR1464" s="15"/>
      <c r="AS1464" s="15"/>
      <c r="AT1464" s="15"/>
      <c r="AU1464" s="15"/>
    </row>
    <row r="1465" ht="24.0" customHeight="1">
      <c r="A1465" s="45">
        <v>2889.0</v>
      </c>
      <c r="B1465" s="57"/>
      <c r="C1465" s="57"/>
      <c r="D1465" s="88" t="str">
        <f t="array" ref="D1465">IFERROR(
  LOOKUP(2, 1/((TRIM(IMS!$E$8:$E$2574)=TRIM(IMS!$E1465))*(IMS!$C$8:$C$2574&lt;IMS!$C1465)),
         IMS!$C$8:$C$2574),
"")</f>
        <v/>
      </c>
      <c r="E1465" s="57"/>
      <c r="F1465" s="57"/>
      <c r="G1465" s="77" t="str">
        <f t="shared" si="901"/>
        <v/>
      </c>
      <c r="H1465" s="78" t="str">
        <f t="shared" si="902"/>
        <v/>
      </c>
      <c r="I1465" s="79"/>
      <c r="J1465" s="80" t="str">
        <f t="shared" si="903"/>
        <v>#NAME?</v>
      </c>
      <c r="K1465" s="58"/>
      <c r="L1465" s="58"/>
      <c r="M1465" s="57"/>
      <c r="N1465" s="57"/>
      <c r="O1465" s="58"/>
      <c r="P1465" s="82"/>
      <c r="Q1465" s="81"/>
      <c r="R1465" s="81"/>
      <c r="S1465" s="57"/>
      <c r="T1465" s="82"/>
      <c r="U1465" s="82"/>
      <c r="V1465" s="57"/>
      <c r="W1465" s="57"/>
      <c r="X1465" s="57" t="str">
        <f t="shared" si="917"/>
        <v/>
      </c>
      <c r="Y1465" s="58" t="str">
        <f t="shared" ref="Y1465:AC1465" si="1305">TRIM(SUBSTITUTE(SUBSTITUTE(OFFSET($Q1465,0,COLUMN()-COLUMN($AL$1)),CHAR(160)," "),_xludf.UNICHAR(8239)," "))</f>
        <v>#NAME?</v>
      </c>
      <c r="Z1465" s="58" t="str">
        <f t="shared" si="1305"/>
        <v>#NAME?</v>
      </c>
      <c r="AA1465" s="58" t="str">
        <f t="shared" si="1305"/>
        <v>#NAME?</v>
      </c>
      <c r="AB1465" s="58" t="str">
        <f t="shared" si="1305"/>
        <v>#NAME?</v>
      </c>
      <c r="AC1465" s="58" t="str">
        <f t="shared" si="1305"/>
        <v>#NAME?</v>
      </c>
      <c r="AD1465" s="57">
        <f t="shared" si="906"/>
        <v>0</v>
      </c>
      <c r="AE1465" s="57" t="str">
        <f t="shared" si="907"/>
        <v/>
      </c>
      <c r="AF1465" s="57">
        <f t="shared" si="908"/>
        <v>0</v>
      </c>
      <c r="AG1465" s="59">
        <f t="shared" si="909"/>
        <v>0</v>
      </c>
      <c r="AH1465" s="15"/>
      <c r="AI1465" s="15"/>
      <c r="AJ1465" s="15"/>
      <c r="AK1465" s="15"/>
      <c r="AL1465" s="15"/>
      <c r="AM1465" s="15"/>
      <c r="AN1465" s="15"/>
      <c r="AO1465" s="15"/>
      <c r="AP1465" s="15"/>
      <c r="AQ1465" s="15"/>
      <c r="AR1465" s="15"/>
      <c r="AS1465" s="15"/>
      <c r="AT1465" s="15"/>
      <c r="AU1465" s="15"/>
    </row>
    <row r="1466" ht="24.0" customHeight="1">
      <c r="A1466" s="45">
        <v>2890.0</v>
      </c>
      <c r="B1466" s="57"/>
      <c r="C1466" s="57"/>
      <c r="D1466" s="88" t="str">
        <f t="array" ref="D1466">IFERROR(
  LOOKUP(2, 1/((TRIM(IMS!$E$8:$E$2574)=TRIM(IMS!$E1466))*(IMS!$C$8:$C$2574&lt;IMS!$C1466)),
         IMS!$C$8:$C$2574),
"")</f>
        <v/>
      </c>
      <c r="E1466" s="57"/>
      <c r="F1466" s="57"/>
      <c r="G1466" s="77" t="str">
        <f t="shared" si="901"/>
        <v/>
      </c>
      <c r="H1466" s="78" t="str">
        <f t="shared" si="902"/>
        <v/>
      </c>
      <c r="I1466" s="79"/>
      <c r="J1466" s="80" t="str">
        <f t="shared" si="903"/>
        <v>#NAME?</v>
      </c>
      <c r="K1466" s="58"/>
      <c r="L1466" s="58"/>
      <c r="M1466" s="57"/>
      <c r="N1466" s="57"/>
      <c r="O1466" s="58"/>
      <c r="P1466" s="82"/>
      <c r="Q1466" s="81"/>
      <c r="R1466" s="81"/>
      <c r="S1466" s="57"/>
      <c r="T1466" s="82"/>
      <c r="U1466" s="82"/>
      <c r="V1466" s="57"/>
      <c r="W1466" s="57"/>
      <c r="X1466" s="57" t="str">
        <f t="shared" si="917"/>
        <v/>
      </c>
      <c r="Y1466" s="58" t="str">
        <f t="shared" ref="Y1466:AC1466" si="1306">TRIM(SUBSTITUTE(SUBSTITUTE(OFFSET($Q1466,0,COLUMN()-COLUMN($AL$1)),CHAR(160)," "),_xludf.UNICHAR(8239)," "))</f>
        <v>#NAME?</v>
      </c>
      <c r="Z1466" s="58" t="str">
        <f t="shared" si="1306"/>
        <v>#NAME?</v>
      </c>
      <c r="AA1466" s="58" t="str">
        <f t="shared" si="1306"/>
        <v>#NAME?</v>
      </c>
      <c r="AB1466" s="58" t="str">
        <f t="shared" si="1306"/>
        <v>#NAME?</v>
      </c>
      <c r="AC1466" s="58" t="str">
        <f t="shared" si="1306"/>
        <v>#NAME?</v>
      </c>
      <c r="AD1466" s="57">
        <f t="shared" si="906"/>
        <v>0</v>
      </c>
      <c r="AE1466" s="57" t="str">
        <f t="shared" si="907"/>
        <v/>
      </c>
      <c r="AF1466" s="57">
        <f t="shared" si="908"/>
        <v>0</v>
      </c>
      <c r="AG1466" s="59">
        <f t="shared" si="909"/>
        <v>0</v>
      </c>
      <c r="AH1466" s="15"/>
      <c r="AI1466" s="15"/>
      <c r="AJ1466" s="15"/>
      <c r="AK1466" s="15"/>
      <c r="AL1466" s="15"/>
      <c r="AM1466" s="15"/>
      <c r="AN1466" s="15"/>
      <c r="AO1466" s="15"/>
      <c r="AP1466" s="15"/>
      <c r="AQ1466" s="15"/>
      <c r="AR1466" s="15"/>
      <c r="AS1466" s="15"/>
      <c r="AT1466" s="15"/>
      <c r="AU1466" s="15"/>
    </row>
    <row r="1467" ht="24.0" customHeight="1">
      <c r="A1467" s="45">
        <v>2891.0</v>
      </c>
      <c r="B1467" s="57"/>
      <c r="C1467" s="57"/>
      <c r="D1467" s="88" t="str">
        <f t="array" ref="D1467">IFERROR(
  LOOKUP(2, 1/((TRIM(IMS!$E$8:$E$2574)=TRIM(IMS!$E1467))*(IMS!$C$8:$C$2574&lt;IMS!$C1467)),
         IMS!$C$8:$C$2574),
"")</f>
        <v/>
      </c>
      <c r="E1467" s="57"/>
      <c r="F1467" s="57"/>
      <c r="G1467" s="77" t="str">
        <f t="shared" si="901"/>
        <v/>
      </c>
      <c r="H1467" s="78" t="str">
        <f t="shared" si="902"/>
        <v/>
      </c>
      <c r="I1467" s="79"/>
      <c r="J1467" s="80" t="str">
        <f t="shared" si="903"/>
        <v>#NAME?</v>
      </c>
      <c r="K1467" s="58"/>
      <c r="L1467" s="58"/>
      <c r="M1467" s="57"/>
      <c r="N1467" s="57"/>
      <c r="O1467" s="58"/>
      <c r="P1467" s="82"/>
      <c r="Q1467" s="81"/>
      <c r="R1467" s="81"/>
      <c r="S1467" s="57"/>
      <c r="T1467" s="82"/>
      <c r="U1467" s="82"/>
      <c r="V1467" s="57"/>
      <c r="W1467" s="57"/>
      <c r="X1467" s="57" t="str">
        <f t="shared" si="917"/>
        <v/>
      </c>
      <c r="Y1467" s="58" t="str">
        <f t="shared" ref="Y1467:AC1467" si="1307">TRIM(SUBSTITUTE(SUBSTITUTE(OFFSET($Q1467,0,COLUMN()-COLUMN($AL$1)),CHAR(160)," "),_xludf.UNICHAR(8239)," "))</f>
        <v>#NAME?</v>
      </c>
      <c r="Z1467" s="58" t="str">
        <f t="shared" si="1307"/>
        <v>#NAME?</v>
      </c>
      <c r="AA1467" s="58" t="str">
        <f t="shared" si="1307"/>
        <v>#NAME?</v>
      </c>
      <c r="AB1467" s="58" t="str">
        <f t="shared" si="1307"/>
        <v>#NAME?</v>
      </c>
      <c r="AC1467" s="58" t="str">
        <f t="shared" si="1307"/>
        <v>#NAME?</v>
      </c>
      <c r="AD1467" s="57">
        <f t="shared" si="906"/>
        <v>0</v>
      </c>
      <c r="AE1467" s="57" t="str">
        <f t="shared" si="907"/>
        <v/>
      </c>
      <c r="AF1467" s="57">
        <f t="shared" si="908"/>
        <v>0</v>
      </c>
      <c r="AG1467" s="59">
        <f t="shared" si="909"/>
        <v>0</v>
      </c>
      <c r="AH1467" s="15"/>
      <c r="AI1467" s="15"/>
      <c r="AJ1467" s="15"/>
      <c r="AK1467" s="15"/>
      <c r="AL1467" s="15"/>
      <c r="AM1467" s="15"/>
      <c r="AN1467" s="15"/>
      <c r="AO1467" s="15"/>
      <c r="AP1467" s="15"/>
      <c r="AQ1467" s="15"/>
      <c r="AR1467" s="15"/>
      <c r="AS1467" s="15"/>
      <c r="AT1467" s="15"/>
      <c r="AU1467" s="15"/>
    </row>
    <row r="1468" ht="24.0" customHeight="1">
      <c r="A1468" s="45">
        <v>2892.0</v>
      </c>
      <c r="B1468" s="57"/>
      <c r="C1468" s="57"/>
      <c r="D1468" s="88" t="str">
        <f t="array" ref="D1468">IFERROR(
  LOOKUP(2, 1/((TRIM(IMS!$E$8:$E$2574)=TRIM(IMS!$E1468))*(IMS!$C$8:$C$2574&lt;IMS!$C1468)),
         IMS!$C$8:$C$2574),
"")</f>
        <v/>
      </c>
      <c r="E1468" s="57"/>
      <c r="F1468" s="57"/>
      <c r="G1468" s="77" t="str">
        <f t="shared" si="901"/>
        <v/>
      </c>
      <c r="H1468" s="78" t="str">
        <f t="shared" si="902"/>
        <v/>
      </c>
      <c r="I1468" s="79"/>
      <c r="J1468" s="80" t="str">
        <f t="shared" si="903"/>
        <v>#NAME?</v>
      </c>
      <c r="K1468" s="58"/>
      <c r="L1468" s="58"/>
      <c r="M1468" s="57"/>
      <c r="N1468" s="57"/>
      <c r="O1468" s="58"/>
      <c r="P1468" s="82"/>
      <c r="Q1468" s="81"/>
      <c r="R1468" s="81"/>
      <c r="S1468" s="57"/>
      <c r="T1468" s="82"/>
      <c r="U1468" s="82"/>
      <c r="V1468" s="57"/>
      <c r="W1468" s="57"/>
      <c r="X1468" s="57" t="str">
        <f t="shared" si="917"/>
        <v/>
      </c>
      <c r="Y1468" s="58" t="str">
        <f t="shared" ref="Y1468:AC1468" si="1308">TRIM(SUBSTITUTE(SUBSTITUTE(OFFSET($Q1468,0,COLUMN()-COLUMN($AL$1)),CHAR(160)," "),_xludf.UNICHAR(8239)," "))</f>
        <v>#NAME?</v>
      </c>
      <c r="Z1468" s="58" t="str">
        <f t="shared" si="1308"/>
        <v>#NAME?</v>
      </c>
      <c r="AA1468" s="58" t="str">
        <f t="shared" si="1308"/>
        <v>#NAME?</v>
      </c>
      <c r="AB1468" s="58" t="str">
        <f t="shared" si="1308"/>
        <v>#NAME?</v>
      </c>
      <c r="AC1468" s="58" t="str">
        <f t="shared" si="1308"/>
        <v>#NAME?</v>
      </c>
      <c r="AD1468" s="57">
        <f t="shared" si="906"/>
        <v>0</v>
      </c>
      <c r="AE1468" s="57" t="str">
        <f t="shared" si="907"/>
        <v/>
      </c>
      <c r="AF1468" s="57">
        <f t="shared" si="908"/>
        <v>0</v>
      </c>
      <c r="AG1468" s="59">
        <f t="shared" si="909"/>
        <v>0</v>
      </c>
      <c r="AH1468" s="15"/>
      <c r="AI1468" s="15"/>
      <c r="AJ1468" s="15"/>
      <c r="AK1468" s="15"/>
      <c r="AL1468" s="15"/>
      <c r="AM1468" s="15"/>
      <c r="AN1468" s="15"/>
      <c r="AO1468" s="15"/>
      <c r="AP1468" s="15"/>
      <c r="AQ1468" s="15"/>
      <c r="AR1468" s="15"/>
      <c r="AS1468" s="15"/>
      <c r="AT1468" s="15"/>
      <c r="AU1468" s="15"/>
    </row>
    <row r="1469" ht="24.0" customHeight="1">
      <c r="A1469" s="45">
        <v>2893.0</v>
      </c>
      <c r="B1469" s="57"/>
      <c r="C1469" s="57"/>
      <c r="D1469" s="88" t="str">
        <f t="array" ref="D1469">IFERROR(
  LOOKUP(2, 1/((TRIM(IMS!$E$8:$E$2574)=TRIM(IMS!$E1469))*(IMS!$C$8:$C$2574&lt;IMS!$C1469)),
         IMS!$C$8:$C$2574),
"")</f>
        <v/>
      </c>
      <c r="E1469" s="57"/>
      <c r="F1469" s="57"/>
      <c r="G1469" s="77" t="str">
        <f t="shared" si="901"/>
        <v/>
      </c>
      <c r="H1469" s="78" t="str">
        <f t="shared" si="902"/>
        <v/>
      </c>
      <c r="I1469" s="79"/>
      <c r="J1469" s="80" t="str">
        <f t="shared" si="903"/>
        <v>#NAME?</v>
      </c>
      <c r="K1469" s="58"/>
      <c r="L1469" s="58"/>
      <c r="M1469" s="57"/>
      <c r="N1469" s="57"/>
      <c r="O1469" s="58"/>
      <c r="P1469" s="82"/>
      <c r="Q1469" s="81"/>
      <c r="R1469" s="81"/>
      <c r="S1469" s="57"/>
      <c r="T1469" s="82"/>
      <c r="U1469" s="82"/>
      <c r="V1469" s="57"/>
      <c r="W1469" s="57"/>
      <c r="X1469" s="57" t="str">
        <f t="shared" si="917"/>
        <v/>
      </c>
      <c r="Y1469" s="58" t="str">
        <f t="shared" ref="Y1469:AC1469" si="1309">TRIM(SUBSTITUTE(SUBSTITUTE(OFFSET($Q1469,0,COLUMN()-COLUMN($AL$1)),CHAR(160)," "),_xludf.UNICHAR(8239)," "))</f>
        <v>#NAME?</v>
      </c>
      <c r="Z1469" s="58" t="str">
        <f t="shared" si="1309"/>
        <v>#NAME?</v>
      </c>
      <c r="AA1469" s="58" t="str">
        <f t="shared" si="1309"/>
        <v>#NAME?</v>
      </c>
      <c r="AB1469" s="58" t="str">
        <f t="shared" si="1309"/>
        <v>#NAME?</v>
      </c>
      <c r="AC1469" s="58" t="str">
        <f t="shared" si="1309"/>
        <v>#NAME?</v>
      </c>
      <c r="AD1469" s="57">
        <f t="shared" si="906"/>
        <v>0</v>
      </c>
      <c r="AE1469" s="57" t="str">
        <f t="shared" si="907"/>
        <v/>
      </c>
      <c r="AF1469" s="57">
        <f t="shared" si="908"/>
        <v>0</v>
      </c>
      <c r="AG1469" s="59">
        <f t="shared" si="909"/>
        <v>0</v>
      </c>
      <c r="AH1469" s="15"/>
      <c r="AI1469" s="15"/>
      <c r="AJ1469" s="15"/>
      <c r="AK1469" s="15"/>
      <c r="AL1469" s="15"/>
      <c r="AM1469" s="15"/>
      <c r="AN1469" s="15"/>
      <c r="AO1469" s="15"/>
      <c r="AP1469" s="15"/>
      <c r="AQ1469" s="15"/>
      <c r="AR1469" s="15"/>
      <c r="AS1469" s="15"/>
      <c r="AT1469" s="15"/>
      <c r="AU1469" s="15"/>
    </row>
    <row r="1470" ht="24.0" customHeight="1">
      <c r="A1470" s="45">
        <v>2894.0</v>
      </c>
      <c r="B1470" s="57"/>
      <c r="C1470" s="57"/>
      <c r="D1470" s="88" t="str">
        <f t="array" ref="D1470">IFERROR(
  LOOKUP(2, 1/((TRIM(IMS!$E$8:$E$2574)=TRIM(IMS!$E1470))*(IMS!$C$8:$C$2574&lt;IMS!$C1470)),
         IMS!$C$8:$C$2574),
"")</f>
        <v/>
      </c>
      <c r="E1470" s="57"/>
      <c r="F1470" s="57"/>
      <c r="G1470" s="77" t="str">
        <f t="shared" si="901"/>
        <v/>
      </c>
      <c r="H1470" s="78" t="str">
        <f t="shared" si="902"/>
        <v/>
      </c>
      <c r="I1470" s="79"/>
      <c r="J1470" s="80" t="str">
        <f t="shared" si="903"/>
        <v>#NAME?</v>
      </c>
      <c r="K1470" s="58"/>
      <c r="L1470" s="58"/>
      <c r="M1470" s="57"/>
      <c r="N1470" s="57"/>
      <c r="O1470" s="58"/>
      <c r="P1470" s="82"/>
      <c r="Q1470" s="81"/>
      <c r="R1470" s="81"/>
      <c r="S1470" s="57"/>
      <c r="T1470" s="82"/>
      <c r="U1470" s="82"/>
      <c r="V1470" s="57"/>
      <c r="W1470" s="57"/>
      <c r="X1470" s="57" t="str">
        <f t="shared" si="917"/>
        <v/>
      </c>
      <c r="Y1470" s="58" t="str">
        <f t="shared" ref="Y1470:AC1470" si="1310">TRIM(SUBSTITUTE(SUBSTITUTE(OFFSET($Q1470,0,COLUMN()-COLUMN($AL$1)),CHAR(160)," "),_xludf.UNICHAR(8239)," "))</f>
        <v>#NAME?</v>
      </c>
      <c r="Z1470" s="58" t="str">
        <f t="shared" si="1310"/>
        <v>#NAME?</v>
      </c>
      <c r="AA1470" s="58" t="str">
        <f t="shared" si="1310"/>
        <v>#NAME?</v>
      </c>
      <c r="AB1470" s="58" t="str">
        <f t="shared" si="1310"/>
        <v>#NAME?</v>
      </c>
      <c r="AC1470" s="58" t="str">
        <f t="shared" si="1310"/>
        <v>#NAME?</v>
      </c>
      <c r="AD1470" s="57">
        <f t="shared" si="906"/>
        <v>0</v>
      </c>
      <c r="AE1470" s="57" t="str">
        <f t="shared" si="907"/>
        <v/>
      </c>
      <c r="AF1470" s="57">
        <f t="shared" si="908"/>
        <v>0</v>
      </c>
      <c r="AG1470" s="59">
        <f t="shared" si="909"/>
        <v>0</v>
      </c>
      <c r="AH1470" s="15"/>
      <c r="AI1470" s="15"/>
      <c r="AJ1470" s="15"/>
      <c r="AK1470" s="15"/>
      <c r="AL1470" s="15"/>
      <c r="AM1470" s="15"/>
      <c r="AN1470" s="15"/>
      <c r="AO1470" s="15"/>
      <c r="AP1470" s="15"/>
      <c r="AQ1470" s="15"/>
      <c r="AR1470" s="15"/>
      <c r="AS1470" s="15"/>
      <c r="AT1470" s="15"/>
      <c r="AU1470" s="15"/>
    </row>
    <row r="1471" ht="24.0" customHeight="1">
      <c r="A1471" s="45">
        <v>2895.0</v>
      </c>
      <c r="B1471" s="57"/>
      <c r="C1471" s="57"/>
      <c r="D1471" s="88" t="str">
        <f t="array" ref="D1471">IFERROR(
  LOOKUP(2, 1/((TRIM(IMS!$E$8:$E$2574)=TRIM(IMS!$E1471))*(IMS!$C$8:$C$2574&lt;IMS!$C1471)),
         IMS!$C$8:$C$2574),
"")</f>
        <v/>
      </c>
      <c r="E1471" s="57"/>
      <c r="F1471" s="57"/>
      <c r="G1471" s="77" t="str">
        <f t="shared" si="901"/>
        <v/>
      </c>
      <c r="H1471" s="78" t="str">
        <f t="shared" si="902"/>
        <v/>
      </c>
      <c r="I1471" s="79"/>
      <c r="J1471" s="80" t="str">
        <f t="shared" si="903"/>
        <v>#NAME?</v>
      </c>
      <c r="K1471" s="58"/>
      <c r="L1471" s="58"/>
      <c r="M1471" s="57"/>
      <c r="N1471" s="57"/>
      <c r="O1471" s="58"/>
      <c r="P1471" s="82"/>
      <c r="Q1471" s="81"/>
      <c r="R1471" s="81"/>
      <c r="S1471" s="57"/>
      <c r="T1471" s="82"/>
      <c r="U1471" s="82"/>
      <c r="V1471" s="57"/>
      <c r="W1471" s="57"/>
      <c r="X1471" s="57" t="str">
        <f t="shared" si="917"/>
        <v/>
      </c>
      <c r="Y1471" s="58" t="str">
        <f t="shared" ref="Y1471:AC1471" si="1311">TRIM(SUBSTITUTE(SUBSTITUTE(OFFSET($Q1471,0,COLUMN()-COLUMN($AL$1)),CHAR(160)," "),_xludf.UNICHAR(8239)," "))</f>
        <v>#NAME?</v>
      </c>
      <c r="Z1471" s="58" t="str">
        <f t="shared" si="1311"/>
        <v>#NAME?</v>
      </c>
      <c r="AA1471" s="58" t="str">
        <f t="shared" si="1311"/>
        <v>#NAME?</v>
      </c>
      <c r="AB1471" s="58" t="str">
        <f t="shared" si="1311"/>
        <v>#NAME?</v>
      </c>
      <c r="AC1471" s="58" t="str">
        <f t="shared" si="1311"/>
        <v>#NAME?</v>
      </c>
      <c r="AD1471" s="57">
        <f t="shared" si="906"/>
        <v>0</v>
      </c>
      <c r="AE1471" s="57" t="str">
        <f t="shared" si="907"/>
        <v/>
      </c>
      <c r="AF1471" s="57">
        <f t="shared" si="908"/>
        <v>0</v>
      </c>
      <c r="AG1471" s="59">
        <f t="shared" si="909"/>
        <v>0</v>
      </c>
      <c r="AH1471" s="15"/>
      <c r="AI1471" s="15"/>
      <c r="AJ1471" s="15"/>
      <c r="AK1471" s="15"/>
      <c r="AL1471" s="15"/>
      <c r="AM1471" s="15"/>
      <c r="AN1471" s="15"/>
      <c r="AO1471" s="15"/>
      <c r="AP1471" s="15"/>
      <c r="AQ1471" s="15"/>
      <c r="AR1471" s="15"/>
      <c r="AS1471" s="15"/>
      <c r="AT1471" s="15"/>
      <c r="AU1471" s="15"/>
    </row>
    <row r="1472" ht="24.0" customHeight="1">
      <c r="A1472" s="45">
        <v>2896.0</v>
      </c>
      <c r="B1472" s="57"/>
      <c r="C1472" s="57"/>
      <c r="D1472" s="88" t="str">
        <f t="array" ref="D1472">IFERROR(
  LOOKUP(2, 1/((TRIM(IMS!$E$8:$E$2574)=TRIM(IMS!$E1472))*(IMS!$C$8:$C$2574&lt;IMS!$C1472)),
         IMS!$C$8:$C$2574),
"")</f>
        <v/>
      </c>
      <c r="E1472" s="57"/>
      <c r="F1472" s="57"/>
      <c r="G1472" s="77" t="str">
        <f t="shared" si="901"/>
        <v/>
      </c>
      <c r="H1472" s="78" t="str">
        <f t="shared" si="902"/>
        <v/>
      </c>
      <c r="I1472" s="79"/>
      <c r="J1472" s="80" t="str">
        <f t="shared" si="903"/>
        <v>#NAME?</v>
      </c>
      <c r="K1472" s="58"/>
      <c r="L1472" s="58"/>
      <c r="M1472" s="57"/>
      <c r="N1472" s="57"/>
      <c r="O1472" s="58"/>
      <c r="P1472" s="82"/>
      <c r="Q1472" s="81"/>
      <c r="R1472" s="81"/>
      <c r="S1472" s="57"/>
      <c r="T1472" s="82"/>
      <c r="U1472" s="82"/>
      <c r="V1472" s="57"/>
      <c r="W1472" s="57"/>
      <c r="X1472" s="57" t="str">
        <f t="shared" si="917"/>
        <v/>
      </c>
      <c r="Y1472" s="58" t="str">
        <f t="shared" ref="Y1472:AC1472" si="1312">TRIM(SUBSTITUTE(SUBSTITUTE(OFFSET($Q1472,0,COLUMN()-COLUMN($AL$1)),CHAR(160)," "),_xludf.UNICHAR(8239)," "))</f>
        <v>#NAME?</v>
      </c>
      <c r="Z1472" s="58" t="str">
        <f t="shared" si="1312"/>
        <v>#NAME?</v>
      </c>
      <c r="AA1472" s="58" t="str">
        <f t="shared" si="1312"/>
        <v>#NAME?</v>
      </c>
      <c r="AB1472" s="58" t="str">
        <f t="shared" si="1312"/>
        <v>#NAME?</v>
      </c>
      <c r="AC1472" s="58" t="str">
        <f t="shared" si="1312"/>
        <v>#NAME?</v>
      </c>
      <c r="AD1472" s="57">
        <f t="shared" si="906"/>
        <v>0</v>
      </c>
      <c r="AE1472" s="57" t="str">
        <f t="shared" si="907"/>
        <v/>
      </c>
      <c r="AF1472" s="57">
        <f t="shared" si="908"/>
        <v>0</v>
      </c>
      <c r="AG1472" s="59">
        <f t="shared" si="909"/>
        <v>0</v>
      </c>
      <c r="AH1472" s="15"/>
      <c r="AI1472" s="15"/>
      <c r="AJ1472" s="15"/>
      <c r="AK1472" s="15"/>
      <c r="AL1472" s="15"/>
      <c r="AM1472" s="15"/>
      <c r="AN1472" s="15"/>
      <c r="AO1472" s="15"/>
      <c r="AP1472" s="15"/>
      <c r="AQ1472" s="15"/>
      <c r="AR1472" s="15"/>
      <c r="AS1472" s="15"/>
      <c r="AT1472" s="15"/>
      <c r="AU1472" s="15"/>
    </row>
    <row r="1473" ht="24.0" customHeight="1">
      <c r="A1473" s="45">
        <v>2897.0</v>
      </c>
      <c r="B1473" s="57"/>
      <c r="C1473" s="57"/>
      <c r="D1473" s="88" t="str">
        <f t="array" ref="D1473">IFERROR(
  LOOKUP(2, 1/((TRIM(IMS!$E$8:$E$2574)=TRIM(IMS!$E1473))*(IMS!$C$8:$C$2574&lt;IMS!$C1473)),
         IMS!$C$8:$C$2574),
"")</f>
        <v/>
      </c>
      <c r="E1473" s="57"/>
      <c r="F1473" s="57"/>
      <c r="G1473" s="77" t="str">
        <f t="shared" si="901"/>
        <v/>
      </c>
      <c r="H1473" s="78" t="str">
        <f t="shared" si="902"/>
        <v/>
      </c>
      <c r="I1473" s="79"/>
      <c r="J1473" s="80" t="str">
        <f t="shared" si="903"/>
        <v>#NAME?</v>
      </c>
      <c r="K1473" s="58"/>
      <c r="L1473" s="58"/>
      <c r="M1473" s="57"/>
      <c r="N1473" s="57"/>
      <c r="O1473" s="58"/>
      <c r="P1473" s="82"/>
      <c r="Q1473" s="81"/>
      <c r="R1473" s="81"/>
      <c r="S1473" s="57"/>
      <c r="T1473" s="82"/>
      <c r="U1473" s="82"/>
      <c r="V1473" s="57"/>
      <c r="W1473" s="57"/>
      <c r="X1473" s="57" t="str">
        <f t="shared" si="917"/>
        <v/>
      </c>
      <c r="Y1473" s="58" t="str">
        <f t="shared" ref="Y1473:AC1473" si="1313">TRIM(SUBSTITUTE(SUBSTITUTE(OFFSET($Q1473,0,COLUMN()-COLUMN($AL$1)),CHAR(160)," "),_xludf.UNICHAR(8239)," "))</f>
        <v>#NAME?</v>
      </c>
      <c r="Z1473" s="58" t="str">
        <f t="shared" si="1313"/>
        <v>#NAME?</v>
      </c>
      <c r="AA1473" s="58" t="str">
        <f t="shared" si="1313"/>
        <v>#NAME?</v>
      </c>
      <c r="AB1473" s="58" t="str">
        <f t="shared" si="1313"/>
        <v>#NAME?</v>
      </c>
      <c r="AC1473" s="58" t="str">
        <f t="shared" si="1313"/>
        <v>#NAME?</v>
      </c>
      <c r="AD1473" s="57">
        <f t="shared" si="906"/>
        <v>0</v>
      </c>
      <c r="AE1473" s="57" t="str">
        <f t="shared" si="907"/>
        <v/>
      </c>
      <c r="AF1473" s="57">
        <f t="shared" si="908"/>
        <v>0</v>
      </c>
      <c r="AG1473" s="59">
        <f t="shared" si="909"/>
        <v>0</v>
      </c>
      <c r="AH1473" s="15"/>
      <c r="AI1473" s="15"/>
      <c r="AJ1473" s="15"/>
      <c r="AK1473" s="15"/>
      <c r="AL1473" s="15"/>
      <c r="AM1473" s="15"/>
      <c r="AN1473" s="15"/>
      <c r="AO1473" s="15"/>
      <c r="AP1473" s="15"/>
      <c r="AQ1473" s="15"/>
      <c r="AR1473" s="15"/>
      <c r="AS1473" s="15"/>
      <c r="AT1473" s="15"/>
      <c r="AU1473" s="15"/>
    </row>
    <row r="1474" ht="24.0" customHeight="1">
      <c r="A1474" s="45">
        <v>2898.0</v>
      </c>
      <c r="B1474" s="57"/>
      <c r="C1474" s="57"/>
      <c r="D1474" s="88" t="str">
        <f t="array" ref="D1474">IFERROR(
  LOOKUP(2, 1/((TRIM(IMS!$E$8:$E$2574)=TRIM(IMS!$E1474))*(IMS!$C$8:$C$2574&lt;IMS!$C1474)),
         IMS!$C$8:$C$2574),
"")</f>
        <v/>
      </c>
      <c r="E1474" s="57"/>
      <c r="F1474" s="57"/>
      <c r="G1474" s="77" t="str">
        <f t="shared" si="901"/>
        <v/>
      </c>
      <c r="H1474" s="78" t="str">
        <f t="shared" si="902"/>
        <v/>
      </c>
      <c r="I1474" s="79"/>
      <c r="J1474" s="80" t="str">
        <f t="shared" si="903"/>
        <v>#NAME?</v>
      </c>
      <c r="K1474" s="58"/>
      <c r="L1474" s="58"/>
      <c r="M1474" s="57"/>
      <c r="N1474" s="57"/>
      <c r="O1474" s="58"/>
      <c r="P1474" s="82"/>
      <c r="Q1474" s="81"/>
      <c r="R1474" s="81"/>
      <c r="S1474" s="57"/>
      <c r="T1474" s="82"/>
      <c r="U1474" s="82"/>
      <c r="V1474" s="57"/>
      <c r="W1474" s="57"/>
      <c r="X1474" s="57" t="str">
        <f t="shared" si="917"/>
        <v/>
      </c>
      <c r="Y1474" s="58" t="str">
        <f t="shared" ref="Y1474:AC1474" si="1314">TRIM(SUBSTITUTE(SUBSTITUTE(OFFSET($Q1474,0,COLUMN()-COLUMN($AL$1)),CHAR(160)," "),_xludf.UNICHAR(8239)," "))</f>
        <v>#NAME?</v>
      </c>
      <c r="Z1474" s="58" t="str">
        <f t="shared" si="1314"/>
        <v>#NAME?</v>
      </c>
      <c r="AA1474" s="58" t="str">
        <f t="shared" si="1314"/>
        <v>#NAME?</v>
      </c>
      <c r="AB1474" s="58" t="str">
        <f t="shared" si="1314"/>
        <v>#NAME?</v>
      </c>
      <c r="AC1474" s="58" t="str">
        <f t="shared" si="1314"/>
        <v>#NAME?</v>
      </c>
      <c r="AD1474" s="57">
        <f t="shared" si="906"/>
        <v>0</v>
      </c>
      <c r="AE1474" s="57" t="str">
        <f t="shared" si="907"/>
        <v/>
      </c>
      <c r="AF1474" s="57">
        <f t="shared" si="908"/>
        <v>0</v>
      </c>
      <c r="AG1474" s="59">
        <f t="shared" si="909"/>
        <v>0</v>
      </c>
      <c r="AH1474" s="15"/>
      <c r="AI1474" s="15"/>
      <c r="AJ1474" s="15"/>
      <c r="AK1474" s="15"/>
      <c r="AL1474" s="15"/>
      <c r="AM1474" s="15"/>
      <c r="AN1474" s="15"/>
      <c r="AO1474" s="15"/>
      <c r="AP1474" s="15"/>
      <c r="AQ1474" s="15"/>
      <c r="AR1474" s="15"/>
      <c r="AS1474" s="15"/>
      <c r="AT1474" s="15"/>
      <c r="AU1474" s="15"/>
    </row>
    <row r="1475" ht="24.0" customHeight="1">
      <c r="A1475" s="45">
        <v>2899.0</v>
      </c>
      <c r="B1475" s="57"/>
      <c r="C1475" s="57"/>
      <c r="D1475" s="88" t="str">
        <f t="array" ref="D1475">IFERROR(
  LOOKUP(2, 1/((TRIM(IMS!$E$8:$E$2574)=TRIM(IMS!$E1475))*(IMS!$C$8:$C$2574&lt;IMS!$C1475)),
         IMS!$C$8:$C$2574),
"")</f>
        <v/>
      </c>
      <c r="E1475" s="57"/>
      <c r="F1475" s="57"/>
      <c r="G1475" s="77" t="str">
        <f t="shared" si="901"/>
        <v/>
      </c>
      <c r="H1475" s="78" t="str">
        <f t="shared" si="902"/>
        <v/>
      </c>
      <c r="I1475" s="79"/>
      <c r="J1475" s="80" t="str">
        <f t="shared" si="903"/>
        <v>#NAME?</v>
      </c>
      <c r="K1475" s="58"/>
      <c r="L1475" s="58"/>
      <c r="M1475" s="57"/>
      <c r="N1475" s="57"/>
      <c r="O1475" s="58"/>
      <c r="P1475" s="82"/>
      <c r="Q1475" s="81"/>
      <c r="R1475" s="81"/>
      <c r="S1475" s="57"/>
      <c r="T1475" s="82"/>
      <c r="U1475" s="82"/>
      <c r="V1475" s="57"/>
      <c r="W1475" s="57"/>
      <c r="X1475" s="57" t="str">
        <f t="shared" si="917"/>
        <v/>
      </c>
      <c r="Y1475" s="58" t="str">
        <f t="shared" ref="Y1475:AC1475" si="1315">TRIM(SUBSTITUTE(SUBSTITUTE(OFFSET($Q1475,0,COLUMN()-COLUMN($AL$1)),CHAR(160)," "),_xludf.UNICHAR(8239)," "))</f>
        <v>#NAME?</v>
      </c>
      <c r="Z1475" s="58" t="str">
        <f t="shared" si="1315"/>
        <v>#NAME?</v>
      </c>
      <c r="AA1475" s="58" t="str">
        <f t="shared" si="1315"/>
        <v>#NAME?</v>
      </c>
      <c r="AB1475" s="58" t="str">
        <f t="shared" si="1315"/>
        <v>#NAME?</v>
      </c>
      <c r="AC1475" s="58" t="str">
        <f t="shared" si="1315"/>
        <v>#NAME?</v>
      </c>
      <c r="AD1475" s="57">
        <f t="shared" si="906"/>
        <v>0</v>
      </c>
      <c r="AE1475" s="57" t="str">
        <f t="shared" si="907"/>
        <v/>
      </c>
      <c r="AF1475" s="57">
        <f t="shared" si="908"/>
        <v>0</v>
      </c>
      <c r="AG1475" s="59">
        <f t="shared" si="909"/>
        <v>0</v>
      </c>
      <c r="AH1475" s="15"/>
      <c r="AI1475" s="15"/>
      <c r="AJ1475" s="15"/>
      <c r="AK1475" s="15"/>
      <c r="AL1475" s="15"/>
      <c r="AM1475" s="15"/>
      <c r="AN1475" s="15"/>
      <c r="AO1475" s="15"/>
      <c r="AP1475" s="15"/>
      <c r="AQ1475" s="15"/>
      <c r="AR1475" s="15"/>
      <c r="AS1475" s="15"/>
      <c r="AT1475" s="15"/>
      <c r="AU1475" s="15"/>
    </row>
    <row r="1476" ht="24.0" customHeight="1">
      <c r="A1476" s="45">
        <v>2900.0</v>
      </c>
      <c r="B1476" s="57"/>
      <c r="C1476" s="57"/>
      <c r="D1476" s="88" t="str">
        <f t="array" ref="D1476">IFERROR(
  LOOKUP(2, 1/((TRIM(IMS!$E$8:$E$2574)=TRIM(IMS!$E1476))*(IMS!$C$8:$C$2574&lt;IMS!$C1476)),
         IMS!$C$8:$C$2574),
"")</f>
        <v/>
      </c>
      <c r="E1476" s="57"/>
      <c r="F1476" s="57"/>
      <c r="G1476" s="77" t="str">
        <f t="shared" si="901"/>
        <v/>
      </c>
      <c r="H1476" s="78" t="str">
        <f t="shared" si="902"/>
        <v/>
      </c>
      <c r="I1476" s="79"/>
      <c r="J1476" s="80" t="str">
        <f t="shared" si="903"/>
        <v>#NAME?</v>
      </c>
      <c r="K1476" s="58"/>
      <c r="L1476" s="58"/>
      <c r="M1476" s="57"/>
      <c r="N1476" s="57"/>
      <c r="O1476" s="58"/>
      <c r="P1476" s="82"/>
      <c r="Q1476" s="81"/>
      <c r="R1476" s="81"/>
      <c r="S1476" s="57"/>
      <c r="T1476" s="82"/>
      <c r="U1476" s="82"/>
      <c r="V1476" s="57"/>
      <c r="W1476" s="57"/>
      <c r="X1476" s="57" t="str">
        <f t="shared" si="917"/>
        <v/>
      </c>
      <c r="Y1476" s="58" t="str">
        <f t="shared" ref="Y1476:AC1476" si="1316">TRIM(SUBSTITUTE(SUBSTITUTE(OFFSET($Q1476,0,COLUMN()-COLUMN($AL$1)),CHAR(160)," "),_xludf.UNICHAR(8239)," "))</f>
        <v>#NAME?</v>
      </c>
      <c r="Z1476" s="58" t="str">
        <f t="shared" si="1316"/>
        <v>#NAME?</v>
      </c>
      <c r="AA1476" s="58" t="str">
        <f t="shared" si="1316"/>
        <v>#NAME?</v>
      </c>
      <c r="AB1476" s="58" t="str">
        <f t="shared" si="1316"/>
        <v>#NAME?</v>
      </c>
      <c r="AC1476" s="58" t="str">
        <f t="shared" si="1316"/>
        <v>#NAME?</v>
      </c>
      <c r="AD1476" s="57">
        <f t="shared" si="906"/>
        <v>0</v>
      </c>
      <c r="AE1476" s="57" t="str">
        <f t="shared" si="907"/>
        <v/>
      </c>
      <c r="AF1476" s="57">
        <f t="shared" si="908"/>
        <v>0</v>
      </c>
      <c r="AG1476" s="59">
        <f t="shared" si="909"/>
        <v>0</v>
      </c>
      <c r="AH1476" s="15"/>
      <c r="AI1476" s="15"/>
      <c r="AJ1476" s="15"/>
      <c r="AK1476" s="15"/>
      <c r="AL1476" s="15"/>
      <c r="AM1476" s="15"/>
      <c r="AN1476" s="15"/>
      <c r="AO1476" s="15"/>
      <c r="AP1476" s="15"/>
      <c r="AQ1476" s="15"/>
      <c r="AR1476" s="15"/>
      <c r="AS1476" s="15"/>
      <c r="AT1476" s="15"/>
      <c r="AU1476" s="15"/>
    </row>
    <row r="1477" ht="24.0" customHeight="1">
      <c r="A1477" s="45">
        <v>2901.0</v>
      </c>
      <c r="B1477" s="57"/>
      <c r="C1477" s="57"/>
      <c r="D1477" s="88" t="str">
        <f t="array" ref="D1477">IFERROR(
  LOOKUP(2, 1/((TRIM(IMS!$E$8:$E$2574)=TRIM(IMS!$E1477))*(IMS!$C$8:$C$2574&lt;IMS!$C1477)),
         IMS!$C$8:$C$2574),
"")</f>
        <v/>
      </c>
      <c r="E1477" s="57"/>
      <c r="F1477" s="57"/>
      <c r="G1477" s="77" t="str">
        <f t="shared" si="901"/>
        <v/>
      </c>
      <c r="H1477" s="78" t="str">
        <f t="shared" si="902"/>
        <v/>
      </c>
      <c r="I1477" s="79"/>
      <c r="J1477" s="80" t="str">
        <f t="shared" si="903"/>
        <v>#NAME?</v>
      </c>
      <c r="K1477" s="58"/>
      <c r="L1477" s="58"/>
      <c r="M1477" s="57"/>
      <c r="N1477" s="57"/>
      <c r="O1477" s="58"/>
      <c r="P1477" s="82"/>
      <c r="Q1477" s="81"/>
      <c r="R1477" s="81"/>
      <c r="S1477" s="57"/>
      <c r="T1477" s="82"/>
      <c r="U1477" s="82"/>
      <c r="V1477" s="57"/>
      <c r="W1477" s="57"/>
      <c r="X1477" s="57" t="str">
        <f t="shared" si="917"/>
        <v/>
      </c>
      <c r="Y1477" s="58" t="str">
        <f t="shared" ref="Y1477:AC1477" si="1317">TRIM(SUBSTITUTE(SUBSTITUTE(OFFSET($Q1477,0,COLUMN()-COLUMN($AL$1)),CHAR(160)," "),_xludf.UNICHAR(8239)," "))</f>
        <v>#NAME?</v>
      </c>
      <c r="Z1477" s="58" t="str">
        <f t="shared" si="1317"/>
        <v>#NAME?</v>
      </c>
      <c r="AA1477" s="58" t="str">
        <f t="shared" si="1317"/>
        <v>#NAME?</v>
      </c>
      <c r="AB1477" s="58" t="str">
        <f t="shared" si="1317"/>
        <v>#NAME?</v>
      </c>
      <c r="AC1477" s="58" t="str">
        <f t="shared" si="1317"/>
        <v>#NAME?</v>
      </c>
      <c r="AD1477" s="57">
        <f t="shared" si="906"/>
        <v>0</v>
      </c>
      <c r="AE1477" s="57" t="str">
        <f t="shared" si="907"/>
        <v/>
      </c>
      <c r="AF1477" s="57">
        <f t="shared" si="908"/>
        <v>0</v>
      </c>
      <c r="AG1477" s="59">
        <f t="shared" si="909"/>
        <v>0</v>
      </c>
      <c r="AH1477" s="15"/>
      <c r="AI1477" s="15"/>
      <c r="AJ1477" s="15"/>
      <c r="AK1477" s="15"/>
      <c r="AL1477" s="15"/>
      <c r="AM1477" s="15"/>
      <c r="AN1477" s="15"/>
      <c r="AO1477" s="15"/>
      <c r="AP1477" s="15"/>
      <c r="AQ1477" s="15"/>
      <c r="AR1477" s="15"/>
      <c r="AS1477" s="15"/>
      <c r="AT1477" s="15"/>
      <c r="AU1477" s="15"/>
    </row>
    <row r="1478" ht="24.0" customHeight="1">
      <c r="A1478" s="45">
        <v>2902.0</v>
      </c>
      <c r="B1478" s="57"/>
      <c r="C1478" s="57"/>
      <c r="D1478" s="88" t="str">
        <f t="array" ref="D1478">IFERROR(
  LOOKUP(2, 1/((TRIM(IMS!$E$8:$E$2574)=TRIM(IMS!$E1478))*(IMS!$C$8:$C$2574&lt;IMS!$C1478)),
         IMS!$C$8:$C$2574),
"")</f>
        <v/>
      </c>
      <c r="E1478" s="57"/>
      <c r="F1478" s="57"/>
      <c r="G1478" s="77" t="str">
        <f t="shared" si="901"/>
        <v/>
      </c>
      <c r="H1478" s="78" t="str">
        <f t="shared" si="902"/>
        <v/>
      </c>
      <c r="I1478" s="79"/>
      <c r="J1478" s="80" t="str">
        <f t="shared" si="903"/>
        <v>#NAME?</v>
      </c>
      <c r="K1478" s="58"/>
      <c r="L1478" s="58"/>
      <c r="M1478" s="57"/>
      <c r="N1478" s="57"/>
      <c r="O1478" s="58"/>
      <c r="P1478" s="82"/>
      <c r="Q1478" s="81"/>
      <c r="R1478" s="81"/>
      <c r="S1478" s="57"/>
      <c r="T1478" s="82"/>
      <c r="U1478" s="82"/>
      <c r="V1478" s="57"/>
      <c r="W1478" s="57"/>
      <c r="X1478" s="57" t="str">
        <f t="shared" si="917"/>
        <v/>
      </c>
      <c r="Y1478" s="58" t="str">
        <f t="shared" ref="Y1478:AC1478" si="1318">TRIM(SUBSTITUTE(SUBSTITUTE(OFFSET($Q1478,0,COLUMN()-COLUMN($AL$1)),CHAR(160)," "),_xludf.UNICHAR(8239)," "))</f>
        <v>#NAME?</v>
      </c>
      <c r="Z1478" s="58" t="str">
        <f t="shared" si="1318"/>
        <v>#NAME?</v>
      </c>
      <c r="AA1478" s="58" t="str">
        <f t="shared" si="1318"/>
        <v>#NAME?</v>
      </c>
      <c r="AB1478" s="58" t="str">
        <f t="shared" si="1318"/>
        <v>#NAME?</v>
      </c>
      <c r="AC1478" s="58" t="str">
        <f t="shared" si="1318"/>
        <v>#NAME?</v>
      </c>
      <c r="AD1478" s="57">
        <f t="shared" si="906"/>
        <v>0</v>
      </c>
      <c r="AE1478" s="57" t="str">
        <f t="shared" si="907"/>
        <v/>
      </c>
      <c r="AF1478" s="57">
        <f t="shared" si="908"/>
        <v>0</v>
      </c>
      <c r="AG1478" s="59">
        <f t="shared" si="909"/>
        <v>0</v>
      </c>
      <c r="AH1478" s="15"/>
      <c r="AI1478" s="15"/>
      <c r="AJ1478" s="15"/>
      <c r="AK1478" s="15"/>
      <c r="AL1478" s="15"/>
      <c r="AM1478" s="15"/>
      <c r="AN1478" s="15"/>
      <c r="AO1478" s="15"/>
      <c r="AP1478" s="15"/>
      <c r="AQ1478" s="15"/>
      <c r="AR1478" s="15"/>
      <c r="AS1478" s="15"/>
      <c r="AT1478" s="15"/>
      <c r="AU1478" s="15"/>
    </row>
    <row r="1479" ht="24.0" customHeight="1">
      <c r="A1479" s="45">
        <v>2903.0</v>
      </c>
      <c r="B1479" s="57"/>
      <c r="C1479" s="57"/>
      <c r="D1479" s="88" t="str">
        <f t="array" ref="D1479">IFERROR(
  LOOKUP(2, 1/((TRIM(IMS!$E$8:$E$2574)=TRIM(IMS!$E1479))*(IMS!$C$8:$C$2574&lt;IMS!$C1479)),
         IMS!$C$8:$C$2574),
"")</f>
        <v/>
      </c>
      <c r="E1479" s="57"/>
      <c r="F1479" s="57"/>
      <c r="G1479" s="77" t="str">
        <f t="shared" si="901"/>
        <v/>
      </c>
      <c r="H1479" s="78" t="str">
        <f t="shared" si="902"/>
        <v/>
      </c>
      <c r="I1479" s="79"/>
      <c r="J1479" s="80" t="str">
        <f t="shared" si="903"/>
        <v>#NAME?</v>
      </c>
      <c r="K1479" s="58"/>
      <c r="L1479" s="58"/>
      <c r="M1479" s="57"/>
      <c r="N1479" s="57"/>
      <c r="O1479" s="58"/>
      <c r="P1479" s="82"/>
      <c r="Q1479" s="81"/>
      <c r="R1479" s="81"/>
      <c r="S1479" s="57"/>
      <c r="T1479" s="82"/>
      <c r="U1479" s="82"/>
      <c r="V1479" s="57"/>
      <c r="W1479" s="57"/>
      <c r="X1479" s="57" t="str">
        <f t="shared" si="917"/>
        <v/>
      </c>
      <c r="Y1479" s="58" t="str">
        <f t="shared" ref="Y1479:AC1479" si="1319">TRIM(SUBSTITUTE(SUBSTITUTE(OFFSET($Q1479,0,COLUMN()-COLUMN($AL$1)),CHAR(160)," "),_xludf.UNICHAR(8239)," "))</f>
        <v>#NAME?</v>
      </c>
      <c r="Z1479" s="58" t="str">
        <f t="shared" si="1319"/>
        <v>#NAME?</v>
      </c>
      <c r="AA1479" s="58" t="str">
        <f t="shared" si="1319"/>
        <v>#NAME?</v>
      </c>
      <c r="AB1479" s="58" t="str">
        <f t="shared" si="1319"/>
        <v>#NAME?</v>
      </c>
      <c r="AC1479" s="58" t="str">
        <f t="shared" si="1319"/>
        <v>#NAME?</v>
      </c>
      <c r="AD1479" s="57">
        <f t="shared" si="906"/>
        <v>0</v>
      </c>
      <c r="AE1479" s="57" t="str">
        <f t="shared" si="907"/>
        <v/>
      </c>
      <c r="AF1479" s="57">
        <f t="shared" si="908"/>
        <v>0</v>
      </c>
      <c r="AG1479" s="59">
        <f t="shared" si="909"/>
        <v>0</v>
      </c>
      <c r="AH1479" s="15"/>
      <c r="AI1479" s="15"/>
      <c r="AJ1479" s="15"/>
      <c r="AK1479" s="15"/>
      <c r="AL1479" s="15"/>
      <c r="AM1479" s="15"/>
      <c r="AN1479" s="15"/>
      <c r="AO1479" s="15"/>
      <c r="AP1479" s="15"/>
      <c r="AQ1479" s="15"/>
      <c r="AR1479" s="15"/>
      <c r="AS1479" s="15"/>
      <c r="AT1479" s="15"/>
      <c r="AU1479" s="15"/>
    </row>
    <row r="1480" ht="24.0" customHeight="1">
      <c r="A1480" s="45">
        <v>2904.0</v>
      </c>
      <c r="B1480" s="57"/>
      <c r="C1480" s="57"/>
      <c r="D1480" s="88" t="str">
        <f t="array" ref="D1480">IFERROR(
  LOOKUP(2, 1/((TRIM(IMS!$E$8:$E$2574)=TRIM(IMS!$E1480))*(IMS!$C$8:$C$2574&lt;IMS!$C1480)),
         IMS!$C$8:$C$2574),
"")</f>
        <v/>
      </c>
      <c r="E1480" s="57"/>
      <c r="F1480" s="57"/>
      <c r="G1480" s="77" t="str">
        <f t="shared" si="901"/>
        <v/>
      </c>
      <c r="H1480" s="78" t="str">
        <f t="shared" si="902"/>
        <v/>
      </c>
      <c r="I1480" s="79"/>
      <c r="J1480" s="80" t="str">
        <f t="shared" si="903"/>
        <v>#NAME?</v>
      </c>
      <c r="K1480" s="58"/>
      <c r="L1480" s="58"/>
      <c r="M1480" s="57"/>
      <c r="N1480" s="57"/>
      <c r="O1480" s="58"/>
      <c r="P1480" s="82"/>
      <c r="Q1480" s="81"/>
      <c r="R1480" s="81"/>
      <c r="S1480" s="57"/>
      <c r="T1480" s="82"/>
      <c r="U1480" s="82"/>
      <c r="V1480" s="57"/>
      <c r="W1480" s="57"/>
      <c r="X1480" s="57" t="str">
        <f t="shared" si="917"/>
        <v/>
      </c>
      <c r="Y1480" s="58" t="str">
        <f t="shared" ref="Y1480:AC1480" si="1320">TRIM(SUBSTITUTE(SUBSTITUTE(OFFSET($Q1480,0,COLUMN()-COLUMN($AL$1)),CHAR(160)," "),_xludf.UNICHAR(8239)," "))</f>
        <v>#NAME?</v>
      </c>
      <c r="Z1480" s="58" t="str">
        <f t="shared" si="1320"/>
        <v>#NAME?</v>
      </c>
      <c r="AA1480" s="58" t="str">
        <f t="shared" si="1320"/>
        <v>#NAME?</v>
      </c>
      <c r="AB1480" s="58" t="str">
        <f t="shared" si="1320"/>
        <v>#NAME?</v>
      </c>
      <c r="AC1480" s="58" t="str">
        <f t="shared" si="1320"/>
        <v>#NAME?</v>
      </c>
      <c r="AD1480" s="57">
        <f t="shared" si="906"/>
        <v>0</v>
      </c>
      <c r="AE1480" s="57" t="str">
        <f t="shared" si="907"/>
        <v/>
      </c>
      <c r="AF1480" s="57">
        <f t="shared" si="908"/>
        <v>0</v>
      </c>
      <c r="AG1480" s="59">
        <f t="shared" si="909"/>
        <v>0</v>
      </c>
      <c r="AH1480" s="15"/>
      <c r="AI1480" s="15"/>
      <c r="AJ1480" s="15"/>
      <c r="AK1480" s="15"/>
      <c r="AL1480" s="15"/>
      <c r="AM1480" s="15"/>
      <c r="AN1480" s="15"/>
      <c r="AO1480" s="15"/>
      <c r="AP1480" s="15"/>
      <c r="AQ1480" s="15"/>
      <c r="AR1480" s="15"/>
      <c r="AS1480" s="15"/>
      <c r="AT1480" s="15"/>
      <c r="AU1480" s="15"/>
    </row>
    <row r="1481" ht="24.0" customHeight="1">
      <c r="A1481" s="45">
        <v>2905.0</v>
      </c>
      <c r="B1481" s="57"/>
      <c r="C1481" s="57"/>
      <c r="D1481" s="88" t="str">
        <f t="array" ref="D1481">IFERROR(
  LOOKUP(2, 1/((TRIM(IMS!$E$8:$E$2574)=TRIM(IMS!$E1481))*(IMS!$C$8:$C$2574&lt;IMS!$C1481)),
         IMS!$C$8:$C$2574),
"")</f>
        <v/>
      </c>
      <c r="E1481" s="57"/>
      <c r="F1481" s="57"/>
      <c r="G1481" s="77" t="str">
        <f t="shared" si="901"/>
        <v/>
      </c>
      <c r="H1481" s="78" t="str">
        <f t="shared" si="902"/>
        <v/>
      </c>
      <c r="I1481" s="79"/>
      <c r="J1481" s="80" t="str">
        <f t="shared" si="903"/>
        <v>#NAME?</v>
      </c>
      <c r="K1481" s="58"/>
      <c r="L1481" s="58"/>
      <c r="M1481" s="57"/>
      <c r="N1481" s="57"/>
      <c r="O1481" s="58"/>
      <c r="P1481" s="82"/>
      <c r="Q1481" s="81"/>
      <c r="R1481" s="81"/>
      <c r="S1481" s="57"/>
      <c r="T1481" s="82"/>
      <c r="U1481" s="82"/>
      <c r="V1481" s="57"/>
      <c r="W1481" s="57"/>
      <c r="X1481" s="57" t="str">
        <f t="shared" si="917"/>
        <v/>
      </c>
      <c r="Y1481" s="58" t="str">
        <f t="shared" ref="Y1481:AC1481" si="1321">TRIM(SUBSTITUTE(SUBSTITUTE(OFFSET($Q1481,0,COLUMN()-COLUMN($AL$1)),CHAR(160)," "),_xludf.UNICHAR(8239)," "))</f>
        <v>#NAME?</v>
      </c>
      <c r="Z1481" s="58" t="str">
        <f t="shared" si="1321"/>
        <v>#NAME?</v>
      </c>
      <c r="AA1481" s="58" t="str">
        <f t="shared" si="1321"/>
        <v>#NAME?</v>
      </c>
      <c r="AB1481" s="58" t="str">
        <f t="shared" si="1321"/>
        <v>#NAME?</v>
      </c>
      <c r="AC1481" s="58" t="str">
        <f t="shared" si="1321"/>
        <v>#NAME?</v>
      </c>
      <c r="AD1481" s="57">
        <f t="shared" si="906"/>
        <v>0</v>
      </c>
      <c r="AE1481" s="57" t="str">
        <f t="shared" si="907"/>
        <v/>
      </c>
      <c r="AF1481" s="57">
        <f t="shared" si="908"/>
        <v>0</v>
      </c>
      <c r="AG1481" s="59">
        <f t="shared" si="909"/>
        <v>0</v>
      </c>
      <c r="AH1481" s="15"/>
      <c r="AI1481" s="15"/>
      <c r="AJ1481" s="15"/>
      <c r="AK1481" s="15"/>
      <c r="AL1481" s="15"/>
      <c r="AM1481" s="15"/>
      <c r="AN1481" s="15"/>
      <c r="AO1481" s="15"/>
      <c r="AP1481" s="15"/>
      <c r="AQ1481" s="15"/>
      <c r="AR1481" s="15"/>
      <c r="AS1481" s="15"/>
      <c r="AT1481" s="15"/>
      <c r="AU1481" s="15"/>
    </row>
    <row r="1482" ht="24.0" customHeight="1">
      <c r="A1482" s="45">
        <v>2906.0</v>
      </c>
      <c r="B1482" s="57"/>
      <c r="C1482" s="57"/>
      <c r="D1482" s="88" t="str">
        <f t="array" ref="D1482">IFERROR(
  LOOKUP(2, 1/((TRIM(IMS!$E$8:$E$2574)=TRIM(IMS!$E1482))*(IMS!$C$8:$C$2574&lt;IMS!$C1482)),
         IMS!$C$8:$C$2574),
"")</f>
        <v/>
      </c>
      <c r="E1482" s="57"/>
      <c r="F1482" s="57"/>
      <c r="G1482" s="77" t="str">
        <f t="shared" si="901"/>
        <v/>
      </c>
      <c r="H1482" s="78" t="str">
        <f t="shared" si="902"/>
        <v/>
      </c>
      <c r="I1482" s="79"/>
      <c r="J1482" s="80" t="str">
        <f t="shared" si="903"/>
        <v>#NAME?</v>
      </c>
      <c r="K1482" s="58"/>
      <c r="L1482" s="58"/>
      <c r="M1482" s="57"/>
      <c r="N1482" s="57"/>
      <c r="O1482" s="58"/>
      <c r="P1482" s="82"/>
      <c r="Q1482" s="81"/>
      <c r="R1482" s="81"/>
      <c r="S1482" s="57"/>
      <c r="T1482" s="82"/>
      <c r="U1482" s="82"/>
      <c r="V1482" s="57"/>
      <c r="W1482" s="57"/>
      <c r="X1482" s="57" t="str">
        <f t="shared" si="917"/>
        <v/>
      </c>
      <c r="Y1482" s="58" t="str">
        <f t="shared" ref="Y1482:AC1482" si="1322">TRIM(SUBSTITUTE(SUBSTITUTE(OFFSET($Q1482,0,COLUMN()-COLUMN($AL$1)),CHAR(160)," "),_xludf.UNICHAR(8239)," "))</f>
        <v>#NAME?</v>
      </c>
      <c r="Z1482" s="58" t="str">
        <f t="shared" si="1322"/>
        <v>#NAME?</v>
      </c>
      <c r="AA1482" s="58" t="str">
        <f t="shared" si="1322"/>
        <v>#NAME?</v>
      </c>
      <c r="AB1482" s="58" t="str">
        <f t="shared" si="1322"/>
        <v>#NAME?</v>
      </c>
      <c r="AC1482" s="58" t="str">
        <f t="shared" si="1322"/>
        <v>#NAME?</v>
      </c>
      <c r="AD1482" s="57">
        <f t="shared" si="906"/>
        <v>0</v>
      </c>
      <c r="AE1482" s="57" t="str">
        <f t="shared" si="907"/>
        <v/>
      </c>
      <c r="AF1482" s="57">
        <f t="shared" si="908"/>
        <v>0</v>
      </c>
      <c r="AG1482" s="59">
        <f t="shared" si="909"/>
        <v>0</v>
      </c>
      <c r="AH1482" s="15"/>
      <c r="AI1482" s="15"/>
      <c r="AJ1482" s="15"/>
      <c r="AK1482" s="15"/>
      <c r="AL1482" s="15"/>
      <c r="AM1482" s="15"/>
      <c r="AN1482" s="15"/>
      <c r="AO1482" s="15"/>
      <c r="AP1482" s="15"/>
      <c r="AQ1482" s="15"/>
      <c r="AR1482" s="15"/>
      <c r="AS1482" s="15"/>
      <c r="AT1482" s="15"/>
      <c r="AU1482" s="15"/>
    </row>
    <row r="1483" ht="24.0" customHeight="1">
      <c r="A1483" s="45">
        <v>2907.0</v>
      </c>
      <c r="B1483" s="57"/>
      <c r="C1483" s="57"/>
      <c r="D1483" s="88" t="str">
        <f t="array" ref="D1483">IFERROR(
  LOOKUP(2, 1/((TRIM(IMS!$E$8:$E$2574)=TRIM(IMS!$E1483))*(IMS!$C$8:$C$2574&lt;IMS!$C1483)),
         IMS!$C$8:$C$2574),
"")</f>
        <v/>
      </c>
      <c r="E1483" s="57"/>
      <c r="F1483" s="57"/>
      <c r="G1483" s="77" t="str">
        <f t="shared" si="901"/>
        <v/>
      </c>
      <c r="H1483" s="78" t="str">
        <f t="shared" si="902"/>
        <v/>
      </c>
      <c r="I1483" s="79"/>
      <c r="J1483" s="80" t="str">
        <f t="shared" si="903"/>
        <v>#NAME?</v>
      </c>
      <c r="K1483" s="58"/>
      <c r="L1483" s="58"/>
      <c r="M1483" s="57"/>
      <c r="N1483" s="57"/>
      <c r="O1483" s="58"/>
      <c r="P1483" s="82"/>
      <c r="Q1483" s="81"/>
      <c r="R1483" s="81"/>
      <c r="S1483" s="57"/>
      <c r="T1483" s="82"/>
      <c r="U1483" s="82"/>
      <c r="V1483" s="57"/>
      <c r="W1483" s="57"/>
      <c r="X1483" s="57" t="str">
        <f t="shared" si="917"/>
        <v/>
      </c>
      <c r="Y1483" s="58" t="str">
        <f t="shared" ref="Y1483:AC1483" si="1323">TRIM(SUBSTITUTE(SUBSTITUTE(OFFSET($Q1483,0,COLUMN()-COLUMN($AL$1)),CHAR(160)," "),_xludf.UNICHAR(8239)," "))</f>
        <v>#NAME?</v>
      </c>
      <c r="Z1483" s="58" t="str">
        <f t="shared" si="1323"/>
        <v>#NAME?</v>
      </c>
      <c r="AA1483" s="58" t="str">
        <f t="shared" si="1323"/>
        <v>#NAME?</v>
      </c>
      <c r="AB1483" s="58" t="str">
        <f t="shared" si="1323"/>
        <v>#NAME?</v>
      </c>
      <c r="AC1483" s="58" t="str">
        <f t="shared" si="1323"/>
        <v>#NAME?</v>
      </c>
      <c r="AD1483" s="57">
        <f t="shared" si="906"/>
        <v>0</v>
      </c>
      <c r="AE1483" s="57" t="str">
        <f t="shared" si="907"/>
        <v/>
      </c>
      <c r="AF1483" s="57">
        <f t="shared" si="908"/>
        <v>0</v>
      </c>
      <c r="AG1483" s="59">
        <f t="shared" si="909"/>
        <v>0</v>
      </c>
      <c r="AH1483" s="15"/>
      <c r="AI1483" s="15"/>
      <c r="AJ1483" s="15"/>
      <c r="AK1483" s="15"/>
      <c r="AL1483" s="15"/>
      <c r="AM1483" s="15"/>
      <c r="AN1483" s="15"/>
      <c r="AO1483" s="15"/>
      <c r="AP1483" s="15"/>
      <c r="AQ1483" s="15"/>
      <c r="AR1483" s="15"/>
      <c r="AS1483" s="15"/>
      <c r="AT1483" s="15"/>
      <c r="AU1483" s="15"/>
    </row>
    <row r="1484" ht="24.0" customHeight="1">
      <c r="A1484" s="45">
        <v>2908.0</v>
      </c>
      <c r="B1484" s="57"/>
      <c r="C1484" s="57"/>
      <c r="D1484" s="88" t="str">
        <f t="array" ref="D1484">IFERROR(
  LOOKUP(2, 1/((TRIM(IMS!$E$8:$E$2574)=TRIM(IMS!$E1484))*(IMS!$C$8:$C$2574&lt;IMS!$C1484)),
         IMS!$C$8:$C$2574),
"")</f>
        <v/>
      </c>
      <c r="E1484" s="57"/>
      <c r="F1484" s="57"/>
      <c r="G1484" s="77" t="str">
        <f t="shared" si="901"/>
        <v/>
      </c>
      <c r="H1484" s="78" t="str">
        <f t="shared" si="902"/>
        <v/>
      </c>
      <c r="I1484" s="79"/>
      <c r="J1484" s="80" t="str">
        <f t="shared" si="903"/>
        <v>#NAME?</v>
      </c>
      <c r="K1484" s="58"/>
      <c r="L1484" s="58"/>
      <c r="M1484" s="57"/>
      <c r="N1484" s="57"/>
      <c r="O1484" s="58"/>
      <c r="P1484" s="82"/>
      <c r="Q1484" s="81"/>
      <c r="R1484" s="81"/>
      <c r="S1484" s="57"/>
      <c r="T1484" s="82"/>
      <c r="U1484" s="82"/>
      <c r="V1484" s="57"/>
      <c r="W1484" s="57"/>
      <c r="X1484" s="57" t="str">
        <f t="shared" si="917"/>
        <v/>
      </c>
      <c r="Y1484" s="58" t="str">
        <f t="shared" ref="Y1484:AC1484" si="1324">TRIM(SUBSTITUTE(SUBSTITUTE(OFFSET($Q1484,0,COLUMN()-COLUMN($AL$1)),CHAR(160)," "),_xludf.UNICHAR(8239)," "))</f>
        <v>#NAME?</v>
      </c>
      <c r="Z1484" s="58" t="str">
        <f t="shared" si="1324"/>
        <v>#NAME?</v>
      </c>
      <c r="AA1484" s="58" t="str">
        <f t="shared" si="1324"/>
        <v>#NAME?</v>
      </c>
      <c r="AB1484" s="58" t="str">
        <f t="shared" si="1324"/>
        <v>#NAME?</v>
      </c>
      <c r="AC1484" s="58" t="str">
        <f t="shared" si="1324"/>
        <v>#NAME?</v>
      </c>
      <c r="AD1484" s="57">
        <f t="shared" si="906"/>
        <v>0</v>
      </c>
      <c r="AE1484" s="57" t="str">
        <f t="shared" si="907"/>
        <v/>
      </c>
      <c r="AF1484" s="57">
        <f t="shared" si="908"/>
        <v>0</v>
      </c>
      <c r="AG1484" s="59">
        <f t="shared" si="909"/>
        <v>0</v>
      </c>
      <c r="AH1484" s="15"/>
      <c r="AI1484" s="15"/>
      <c r="AJ1484" s="15"/>
      <c r="AK1484" s="15"/>
      <c r="AL1484" s="15"/>
      <c r="AM1484" s="15"/>
      <c r="AN1484" s="15"/>
      <c r="AO1484" s="15"/>
      <c r="AP1484" s="15"/>
      <c r="AQ1484" s="15"/>
      <c r="AR1484" s="15"/>
      <c r="AS1484" s="15"/>
      <c r="AT1484" s="15"/>
      <c r="AU1484" s="15"/>
    </row>
    <row r="1485" ht="24.0" customHeight="1">
      <c r="A1485" s="45">
        <v>2909.0</v>
      </c>
      <c r="B1485" s="57"/>
      <c r="C1485" s="57"/>
      <c r="D1485" s="88" t="str">
        <f t="array" ref="D1485">IFERROR(
  LOOKUP(2, 1/((TRIM(IMS!$E$8:$E$2574)=TRIM(IMS!$E1485))*(IMS!$C$8:$C$2574&lt;IMS!$C1485)),
         IMS!$C$8:$C$2574),
"")</f>
        <v/>
      </c>
      <c r="E1485" s="57"/>
      <c r="F1485" s="57"/>
      <c r="G1485" s="77" t="str">
        <f t="shared" si="901"/>
        <v/>
      </c>
      <c r="H1485" s="78" t="str">
        <f t="shared" si="902"/>
        <v/>
      </c>
      <c r="I1485" s="79"/>
      <c r="J1485" s="80" t="str">
        <f t="shared" si="903"/>
        <v>#NAME?</v>
      </c>
      <c r="K1485" s="58"/>
      <c r="L1485" s="58"/>
      <c r="M1485" s="57"/>
      <c r="N1485" s="57"/>
      <c r="O1485" s="58"/>
      <c r="P1485" s="82"/>
      <c r="Q1485" s="81"/>
      <c r="R1485" s="81"/>
      <c r="S1485" s="57"/>
      <c r="T1485" s="82"/>
      <c r="U1485" s="82"/>
      <c r="V1485" s="57"/>
      <c r="W1485" s="57"/>
      <c r="X1485" s="57" t="str">
        <f t="shared" si="917"/>
        <v/>
      </c>
      <c r="Y1485" s="58" t="str">
        <f t="shared" ref="Y1485:AC1485" si="1325">TRIM(SUBSTITUTE(SUBSTITUTE(OFFSET($Q1485,0,COLUMN()-COLUMN($AL$1)),CHAR(160)," "),_xludf.UNICHAR(8239)," "))</f>
        <v>#NAME?</v>
      </c>
      <c r="Z1485" s="58" t="str">
        <f t="shared" si="1325"/>
        <v>#NAME?</v>
      </c>
      <c r="AA1485" s="58" t="str">
        <f t="shared" si="1325"/>
        <v>#NAME?</v>
      </c>
      <c r="AB1485" s="58" t="str">
        <f t="shared" si="1325"/>
        <v>#NAME?</v>
      </c>
      <c r="AC1485" s="58" t="str">
        <f t="shared" si="1325"/>
        <v>#NAME?</v>
      </c>
      <c r="AD1485" s="57">
        <f t="shared" si="906"/>
        <v>0</v>
      </c>
      <c r="AE1485" s="57" t="str">
        <f t="shared" si="907"/>
        <v/>
      </c>
      <c r="AF1485" s="57">
        <f t="shared" si="908"/>
        <v>0</v>
      </c>
      <c r="AG1485" s="59">
        <f t="shared" si="909"/>
        <v>0</v>
      </c>
      <c r="AH1485" s="15"/>
      <c r="AI1485" s="15"/>
      <c r="AJ1485" s="15"/>
      <c r="AK1485" s="15"/>
      <c r="AL1485" s="15"/>
      <c r="AM1485" s="15"/>
      <c r="AN1485" s="15"/>
      <c r="AO1485" s="15"/>
      <c r="AP1485" s="15"/>
      <c r="AQ1485" s="15"/>
      <c r="AR1485" s="15"/>
      <c r="AS1485" s="15"/>
      <c r="AT1485" s="15"/>
      <c r="AU1485" s="15"/>
    </row>
    <row r="1486" ht="24.0" customHeight="1">
      <c r="A1486" s="45">
        <v>2910.0</v>
      </c>
      <c r="B1486" s="57"/>
      <c r="C1486" s="57"/>
      <c r="D1486" s="88" t="str">
        <f t="array" ref="D1486">IFERROR(
  LOOKUP(2, 1/((TRIM(IMS!$E$8:$E$2574)=TRIM(IMS!$E1486))*(IMS!$C$8:$C$2574&lt;IMS!$C1486)),
         IMS!$C$8:$C$2574),
"")</f>
        <v/>
      </c>
      <c r="E1486" s="57"/>
      <c r="F1486" s="57"/>
      <c r="G1486" s="77" t="str">
        <f t="shared" si="901"/>
        <v/>
      </c>
      <c r="H1486" s="78" t="str">
        <f t="shared" si="902"/>
        <v/>
      </c>
      <c r="I1486" s="79"/>
      <c r="J1486" s="80" t="str">
        <f t="shared" si="903"/>
        <v>#NAME?</v>
      </c>
      <c r="K1486" s="58"/>
      <c r="L1486" s="58"/>
      <c r="M1486" s="57"/>
      <c r="N1486" s="57"/>
      <c r="O1486" s="58"/>
      <c r="P1486" s="82"/>
      <c r="Q1486" s="81"/>
      <c r="R1486" s="81"/>
      <c r="S1486" s="57"/>
      <c r="T1486" s="82"/>
      <c r="U1486" s="82"/>
      <c r="V1486" s="57"/>
      <c r="W1486" s="57"/>
      <c r="X1486" s="57" t="str">
        <f t="shared" si="917"/>
        <v/>
      </c>
      <c r="Y1486" s="58" t="str">
        <f t="shared" ref="Y1486:AC1486" si="1326">TRIM(SUBSTITUTE(SUBSTITUTE(OFFSET($Q1486,0,COLUMN()-COLUMN($AL$1)),CHAR(160)," "),_xludf.UNICHAR(8239)," "))</f>
        <v>#NAME?</v>
      </c>
      <c r="Z1486" s="58" t="str">
        <f t="shared" si="1326"/>
        <v>#NAME?</v>
      </c>
      <c r="AA1486" s="58" t="str">
        <f t="shared" si="1326"/>
        <v>#NAME?</v>
      </c>
      <c r="AB1486" s="58" t="str">
        <f t="shared" si="1326"/>
        <v>#NAME?</v>
      </c>
      <c r="AC1486" s="58" t="str">
        <f t="shared" si="1326"/>
        <v>#NAME?</v>
      </c>
      <c r="AD1486" s="57">
        <f t="shared" si="906"/>
        <v>0</v>
      </c>
      <c r="AE1486" s="57" t="str">
        <f t="shared" si="907"/>
        <v/>
      </c>
      <c r="AF1486" s="57">
        <f t="shared" si="908"/>
        <v>0</v>
      </c>
      <c r="AG1486" s="59">
        <f t="shared" si="909"/>
        <v>0</v>
      </c>
      <c r="AH1486" s="15"/>
      <c r="AI1486" s="15"/>
      <c r="AJ1486" s="15"/>
      <c r="AK1486" s="15"/>
      <c r="AL1486" s="15"/>
      <c r="AM1486" s="15"/>
      <c r="AN1486" s="15"/>
      <c r="AO1486" s="15"/>
      <c r="AP1486" s="15"/>
      <c r="AQ1486" s="15"/>
      <c r="AR1486" s="15"/>
      <c r="AS1486" s="15"/>
      <c r="AT1486" s="15"/>
      <c r="AU1486" s="15"/>
    </row>
    <row r="1487" ht="24.0" customHeight="1">
      <c r="A1487" s="45">
        <v>2911.0</v>
      </c>
      <c r="B1487" s="57"/>
      <c r="C1487" s="57"/>
      <c r="D1487" s="88" t="str">
        <f t="array" ref="D1487">IFERROR(
  LOOKUP(2, 1/((TRIM(IMS!$E$8:$E$2574)=TRIM(IMS!$E1487))*(IMS!$C$8:$C$2574&lt;IMS!$C1487)),
         IMS!$C$8:$C$2574),
"")</f>
        <v/>
      </c>
      <c r="E1487" s="57"/>
      <c r="F1487" s="57"/>
      <c r="G1487" s="77" t="str">
        <f t="shared" si="901"/>
        <v/>
      </c>
      <c r="H1487" s="78" t="str">
        <f t="shared" si="902"/>
        <v/>
      </c>
      <c r="I1487" s="79"/>
      <c r="J1487" s="80" t="str">
        <f t="shared" si="903"/>
        <v>#NAME?</v>
      </c>
      <c r="K1487" s="58"/>
      <c r="L1487" s="58"/>
      <c r="M1487" s="57"/>
      <c r="N1487" s="57"/>
      <c r="O1487" s="58"/>
      <c r="P1487" s="82"/>
      <c r="Q1487" s="81"/>
      <c r="R1487" s="81"/>
      <c r="S1487" s="57"/>
      <c r="T1487" s="82"/>
      <c r="U1487" s="82"/>
      <c r="V1487" s="57"/>
      <c r="W1487" s="57"/>
      <c r="X1487" s="57" t="str">
        <f t="shared" si="917"/>
        <v/>
      </c>
      <c r="Y1487" s="58" t="str">
        <f t="shared" ref="Y1487:AC1487" si="1327">TRIM(SUBSTITUTE(SUBSTITUTE(OFFSET($Q1487,0,COLUMN()-COLUMN($AL$1)),CHAR(160)," "),_xludf.UNICHAR(8239)," "))</f>
        <v>#NAME?</v>
      </c>
      <c r="Z1487" s="58" t="str">
        <f t="shared" si="1327"/>
        <v>#NAME?</v>
      </c>
      <c r="AA1487" s="58" t="str">
        <f t="shared" si="1327"/>
        <v>#NAME?</v>
      </c>
      <c r="AB1487" s="58" t="str">
        <f t="shared" si="1327"/>
        <v>#NAME?</v>
      </c>
      <c r="AC1487" s="58" t="str">
        <f t="shared" si="1327"/>
        <v>#NAME?</v>
      </c>
      <c r="AD1487" s="57">
        <f t="shared" si="906"/>
        <v>0</v>
      </c>
      <c r="AE1487" s="57" t="str">
        <f t="shared" si="907"/>
        <v/>
      </c>
      <c r="AF1487" s="57">
        <f t="shared" si="908"/>
        <v>0</v>
      </c>
      <c r="AG1487" s="59">
        <f t="shared" si="909"/>
        <v>0</v>
      </c>
      <c r="AH1487" s="15"/>
      <c r="AI1487" s="15"/>
      <c r="AJ1487" s="15"/>
      <c r="AK1487" s="15"/>
      <c r="AL1487" s="15"/>
      <c r="AM1487" s="15"/>
      <c r="AN1487" s="15"/>
      <c r="AO1487" s="15"/>
      <c r="AP1487" s="15"/>
      <c r="AQ1487" s="15"/>
      <c r="AR1487" s="15"/>
      <c r="AS1487" s="15"/>
      <c r="AT1487" s="15"/>
      <c r="AU1487" s="15"/>
    </row>
    <row r="1488" ht="24.0" customHeight="1">
      <c r="A1488" s="45">
        <v>2912.0</v>
      </c>
      <c r="B1488" s="57"/>
      <c r="C1488" s="57"/>
      <c r="D1488" s="88" t="str">
        <f t="array" ref="D1488">IFERROR(
  LOOKUP(2, 1/((TRIM(IMS!$E$8:$E$2574)=TRIM(IMS!$E1488))*(IMS!$C$8:$C$2574&lt;IMS!$C1488)),
         IMS!$C$8:$C$2574),
"")</f>
        <v/>
      </c>
      <c r="E1488" s="57"/>
      <c r="F1488" s="57"/>
      <c r="G1488" s="77" t="str">
        <f t="shared" si="901"/>
        <v/>
      </c>
      <c r="H1488" s="78" t="str">
        <f t="shared" si="902"/>
        <v/>
      </c>
      <c r="I1488" s="79"/>
      <c r="J1488" s="80" t="str">
        <f t="shared" si="903"/>
        <v>#NAME?</v>
      </c>
      <c r="K1488" s="58"/>
      <c r="L1488" s="58"/>
      <c r="M1488" s="57"/>
      <c r="N1488" s="57"/>
      <c r="O1488" s="58"/>
      <c r="P1488" s="82"/>
      <c r="Q1488" s="81"/>
      <c r="R1488" s="81"/>
      <c r="S1488" s="57"/>
      <c r="T1488" s="82"/>
      <c r="U1488" s="82"/>
      <c r="V1488" s="57"/>
      <c r="W1488" s="57"/>
      <c r="X1488" s="57" t="str">
        <f t="shared" si="917"/>
        <v/>
      </c>
      <c r="Y1488" s="58" t="str">
        <f t="shared" ref="Y1488:AC1488" si="1328">TRIM(SUBSTITUTE(SUBSTITUTE(OFFSET($Q1488,0,COLUMN()-COLUMN($AL$1)),CHAR(160)," "),_xludf.UNICHAR(8239)," "))</f>
        <v>#NAME?</v>
      </c>
      <c r="Z1488" s="58" t="str">
        <f t="shared" si="1328"/>
        <v>#NAME?</v>
      </c>
      <c r="AA1488" s="58" t="str">
        <f t="shared" si="1328"/>
        <v>#NAME?</v>
      </c>
      <c r="AB1488" s="58" t="str">
        <f t="shared" si="1328"/>
        <v>#NAME?</v>
      </c>
      <c r="AC1488" s="58" t="str">
        <f t="shared" si="1328"/>
        <v>#NAME?</v>
      </c>
      <c r="AD1488" s="57">
        <f t="shared" si="906"/>
        <v>0</v>
      </c>
      <c r="AE1488" s="57" t="str">
        <f t="shared" si="907"/>
        <v/>
      </c>
      <c r="AF1488" s="57">
        <f t="shared" si="908"/>
        <v>0</v>
      </c>
      <c r="AG1488" s="59">
        <f t="shared" si="909"/>
        <v>0</v>
      </c>
      <c r="AH1488" s="15"/>
      <c r="AI1488" s="15"/>
      <c r="AJ1488" s="15"/>
      <c r="AK1488" s="15"/>
      <c r="AL1488" s="15"/>
      <c r="AM1488" s="15"/>
      <c r="AN1488" s="15"/>
      <c r="AO1488" s="15"/>
      <c r="AP1488" s="15"/>
      <c r="AQ1488" s="15"/>
      <c r="AR1488" s="15"/>
      <c r="AS1488" s="15"/>
      <c r="AT1488" s="15"/>
      <c r="AU1488" s="15"/>
    </row>
    <row r="1489" ht="24.0" customHeight="1">
      <c r="A1489" s="45">
        <v>2913.0</v>
      </c>
      <c r="B1489" s="57"/>
      <c r="C1489" s="57"/>
      <c r="D1489" s="88" t="str">
        <f t="array" ref="D1489">IFERROR(
  LOOKUP(2, 1/((TRIM(IMS!$E$8:$E$2574)=TRIM(IMS!$E1489))*(IMS!$C$8:$C$2574&lt;IMS!$C1489)),
         IMS!$C$8:$C$2574),
"")</f>
        <v/>
      </c>
      <c r="E1489" s="57"/>
      <c r="F1489" s="57"/>
      <c r="G1489" s="77" t="str">
        <f t="shared" si="901"/>
        <v/>
      </c>
      <c r="H1489" s="78" t="str">
        <f t="shared" si="902"/>
        <v/>
      </c>
      <c r="I1489" s="79"/>
      <c r="J1489" s="80" t="str">
        <f t="shared" si="903"/>
        <v>#NAME?</v>
      </c>
      <c r="K1489" s="58"/>
      <c r="L1489" s="58"/>
      <c r="M1489" s="57"/>
      <c r="N1489" s="57"/>
      <c r="O1489" s="58"/>
      <c r="P1489" s="82"/>
      <c r="Q1489" s="81"/>
      <c r="R1489" s="81"/>
      <c r="S1489" s="57"/>
      <c r="T1489" s="82"/>
      <c r="U1489" s="82"/>
      <c r="V1489" s="57"/>
      <c r="W1489" s="57"/>
      <c r="X1489" s="57" t="str">
        <f t="shared" si="917"/>
        <v/>
      </c>
      <c r="Y1489" s="58" t="str">
        <f t="shared" ref="Y1489:AC1489" si="1329">TRIM(SUBSTITUTE(SUBSTITUTE(OFFSET($Q1489,0,COLUMN()-COLUMN($AL$1)),CHAR(160)," "),_xludf.UNICHAR(8239)," "))</f>
        <v>#NAME?</v>
      </c>
      <c r="Z1489" s="58" t="str">
        <f t="shared" si="1329"/>
        <v>#NAME?</v>
      </c>
      <c r="AA1489" s="58" t="str">
        <f t="shared" si="1329"/>
        <v>#NAME?</v>
      </c>
      <c r="AB1489" s="58" t="str">
        <f t="shared" si="1329"/>
        <v>#NAME?</v>
      </c>
      <c r="AC1489" s="58" t="str">
        <f t="shared" si="1329"/>
        <v>#NAME?</v>
      </c>
      <c r="AD1489" s="57">
        <f t="shared" si="906"/>
        <v>0</v>
      </c>
      <c r="AE1489" s="57" t="str">
        <f t="shared" si="907"/>
        <v/>
      </c>
      <c r="AF1489" s="57">
        <f t="shared" si="908"/>
        <v>0</v>
      </c>
      <c r="AG1489" s="59">
        <f t="shared" si="909"/>
        <v>0</v>
      </c>
      <c r="AH1489" s="15"/>
      <c r="AI1489" s="15"/>
      <c r="AJ1489" s="15"/>
      <c r="AK1489" s="15"/>
      <c r="AL1489" s="15"/>
      <c r="AM1489" s="15"/>
      <c r="AN1489" s="15"/>
      <c r="AO1489" s="15"/>
      <c r="AP1489" s="15"/>
      <c r="AQ1489" s="15"/>
      <c r="AR1489" s="15"/>
      <c r="AS1489" s="15"/>
      <c r="AT1489" s="15"/>
      <c r="AU1489" s="15"/>
    </row>
    <row r="1490" ht="24.0" customHeight="1">
      <c r="A1490" s="45">
        <v>2914.0</v>
      </c>
      <c r="B1490" s="57"/>
      <c r="C1490" s="57"/>
      <c r="D1490" s="88" t="str">
        <f t="array" ref="D1490">IFERROR(
  LOOKUP(2, 1/((TRIM(IMS!$E$8:$E$2574)=TRIM(IMS!$E1490))*(IMS!$C$8:$C$2574&lt;IMS!$C1490)),
         IMS!$C$8:$C$2574),
"")</f>
        <v/>
      </c>
      <c r="E1490" s="57"/>
      <c r="F1490" s="57"/>
      <c r="G1490" s="77" t="str">
        <f t="shared" si="901"/>
        <v/>
      </c>
      <c r="H1490" s="78" t="str">
        <f t="shared" si="902"/>
        <v/>
      </c>
      <c r="I1490" s="79"/>
      <c r="J1490" s="80" t="str">
        <f t="shared" si="903"/>
        <v>#NAME?</v>
      </c>
      <c r="K1490" s="58"/>
      <c r="L1490" s="58"/>
      <c r="M1490" s="57"/>
      <c r="N1490" s="57"/>
      <c r="O1490" s="58"/>
      <c r="P1490" s="82"/>
      <c r="Q1490" s="81"/>
      <c r="R1490" s="81"/>
      <c r="S1490" s="57"/>
      <c r="T1490" s="82"/>
      <c r="U1490" s="82"/>
      <c r="V1490" s="57"/>
      <c r="W1490" s="57"/>
      <c r="X1490" s="57" t="str">
        <f t="shared" si="917"/>
        <v/>
      </c>
      <c r="Y1490" s="58" t="str">
        <f t="shared" ref="Y1490:AC1490" si="1330">TRIM(SUBSTITUTE(SUBSTITUTE(OFFSET($Q1490,0,COLUMN()-COLUMN($AL$1)),CHAR(160)," "),_xludf.UNICHAR(8239)," "))</f>
        <v>#NAME?</v>
      </c>
      <c r="Z1490" s="58" t="str">
        <f t="shared" si="1330"/>
        <v>#NAME?</v>
      </c>
      <c r="AA1490" s="58" t="str">
        <f t="shared" si="1330"/>
        <v>#NAME?</v>
      </c>
      <c r="AB1490" s="58" t="str">
        <f t="shared" si="1330"/>
        <v>#NAME?</v>
      </c>
      <c r="AC1490" s="58" t="str">
        <f t="shared" si="1330"/>
        <v>#NAME?</v>
      </c>
      <c r="AD1490" s="57">
        <f t="shared" si="906"/>
        <v>0</v>
      </c>
      <c r="AE1490" s="57" t="str">
        <f t="shared" si="907"/>
        <v/>
      </c>
      <c r="AF1490" s="57">
        <f t="shared" si="908"/>
        <v>0</v>
      </c>
      <c r="AG1490" s="59">
        <f t="shared" si="909"/>
        <v>0</v>
      </c>
      <c r="AH1490" s="15"/>
      <c r="AI1490" s="15"/>
      <c r="AJ1490" s="15"/>
      <c r="AK1490" s="15"/>
      <c r="AL1490" s="15"/>
      <c r="AM1490" s="15"/>
      <c r="AN1490" s="15"/>
      <c r="AO1490" s="15"/>
      <c r="AP1490" s="15"/>
      <c r="AQ1490" s="15"/>
      <c r="AR1490" s="15"/>
      <c r="AS1490" s="15"/>
      <c r="AT1490" s="15"/>
      <c r="AU1490" s="15"/>
    </row>
    <row r="1491" ht="24.0" customHeight="1">
      <c r="A1491" s="45">
        <v>2915.0</v>
      </c>
      <c r="B1491" s="57"/>
      <c r="C1491" s="57"/>
      <c r="D1491" s="88" t="str">
        <f t="array" ref="D1491">IFERROR(
  LOOKUP(2, 1/((TRIM(IMS!$E$8:$E$2574)=TRIM(IMS!$E1491))*(IMS!$C$8:$C$2574&lt;IMS!$C1491)),
         IMS!$C$8:$C$2574),
"")</f>
        <v/>
      </c>
      <c r="E1491" s="57"/>
      <c r="F1491" s="57"/>
      <c r="G1491" s="77" t="str">
        <f t="shared" si="901"/>
        <v/>
      </c>
      <c r="H1491" s="78" t="str">
        <f t="shared" si="902"/>
        <v/>
      </c>
      <c r="I1491" s="79"/>
      <c r="J1491" s="80" t="str">
        <f t="shared" si="903"/>
        <v>#NAME?</v>
      </c>
      <c r="K1491" s="58"/>
      <c r="L1491" s="58"/>
      <c r="M1491" s="57"/>
      <c r="N1491" s="57"/>
      <c r="O1491" s="58"/>
      <c r="P1491" s="82"/>
      <c r="Q1491" s="81"/>
      <c r="R1491" s="81"/>
      <c r="S1491" s="57"/>
      <c r="T1491" s="82"/>
      <c r="U1491" s="82"/>
      <c r="V1491" s="57"/>
      <c r="W1491" s="57"/>
      <c r="X1491" s="57" t="str">
        <f t="shared" si="917"/>
        <v/>
      </c>
      <c r="Y1491" s="58" t="str">
        <f t="shared" ref="Y1491:AC1491" si="1331">TRIM(SUBSTITUTE(SUBSTITUTE(OFFSET($Q1491,0,COLUMN()-COLUMN($AL$1)),CHAR(160)," "),_xludf.UNICHAR(8239)," "))</f>
        <v>#NAME?</v>
      </c>
      <c r="Z1491" s="58" t="str">
        <f t="shared" si="1331"/>
        <v>#NAME?</v>
      </c>
      <c r="AA1491" s="58" t="str">
        <f t="shared" si="1331"/>
        <v>#NAME?</v>
      </c>
      <c r="AB1491" s="58" t="str">
        <f t="shared" si="1331"/>
        <v>#NAME?</v>
      </c>
      <c r="AC1491" s="58" t="str">
        <f t="shared" si="1331"/>
        <v>#NAME?</v>
      </c>
      <c r="AD1491" s="57">
        <f t="shared" si="906"/>
        <v>0</v>
      </c>
      <c r="AE1491" s="57" t="str">
        <f t="shared" si="907"/>
        <v/>
      </c>
      <c r="AF1491" s="57">
        <f t="shared" si="908"/>
        <v>0</v>
      </c>
      <c r="AG1491" s="59">
        <f t="shared" si="909"/>
        <v>0</v>
      </c>
      <c r="AH1491" s="15"/>
      <c r="AI1491" s="15"/>
      <c r="AJ1491" s="15"/>
      <c r="AK1491" s="15"/>
      <c r="AL1491" s="15"/>
      <c r="AM1491" s="15"/>
      <c r="AN1491" s="15"/>
      <c r="AO1491" s="15"/>
      <c r="AP1491" s="15"/>
      <c r="AQ1491" s="15"/>
      <c r="AR1491" s="15"/>
      <c r="AS1491" s="15"/>
      <c r="AT1491" s="15"/>
      <c r="AU1491" s="15"/>
    </row>
    <row r="1492" ht="24.0" customHeight="1">
      <c r="A1492" s="45">
        <v>2916.0</v>
      </c>
      <c r="B1492" s="57"/>
      <c r="C1492" s="57"/>
      <c r="D1492" s="88" t="str">
        <f t="array" ref="D1492">IFERROR(
  LOOKUP(2, 1/((TRIM(IMS!$E$8:$E$2574)=TRIM(IMS!$E1492))*(IMS!$C$8:$C$2574&lt;IMS!$C1492)),
         IMS!$C$8:$C$2574),
"")</f>
        <v/>
      </c>
      <c r="E1492" s="57"/>
      <c r="F1492" s="57"/>
      <c r="G1492" s="77" t="str">
        <f t="shared" si="901"/>
        <v/>
      </c>
      <c r="H1492" s="78" t="str">
        <f t="shared" si="902"/>
        <v/>
      </c>
      <c r="I1492" s="79"/>
      <c r="J1492" s="80" t="str">
        <f t="shared" si="903"/>
        <v>#NAME?</v>
      </c>
      <c r="K1492" s="58"/>
      <c r="L1492" s="58"/>
      <c r="M1492" s="57"/>
      <c r="N1492" s="57"/>
      <c r="O1492" s="58"/>
      <c r="P1492" s="82"/>
      <c r="Q1492" s="81"/>
      <c r="R1492" s="81"/>
      <c r="S1492" s="57"/>
      <c r="T1492" s="82"/>
      <c r="U1492" s="82"/>
      <c r="V1492" s="57"/>
      <c r="W1492" s="57"/>
      <c r="X1492" s="57" t="str">
        <f t="shared" si="917"/>
        <v/>
      </c>
      <c r="Y1492" s="58" t="str">
        <f t="shared" ref="Y1492:AC1492" si="1332">TRIM(SUBSTITUTE(SUBSTITUTE(OFFSET($Q1492,0,COLUMN()-COLUMN($AL$1)),CHAR(160)," "),_xludf.UNICHAR(8239)," "))</f>
        <v>#NAME?</v>
      </c>
      <c r="Z1492" s="58" t="str">
        <f t="shared" si="1332"/>
        <v>#NAME?</v>
      </c>
      <c r="AA1492" s="58" t="str">
        <f t="shared" si="1332"/>
        <v>#NAME?</v>
      </c>
      <c r="AB1492" s="58" t="str">
        <f t="shared" si="1332"/>
        <v>#NAME?</v>
      </c>
      <c r="AC1492" s="58" t="str">
        <f t="shared" si="1332"/>
        <v>#NAME?</v>
      </c>
      <c r="AD1492" s="57">
        <f t="shared" si="906"/>
        <v>0</v>
      </c>
      <c r="AE1492" s="57" t="str">
        <f t="shared" si="907"/>
        <v/>
      </c>
      <c r="AF1492" s="57">
        <f t="shared" si="908"/>
        <v>0</v>
      </c>
      <c r="AG1492" s="59">
        <f t="shared" si="909"/>
        <v>0</v>
      </c>
      <c r="AH1492" s="15"/>
      <c r="AI1492" s="15"/>
      <c r="AJ1492" s="15"/>
      <c r="AK1492" s="15"/>
      <c r="AL1492" s="15"/>
      <c r="AM1492" s="15"/>
      <c r="AN1492" s="15"/>
      <c r="AO1492" s="15"/>
      <c r="AP1492" s="15"/>
      <c r="AQ1492" s="15"/>
      <c r="AR1492" s="15"/>
      <c r="AS1492" s="15"/>
      <c r="AT1492" s="15"/>
      <c r="AU1492" s="15"/>
    </row>
    <row r="1493" ht="24.0" customHeight="1">
      <c r="A1493" s="45">
        <v>2917.0</v>
      </c>
      <c r="B1493" s="57"/>
      <c r="C1493" s="57"/>
      <c r="D1493" s="88" t="str">
        <f t="array" ref="D1493">IFERROR(
  LOOKUP(2, 1/((TRIM(IMS!$E$8:$E$2574)=TRIM(IMS!$E1493))*(IMS!$C$8:$C$2574&lt;IMS!$C1493)),
         IMS!$C$8:$C$2574),
"")</f>
        <v/>
      </c>
      <c r="E1493" s="57"/>
      <c r="F1493" s="57"/>
      <c r="G1493" s="77" t="str">
        <f t="shared" si="901"/>
        <v/>
      </c>
      <c r="H1493" s="78" t="str">
        <f t="shared" si="902"/>
        <v/>
      </c>
      <c r="I1493" s="79"/>
      <c r="J1493" s="80" t="str">
        <f t="shared" si="903"/>
        <v>#NAME?</v>
      </c>
      <c r="K1493" s="58"/>
      <c r="L1493" s="58"/>
      <c r="M1493" s="57"/>
      <c r="N1493" s="57"/>
      <c r="O1493" s="58"/>
      <c r="P1493" s="82"/>
      <c r="Q1493" s="81"/>
      <c r="R1493" s="81"/>
      <c r="S1493" s="57"/>
      <c r="T1493" s="82"/>
      <c r="U1493" s="82"/>
      <c r="V1493" s="57"/>
      <c r="W1493" s="57"/>
      <c r="X1493" s="57" t="str">
        <f t="shared" si="917"/>
        <v/>
      </c>
      <c r="Y1493" s="58" t="str">
        <f t="shared" ref="Y1493:AC1493" si="1333">TRIM(SUBSTITUTE(SUBSTITUTE(OFFSET($Q1493,0,COLUMN()-COLUMN($AL$1)),CHAR(160)," "),_xludf.UNICHAR(8239)," "))</f>
        <v>#NAME?</v>
      </c>
      <c r="Z1493" s="58" t="str">
        <f t="shared" si="1333"/>
        <v>#NAME?</v>
      </c>
      <c r="AA1493" s="58" t="str">
        <f t="shared" si="1333"/>
        <v>#NAME?</v>
      </c>
      <c r="AB1493" s="58" t="str">
        <f t="shared" si="1333"/>
        <v>#NAME?</v>
      </c>
      <c r="AC1493" s="58" t="str">
        <f t="shared" si="1333"/>
        <v>#NAME?</v>
      </c>
      <c r="AD1493" s="57">
        <f t="shared" si="906"/>
        <v>0</v>
      </c>
      <c r="AE1493" s="57" t="str">
        <f t="shared" si="907"/>
        <v/>
      </c>
      <c r="AF1493" s="57">
        <f t="shared" si="908"/>
        <v>0</v>
      </c>
      <c r="AG1493" s="59">
        <f t="shared" si="909"/>
        <v>0</v>
      </c>
      <c r="AH1493" s="15"/>
      <c r="AI1493" s="15"/>
      <c r="AJ1493" s="15"/>
      <c r="AK1493" s="15"/>
      <c r="AL1493" s="15"/>
      <c r="AM1493" s="15"/>
      <c r="AN1493" s="15"/>
      <c r="AO1493" s="15"/>
      <c r="AP1493" s="15"/>
      <c r="AQ1493" s="15"/>
      <c r="AR1493" s="15"/>
      <c r="AS1493" s="15"/>
      <c r="AT1493" s="15"/>
      <c r="AU1493" s="15"/>
    </row>
    <row r="1494" ht="24.0" customHeight="1">
      <c r="A1494" s="45">
        <v>2918.0</v>
      </c>
      <c r="B1494" s="57"/>
      <c r="C1494" s="57"/>
      <c r="D1494" s="88" t="str">
        <f t="array" ref="D1494">IFERROR(
  LOOKUP(2, 1/((TRIM(IMS!$E$8:$E$2574)=TRIM(IMS!$E1494))*(IMS!$C$8:$C$2574&lt;IMS!$C1494)),
         IMS!$C$8:$C$2574),
"")</f>
        <v/>
      </c>
      <c r="E1494" s="57"/>
      <c r="F1494" s="57"/>
      <c r="G1494" s="77" t="str">
        <f t="shared" si="901"/>
        <v/>
      </c>
      <c r="H1494" s="78" t="str">
        <f t="shared" si="902"/>
        <v/>
      </c>
      <c r="I1494" s="79"/>
      <c r="J1494" s="80" t="str">
        <f t="shared" si="903"/>
        <v>#NAME?</v>
      </c>
      <c r="K1494" s="58"/>
      <c r="L1494" s="58"/>
      <c r="M1494" s="57"/>
      <c r="N1494" s="57"/>
      <c r="O1494" s="58"/>
      <c r="P1494" s="82"/>
      <c r="Q1494" s="81"/>
      <c r="R1494" s="81"/>
      <c r="S1494" s="57"/>
      <c r="T1494" s="82"/>
      <c r="U1494" s="82"/>
      <c r="V1494" s="57"/>
      <c r="W1494" s="57"/>
      <c r="X1494" s="57" t="str">
        <f t="shared" si="917"/>
        <v/>
      </c>
      <c r="Y1494" s="58" t="str">
        <f t="shared" ref="Y1494:AC1494" si="1334">TRIM(SUBSTITUTE(SUBSTITUTE(OFFSET($Q1494,0,COLUMN()-COLUMN($AL$1)),CHAR(160)," "),_xludf.UNICHAR(8239)," "))</f>
        <v>#NAME?</v>
      </c>
      <c r="Z1494" s="58" t="str">
        <f t="shared" si="1334"/>
        <v>#NAME?</v>
      </c>
      <c r="AA1494" s="58" t="str">
        <f t="shared" si="1334"/>
        <v>#NAME?</v>
      </c>
      <c r="AB1494" s="58" t="str">
        <f t="shared" si="1334"/>
        <v>#NAME?</v>
      </c>
      <c r="AC1494" s="58" t="str">
        <f t="shared" si="1334"/>
        <v>#NAME?</v>
      </c>
      <c r="AD1494" s="57">
        <f t="shared" si="906"/>
        <v>0</v>
      </c>
      <c r="AE1494" s="57" t="str">
        <f t="shared" si="907"/>
        <v/>
      </c>
      <c r="AF1494" s="57">
        <f t="shared" si="908"/>
        <v>0</v>
      </c>
      <c r="AG1494" s="59">
        <f t="shared" si="909"/>
        <v>0</v>
      </c>
      <c r="AH1494" s="15"/>
      <c r="AI1494" s="15"/>
      <c r="AJ1494" s="15"/>
      <c r="AK1494" s="15"/>
      <c r="AL1494" s="15"/>
      <c r="AM1494" s="15"/>
      <c r="AN1494" s="15"/>
      <c r="AO1494" s="15"/>
      <c r="AP1494" s="15"/>
      <c r="AQ1494" s="15"/>
      <c r="AR1494" s="15"/>
      <c r="AS1494" s="15"/>
      <c r="AT1494" s="15"/>
      <c r="AU1494" s="15"/>
    </row>
    <row r="1495" ht="24.0" customHeight="1">
      <c r="A1495" s="45">
        <v>2919.0</v>
      </c>
      <c r="B1495" s="57"/>
      <c r="C1495" s="57"/>
      <c r="D1495" s="88" t="str">
        <f t="array" ref="D1495">IFERROR(
  LOOKUP(2, 1/((TRIM(IMS!$E$8:$E$2574)=TRIM(IMS!$E1495))*(IMS!$C$8:$C$2574&lt;IMS!$C1495)),
         IMS!$C$8:$C$2574),
"")</f>
        <v/>
      </c>
      <c r="E1495" s="57"/>
      <c r="F1495" s="57"/>
      <c r="G1495" s="77" t="str">
        <f t="shared" si="901"/>
        <v/>
      </c>
      <c r="H1495" s="78" t="str">
        <f t="shared" si="902"/>
        <v/>
      </c>
      <c r="I1495" s="79"/>
      <c r="J1495" s="80" t="str">
        <f t="shared" si="903"/>
        <v>#NAME?</v>
      </c>
      <c r="K1495" s="58"/>
      <c r="L1495" s="58"/>
      <c r="M1495" s="57"/>
      <c r="N1495" s="57"/>
      <c r="O1495" s="58"/>
      <c r="P1495" s="82"/>
      <c r="Q1495" s="81"/>
      <c r="R1495" s="81"/>
      <c r="S1495" s="57"/>
      <c r="T1495" s="82"/>
      <c r="U1495" s="82"/>
      <c r="V1495" s="57"/>
      <c r="W1495" s="57"/>
      <c r="X1495" s="57" t="str">
        <f t="shared" si="917"/>
        <v/>
      </c>
      <c r="Y1495" s="58" t="str">
        <f t="shared" ref="Y1495:AC1495" si="1335">TRIM(SUBSTITUTE(SUBSTITUTE(OFFSET($Q1495,0,COLUMN()-COLUMN($AL$1)),CHAR(160)," "),_xludf.UNICHAR(8239)," "))</f>
        <v>#NAME?</v>
      </c>
      <c r="Z1495" s="58" t="str">
        <f t="shared" si="1335"/>
        <v>#NAME?</v>
      </c>
      <c r="AA1495" s="58" t="str">
        <f t="shared" si="1335"/>
        <v>#NAME?</v>
      </c>
      <c r="AB1495" s="58" t="str">
        <f t="shared" si="1335"/>
        <v>#NAME?</v>
      </c>
      <c r="AC1495" s="58" t="str">
        <f t="shared" si="1335"/>
        <v>#NAME?</v>
      </c>
      <c r="AD1495" s="57">
        <f t="shared" si="906"/>
        <v>0</v>
      </c>
      <c r="AE1495" s="57" t="str">
        <f t="shared" si="907"/>
        <v/>
      </c>
      <c r="AF1495" s="57">
        <f t="shared" si="908"/>
        <v>0</v>
      </c>
      <c r="AG1495" s="59">
        <f t="shared" si="909"/>
        <v>0</v>
      </c>
      <c r="AH1495" s="15"/>
      <c r="AI1495" s="15"/>
      <c r="AJ1495" s="15"/>
      <c r="AK1495" s="15"/>
      <c r="AL1495" s="15"/>
      <c r="AM1495" s="15"/>
      <c r="AN1495" s="15"/>
      <c r="AO1495" s="15"/>
      <c r="AP1495" s="15"/>
      <c r="AQ1495" s="15"/>
      <c r="AR1495" s="15"/>
      <c r="AS1495" s="15"/>
      <c r="AT1495" s="15"/>
      <c r="AU1495" s="15"/>
    </row>
    <row r="1496" ht="24.0" customHeight="1">
      <c r="A1496" s="45">
        <v>2920.0</v>
      </c>
      <c r="B1496" s="57"/>
      <c r="C1496" s="57"/>
      <c r="D1496" s="88" t="str">
        <f t="array" ref="D1496">IFERROR(
  LOOKUP(2, 1/((TRIM(IMS!$E$8:$E$2574)=TRIM(IMS!$E1496))*(IMS!$C$8:$C$2574&lt;IMS!$C1496)),
         IMS!$C$8:$C$2574),
"")</f>
        <v/>
      </c>
      <c r="E1496" s="57"/>
      <c r="F1496" s="57"/>
      <c r="G1496" s="77" t="str">
        <f t="shared" si="901"/>
        <v/>
      </c>
      <c r="H1496" s="78" t="str">
        <f t="shared" si="902"/>
        <v/>
      </c>
      <c r="I1496" s="79"/>
      <c r="J1496" s="80" t="str">
        <f t="shared" si="903"/>
        <v>#NAME?</v>
      </c>
      <c r="K1496" s="58"/>
      <c r="L1496" s="58"/>
      <c r="M1496" s="57"/>
      <c r="N1496" s="57"/>
      <c r="O1496" s="58"/>
      <c r="P1496" s="82"/>
      <c r="Q1496" s="81"/>
      <c r="R1496" s="81"/>
      <c r="S1496" s="57"/>
      <c r="T1496" s="82"/>
      <c r="U1496" s="82"/>
      <c r="V1496" s="57"/>
      <c r="W1496" s="57"/>
      <c r="X1496" s="57" t="str">
        <f t="shared" si="917"/>
        <v/>
      </c>
      <c r="Y1496" s="58" t="str">
        <f t="shared" ref="Y1496:AC1496" si="1336">TRIM(SUBSTITUTE(SUBSTITUTE(OFFSET($Q1496,0,COLUMN()-COLUMN($AL$1)),CHAR(160)," "),_xludf.UNICHAR(8239)," "))</f>
        <v>#NAME?</v>
      </c>
      <c r="Z1496" s="58" t="str">
        <f t="shared" si="1336"/>
        <v>#NAME?</v>
      </c>
      <c r="AA1496" s="58" t="str">
        <f t="shared" si="1336"/>
        <v>#NAME?</v>
      </c>
      <c r="AB1496" s="58" t="str">
        <f t="shared" si="1336"/>
        <v>#NAME?</v>
      </c>
      <c r="AC1496" s="58" t="str">
        <f t="shared" si="1336"/>
        <v>#NAME?</v>
      </c>
      <c r="AD1496" s="57">
        <f t="shared" si="906"/>
        <v>0</v>
      </c>
      <c r="AE1496" s="57" t="str">
        <f t="shared" si="907"/>
        <v/>
      </c>
      <c r="AF1496" s="57">
        <f t="shared" si="908"/>
        <v>0</v>
      </c>
      <c r="AG1496" s="59">
        <f t="shared" si="909"/>
        <v>0</v>
      </c>
      <c r="AH1496" s="15"/>
      <c r="AI1496" s="15"/>
      <c r="AJ1496" s="15"/>
      <c r="AK1496" s="15"/>
      <c r="AL1496" s="15"/>
      <c r="AM1496" s="15"/>
      <c r="AN1496" s="15"/>
      <c r="AO1496" s="15"/>
      <c r="AP1496" s="15"/>
      <c r="AQ1496" s="15"/>
      <c r="AR1496" s="15"/>
      <c r="AS1496" s="15"/>
      <c r="AT1496" s="15"/>
      <c r="AU1496" s="15"/>
    </row>
    <row r="1497" ht="24.0" customHeight="1">
      <c r="A1497" s="45">
        <v>2921.0</v>
      </c>
      <c r="B1497" s="57"/>
      <c r="C1497" s="57"/>
      <c r="D1497" s="88" t="str">
        <f t="array" ref="D1497">IFERROR(
  LOOKUP(2, 1/((TRIM(IMS!$E$8:$E$2574)=TRIM(IMS!$E1497))*(IMS!$C$8:$C$2574&lt;IMS!$C1497)),
         IMS!$C$8:$C$2574),
"")</f>
        <v/>
      </c>
      <c r="E1497" s="57"/>
      <c r="F1497" s="57"/>
      <c r="G1497" s="77" t="str">
        <f t="shared" si="901"/>
        <v/>
      </c>
      <c r="H1497" s="78" t="str">
        <f t="shared" si="902"/>
        <v/>
      </c>
      <c r="I1497" s="79"/>
      <c r="J1497" s="80" t="str">
        <f t="shared" si="903"/>
        <v>#NAME?</v>
      </c>
      <c r="K1497" s="58"/>
      <c r="L1497" s="58"/>
      <c r="M1497" s="57"/>
      <c r="N1497" s="57"/>
      <c r="O1497" s="58"/>
      <c r="P1497" s="82"/>
      <c r="Q1497" s="81"/>
      <c r="R1497" s="81"/>
      <c r="S1497" s="57"/>
      <c r="T1497" s="82"/>
      <c r="U1497" s="82"/>
      <c r="V1497" s="57"/>
      <c r="W1497" s="57"/>
      <c r="X1497" s="57" t="str">
        <f t="shared" si="917"/>
        <v/>
      </c>
      <c r="Y1497" s="58" t="str">
        <f t="shared" ref="Y1497:AC1497" si="1337">TRIM(SUBSTITUTE(SUBSTITUTE(OFFSET($Q1497,0,COLUMN()-COLUMN($AL$1)),CHAR(160)," "),_xludf.UNICHAR(8239)," "))</f>
        <v>#NAME?</v>
      </c>
      <c r="Z1497" s="58" t="str">
        <f t="shared" si="1337"/>
        <v>#NAME?</v>
      </c>
      <c r="AA1497" s="58" t="str">
        <f t="shared" si="1337"/>
        <v>#NAME?</v>
      </c>
      <c r="AB1497" s="58" t="str">
        <f t="shared" si="1337"/>
        <v>#NAME?</v>
      </c>
      <c r="AC1497" s="58" t="str">
        <f t="shared" si="1337"/>
        <v>#NAME?</v>
      </c>
      <c r="AD1497" s="57">
        <f t="shared" si="906"/>
        <v>0</v>
      </c>
      <c r="AE1497" s="57" t="str">
        <f t="shared" si="907"/>
        <v/>
      </c>
      <c r="AF1497" s="57">
        <f t="shared" si="908"/>
        <v>0</v>
      </c>
      <c r="AG1497" s="59">
        <f t="shared" si="909"/>
        <v>0</v>
      </c>
      <c r="AH1497" s="15"/>
      <c r="AI1497" s="15"/>
      <c r="AJ1497" s="15"/>
      <c r="AK1497" s="15"/>
      <c r="AL1497" s="15"/>
      <c r="AM1497" s="15"/>
      <c r="AN1497" s="15"/>
      <c r="AO1497" s="15"/>
      <c r="AP1497" s="15"/>
      <c r="AQ1497" s="15"/>
      <c r="AR1497" s="15"/>
      <c r="AS1497" s="15"/>
      <c r="AT1497" s="15"/>
      <c r="AU1497" s="15"/>
    </row>
    <row r="1498" ht="24.0" customHeight="1">
      <c r="A1498" s="45">
        <v>2922.0</v>
      </c>
      <c r="B1498" s="57"/>
      <c r="C1498" s="57"/>
      <c r="D1498" s="88" t="str">
        <f t="array" ref="D1498">IFERROR(
  LOOKUP(2, 1/((TRIM(IMS!$E$8:$E$2574)=TRIM(IMS!$E1498))*(IMS!$C$8:$C$2574&lt;IMS!$C1498)),
         IMS!$C$8:$C$2574),
"")</f>
        <v/>
      </c>
      <c r="E1498" s="57"/>
      <c r="F1498" s="57"/>
      <c r="G1498" s="77" t="str">
        <f t="shared" si="901"/>
        <v/>
      </c>
      <c r="H1498" s="78" t="str">
        <f t="shared" si="902"/>
        <v/>
      </c>
      <c r="I1498" s="79"/>
      <c r="J1498" s="80" t="str">
        <f t="shared" si="903"/>
        <v>#NAME?</v>
      </c>
      <c r="K1498" s="58"/>
      <c r="L1498" s="58"/>
      <c r="M1498" s="57"/>
      <c r="N1498" s="57"/>
      <c r="O1498" s="58"/>
      <c r="P1498" s="82"/>
      <c r="Q1498" s="81"/>
      <c r="R1498" s="81"/>
      <c r="S1498" s="57"/>
      <c r="T1498" s="82"/>
      <c r="U1498" s="82"/>
      <c r="V1498" s="57"/>
      <c r="W1498" s="57"/>
      <c r="X1498" s="57" t="str">
        <f t="shared" si="917"/>
        <v/>
      </c>
      <c r="Y1498" s="58" t="str">
        <f t="shared" ref="Y1498:AC1498" si="1338">TRIM(SUBSTITUTE(SUBSTITUTE(OFFSET($Q1498,0,COLUMN()-COLUMN($AL$1)),CHAR(160)," "),_xludf.UNICHAR(8239)," "))</f>
        <v>#NAME?</v>
      </c>
      <c r="Z1498" s="58" t="str">
        <f t="shared" si="1338"/>
        <v>#NAME?</v>
      </c>
      <c r="AA1498" s="58" t="str">
        <f t="shared" si="1338"/>
        <v>#NAME?</v>
      </c>
      <c r="AB1498" s="58" t="str">
        <f t="shared" si="1338"/>
        <v>#NAME?</v>
      </c>
      <c r="AC1498" s="58" t="str">
        <f t="shared" si="1338"/>
        <v>#NAME?</v>
      </c>
      <c r="AD1498" s="57">
        <f t="shared" si="906"/>
        <v>0</v>
      </c>
      <c r="AE1498" s="57" t="str">
        <f t="shared" si="907"/>
        <v/>
      </c>
      <c r="AF1498" s="57">
        <f t="shared" si="908"/>
        <v>0</v>
      </c>
      <c r="AG1498" s="59">
        <f t="shared" si="909"/>
        <v>0</v>
      </c>
      <c r="AH1498" s="15"/>
      <c r="AI1498" s="15"/>
      <c r="AJ1498" s="15"/>
      <c r="AK1498" s="15"/>
      <c r="AL1498" s="15"/>
      <c r="AM1498" s="15"/>
      <c r="AN1498" s="15"/>
      <c r="AO1498" s="15"/>
      <c r="AP1498" s="15"/>
      <c r="AQ1498" s="15"/>
      <c r="AR1498" s="15"/>
      <c r="AS1498" s="15"/>
      <c r="AT1498" s="15"/>
      <c r="AU1498" s="15"/>
    </row>
    <row r="1499" ht="24.0" customHeight="1">
      <c r="A1499" s="45">
        <v>2923.0</v>
      </c>
      <c r="B1499" s="57"/>
      <c r="C1499" s="57"/>
      <c r="D1499" s="88" t="str">
        <f t="array" ref="D1499">IFERROR(
  LOOKUP(2, 1/((TRIM(IMS!$E$8:$E$2574)=TRIM(IMS!$E1499))*(IMS!$C$8:$C$2574&lt;IMS!$C1499)),
         IMS!$C$8:$C$2574),
"")</f>
        <v/>
      </c>
      <c r="E1499" s="57"/>
      <c r="F1499" s="57"/>
      <c r="G1499" s="77" t="str">
        <f t="shared" si="901"/>
        <v/>
      </c>
      <c r="H1499" s="78" t="str">
        <f t="shared" si="902"/>
        <v/>
      </c>
      <c r="I1499" s="79"/>
      <c r="J1499" s="80" t="str">
        <f t="shared" si="903"/>
        <v>#NAME?</v>
      </c>
      <c r="K1499" s="58"/>
      <c r="L1499" s="58"/>
      <c r="M1499" s="57"/>
      <c r="N1499" s="57"/>
      <c r="O1499" s="58"/>
      <c r="P1499" s="82"/>
      <c r="Q1499" s="81"/>
      <c r="R1499" s="81"/>
      <c r="S1499" s="57"/>
      <c r="T1499" s="82"/>
      <c r="U1499" s="82"/>
      <c r="V1499" s="57"/>
      <c r="W1499" s="57"/>
      <c r="X1499" s="57" t="str">
        <f t="shared" si="917"/>
        <v/>
      </c>
      <c r="Y1499" s="58" t="str">
        <f t="shared" ref="Y1499:AC1499" si="1339">TRIM(SUBSTITUTE(SUBSTITUTE(OFFSET($Q1499,0,COLUMN()-COLUMN($AL$1)),CHAR(160)," "),_xludf.UNICHAR(8239)," "))</f>
        <v>#NAME?</v>
      </c>
      <c r="Z1499" s="58" t="str">
        <f t="shared" si="1339"/>
        <v>#NAME?</v>
      </c>
      <c r="AA1499" s="58" t="str">
        <f t="shared" si="1339"/>
        <v>#NAME?</v>
      </c>
      <c r="AB1499" s="58" t="str">
        <f t="shared" si="1339"/>
        <v>#NAME?</v>
      </c>
      <c r="AC1499" s="58" t="str">
        <f t="shared" si="1339"/>
        <v>#NAME?</v>
      </c>
      <c r="AD1499" s="57">
        <f t="shared" si="906"/>
        <v>0</v>
      </c>
      <c r="AE1499" s="57" t="str">
        <f t="shared" si="907"/>
        <v/>
      </c>
      <c r="AF1499" s="57">
        <f t="shared" si="908"/>
        <v>0</v>
      </c>
      <c r="AG1499" s="59">
        <f t="shared" si="909"/>
        <v>0</v>
      </c>
      <c r="AH1499" s="15"/>
      <c r="AI1499" s="15"/>
      <c r="AJ1499" s="15"/>
      <c r="AK1499" s="15"/>
      <c r="AL1499" s="15"/>
      <c r="AM1499" s="15"/>
      <c r="AN1499" s="15"/>
      <c r="AO1499" s="15"/>
      <c r="AP1499" s="15"/>
      <c r="AQ1499" s="15"/>
      <c r="AR1499" s="15"/>
      <c r="AS1499" s="15"/>
      <c r="AT1499" s="15"/>
      <c r="AU1499" s="15"/>
    </row>
    <row r="1500" ht="24.0" customHeight="1">
      <c r="A1500" s="45">
        <v>2924.0</v>
      </c>
      <c r="B1500" s="57"/>
      <c r="C1500" s="57"/>
      <c r="D1500" s="88" t="str">
        <f t="array" ref="D1500">IFERROR(
  LOOKUP(2, 1/((TRIM(IMS!$E$8:$E$2574)=TRIM(IMS!$E1500))*(IMS!$C$8:$C$2574&lt;IMS!$C1500)),
         IMS!$C$8:$C$2574),
"")</f>
        <v/>
      </c>
      <c r="E1500" s="57"/>
      <c r="F1500" s="57"/>
      <c r="G1500" s="77" t="str">
        <f t="shared" si="901"/>
        <v/>
      </c>
      <c r="H1500" s="78" t="str">
        <f t="shared" si="902"/>
        <v/>
      </c>
      <c r="I1500" s="79"/>
      <c r="J1500" s="80" t="str">
        <f t="shared" si="903"/>
        <v>#NAME?</v>
      </c>
      <c r="K1500" s="58"/>
      <c r="L1500" s="58"/>
      <c r="M1500" s="57"/>
      <c r="N1500" s="57"/>
      <c r="O1500" s="58"/>
      <c r="P1500" s="82"/>
      <c r="Q1500" s="81"/>
      <c r="R1500" s="81"/>
      <c r="S1500" s="57"/>
      <c r="T1500" s="82"/>
      <c r="U1500" s="82"/>
      <c r="V1500" s="57"/>
      <c r="W1500" s="57"/>
      <c r="X1500" s="57" t="str">
        <f t="shared" si="917"/>
        <v/>
      </c>
      <c r="Y1500" s="58" t="str">
        <f t="shared" ref="Y1500:AC1500" si="1340">TRIM(SUBSTITUTE(SUBSTITUTE(OFFSET($Q1500,0,COLUMN()-COLUMN($AL$1)),CHAR(160)," "),_xludf.UNICHAR(8239)," "))</f>
        <v>#NAME?</v>
      </c>
      <c r="Z1500" s="58" t="str">
        <f t="shared" si="1340"/>
        <v>#NAME?</v>
      </c>
      <c r="AA1500" s="58" t="str">
        <f t="shared" si="1340"/>
        <v>#NAME?</v>
      </c>
      <c r="AB1500" s="58" t="str">
        <f t="shared" si="1340"/>
        <v>#NAME?</v>
      </c>
      <c r="AC1500" s="58" t="str">
        <f t="shared" si="1340"/>
        <v>#NAME?</v>
      </c>
      <c r="AD1500" s="57">
        <f t="shared" si="906"/>
        <v>0</v>
      </c>
      <c r="AE1500" s="57" t="str">
        <f t="shared" si="907"/>
        <v/>
      </c>
      <c r="AF1500" s="57">
        <f t="shared" si="908"/>
        <v>0</v>
      </c>
      <c r="AG1500" s="59">
        <f t="shared" si="909"/>
        <v>0</v>
      </c>
      <c r="AH1500" s="15"/>
      <c r="AI1500" s="15"/>
      <c r="AJ1500" s="15"/>
      <c r="AK1500" s="15"/>
      <c r="AL1500" s="15"/>
      <c r="AM1500" s="15"/>
      <c r="AN1500" s="15"/>
      <c r="AO1500" s="15"/>
      <c r="AP1500" s="15"/>
      <c r="AQ1500" s="15"/>
      <c r="AR1500" s="15"/>
      <c r="AS1500" s="15"/>
      <c r="AT1500" s="15"/>
      <c r="AU1500" s="15"/>
    </row>
    <row r="1501" ht="24.0" customHeight="1">
      <c r="A1501" s="45">
        <v>2925.0</v>
      </c>
      <c r="B1501" s="57"/>
      <c r="C1501" s="57"/>
      <c r="D1501" s="88" t="str">
        <f t="array" ref="D1501">IFERROR(
  LOOKUP(2, 1/((TRIM(IMS!$E$8:$E$2574)=TRIM(IMS!$E1501))*(IMS!$C$8:$C$2574&lt;IMS!$C1501)),
         IMS!$C$8:$C$2574),
"")</f>
        <v/>
      </c>
      <c r="E1501" s="57"/>
      <c r="F1501" s="57"/>
      <c r="G1501" s="77" t="str">
        <f t="shared" si="901"/>
        <v/>
      </c>
      <c r="H1501" s="78" t="str">
        <f t="shared" si="902"/>
        <v/>
      </c>
      <c r="I1501" s="79"/>
      <c r="J1501" s="80" t="str">
        <f t="shared" si="903"/>
        <v>#NAME?</v>
      </c>
      <c r="K1501" s="58"/>
      <c r="L1501" s="58"/>
      <c r="M1501" s="57"/>
      <c r="N1501" s="57"/>
      <c r="O1501" s="58"/>
      <c r="P1501" s="82"/>
      <c r="Q1501" s="81"/>
      <c r="R1501" s="81"/>
      <c r="S1501" s="57"/>
      <c r="T1501" s="82"/>
      <c r="U1501" s="82"/>
      <c r="V1501" s="57"/>
      <c r="W1501" s="57"/>
      <c r="X1501" s="57" t="str">
        <f t="shared" si="917"/>
        <v/>
      </c>
      <c r="Y1501" s="58" t="str">
        <f t="shared" ref="Y1501:AC1501" si="1341">TRIM(SUBSTITUTE(SUBSTITUTE(OFFSET($Q1501,0,COLUMN()-COLUMN($AL$1)),CHAR(160)," "),_xludf.UNICHAR(8239)," "))</f>
        <v>#NAME?</v>
      </c>
      <c r="Z1501" s="58" t="str">
        <f t="shared" si="1341"/>
        <v>#NAME?</v>
      </c>
      <c r="AA1501" s="58" t="str">
        <f t="shared" si="1341"/>
        <v>#NAME?</v>
      </c>
      <c r="AB1501" s="58" t="str">
        <f t="shared" si="1341"/>
        <v>#NAME?</v>
      </c>
      <c r="AC1501" s="58" t="str">
        <f t="shared" si="1341"/>
        <v>#NAME?</v>
      </c>
      <c r="AD1501" s="57">
        <f t="shared" si="906"/>
        <v>0</v>
      </c>
      <c r="AE1501" s="57" t="str">
        <f t="shared" si="907"/>
        <v/>
      </c>
      <c r="AF1501" s="57">
        <f t="shared" si="908"/>
        <v>0</v>
      </c>
      <c r="AG1501" s="59">
        <f t="shared" si="909"/>
        <v>0</v>
      </c>
      <c r="AH1501" s="15"/>
      <c r="AI1501" s="15"/>
      <c r="AJ1501" s="15"/>
      <c r="AK1501" s="15"/>
      <c r="AL1501" s="15"/>
      <c r="AM1501" s="15"/>
      <c r="AN1501" s="15"/>
      <c r="AO1501" s="15"/>
      <c r="AP1501" s="15"/>
      <c r="AQ1501" s="15"/>
      <c r="AR1501" s="15"/>
      <c r="AS1501" s="15"/>
      <c r="AT1501" s="15"/>
      <c r="AU1501" s="15"/>
    </row>
    <row r="1502" ht="24.0" customHeight="1">
      <c r="A1502" s="45">
        <v>2926.0</v>
      </c>
      <c r="B1502" s="57"/>
      <c r="C1502" s="57"/>
      <c r="D1502" s="88" t="str">
        <f t="array" ref="D1502">IFERROR(
  LOOKUP(2, 1/((TRIM(IMS!$E$8:$E$2574)=TRIM(IMS!$E1502))*(IMS!$C$8:$C$2574&lt;IMS!$C1502)),
         IMS!$C$8:$C$2574),
"")</f>
        <v/>
      </c>
      <c r="E1502" s="57"/>
      <c r="F1502" s="57"/>
      <c r="G1502" s="77" t="str">
        <f t="shared" si="901"/>
        <v/>
      </c>
      <c r="H1502" s="78" t="str">
        <f t="shared" si="902"/>
        <v/>
      </c>
      <c r="I1502" s="79"/>
      <c r="J1502" s="80" t="str">
        <f t="shared" si="903"/>
        <v>#NAME?</v>
      </c>
      <c r="K1502" s="58"/>
      <c r="L1502" s="58"/>
      <c r="M1502" s="57"/>
      <c r="N1502" s="57"/>
      <c r="O1502" s="58"/>
      <c r="P1502" s="82"/>
      <c r="Q1502" s="81"/>
      <c r="R1502" s="81"/>
      <c r="S1502" s="57"/>
      <c r="T1502" s="82"/>
      <c r="U1502" s="82"/>
      <c r="V1502" s="57"/>
      <c r="W1502" s="57"/>
      <c r="X1502" s="57" t="str">
        <f t="shared" si="917"/>
        <v/>
      </c>
      <c r="Y1502" s="58" t="str">
        <f t="shared" ref="Y1502:AC1502" si="1342">TRIM(SUBSTITUTE(SUBSTITUTE(OFFSET($Q1502,0,COLUMN()-COLUMN($AL$1)),CHAR(160)," "),_xludf.UNICHAR(8239)," "))</f>
        <v>#NAME?</v>
      </c>
      <c r="Z1502" s="58" t="str">
        <f t="shared" si="1342"/>
        <v>#NAME?</v>
      </c>
      <c r="AA1502" s="58" t="str">
        <f t="shared" si="1342"/>
        <v>#NAME?</v>
      </c>
      <c r="AB1502" s="58" t="str">
        <f t="shared" si="1342"/>
        <v>#NAME?</v>
      </c>
      <c r="AC1502" s="58" t="str">
        <f t="shared" si="1342"/>
        <v>#NAME?</v>
      </c>
      <c r="AD1502" s="57">
        <f t="shared" si="906"/>
        <v>0</v>
      </c>
      <c r="AE1502" s="57" t="str">
        <f t="shared" si="907"/>
        <v/>
      </c>
      <c r="AF1502" s="57">
        <f t="shared" si="908"/>
        <v>0</v>
      </c>
      <c r="AG1502" s="59">
        <f t="shared" si="909"/>
        <v>0</v>
      </c>
      <c r="AH1502" s="15"/>
      <c r="AI1502" s="15"/>
      <c r="AJ1502" s="15"/>
      <c r="AK1502" s="15"/>
      <c r="AL1502" s="15"/>
      <c r="AM1502" s="15"/>
      <c r="AN1502" s="15"/>
      <c r="AO1502" s="15"/>
      <c r="AP1502" s="15"/>
      <c r="AQ1502" s="15"/>
      <c r="AR1502" s="15"/>
      <c r="AS1502" s="15"/>
      <c r="AT1502" s="15"/>
      <c r="AU1502" s="15"/>
    </row>
    <row r="1503" ht="24.0" customHeight="1">
      <c r="A1503" s="45">
        <v>2927.0</v>
      </c>
      <c r="B1503" s="57"/>
      <c r="C1503" s="57"/>
      <c r="D1503" s="88" t="str">
        <f t="array" ref="D1503">IFERROR(
  LOOKUP(2, 1/((TRIM(IMS!$E$8:$E$2574)=TRIM(IMS!$E1503))*(IMS!$C$8:$C$2574&lt;IMS!$C1503)),
         IMS!$C$8:$C$2574),
"")</f>
        <v/>
      </c>
      <c r="E1503" s="57"/>
      <c r="F1503" s="57"/>
      <c r="G1503" s="77" t="str">
        <f t="shared" si="901"/>
        <v/>
      </c>
      <c r="H1503" s="78" t="str">
        <f t="shared" si="902"/>
        <v/>
      </c>
      <c r="I1503" s="79"/>
      <c r="J1503" s="80" t="str">
        <f t="shared" si="903"/>
        <v>#NAME?</v>
      </c>
      <c r="K1503" s="58"/>
      <c r="L1503" s="58"/>
      <c r="M1503" s="57"/>
      <c r="N1503" s="57"/>
      <c r="O1503" s="58"/>
      <c r="P1503" s="82"/>
      <c r="Q1503" s="81"/>
      <c r="R1503" s="81"/>
      <c r="S1503" s="57"/>
      <c r="T1503" s="82"/>
      <c r="U1503" s="82"/>
      <c r="V1503" s="57"/>
      <c r="W1503" s="57"/>
      <c r="X1503" s="57" t="str">
        <f t="shared" si="917"/>
        <v/>
      </c>
      <c r="Y1503" s="58" t="str">
        <f t="shared" ref="Y1503:AC1503" si="1343">TRIM(SUBSTITUTE(SUBSTITUTE(OFFSET($Q1503,0,COLUMN()-COLUMN($AL$1)),CHAR(160)," "),_xludf.UNICHAR(8239)," "))</f>
        <v>#NAME?</v>
      </c>
      <c r="Z1503" s="58" t="str">
        <f t="shared" si="1343"/>
        <v>#NAME?</v>
      </c>
      <c r="AA1503" s="58" t="str">
        <f t="shared" si="1343"/>
        <v>#NAME?</v>
      </c>
      <c r="AB1503" s="58" t="str">
        <f t="shared" si="1343"/>
        <v>#NAME?</v>
      </c>
      <c r="AC1503" s="58" t="str">
        <f t="shared" si="1343"/>
        <v>#NAME?</v>
      </c>
      <c r="AD1503" s="57">
        <f t="shared" si="906"/>
        <v>0</v>
      </c>
      <c r="AE1503" s="57" t="str">
        <f t="shared" si="907"/>
        <v/>
      </c>
      <c r="AF1503" s="57">
        <f t="shared" si="908"/>
        <v>0</v>
      </c>
      <c r="AG1503" s="59">
        <f t="shared" si="909"/>
        <v>0</v>
      </c>
      <c r="AH1503" s="15"/>
      <c r="AI1503" s="15"/>
      <c r="AJ1503" s="15"/>
      <c r="AK1503" s="15"/>
      <c r="AL1503" s="15"/>
      <c r="AM1503" s="15"/>
      <c r="AN1503" s="15"/>
      <c r="AO1503" s="15"/>
      <c r="AP1503" s="15"/>
      <c r="AQ1503" s="15"/>
      <c r="AR1503" s="15"/>
      <c r="AS1503" s="15"/>
      <c r="AT1503" s="15"/>
      <c r="AU1503" s="15"/>
    </row>
    <row r="1504" ht="24.0" customHeight="1">
      <c r="A1504" s="45">
        <v>2928.0</v>
      </c>
      <c r="B1504" s="57"/>
      <c r="C1504" s="57"/>
      <c r="D1504" s="88" t="str">
        <f t="array" ref="D1504">IFERROR(
  LOOKUP(2, 1/((TRIM(IMS!$E$8:$E$2574)=TRIM(IMS!$E1504))*(IMS!$C$8:$C$2574&lt;IMS!$C1504)),
         IMS!$C$8:$C$2574),
"")</f>
        <v/>
      </c>
      <c r="E1504" s="57"/>
      <c r="F1504" s="57"/>
      <c r="G1504" s="77" t="str">
        <f t="shared" si="901"/>
        <v/>
      </c>
      <c r="H1504" s="78" t="str">
        <f t="shared" si="902"/>
        <v/>
      </c>
      <c r="I1504" s="79"/>
      <c r="J1504" s="80" t="str">
        <f t="shared" si="903"/>
        <v>#NAME?</v>
      </c>
      <c r="K1504" s="58"/>
      <c r="L1504" s="58"/>
      <c r="M1504" s="57"/>
      <c r="N1504" s="57"/>
      <c r="O1504" s="58"/>
      <c r="P1504" s="82"/>
      <c r="Q1504" s="81"/>
      <c r="R1504" s="81"/>
      <c r="S1504" s="57"/>
      <c r="T1504" s="82"/>
      <c r="U1504" s="82"/>
      <c r="V1504" s="57"/>
      <c r="W1504" s="57"/>
      <c r="X1504" s="57" t="str">
        <f t="shared" si="917"/>
        <v/>
      </c>
      <c r="Y1504" s="58" t="str">
        <f t="shared" ref="Y1504:AC1504" si="1344">TRIM(SUBSTITUTE(SUBSTITUTE(OFFSET($Q1504,0,COLUMN()-COLUMN($AL$1)),CHAR(160)," "),_xludf.UNICHAR(8239)," "))</f>
        <v>#NAME?</v>
      </c>
      <c r="Z1504" s="58" t="str">
        <f t="shared" si="1344"/>
        <v>#NAME?</v>
      </c>
      <c r="AA1504" s="58" t="str">
        <f t="shared" si="1344"/>
        <v>#NAME?</v>
      </c>
      <c r="AB1504" s="58" t="str">
        <f t="shared" si="1344"/>
        <v>#NAME?</v>
      </c>
      <c r="AC1504" s="58" t="str">
        <f t="shared" si="1344"/>
        <v>#NAME?</v>
      </c>
      <c r="AD1504" s="57">
        <f t="shared" si="906"/>
        <v>0</v>
      </c>
      <c r="AE1504" s="57" t="str">
        <f t="shared" si="907"/>
        <v/>
      </c>
      <c r="AF1504" s="57">
        <f t="shared" si="908"/>
        <v>0</v>
      </c>
      <c r="AG1504" s="59">
        <f t="shared" si="909"/>
        <v>0</v>
      </c>
      <c r="AH1504" s="15"/>
      <c r="AI1504" s="15"/>
      <c r="AJ1504" s="15"/>
      <c r="AK1504" s="15"/>
      <c r="AL1504" s="15"/>
      <c r="AM1504" s="15"/>
      <c r="AN1504" s="15"/>
      <c r="AO1504" s="15"/>
      <c r="AP1504" s="15"/>
      <c r="AQ1504" s="15"/>
      <c r="AR1504" s="15"/>
      <c r="AS1504" s="15"/>
      <c r="AT1504" s="15"/>
      <c r="AU1504" s="15"/>
    </row>
    <row r="1505" ht="24.0" customHeight="1">
      <c r="A1505" s="45">
        <v>2929.0</v>
      </c>
      <c r="B1505" s="57"/>
      <c r="C1505" s="57"/>
      <c r="D1505" s="88" t="str">
        <f t="array" ref="D1505">IFERROR(
  LOOKUP(2, 1/((TRIM(IMS!$E$8:$E$2574)=TRIM(IMS!$E1505))*(IMS!$C$8:$C$2574&lt;IMS!$C1505)),
         IMS!$C$8:$C$2574),
"")</f>
        <v/>
      </c>
      <c r="E1505" s="57"/>
      <c r="F1505" s="57"/>
      <c r="G1505" s="77" t="str">
        <f t="shared" si="901"/>
        <v/>
      </c>
      <c r="H1505" s="78" t="str">
        <f t="shared" si="902"/>
        <v/>
      </c>
      <c r="I1505" s="79"/>
      <c r="J1505" s="80" t="str">
        <f t="shared" si="903"/>
        <v>#NAME?</v>
      </c>
      <c r="K1505" s="58"/>
      <c r="L1505" s="58"/>
      <c r="M1505" s="57"/>
      <c r="N1505" s="57"/>
      <c r="O1505" s="58"/>
      <c r="P1505" s="82"/>
      <c r="Q1505" s="81"/>
      <c r="R1505" s="81"/>
      <c r="S1505" s="57"/>
      <c r="T1505" s="82"/>
      <c r="U1505" s="82"/>
      <c r="V1505" s="57"/>
      <c r="W1505" s="57"/>
      <c r="X1505" s="57" t="str">
        <f t="shared" si="917"/>
        <v/>
      </c>
      <c r="Y1505" s="58" t="str">
        <f t="shared" ref="Y1505:AC1505" si="1345">TRIM(SUBSTITUTE(SUBSTITUTE(OFFSET($Q1505,0,COLUMN()-COLUMN($AL$1)),CHAR(160)," "),_xludf.UNICHAR(8239)," "))</f>
        <v>#NAME?</v>
      </c>
      <c r="Z1505" s="58" t="str">
        <f t="shared" si="1345"/>
        <v>#NAME?</v>
      </c>
      <c r="AA1505" s="58" t="str">
        <f t="shared" si="1345"/>
        <v>#NAME?</v>
      </c>
      <c r="AB1505" s="58" t="str">
        <f t="shared" si="1345"/>
        <v>#NAME?</v>
      </c>
      <c r="AC1505" s="58" t="str">
        <f t="shared" si="1345"/>
        <v>#NAME?</v>
      </c>
      <c r="AD1505" s="57">
        <f t="shared" si="906"/>
        <v>0</v>
      </c>
      <c r="AE1505" s="57" t="str">
        <f t="shared" si="907"/>
        <v/>
      </c>
      <c r="AF1505" s="57">
        <f t="shared" si="908"/>
        <v>0</v>
      </c>
      <c r="AG1505" s="59">
        <f t="shared" si="909"/>
        <v>0</v>
      </c>
      <c r="AH1505" s="15"/>
      <c r="AI1505" s="15"/>
      <c r="AJ1505" s="15"/>
      <c r="AK1505" s="15"/>
      <c r="AL1505" s="15"/>
      <c r="AM1505" s="15"/>
      <c r="AN1505" s="15"/>
      <c r="AO1505" s="15"/>
      <c r="AP1505" s="15"/>
      <c r="AQ1505" s="15"/>
      <c r="AR1505" s="15"/>
      <c r="AS1505" s="15"/>
      <c r="AT1505" s="15"/>
      <c r="AU1505" s="15"/>
    </row>
    <row r="1506" ht="24.0" customHeight="1">
      <c r="A1506" s="45">
        <v>2930.0</v>
      </c>
      <c r="B1506" s="57"/>
      <c r="C1506" s="57"/>
      <c r="D1506" s="88" t="str">
        <f t="array" ref="D1506">IFERROR(
  LOOKUP(2, 1/((TRIM(IMS!$E$8:$E$2574)=TRIM(IMS!$E1506))*(IMS!$C$8:$C$2574&lt;IMS!$C1506)),
         IMS!$C$8:$C$2574),
"")</f>
        <v/>
      </c>
      <c r="E1506" s="57"/>
      <c r="F1506" s="57"/>
      <c r="G1506" s="77" t="str">
        <f t="shared" si="901"/>
        <v/>
      </c>
      <c r="H1506" s="78" t="str">
        <f t="shared" si="902"/>
        <v/>
      </c>
      <c r="I1506" s="79"/>
      <c r="J1506" s="80" t="str">
        <f t="shared" si="903"/>
        <v>#NAME?</v>
      </c>
      <c r="K1506" s="58"/>
      <c r="L1506" s="58"/>
      <c r="M1506" s="57"/>
      <c r="N1506" s="57"/>
      <c r="O1506" s="58"/>
      <c r="P1506" s="82"/>
      <c r="Q1506" s="81"/>
      <c r="R1506" s="81"/>
      <c r="S1506" s="57"/>
      <c r="T1506" s="82"/>
      <c r="U1506" s="82"/>
      <c r="V1506" s="57"/>
      <c r="W1506" s="57"/>
      <c r="X1506" s="57" t="str">
        <f t="shared" si="917"/>
        <v/>
      </c>
      <c r="Y1506" s="58" t="str">
        <f t="shared" ref="Y1506:AC1506" si="1346">TRIM(SUBSTITUTE(SUBSTITUTE(OFFSET($Q1506,0,COLUMN()-COLUMN($AL$1)),CHAR(160)," "),_xludf.UNICHAR(8239)," "))</f>
        <v>#NAME?</v>
      </c>
      <c r="Z1506" s="58" t="str">
        <f t="shared" si="1346"/>
        <v>#NAME?</v>
      </c>
      <c r="AA1506" s="58" t="str">
        <f t="shared" si="1346"/>
        <v>#NAME?</v>
      </c>
      <c r="AB1506" s="58" t="str">
        <f t="shared" si="1346"/>
        <v>#NAME?</v>
      </c>
      <c r="AC1506" s="58" t="str">
        <f t="shared" si="1346"/>
        <v>#NAME?</v>
      </c>
      <c r="AD1506" s="57">
        <f t="shared" si="906"/>
        <v>0</v>
      </c>
      <c r="AE1506" s="57" t="str">
        <f t="shared" si="907"/>
        <v/>
      </c>
      <c r="AF1506" s="57">
        <f t="shared" si="908"/>
        <v>0</v>
      </c>
      <c r="AG1506" s="59">
        <f t="shared" si="909"/>
        <v>0</v>
      </c>
      <c r="AH1506" s="15"/>
      <c r="AI1506" s="15"/>
      <c r="AJ1506" s="15"/>
      <c r="AK1506" s="15"/>
      <c r="AL1506" s="15"/>
      <c r="AM1506" s="15"/>
      <c r="AN1506" s="15"/>
      <c r="AO1506" s="15"/>
      <c r="AP1506" s="15"/>
      <c r="AQ1506" s="15"/>
      <c r="AR1506" s="15"/>
      <c r="AS1506" s="15"/>
      <c r="AT1506" s="15"/>
      <c r="AU1506" s="15"/>
    </row>
    <row r="1507" ht="24.0" customHeight="1">
      <c r="A1507" s="45">
        <v>2931.0</v>
      </c>
      <c r="B1507" s="57"/>
      <c r="C1507" s="57"/>
      <c r="D1507" s="88" t="str">
        <f t="array" ref="D1507">IFERROR(
  LOOKUP(2, 1/((TRIM(IMS!$E$8:$E$2574)=TRIM(IMS!$E1507))*(IMS!$C$8:$C$2574&lt;IMS!$C1507)),
         IMS!$C$8:$C$2574),
"")</f>
        <v/>
      </c>
      <c r="E1507" s="57"/>
      <c r="F1507" s="57"/>
      <c r="G1507" s="77" t="str">
        <f t="shared" si="901"/>
        <v/>
      </c>
      <c r="H1507" s="78" t="str">
        <f t="shared" si="902"/>
        <v/>
      </c>
      <c r="I1507" s="79"/>
      <c r="J1507" s="80" t="str">
        <f t="shared" si="903"/>
        <v>#NAME?</v>
      </c>
      <c r="K1507" s="58"/>
      <c r="L1507" s="58"/>
      <c r="M1507" s="57"/>
      <c r="N1507" s="57"/>
      <c r="O1507" s="58"/>
      <c r="P1507" s="82"/>
      <c r="Q1507" s="81"/>
      <c r="R1507" s="81"/>
      <c r="S1507" s="57"/>
      <c r="T1507" s="82"/>
      <c r="U1507" s="82"/>
      <c r="V1507" s="57"/>
      <c r="W1507" s="57"/>
      <c r="X1507" s="57" t="str">
        <f t="shared" si="917"/>
        <v/>
      </c>
      <c r="Y1507" s="58" t="str">
        <f t="shared" ref="Y1507:AC1507" si="1347">TRIM(SUBSTITUTE(SUBSTITUTE(OFFSET($Q1507,0,COLUMN()-COLUMN($AL$1)),CHAR(160)," "),_xludf.UNICHAR(8239)," "))</f>
        <v>#NAME?</v>
      </c>
      <c r="Z1507" s="58" t="str">
        <f t="shared" si="1347"/>
        <v>#NAME?</v>
      </c>
      <c r="AA1507" s="58" t="str">
        <f t="shared" si="1347"/>
        <v>#NAME?</v>
      </c>
      <c r="AB1507" s="58" t="str">
        <f t="shared" si="1347"/>
        <v>#NAME?</v>
      </c>
      <c r="AC1507" s="58" t="str">
        <f t="shared" si="1347"/>
        <v>#NAME?</v>
      </c>
      <c r="AD1507" s="57">
        <f t="shared" si="906"/>
        <v>0</v>
      </c>
      <c r="AE1507" s="57" t="str">
        <f t="shared" si="907"/>
        <v/>
      </c>
      <c r="AF1507" s="57">
        <f t="shared" si="908"/>
        <v>0</v>
      </c>
      <c r="AG1507" s="59">
        <f t="shared" si="909"/>
        <v>0</v>
      </c>
      <c r="AH1507" s="15"/>
      <c r="AI1507" s="15"/>
      <c r="AJ1507" s="15"/>
      <c r="AK1507" s="15"/>
      <c r="AL1507" s="15"/>
      <c r="AM1507" s="15"/>
      <c r="AN1507" s="15"/>
      <c r="AO1507" s="15"/>
      <c r="AP1507" s="15"/>
      <c r="AQ1507" s="15"/>
      <c r="AR1507" s="15"/>
      <c r="AS1507" s="15"/>
      <c r="AT1507" s="15"/>
      <c r="AU1507" s="15"/>
    </row>
    <row r="1508" ht="24.0" customHeight="1">
      <c r="A1508" s="45">
        <v>2932.0</v>
      </c>
      <c r="B1508" s="57"/>
      <c r="C1508" s="57"/>
      <c r="D1508" s="88" t="str">
        <f t="array" ref="D1508">IFERROR(
  LOOKUP(2, 1/((TRIM(IMS!$E$8:$E$2574)=TRIM(IMS!$E1508))*(IMS!$C$8:$C$2574&lt;IMS!$C1508)),
         IMS!$C$8:$C$2574),
"")</f>
        <v/>
      </c>
      <c r="E1508" s="57"/>
      <c r="F1508" s="57"/>
      <c r="G1508" s="77" t="str">
        <f t="shared" si="901"/>
        <v/>
      </c>
      <c r="H1508" s="78" t="str">
        <f t="shared" si="902"/>
        <v/>
      </c>
      <c r="I1508" s="79"/>
      <c r="J1508" s="80" t="str">
        <f t="shared" si="903"/>
        <v>#NAME?</v>
      </c>
      <c r="K1508" s="58"/>
      <c r="L1508" s="58"/>
      <c r="M1508" s="57"/>
      <c r="N1508" s="57"/>
      <c r="O1508" s="58"/>
      <c r="P1508" s="82"/>
      <c r="Q1508" s="81"/>
      <c r="R1508" s="81"/>
      <c r="S1508" s="57"/>
      <c r="T1508" s="82"/>
      <c r="U1508" s="82"/>
      <c r="V1508" s="57"/>
      <c r="W1508" s="57"/>
      <c r="X1508" s="57" t="str">
        <f t="shared" si="917"/>
        <v/>
      </c>
      <c r="Y1508" s="58" t="str">
        <f t="shared" ref="Y1508:AC1508" si="1348">TRIM(SUBSTITUTE(SUBSTITUTE(OFFSET($Q1508,0,COLUMN()-COLUMN($AL$1)),CHAR(160)," "),_xludf.UNICHAR(8239)," "))</f>
        <v>#NAME?</v>
      </c>
      <c r="Z1508" s="58" t="str">
        <f t="shared" si="1348"/>
        <v>#NAME?</v>
      </c>
      <c r="AA1508" s="58" t="str">
        <f t="shared" si="1348"/>
        <v>#NAME?</v>
      </c>
      <c r="AB1508" s="58" t="str">
        <f t="shared" si="1348"/>
        <v>#NAME?</v>
      </c>
      <c r="AC1508" s="58" t="str">
        <f t="shared" si="1348"/>
        <v>#NAME?</v>
      </c>
      <c r="AD1508" s="57">
        <f t="shared" si="906"/>
        <v>0</v>
      </c>
      <c r="AE1508" s="57" t="str">
        <f t="shared" si="907"/>
        <v/>
      </c>
      <c r="AF1508" s="57">
        <f t="shared" si="908"/>
        <v>0</v>
      </c>
      <c r="AG1508" s="59">
        <f t="shared" si="909"/>
        <v>0</v>
      </c>
      <c r="AH1508" s="15"/>
      <c r="AI1508" s="15"/>
      <c r="AJ1508" s="15"/>
      <c r="AK1508" s="15"/>
      <c r="AL1508" s="15"/>
      <c r="AM1508" s="15"/>
      <c r="AN1508" s="15"/>
      <c r="AO1508" s="15"/>
      <c r="AP1508" s="15"/>
      <c r="AQ1508" s="15"/>
      <c r="AR1508" s="15"/>
      <c r="AS1508" s="15"/>
      <c r="AT1508" s="15"/>
      <c r="AU1508" s="15"/>
    </row>
    <row r="1509" ht="24.0" customHeight="1">
      <c r="A1509" s="45">
        <v>2933.0</v>
      </c>
      <c r="B1509" s="57"/>
      <c r="C1509" s="57"/>
      <c r="D1509" s="88" t="str">
        <f t="array" ref="D1509">IFERROR(
  LOOKUP(2, 1/((TRIM(IMS!$E$8:$E$2574)=TRIM(IMS!$E1509))*(IMS!$C$8:$C$2574&lt;IMS!$C1509)),
         IMS!$C$8:$C$2574),
"")</f>
        <v/>
      </c>
      <c r="E1509" s="57"/>
      <c r="F1509" s="57"/>
      <c r="G1509" s="77" t="str">
        <f t="shared" si="901"/>
        <v/>
      </c>
      <c r="H1509" s="78" t="str">
        <f t="shared" si="902"/>
        <v/>
      </c>
      <c r="I1509" s="79"/>
      <c r="J1509" s="80" t="str">
        <f t="shared" si="903"/>
        <v>#NAME?</v>
      </c>
      <c r="K1509" s="58"/>
      <c r="L1509" s="58"/>
      <c r="M1509" s="57"/>
      <c r="N1509" s="57"/>
      <c r="O1509" s="58"/>
      <c r="P1509" s="82"/>
      <c r="Q1509" s="81"/>
      <c r="R1509" s="81"/>
      <c r="S1509" s="57"/>
      <c r="T1509" s="82"/>
      <c r="U1509" s="82"/>
      <c r="V1509" s="57"/>
      <c r="W1509" s="57"/>
      <c r="X1509" s="57" t="str">
        <f t="shared" si="917"/>
        <v/>
      </c>
      <c r="Y1509" s="58" t="str">
        <f t="shared" ref="Y1509:AC1509" si="1349">TRIM(SUBSTITUTE(SUBSTITUTE(OFFSET($Q1509,0,COLUMN()-COLUMN($AL$1)),CHAR(160)," "),_xludf.UNICHAR(8239)," "))</f>
        <v>#NAME?</v>
      </c>
      <c r="Z1509" s="58" t="str">
        <f t="shared" si="1349"/>
        <v>#NAME?</v>
      </c>
      <c r="AA1509" s="58" t="str">
        <f t="shared" si="1349"/>
        <v>#NAME?</v>
      </c>
      <c r="AB1509" s="58" t="str">
        <f t="shared" si="1349"/>
        <v>#NAME?</v>
      </c>
      <c r="AC1509" s="58" t="str">
        <f t="shared" si="1349"/>
        <v>#NAME?</v>
      </c>
      <c r="AD1509" s="57">
        <f t="shared" si="906"/>
        <v>0</v>
      </c>
      <c r="AE1509" s="57" t="str">
        <f t="shared" si="907"/>
        <v/>
      </c>
      <c r="AF1509" s="57">
        <f t="shared" si="908"/>
        <v>0</v>
      </c>
      <c r="AG1509" s="59">
        <f t="shared" si="909"/>
        <v>0</v>
      </c>
      <c r="AH1509" s="15"/>
      <c r="AI1509" s="15"/>
      <c r="AJ1509" s="15"/>
      <c r="AK1509" s="15"/>
      <c r="AL1509" s="15"/>
      <c r="AM1509" s="15"/>
      <c r="AN1509" s="15"/>
      <c r="AO1509" s="15"/>
      <c r="AP1509" s="15"/>
      <c r="AQ1509" s="15"/>
      <c r="AR1509" s="15"/>
      <c r="AS1509" s="15"/>
      <c r="AT1509" s="15"/>
      <c r="AU1509" s="15"/>
    </row>
    <row r="1510" ht="24.0" customHeight="1">
      <c r="A1510" s="45">
        <v>2934.0</v>
      </c>
      <c r="B1510" s="57"/>
      <c r="C1510" s="57"/>
      <c r="D1510" s="88" t="str">
        <f t="array" ref="D1510">IFERROR(
  LOOKUP(2, 1/((TRIM(IMS!$E$8:$E$2574)=TRIM(IMS!$E1510))*(IMS!$C$8:$C$2574&lt;IMS!$C1510)),
         IMS!$C$8:$C$2574),
"")</f>
        <v/>
      </c>
      <c r="E1510" s="57"/>
      <c r="F1510" s="57"/>
      <c r="G1510" s="77" t="str">
        <f t="shared" si="901"/>
        <v/>
      </c>
      <c r="H1510" s="78" t="str">
        <f t="shared" si="902"/>
        <v/>
      </c>
      <c r="I1510" s="79"/>
      <c r="J1510" s="80" t="str">
        <f t="shared" si="903"/>
        <v>#NAME?</v>
      </c>
      <c r="K1510" s="58"/>
      <c r="L1510" s="58"/>
      <c r="M1510" s="57"/>
      <c r="N1510" s="57"/>
      <c r="O1510" s="58"/>
      <c r="P1510" s="82"/>
      <c r="Q1510" s="81"/>
      <c r="R1510" s="81"/>
      <c r="S1510" s="57"/>
      <c r="T1510" s="82"/>
      <c r="U1510" s="82"/>
      <c r="V1510" s="57"/>
      <c r="W1510" s="57"/>
      <c r="X1510" s="57" t="str">
        <f t="shared" si="917"/>
        <v/>
      </c>
      <c r="Y1510" s="58" t="str">
        <f t="shared" ref="Y1510:AC1510" si="1350">TRIM(SUBSTITUTE(SUBSTITUTE(OFFSET($Q1510,0,COLUMN()-COLUMN($AL$1)),CHAR(160)," "),_xludf.UNICHAR(8239)," "))</f>
        <v>#NAME?</v>
      </c>
      <c r="Z1510" s="58" t="str">
        <f t="shared" si="1350"/>
        <v>#NAME?</v>
      </c>
      <c r="AA1510" s="58" t="str">
        <f t="shared" si="1350"/>
        <v>#NAME?</v>
      </c>
      <c r="AB1510" s="58" t="str">
        <f t="shared" si="1350"/>
        <v>#NAME?</v>
      </c>
      <c r="AC1510" s="58" t="str">
        <f t="shared" si="1350"/>
        <v>#NAME?</v>
      </c>
      <c r="AD1510" s="57">
        <f t="shared" si="906"/>
        <v>0</v>
      </c>
      <c r="AE1510" s="57" t="str">
        <f t="shared" si="907"/>
        <v/>
      </c>
      <c r="AF1510" s="57">
        <f t="shared" si="908"/>
        <v>0</v>
      </c>
      <c r="AG1510" s="59">
        <f t="shared" si="909"/>
        <v>0</v>
      </c>
      <c r="AH1510" s="15"/>
      <c r="AI1510" s="15"/>
      <c r="AJ1510" s="15"/>
      <c r="AK1510" s="15"/>
      <c r="AL1510" s="15"/>
      <c r="AM1510" s="15"/>
      <c r="AN1510" s="15"/>
      <c r="AO1510" s="15"/>
      <c r="AP1510" s="15"/>
      <c r="AQ1510" s="15"/>
      <c r="AR1510" s="15"/>
      <c r="AS1510" s="15"/>
      <c r="AT1510" s="15"/>
      <c r="AU1510" s="15"/>
    </row>
    <row r="1511" ht="24.0" customHeight="1">
      <c r="A1511" s="45">
        <v>2935.0</v>
      </c>
      <c r="B1511" s="57"/>
      <c r="C1511" s="57"/>
      <c r="D1511" s="88" t="str">
        <f t="array" ref="D1511">IFERROR(
  LOOKUP(2, 1/((TRIM(IMS!$E$8:$E$2574)=TRIM(IMS!$E1511))*(IMS!$C$8:$C$2574&lt;IMS!$C1511)),
         IMS!$C$8:$C$2574),
"")</f>
        <v/>
      </c>
      <c r="E1511" s="57"/>
      <c r="F1511" s="57"/>
      <c r="G1511" s="77" t="str">
        <f t="shared" si="901"/>
        <v/>
      </c>
      <c r="H1511" s="78" t="str">
        <f t="shared" si="902"/>
        <v/>
      </c>
      <c r="I1511" s="79"/>
      <c r="J1511" s="80" t="str">
        <f t="shared" si="903"/>
        <v>#NAME?</v>
      </c>
      <c r="K1511" s="58"/>
      <c r="L1511" s="58"/>
      <c r="M1511" s="57"/>
      <c r="N1511" s="57"/>
      <c r="O1511" s="58"/>
      <c r="P1511" s="82"/>
      <c r="Q1511" s="81"/>
      <c r="R1511" s="81"/>
      <c r="S1511" s="57"/>
      <c r="T1511" s="82"/>
      <c r="U1511" s="82"/>
      <c r="V1511" s="57"/>
      <c r="W1511" s="57"/>
      <c r="X1511" s="57" t="str">
        <f t="shared" si="917"/>
        <v/>
      </c>
      <c r="Y1511" s="58" t="str">
        <f t="shared" ref="Y1511:AC1511" si="1351">TRIM(SUBSTITUTE(SUBSTITUTE(OFFSET($Q1511,0,COLUMN()-COLUMN($AL$1)),CHAR(160)," "),_xludf.UNICHAR(8239)," "))</f>
        <v>#NAME?</v>
      </c>
      <c r="Z1511" s="58" t="str">
        <f t="shared" si="1351"/>
        <v>#NAME?</v>
      </c>
      <c r="AA1511" s="58" t="str">
        <f t="shared" si="1351"/>
        <v>#NAME?</v>
      </c>
      <c r="AB1511" s="58" t="str">
        <f t="shared" si="1351"/>
        <v>#NAME?</v>
      </c>
      <c r="AC1511" s="58" t="str">
        <f t="shared" si="1351"/>
        <v>#NAME?</v>
      </c>
      <c r="AD1511" s="57">
        <f t="shared" si="906"/>
        <v>0</v>
      </c>
      <c r="AE1511" s="57" t="str">
        <f t="shared" si="907"/>
        <v/>
      </c>
      <c r="AF1511" s="57">
        <f t="shared" si="908"/>
        <v>0</v>
      </c>
      <c r="AG1511" s="59">
        <f t="shared" si="909"/>
        <v>0</v>
      </c>
      <c r="AH1511" s="15"/>
      <c r="AI1511" s="15"/>
      <c r="AJ1511" s="15"/>
      <c r="AK1511" s="15"/>
      <c r="AL1511" s="15"/>
      <c r="AM1511" s="15"/>
      <c r="AN1511" s="15"/>
      <c r="AO1511" s="15"/>
      <c r="AP1511" s="15"/>
      <c r="AQ1511" s="15"/>
      <c r="AR1511" s="15"/>
      <c r="AS1511" s="15"/>
      <c r="AT1511" s="15"/>
      <c r="AU1511" s="15"/>
    </row>
    <row r="1512" ht="24.0" customHeight="1">
      <c r="A1512" s="45">
        <v>2936.0</v>
      </c>
      <c r="B1512" s="57"/>
      <c r="C1512" s="57"/>
      <c r="D1512" s="88" t="str">
        <f t="array" ref="D1512">IFERROR(
  LOOKUP(2, 1/((TRIM(IMS!$E$8:$E$2574)=TRIM(IMS!$E1512))*(IMS!$C$8:$C$2574&lt;IMS!$C1512)),
         IMS!$C$8:$C$2574),
"")</f>
        <v/>
      </c>
      <c r="E1512" s="57"/>
      <c r="F1512" s="57"/>
      <c r="G1512" s="77" t="str">
        <f t="shared" si="901"/>
        <v/>
      </c>
      <c r="H1512" s="78" t="str">
        <f t="shared" si="902"/>
        <v/>
      </c>
      <c r="I1512" s="79"/>
      <c r="J1512" s="80" t="str">
        <f t="shared" si="903"/>
        <v>#NAME?</v>
      </c>
      <c r="K1512" s="58"/>
      <c r="L1512" s="58"/>
      <c r="M1512" s="57"/>
      <c r="N1512" s="57"/>
      <c r="O1512" s="58"/>
      <c r="P1512" s="82"/>
      <c r="Q1512" s="81"/>
      <c r="R1512" s="81"/>
      <c r="S1512" s="57"/>
      <c r="T1512" s="82"/>
      <c r="U1512" s="82"/>
      <c r="V1512" s="57"/>
      <c r="W1512" s="57"/>
      <c r="X1512" s="57" t="str">
        <f t="shared" si="917"/>
        <v/>
      </c>
      <c r="Y1512" s="58" t="str">
        <f t="shared" ref="Y1512:AC1512" si="1352">TRIM(SUBSTITUTE(SUBSTITUTE(OFFSET($Q1512,0,COLUMN()-COLUMN($AL$1)),CHAR(160)," "),_xludf.UNICHAR(8239)," "))</f>
        <v>#NAME?</v>
      </c>
      <c r="Z1512" s="58" t="str">
        <f t="shared" si="1352"/>
        <v>#NAME?</v>
      </c>
      <c r="AA1512" s="58" t="str">
        <f t="shared" si="1352"/>
        <v>#NAME?</v>
      </c>
      <c r="AB1512" s="58" t="str">
        <f t="shared" si="1352"/>
        <v>#NAME?</v>
      </c>
      <c r="AC1512" s="58" t="str">
        <f t="shared" si="1352"/>
        <v>#NAME?</v>
      </c>
      <c r="AD1512" s="57">
        <f t="shared" si="906"/>
        <v>0</v>
      </c>
      <c r="AE1512" s="57" t="str">
        <f t="shared" si="907"/>
        <v/>
      </c>
      <c r="AF1512" s="57">
        <f t="shared" si="908"/>
        <v>0</v>
      </c>
      <c r="AG1512" s="59">
        <f t="shared" si="909"/>
        <v>0</v>
      </c>
      <c r="AH1512" s="15"/>
      <c r="AI1512" s="15"/>
      <c r="AJ1512" s="15"/>
      <c r="AK1512" s="15"/>
      <c r="AL1512" s="15"/>
      <c r="AM1512" s="15"/>
      <c r="AN1512" s="15"/>
      <c r="AO1512" s="15"/>
      <c r="AP1512" s="15"/>
      <c r="AQ1512" s="15"/>
      <c r="AR1512" s="15"/>
      <c r="AS1512" s="15"/>
      <c r="AT1512" s="15"/>
      <c r="AU1512" s="15"/>
    </row>
    <row r="1513" ht="24.0" customHeight="1">
      <c r="A1513" s="45">
        <v>2937.0</v>
      </c>
      <c r="B1513" s="57"/>
      <c r="C1513" s="57"/>
      <c r="D1513" s="88" t="str">
        <f t="array" ref="D1513">IFERROR(
  LOOKUP(2, 1/((TRIM(IMS!$E$8:$E$2574)=TRIM(IMS!$E1513))*(IMS!$C$8:$C$2574&lt;IMS!$C1513)),
         IMS!$C$8:$C$2574),
"")</f>
        <v/>
      </c>
      <c r="E1513" s="57"/>
      <c r="F1513" s="57"/>
      <c r="G1513" s="77" t="str">
        <f t="shared" si="901"/>
        <v/>
      </c>
      <c r="H1513" s="78" t="str">
        <f t="shared" si="902"/>
        <v/>
      </c>
      <c r="I1513" s="79"/>
      <c r="J1513" s="80" t="str">
        <f t="shared" si="903"/>
        <v>#NAME?</v>
      </c>
      <c r="K1513" s="58"/>
      <c r="L1513" s="58"/>
      <c r="M1513" s="57"/>
      <c r="N1513" s="57"/>
      <c r="O1513" s="58"/>
      <c r="P1513" s="82"/>
      <c r="Q1513" s="81"/>
      <c r="R1513" s="81"/>
      <c r="S1513" s="57"/>
      <c r="T1513" s="82"/>
      <c r="U1513" s="82"/>
      <c r="V1513" s="57"/>
      <c r="W1513" s="57"/>
      <c r="X1513" s="57" t="str">
        <f t="shared" si="917"/>
        <v/>
      </c>
      <c r="Y1513" s="58" t="str">
        <f t="shared" ref="Y1513:AC1513" si="1353">TRIM(SUBSTITUTE(SUBSTITUTE(OFFSET($Q1513,0,COLUMN()-COLUMN($AL$1)),CHAR(160)," "),_xludf.UNICHAR(8239)," "))</f>
        <v>#NAME?</v>
      </c>
      <c r="Z1513" s="58" t="str">
        <f t="shared" si="1353"/>
        <v>#NAME?</v>
      </c>
      <c r="AA1513" s="58" t="str">
        <f t="shared" si="1353"/>
        <v>#NAME?</v>
      </c>
      <c r="AB1513" s="58" t="str">
        <f t="shared" si="1353"/>
        <v>#NAME?</v>
      </c>
      <c r="AC1513" s="58" t="str">
        <f t="shared" si="1353"/>
        <v>#NAME?</v>
      </c>
      <c r="AD1513" s="57">
        <f t="shared" si="906"/>
        <v>0</v>
      </c>
      <c r="AE1513" s="57" t="str">
        <f t="shared" si="907"/>
        <v/>
      </c>
      <c r="AF1513" s="57">
        <f t="shared" si="908"/>
        <v>0</v>
      </c>
      <c r="AG1513" s="59">
        <f t="shared" si="909"/>
        <v>0</v>
      </c>
      <c r="AH1513" s="15"/>
      <c r="AI1513" s="15"/>
      <c r="AJ1513" s="15"/>
      <c r="AK1513" s="15"/>
      <c r="AL1513" s="15"/>
      <c r="AM1513" s="15"/>
      <c r="AN1513" s="15"/>
      <c r="AO1513" s="15"/>
      <c r="AP1513" s="15"/>
      <c r="AQ1513" s="15"/>
      <c r="AR1513" s="15"/>
      <c r="AS1513" s="15"/>
      <c r="AT1513" s="15"/>
      <c r="AU1513" s="15"/>
    </row>
    <row r="1514" ht="24.0" customHeight="1">
      <c r="A1514" s="45">
        <v>2938.0</v>
      </c>
      <c r="B1514" s="57"/>
      <c r="C1514" s="57"/>
      <c r="D1514" s="88" t="str">
        <f t="array" ref="D1514">IFERROR(
  LOOKUP(2, 1/((TRIM(IMS!$E$8:$E$2574)=TRIM(IMS!$E1514))*(IMS!$C$8:$C$2574&lt;IMS!$C1514)),
         IMS!$C$8:$C$2574),
"")</f>
        <v/>
      </c>
      <c r="E1514" s="57"/>
      <c r="F1514" s="57"/>
      <c r="G1514" s="77" t="str">
        <f t="shared" si="901"/>
        <v/>
      </c>
      <c r="H1514" s="78" t="str">
        <f t="shared" si="902"/>
        <v/>
      </c>
      <c r="I1514" s="79"/>
      <c r="J1514" s="80" t="str">
        <f t="shared" si="903"/>
        <v>#NAME?</v>
      </c>
      <c r="K1514" s="58"/>
      <c r="L1514" s="58"/>
      <c r="M1514" s="57"/>
      <c r="N1514" s="57"/>
      <c r="O1514" s="58"/>
      <c r="P1514" s="82"/>
      <c r="Q1514" s="81"/>
      <c r="R1514" s="81"/>
      <c r="S1514" s="57"/>
      <c r="T1514" s="82"/>
      <c r="U1514" s="82"/>
      <c r="V1514" s="57"/>
      <c r="W1514" s="57"/>
      <c r="X1514" s="57" t="str">
        <f t="shared" si="917"/>
        <v/>
      </c>
      <c r="Y1514" s="58" t="str">
        <f t="shared" ref="Y1514:AC1514" si="1354">TRIM(SUBSTITUTE(SUBSTITUTE(OFFSET($Q1514,0,COLUMN()-COLUMN($AL$1)),CHAR(160)," "),_xludf.UNICHAR(8239)," "))</f>
        <v>#NAME?</v>
      </c>
      <c r="Z1514" s="58" t="str">
        <f t="shared" si="1354"/>
        <v>#NAME?</v>
      </c>
      <c r="AA1514" s="58" t="str">
        <f t="shared" si="1354"/>
        <v>#NAME?</v>
      </c>
      <c r="AB1514" s="58" t="str">
        <f t="shared" si="1354"/>
        <v>#NAME?</v>
      </c>
      <c r="AC1514" s="58" t="str">
        <f t="shared" si="1354"/>
        <v>#NAME?</v>
      </c>
      <c r="AD1514" s="57">
        <f t="shared" si="906"/>
        <v>0</v>
      </c>
      <c r="AE1514" s="57" t="str">
        <f t="shared" si="907"/>
        <v/>
      </c>
      <c r="AF1514" s="57">
        <f t="shared" si="908"/>
        <v>0</v>
      </c>
      <c r="AG1514" s="59">
        <f t="shared" si="909"/>
        <v>0</v>
      </c>
      <c r="AH1514" s="15"/>
      <c r="AI1514" s="15"/>
      <c r="AJ1514" s="15"/>
      <c r="AK1514" s="15"/>
      <c r="AL1514" s="15"/>
      <c r="AM1514" s="15"/>
      <c r="AN1514" s="15"/>
      <c r="AO1514" s="15"/>
      <c r="AP1514" s="15"/>
      <c r="AQ1514" s="15"/>
      <c r="AR1514" s="15"/>
      <c r="AS1514" s="15"/>
      <c r="AT1514" s="15"/>
      <c r="AU1514" s="15"/>
    </row>
    <row r="1515" ht="24.0" customHeight="1">
      <c r="A1515" s="45">
        <v>2939.0</v>
      </c>
      <c r="B1515" s="57"/>
      <c r="C1515" s="57"/>
      <c r="D1515" s="88" t="str">
        <f t="array" ref="D1515">IFERROR(
  LOOKUP(2, 1/((TRIM(IMS!$E$8:$E$2574)=TRIM(IMS!$E1515))*(IMS!$C$8:$C$2574&lt;IMS!$C1515)),
         IMS!$C$8:$C$2574),
"")</f>
        <v/>
      </c>
      <c r="E1515" s="57"/>
      <c r="F1515" s="57"/>
      <c r="G1515" s="77" t="str">
        <f t="shared" si="901"/>
        <v/>
      </c>
      <c r="H1515" s="78" t="str">
        <f t="shared" si="902"/>
        <v/>
      </c>
      <c r="I1515" s="79"/>
      <c r="J1515" s="80" t="str">
        <f t="shared" si="903"/>
        <v>#NAME?</v>
      </c>
      <c r="K1515" s="58"/>
      <c r="L1515" s="58"/>
      <c r="M1515" s="57"/>
      <c r="N1515" s="57"/>
      <c r="O1515" s="58"/>
      <c r="P1515" s="82"/>
      <c r="Q1515" s="81"/>
      <c r="R1515" s="81"/>
      <c r="S1515" s="57"/>
      <c r="T1515" s="82"/>
      <c r="U1515" s="82"/>
      <c r="V1515" s="57"/>
      <c r="W1515" s="57"/>
      <c r="X1515" s="57" t="str">
        <f t="shared" si="917"/>
        <v/>
      </c>
      <c r="Y1515" s="58" t="str">
        <f t="shared" ref="Y1515:AC1515" si="1355">TRIM(SUBSTITUTE(SUBSTITUTE(OFFSET($Q1515,0,COLUMN()-COLUMN($AL$1)),CHAR(160)," "),_xludf.UNICHAR(8239)," "))</f>
        <v>#NAME?</v>
      </c>
      <c r="Z1515" s="58" t="str">
        <f t="shared" si="1355"/>
        <v>#NAME?</v>
      </c>
      <c r="AA1515" s="58" t="str">
        <f t="shared" si="1355"/>
        <v>#NAME?</v>
      </c>
      <c r="AB1515" s="58" t="str">
        <f t="shared" si="1355"/>
        <v>#NAME?</v>
      </c>
      <c r="AC1515" s="58" t="str">
        <f t="shared" si="1355"/>
        <v>#NAME?</v>
      </c>
      <c r="AD1515" s="57">
        <f t="shared" si="906"/>
        <v>0</v>
      </c>
      <c r="AE1515" s="57" t="str">
        <f t="shared" si="907"/>
        <v/>
      </c>
      <c r="AF1515" s="57">
        <f t="shared" si="908"/>
        <v>0</v>
      </c>
      <c r="AG1515" s="59">
        <f t="shared" si="909"/>
        <v>0</v>
      </c>
      <c r="AH1515" s="15"/>
      <c r="AI1515" s="15"/>
      <c r="AJ1515" s="15"/>
      <c r="AK1515" s="15"/>
      <c r="AL1515" s="15"/>
      <c r="AM1515" s="15"/>
      <c r="AN1515" s="15"/>
      <c r="AO1515" s="15"/>
      <c r="AP1515" s="15"/>
      <c r="AQ1515" s="15"/>
      <c r="AR1515" s="15"/>
      <c r="AS1515" s="15"/>
      <c r="AT1515" s="15"/>
      <c r="AU1515" s="15"/>
    </row>
    <row r="1516" ht="24.0" customHeight="1">
      <c r="A1516" s="45">
        <v>2940.0</v>
      </c>
      <c r="B1516" s="57"/>
      <c r="C1516" s="57"/>
      <c r="D1516" s="88" t="str">
        <f t="array" ref="D1516">IFERROR(
  LOOKUP(2, 1/((TRIM(IMS!$E$8:$E$2574)=TRIM(IMS!$E1516))*(IMS!$C$8:$C$2574&lt;IMS!$C1516)),
         IMS!$C$8:$C$2574),
"")</f>
        <v/>
      </c>
      <c r="E1516" s="57"/>
      <c r="F1516" s="57"/>
      <c r="G1516" s="77" t="str">
        <f t="shared" si="901"/>
        <v/>
      </c>
      <c r="H1516" s="78" t="str">
        <f t="shared" si="902"/>
        <v/>
      </c>
      <c r="I1516" s="79"/>
      <c r="J1516" s="80" t="str">
        <f t="shared" si="903"/>
        <v>#NAME?</v>
      </c>
      <c r="K1516" s="58"/>
      <c r="L1516" s="58"/>
      <c r="M1516" s="57"/>
      <c r="N1516" s="57"/>
      <c r="O1516" s="58"/>
      <c r="P1516" s="82"/>
      <c r="Q1516" s="81"/>
      <c r="R1516" s="81"/>
      <c r="S1516" s="57"/>
      <c r="T1516" s="82"/>
      <c r="U1516" s="82"/>
      <c r="V1516" s="57"/>
      <c r="W1516" s="57"/>
      <c r="X1516" s="57" t="str">
        <f t="shared" si="917"/>
        <v/>
      </c>
      <c r="Y1516" s="58" t="str">
        <f t="shared" ref="Y1516:AC1516" si="1356">TRIM(SUBSTITUTE(SUBSTITUTE(OFFSET($Q1516,0,COLUMN()-COLUMN($AL$1)),CHAR(160)," "),_xludf.UNICHAR(8239)," "))</f>
        <v>#NAME?</v>
      </c>
      <c r="Z1516" s="58" t="str">
        <f t="shared" si="1356"/>
        <v>#NAME?</v>
      </c>
      <c r="AA1516" s="58" t="str">
        <f t="shared" si="1356"/>
        <v>#NAME?</v>
      </c>
      <c r="AB1516" s="58" t="str">
        <f t="shared" si="1356"/>
        <v>#NAME?</v>
      </c>
      <c r="AC1516" s="58" t="str">
        <f t="shared" si="1356"/>
        <v>#NAME?</v>
      </c>
      <c r="AD1516" s="57">
        <f t="shared" si="906"/>
        <v>0</v>
      </c>
      <c r="AE1516" s="57" t="str">
        <f t="shared" si="907"/>
        <v/>
      </c>
      <c r="AF1516" s="57">
        <f t="shared" si="908"/>
        <v>0</v>
      </c>
      <c r="AG1516" s="59">
        <f t="shared" si="909"/>
        <v>0</v>
      </c>
      <c r="AH1516" s="15"/>
      <c r="AI1516" s="15"/>
      <c r="AJ1516" s="15"/>
      <c r="AK1516" s="15"/>
      <c r="AL1516" s="15"/>
      <c r="AM1516" s="15"/>
      <c r="AN1516" s="15"/>
      <c r="AO1516" s="15"/>
      <c r="AP1516" s="15"/>
      <c r="AQ1516" s="15"/>
      <c r="AR1516" s="15"/>
      <c r="AS1516" s="15"/>
      <c r="AT1516" s="15"/>
      <c r="AU1516" s="15"/>
    </row>
    <row r="1517" ht="24.0" customHeight="1">
      <c r="A1517" s="45">
        <v>2941.0</v>
      </c>
      <c r="B1517" s="57"/>
      <c r="C1517" s="57"/>
      <c r="D1517" s="88" t="str">
        <f t="array" ref="D1517">IFERROR(
  LOOKUP(2, 1/((TRIM(IMS!$E$8:$E$2574)=TRIM(IMS!$E1517))*(IMS!$C$8:$C$2574&lt;IMS!$C1517)),
         IMS!$C$8:$C$2574),
"")</f>
        <v/>
      </c>
      <c r="E1517" s="57"/>
      <c r="F1517" s="57"/>
      <c r="G1517" s="77" t="str">
        <f t="shared" si="901"/>
        <v/>
      </c>
      <c r="H1517" s="78" t="str">
        <f t="shared" si="902"/>
        <v/>
      </c>
      <c r="I1517" s="79"/>
      <c r="J1517" s="80" t="str">
        <f t="shared" si="903"/>
        <v>#NAME?</v>
      </c>
      <c r="K1517" s="58"/>
      <c r="L1517" s="58"/>
      <c r="M1517" s="57"/>
      <c r="N1517" s="57"/>
      <c r="O1517" s="58"/>
      <c r="P1517" s="82"/>
      <c r="Q1517" s="81"/>
      <c r="R1517" s="81"/>
      <c r="S1517" s="57"/>
      <c r="T1517" s="82"/>
      <c r="U1517" s="82"/>
      <c r="V1517" s="57"/>
      <c r="W1517" s="57"/>
      <c r="X1517" s="57" t="str">
        <f t="shared" si="917"/>
        <v/>
      </c>
      <c r="Y1517" s="58" t="str">
        <f t="shared" ref="Y1517:AC1517" si="1357">TRIM(SUBSTITUTE(SUBSTITUTE(OFFSET($Q1517,0,COLUMN()-COLUMN($AL$1)),CHAR(160)," "),_xludf.UNICHAR(8239)," "))</f>
        <v>#NAME?</v>
      </c>
      <c r="Z1517" s="58" t="str">
        <f t="shared" si="1357"/>
        <v>#NAME?</v>
      </c>
      <c r="AA1517" s="58" t="str">
        <f t="shared" si="1357"/>
        <v>#NAME?</v>
      </c>
      <c r="AB1517" s="58" t="str">
        <f t="shared" si="1357"/>
        <v>#NAME?</v>
      </c>
      <c r="AC1517" s="58" t="str">
        <f t="shared" si="1357"/>
        <v>#NAME?</v>
      </c>
      <c r="AD1517" s="57">
        <f t="shared" si="906"/>
        <v>0</v>
      </c>
      <c r="AE1517" s="57" t="str">
        <f t="shared" si="907"/>
        <v/>
      </c>
      <c r="AF1517" s="57">
        <f t="shared" si="908"/>
        <v>0</v>
      </c>
      <c r="AG1517" s="59">
        <f t="shared" si="909"/>
        <v>0</v>
      </c>
      <c r="AH1517" s="15"/>
      <c r="AI1517" s="15"/>
      <c r="AJ1517" s="15"/>
      <c r="AK1517" s="15"/>
      <c r="AL1517" s="15"/>
      <c r="AM1517" s="15"/>
      <c r="AN1517" s="15"/>
      <c r="AO1517" s="15"/>
      <c r="AP1517" s="15"/>
      <c r="AQ1517" s="15"/>
      <c r="AR1517" s="15"/>
      <c r="AS1517" s="15"/>
      <c r="AT1517" s="15"/>
      <c r="AU1517" s="15"/>
    </row>
    <row r="1518" ht="24.0" customHeight="1">
      <c r="A1518" s="45">
        <v>2942.0</v>
      </c>
      <c r="B1518" s="57"/>
      <c r="C1518" s="57"/>
      <c r="D1518" s="88" t="str">
        <f t="array" ref="D1518">IFERROR(
  LOOKUP(2, 1/((TRIM(IMS!$E$8:$E$2574)=TRIM(IMS!$E1518))*(IMS!$C$8:$C$2574&lt;IMS!$C1518)),
         IMS!$C$8:$C$2574),
"")</f>
        <v/>
      </c>
      <c r="E1518" s="57"/>
      <c r="F1518" s="57"/>
      <c r="G1518" s="77" t="str">
        <f t="shared" si="901"/>
        <v/>
      </c>
      <c r="H1518" s="78" t="str">
        <f t="shared" si="902"/>
        <v/>
      </c>
      <c r="I1518" s="79"/>
      <c r="J1518" s="80" t="str">
        <f t="shared" si="903"/>
        <v>#NAME?</v>
      </c>
      <c r="K1518" s="58"/>
      <c r="L1518" s="58"/>
      <c r="M1518" s="57"/>
      <c r="N1518" s="57"/>
      <c r="O1518" s="58"/>
      <c r="P1518" s="82"/>
      <c r="Q1518" s="81"/>
      <c r="R1518" s="81"/>
      <c r="S1518" s="57"/>
      <c r="T1518" s="82"/>
      <c r="U1518" s="82"/>
      <c r="V1518" s="57"/>
      <c r="W1518" s="57"/>
      <c r="X1518" s="57" t="str">
        <f t="shared" si="917"/>
        <v/>
      </c>
      <c r="Y1518" s="58" t="str">
        <f t="shared" ref="Y1518:AC1518" si="1358">TRIM(SUBSTITUTE(SUBSTITUTE(OFFSET($Q1518,0,COLUMN()-COLUMN($AL$1)),CHAR(160)," "),_xludf.UNICHAR(8239)," "))</f>
        <v>#NAME?</v>
      </c>
      <c r="Z1518" s="58" t="str">
        <f t="shared" si="1358"/>
        <v>#NAME?</v>
      </c>
      <c r="AA1518" s="58" t="str">
        <f t="shared" si="1358"/>
        <v>#NAME?</v>
      </c>
      <c r="AB1518" s="58" t="str">
        <f t="shared" si="1358"/>
        <v>#NAME?</v>
      </c>
      <c r="AC1518" s="58" t="str">
        <f t="shared" si="1358"/>
        <v>#NAME?</v>
      </c>
      <c r="AD1518" s="57">
        <f t="shared" si="906"/>
        <v>0</v>
      </c>
      <c r="AE1518" s="57" t="str">
        <f t="shared" si="907"/>
        <v/>
      </c>
      <c r="AF1518" s="57">
        <f t="shared" si="908"/>
        <v>0</v>
      </c>
      <c r="AG1518" s="59">
        <f t="shared" si="909"/>
        <v>0</v>
      </c>
      <c r="AH1518" s="15"/>
      <c r="AI1518" s="15"/>
      <c r="AJ1518" s="15"/>
      <c r="AK1518" s="15"/>
      <c r="AL1518" s="15"/>
      <c r="AM1518" s="15"/>
      <c r="AN1518" s="15"/>
      <c r="AO1518" s="15"/>
      <c r="AP1518" s="15"/>
      <c r="AQ1518" s="15"/>
      <c r="AR1518" s="15"/>
      <c r="AS1518" s="15"/>
      <c r="AT1518" s="15"/>
      <c r="AU1518" s="15"/>
    </row>
    <row r="1519" ht="24.0" customHeight="1">
      <c r="A1519" s="45">
        <v>2943.0</v>
      </c>
      <c r="B1519" s="57"/>
      <c r="C1519" s="57"/>
      <c r="D1519" s="88" t="str">
        <f t="array" ref="D1519">IFERROR(
  LOOKUP(2, 1/((TRIM(IMS!$E$8:$E$2574)=TRIM(IMS!$E1519))*(IMS!$C$8:$C$2574&lt;IMS!$C1519)),
         IMS!$C$8:$C$2574),
"")</f>
        <v/>
      </c>
      <c r="E1519" s="57"/>
      <c r="F1519" s="57"/>
      <c r="G1519" s="77" t="str">
        <f t="shared" si="901"/>
        <v/>
      </c>
      <c r="H1519" s="78" t="str">
        <f t="shared" si="902"/>
        <v/>
      </c>
      <c r="I1519" s="79"/>
      <c r="J1519" s="80" t="str">
        <f t="shared" si="903"/>
        <v>#NAME?</v>
      </c>
      <c r="K1519" s="58"/>
      <c r="L1519" s="58"/>
      <c r="M1519" s="57"/>
      <c r="N1519" s="57"/>
      <c r="O1519" s="58"/>
      <c r="P1519" s="82"/>
      <c r="Q1519" s="81"/>
      <c r="R1519" s="81"/>
      <c r="S1519" s="57"/>
      <c r="T1519" s="82"/>
      <c r="U1519" s="82"/>
      <c r="V1519" s="57"/>
      <c r="W1519" s="57"/>
      <c r="X1519" s="57" t="str">
        <f t="shared" si="917"/>
        <v/>
      </c>
      <c r="Y1519" s="58" t="str">
        <f t="shared" ref="Y1519:AC1519" si="1359">TRIM(SUBSTITUTE(SUBSTITUTE(OFFSET($Q1519,0,COLUMN()-COLUMN($AL$1)),CHAR(160)," "),_xludf.UNICHAR(8239)," "))</f>
        <v>#NAME?</v>
      </c>
      <c r="Z1519" s="58" t="str">
        <f t="shared" si="1359"/>
        <v>#NAME?</v>
      </c>
      <c r="AA1519" s="58" t="str">
        <f t="shared" si="1359"/>
        <v>#NAME?</v>
      </c>
      <c r="AB1519" s="58" t="str">
        <f t="shared" si="1359"/>
        <v>#NAME?</v>
      </c>
      <c r="AC1519" s="58" t="str">
        <f t="shared" si="1359"/>
        <v>#NAME?</v>
      </c>
      <c r="AD1519" s="57">
        <f t="shared" si="906"/>
        <v>0</v>
      </c>
      <c r="AE1519" s="57" t="str">
        <f t="shared" si="907"/>
        <v/>
      </c>
      <c r="AF1519" s="57">
        <f t="shared" si="908"/>
        <v>0</v>
      </c>
      <c r="AG1519" s="59">
        <f t="shared" si="909"/>
        <v>0</v>
      </c>
      <c r="AH1519" s="15"/>
      <c r="AI1519" s="15"/>
      <c r="AJ1519" s="15"/>
      <c r="AK1519" s="15"/>
      <c r="AL1519" s="15"/>
      <c r="AM1519" s="15"/>
      <c r="AN1519" s="15"/>
      <c r="AO1519" s="15"/>
      <c r="AP1519" s="15"/>
      <c r="AQ1519" s="15"/>
      <c r="AR1519" s="15"/>
      <c r="AS1519" s="15"/>
      <c r="AT1519" s="15"/>
      <c r="AU1519" s="15"/>
    </row>
    <row r="1520" ht="24.0" customHeight="1">
      <c r="A1520" s="45">
        <v>2944.0</v>
      </c>
      <c r="B1520" s="57"/>
      <c r="C1520" s="57"/>
      <c r="D1520" s="88" t="str">
        <f t="array" ref="D1520">IFERROR(
  LOOKUP(2, 1/((TRIM(IMS!$E$8:$E$2574)=TRIM(IMS!$E1520))*(IMS!$C$8:$C$2574&lt;IMS!$C1520)),
         IMS!$C$8:$C$2574),
"")</f>
        <v/>
      </c>
      <c r="E1520" s="57"/>
      <c r="F1520" s="57"/>
      <c r="G1520" s="77" t="str">
        <f t="shared" si="901"/>
        <v/>
      </c>
      <c r="H1520" s="78" t="str">
        <f t="shared" si="902"/>
        <v/>
      </c>
      <c r="I1520" s="79"/>
      <c r="J1520" s="80" t="str">
        <f t="shared" si="903"/>
        <v>#NAME?</v>
      </c>
      <c r="K1520" s="58"/>
      <c r="L1520" s="58"/>
      <c r="M1520" s="57"/>
      <c r="N1520" s="57"/>
      <c r="O1520" s="58"/>
      <c r="P1520" s="82"/>
      <c r="Q1520" s="81"/>
      <c r="R1520" s="81"/>
      <c r="S1520" s="57"/>
      <c r="T1520" s="82"/>
      <c r="U1520" s="82"/>
      <c r="V1520" s="57"/>
      <c r="W1520" s="57"/>
      <c r="X1520" s="57" t="str">
        <f t="shared" si="917"/>
        <v/>
      </c>
      <c r="Y1520" s="58" t="str">
        <f t="shared" ref="Y1520:AC1520" si="1360">TRIM(SUBSTITUTE(SUBSTITUTE(OFFSET($Q1520,0,COLUMN()-COLUMN($AL$1)),CHAR(160)," "),_xludf.UNICHAR(8239)," "))</f>
        <v>#NAME?</v>
      </c>
      <c r="Z1520" s="58" t="str">
        <f t="shared" si="1360"/>
        <v>#NAME?</v>
      </c>
      <c r="AA1520" s="58" t="str">
        <f t="shared" si="1360"/>
        <v>#NAME?</v>
      </c>
      <c r="AB1520" s="58" t="str">
        <f t="shared" si="1360"/>
        <v>#NAME?</v>
      </c>
      <c r="AC1520" s="58" t="str">
        <f t="shared" si="1360"/>
        <v>#NAME?</v>
      </c>
      <c r="AD1520" s="57">
        <f t="shared" si="906"/>
        <v>0</v>
      </c>
      <c r="AE1520" s="57" t="str">
        <f t="shared" si="907"/>
        <v/>
      </c>
      <c r="AF1520" s="57">
        <f t="shared" si="908"/>
        <v>0</v>
      </c>
      <c r="AG1520" s="59">
        <f t="shared" si="909"/>
        <v>0</v>
      </c>
      <c r="AH1520" s="15"/>
      <c r="AI1520" s="15"/>
      <c r="AJ1520" s="15"/>
      <c r="AK1520" s="15"/>
      <c r="AL1520" s="15"/>
      <c r="AM1520" s="15"/>
      <c r="AN1520" s="15"/>
      <c r="AO1520" s="15"/>
      <c r="AP1520" s="15"/>
      <c r="AQ1520" s="15"/>
      <c r="AR1520" s="15"/>
      <c r="AS1520" s="15"/>
      <c r="AT1520" s="15"/>
      <c r="AU1520" s="15"/>
    </row>
    <row r="1521" ht="24.0" customHeight="1">
      <c r="A1521" s="45">
        <v>2945.0</v>
      </c>
      <c r="B1521" s="57"/>
      <c r="C1521" s="57"/>
      <c r="D1521" s="88" t="str">
        <f t="array" ref="D1521">IFERROR(
  LOOKUP(2, 1/((TRIM(IMS!$E$8:$E$2574)=TRIM(IMS!$E1521))*(IMS!$C$8:$C$2574&lt;IMS!$C1521)),
         IMS!$C$8:$C$2574),
"")</f>
        <v/>
      </c>
      <c r="E1521" s="57"/>
      <c r="F1521" s="57"/>
      <c r="G1521" s="77" t="str">
        <f t="shared" si="901"/>
        <v/>
      </c>
      <c r="H1521" s="78" t="str">
        <f t="shared" si="902"/>
        <v/>
      </c>
      <c r="I1521" s="79"/>
      <c r="J1521" s="80" t="str">
        <f t="shared" si="903"/>
        <v>#NAME?</v>
      </c>
      <c r="K1521" s="58"/>
      <c r="L1521" s="58"/>
      <c r="M1521" s="57"/>
      <c r="N1521" s="57"/>
      <c r="O1521" s="58"/>
      <c r="P1521" s="82"/>
      <c r="Q1521" s="81"/>
      <c r="R1521" s="81"/>
      <c r="S1521" s="57"/>
      <c r="T1521" s="82"/>
      <c r="U1521" s="82"/>
      <c r="V1521" s="57"/>
      <c r="W1521" s="57"/>
      <c r="X1521" s="57" t="str">
        <f t="shared" si="917"/>
        <v/>
      </c>
      <c r="Y1521" s="58" t="str">
        <f t="shared" ref="Y1521:AC1521" si="1361">TRIM(SUBSTITUTE(SUBSTITUTE(OFFSET($Q1521,0,COLUMN()-COLUMN($AL$1)),CHAR(160)," "),_xludf.UNICHAR(8239)," "))</f>
        <v>#NAME?</v>
      </c>
      <c r="Z1521" s="58" t="str">
        <f t="shared" si="1361"/>
        <v>#NAME?</v>
      </c>
      <c r="AA1521" s="58" t="str">
        <f t="shared" si="1361"/>
        <v>#NAME?</v>
      </c>
      <c r="AB1521" s="58" t="str">
        <f t="shared" si="1361"/>
        <v>#NAME?</v>
      </c>
      <c r="AC1521" s="58" t="str">
        <f t="shared" si="1361"/>
        <v>#NAME?</v>
      </c>
      <c r="AD1521" s="57">
        <f t="shared" si="906"/>
        <v>0</v>
      </c>
      <c r="AE1521" s="57" t="str">
        <f t="shared" si="907"/>
        <v/>
      </c>
      <c r="AF1521" s="57">
        <f t="shared" si="908"/>
        <v>0</v>
      </c>
      <c r="AG1521" s="59">
        <f t="shared" si="909"/>
        <v>0</v>
      </c>
      <c r="AH1521" s="15"/>
      <c r="AI1521" s="15"/>
      <c r="AJ1521" s="15"/>
      <c r="AK1521" s="15"/>
      <c r="AL1521" s="15"/>
      <c r="AM1521" s="15"/>
      <c r="AN1521" s="15"/>
      <c r="AO1521" s="15"/>
      <c r="AP1521" s="15"/>
      <c r="AQ1521" s="15"/>
      <c r="AR1521" s="15"/>
      <c r="AS1521" s="15"/>
      <c r="AT1521" s="15"/>
      <c r="AU1521" s="15"/>
    </row>
    <row r="1522" ht="24.0" customHeight="1">
      <c r="A1522" s="45">
        <v>2946.0</v>
      </c>
      <c r="B1522" s="57"/>
      <c r="C1522" s="57"/>
      <c r="D1522" s="88" t="str">
        <f t="array" ref="D1522">IFERROR(
  LOOKUP(2, 1/((TRIM(IMS!$E$8:$E$2574)=TRIM(IMS!$E1522))*(IMS!$C$8:$C$2574&lt;IMS!$C1522)),
         IMS!$C$8:$C$2574),
"")</f>
        <v/>
      </c>
      <c r="E1522" s="57"/>
      <c r="F1522" s="57"/>
      <c r="G1522" s="77" t="str">
        <f t="shared" si="901"/>
        <v/>
      </c>
      <c r="H1522" s="78" t="str">
        <f t="shared" si="902"/>
        <v/>
      </c>
      <c r="I1522" s="79"/>
      <c r="J1522" s="80" t="str">
        <f t="shared" si="903"/>
        <v>#NAME?</v>
      </c>
      <c r="K1522" s="58"/>
      <c r="L1522" s="58"/>
      <c r="M1522" s="57"/>
      <c r="N1522" s="57"/>
      <c r="O1522" s="58"/>
      <c r="P1522" s="82"/>
      <c r="Q1522" s="81"/>
      <c r="R1522" s="81"/>
      <c r="S1522" s="57"/>
      <c r="T1522" s="82"/>
      <c r="U1522" s="82"/>
      <c r="V1522" s="57"/>
      <c r="W1522" s="57"/>
      <c r="X1522" s="57" t="str">
        <f t="shared" si="917"/>
        <v/>
      </c>
      <c r="Y1522" s="58" t="str">
        <f t="shared" ref="Y1522:AC1522" si="1362">TRIM(SUBSTITUTE(SUBSTITUTE(OFFSET($Q1522,0,COLUMN()-COLUMN($AL$1)),CHAR(160)," "),_xludf.UNICHAR(8239)," "))</f>
        <v>#NAME?</v>
      </c>
      <c r="Z1522" s="58" t="str">
        <f t="shared" si="1362"/>
        <v>#NAME?</v>
      </c>
      <c r="AA1522" s="58" t="str">
        <f t="shared" si="1362"/>
        <v>#NAME?</v>
      </c>
      <c r="AB1522" s="58" t="str">
        <f t="shared" si="1362"/>
        <v>#NAME?</v>
      </c>
      <c r="AC1522" s="58" t="str">
        <f t="shared" si="1362"/>
        <v>#NAME?</v>
      </c>
      <c r="AD1522" s="57">
        <f t="shared" si="906"/>
        <v>0</v>
      </c>
      <c r="AE1522" s="57" t="str">
        <f t="shared" si="907"/>
        <v/>
      </c>
      <c r="AF1522" s="57">
        <f t="shared" si="908"/>
        <v>0</v>
      </c>
      <c r="AG1522" s="59">
        <f t="shared" si="909"/>
        <v>0</v>
      </c>
      <c r="AH1522" s="15"/>
      <c r="AI1522" s="15"/>
      <c r="AJ1522" s="15"/>
      <c r="AK1522" s="15"/>
      <c r="AL1522" s="15"/>
      <c r="AM1522" s="15"/>
      <c r="AN1522" s="15"/>
      <c r="AO1522" s="15"/>
      <c r="AP1522" s="15"/>
      <c r="AQ1522" s="15"/>
      <c r="AR1522" s="15"/>
      <c r="AS1522" s="15"/>
      <c r="AT1522" s="15"/>
      <c r="AU1522" s="15"/>
    </row>
    <row r="1523" ht="24.0" customHeight="1">
      <c r="A1523" s="45">
        <v>2947.0</v>
      </c>
      <c r="B1523" s="57"/>
      <c r="C1523" s="57"/>
      <c r="D1523" s="88" t="str">
        <f t="array" ref="D1523">IFERROR(
  LOOKUP(2, 1/((TRIM(IMS!$E$8:$E$2574)=TRIM(IMS!$E1523))*(IMS!$C$8:$C$2574&lt;IMS!$C1523)),
         IMS!$C$8:$C$2574),
"")</f>
        <v/>
      </c>
      <c r="E1523" s="57"/>
      <c r="F1523" s="57"/>
      <c r="G1523" s="77" t="str">
        <f t="shared" si="901"/>
        <v/>
      </c>
      <c r="H1523" s="78" t="str">
        <f t="shared" si="902"/>
        <v/>
      </c>
      <c r="I1523" s="79"/>
      <c r="J1523" s="80" t="str">
        <f t="shared" si="903"/>
        <v>#NAME?</v>
      </c>
      <c r="K1523" s="58"/>
      <c r="L1523" s="58"/>
      <c r="M1523" s="57"/>
      <c r="N1523" s="57"/>
      <c r="O1523" s="58"/>
      <c r="P1523" s="82"/>
      <c r="Q1523" s="81"/>
      <c r="R1523" s="81"/>
      <c r="S1523" s="57"/>
      <c r="T1523" s="82"/>
      <c r="U1523" s="82"/>
      <c r="V1523" s="57"/>
      <c r="W1523" s="57"/>
      <c r="X1523" s="57" t="str">
        <f t="shared" si="917"/>
        <v/>
      </c>
      <c r="Y1523" s="58" t="str">
        <f t="shared" ref="Y1523:AC1523" si="1363">TRIM(SUBSTITUTE(SUBSTITUTE(OFFSET($Q1523,0,COLUMN()-COLUMN($AL$1)),CHAR(160)," "),_xludf.UNICHAR(8239)," "))</f>
        <v>#NAME?</v>
      </c>
      <c r="Z1523" s="58" t="str">
        <f t="shared" si="1363"/>
        <v>#NAME?</v>
      </c>
      <c r="AA1523" s="58" t="str">
        <f t="shared" si="1363"/>
        <v>#NAME?</v>
      </c>
      <c r="AB1523" s="58" t="str">
        <f t="shared" si="1363"/>
        <v>#NAME?</v>
      </c>
      <c r="AC1523" s="58" t="str">
        <f t="shared" si="1363"/>
        <v>#NAME?</v>
      </c>
      <c r="AD1523" s="57">
        <f t="shared" si="906"/>
        <v>0</v>
      </c>
      <c r="AE1523" s="57" t="str">
        <f t="shared" si="907"/>
        <v/>
      </c>
      <c r="AF1523" s="57">
        <f t="shared" si="908"/>
        <v>0</v>
      </c>
      <c r="AG1523" s="59">
        <f t="shared" si="909"/>
        <v>0</v>
      </c>
      <c r="AH1523" s="15"/>
      <c r="AI1523" s="15"/>
      <c r="AJ1523" s="15"/>
      <c r="AK1523" s="15"/>
      <c r="AL1523" s="15"/>
      <c r="AM1523" s="15"/>
      <c r="AN1523" s="15"/>
      <c r="AO1523" s="15"/>
      <c r="AP1523" s="15"/>
      <c r="AQ1523" s="15"/>
      <c r="AR1523" s="15"/>
      <c r="AS1523" s="15"/>
      <c r="AT1523" s="15"/>
      <c r="AU1523" s="15"/>
    </row>
    <row r="1524" ht="24.0" customHeight="1">
      <c r="A1524" s="45">
        <v>2948.0</v>
      </c>
      <c r="B1524" s="57"/>
      <c r="C1524" s="57"/>
      <c r="D1524" s="88" t="str">
        <f t="array" ref="D1524">IFERROR(
  LOOKUP(2, 1/((TRIM(IMS!$E$8:$E$2574)=TRIM(IMS!$E1524))*(IMS!$C$8:$C$2574&lt;IMS!$C1524)),
         IMS!$C$8:$C$2574),
"")</f>
        <v/>
      </c>
      <c r="E1524" s="57"/>
      <c r="F1524" s="57"/>
      <c r="G1524" s="77" t="str">
        <f t="shared" si="901"/>
        <v/>
      </c>
      <c r="H1524" s="78" t="str">
        <f t="shared" si="902"/>
        <v/>
      </c>
      <c r="I1524" s="79"/>
      <c r="J1524" s="80" t="str">
        <f t="shared" si="903"/>
        <v>#NAME?</v>
      </c>
      <c r="K1524" s="58"/>
      <c r="L1524" s="58"/>
      <c r="M1524" s="57"/>
      <c r="N1524" s="57"/>
      <c r="O1524" s="58"/>
      <c r="P1524" s="82"/>
      <c r="Q1524" s="81"/>
      <c r="R1524" s="81"/>
      <c r="S1524" s="57"/>
      <c r="T1524" s="82"/>
      <c r="U1524" s="82"/>
      <c r="V1524" s="57"/>
      <c r="W1524" s="57"/>
      <c r="X1524" s="57" t="str">
        <f t="shared" si="917"/>
        <v/>
      </c>
      <c r="Y1524" s="58" t="str">
        <f t="shared" ref="Y1524:AC1524" si="1364">TRIM(SUBSTITUTE(SUBSTITUTE(OFFSET($Q1524,0,COLUMN()-COLUMN($AL$1)),CHAR(160)," "),_xludf.UNICHAR(8239)," "))</f>
        <v>#NAME?</v>
      </c>
      <c r="Z1524" s="58" t="str">
        <f t="shared" si="1364"/>
        <v>#NAME?</v>
      </c>
      <c r="AA1524" s="58" t="str">
        <f t="shared" si="1364"/>
        <v>#NAME?</v>
      </c>
      <c r="AB1524" s="58" t="str">
        <f t="shared" si="1364"/>
        <v>#NAME?</v>
      </c>
      <c r="AC1524" s="58" t="str">
        <f t="shared" si="1364"/>
        <v>#NAME?</v>
      </c>
      <c r="AD1524" s="57">
        <f t="shared" si="906"/>
        <v>0</v>
      </c>
      <c r="AE1524" s="57" t="str">
        <f t="shared" si="907"/>
        <v/>
      </c>
      <c r="AF1524" s="57">
        <f t="shared" si="908"/>
        <v>0</v>
      </c>
      <c r="AG1524" s="59">
        <f t="shared" si="909"/>
        <v>0</v>
      </c>
      <c r="AH1524" s="15"/>
      <c r="AI1524" s="15"/>
      <c r="AJ1524" s="15"/>
      <c r="AK1524" s="15"/>
      <c r="AL1524" s="15"/>
      <c r="AM1524" s="15"/>
      <c r="AN1524" s="15"/>
      <c r="AO1524" s="15"/>
      <c r="AP1524" s="15"/>
      <c r="AQ1524" s="15"/>
      <c r="AR1524" s="15"/>
      <c r="AS1524" s="15"/>
      <c r="AT1524" s="15"/>
      <c r="AU1524" s="15"/>
    </row>
    <row r="1525" ht="24.0" customHeight="1">
      <c r="A1525" s="45">
        <v>2949.0</v>
      </c>
      <c r="B1525" s="57"/>
      <c r="C1525" s="57"/>
      <c r="D1525" s="88" t="str">
        <f t="array" ref="D1525">IFERROR(
  LOOKUP(2, 1/((TRIM(IMS!$E$8:$E$2574)=TRIM(IMS!$E1525))*(IMS!$C$8:$C$2574&lt;IMS!$C1525)),
         IMS!$C$8:$C$2574),
"")</f>
        <v/>
      </c>
      <c r="E1525" s="57"/>
      <c r="F1525" s="57"/>
      <c r="G1525" s="77" t="str">
        <f t="shared" si="901"/>
        <v/>
      </c>
      <c r="H1525" s="78" t="str">
        <f t="shared" si="902"/>
        <v/>
      </c>
      <c r="I1525" s="79"/>
      <c r="J1525" s="80" t="str">
        <f t="shared" si="903"/>
        <v>#NAME?</v>
      </c>
      <c r="K1525" s="58"/>
      <c r="L1525" s="58"/>
      <c r="M1525" s="57"/>
      <c r="N1525" s="57"/>
      <c r="O1525" s="58"/>
      <c r="P1525" s="82"/>
      <c r="Q1525" s="81"/>
      <c r="R1525" s="81"/>
      <c r="S1525" s="57"/>
      <c r="T1525" s="82"/>
      <c r="U1525" s="82"/>
      <c r="V1525" s="57"/>
      <c r="W1525" s="57"/>
      <c r="X1525" s="57" t="str">
        <f t="shared" si="917"/>
        <v/>
      </c>
      <c r="Y1525" s="58" t="str">
        <f t="shared" ref="Y1525:AC1525" si="1365">TRIM(SUBSTITUTE(SUBSTITUTE(OFFSET($Q1525,0,COLUMN()-COLUMN($AL$1)),CHAR(160)," "),_xludf.UNICHAR(8239)," "))</f>
        <v>#NAME?</v>
      </c>
      <c r="Z1525" s="58" t="str">
        <f t="shared" si="1365"/>
        <v>#NAME?</v>
      </c>
      <c r="AA1525" s="58" t="str">
        <f t="shared" si="1365"/>
        <v>#NAME?</v>
      </c>
      <c r="AB1525" s="58" t="str">
        <f t="shared" si="1365"/>
        <v>#NAME?</v>
      </c>
      <c r="AC1525" s="58" t="str">
        <f t="shared" si="1365"/>
        <v>#NAME?</v>
      </c>
      <c r="AD1525" s="57">
        <f t="shared" si="906"/>
        <v>0</v>
      </c>
      <c r="AE1525" s="57" t="str">
        <f t="shared" si="907"/>
        <v/>
      </c>
      <c r="AF1525" s="57">
        <f t="shared" si="908"/>
        <v>0</v>
      </c>
      <c r="AG1525" s="59">
        <f t="shared" si="909"/>
        <v>0</v>
      </c>
      <c r="AH1525" s="15"/>
      <c r="AI1525" s="15"/>
      <c r="AJ1525" s="15"/>
      <c r="AK1525" s="15"/>
      <c r="AL1525" s="15"/>
      <c r="AM1525" s="15"/>
      <c r="AN1525" s="15"/>
      <c r="AO1525" s="15"/>
      <c r="AP1525" s="15"/>
      <c r="AQ1525" s="15"/>
      <c r="AR1525" s="15"/>
      <c r="AS1525" s="15"/>
      <c r="AT1525" s="15"/>
      <c r="AU1525" s="15"/>
    </row>
    <row r="1526" ht="24.0" customHeight="1">
      <c r="A1526" s="45">
        <v>2950.0</v>
      </c>
      <c r="B1526" s="57"/>
      <c r="C1526" s="57"/>
      <c r="D1526" s="88" t="str">
        <f t="array" ref="D1526">IFERROR(
  LOOKUP(2, 1/((TRIM(IMS!$E$8:$E$2574)=TRIM(IMS!$E1526))*(IMS!$C$8:$C$2574&lt;IMS!$C1526)),
         IMS!$C$8:$C$2574),
"")</f>
        <v/>
      </c>
      <c r="E1526" s="57"/>
      <c r="F1526" s="57"/>
      <c r="G1526" s="77" t="str">
        <f t="shared" si="901"/>
        <v/>
      </c>
      <c r="H1526" s="78" t="str">
        <f t="shared" si="902"/>
        <v/>
      </c>
      <c r="I1526" s="79"/>
      <c r="J1526" s="80" t="str">
        <f t="shared" si="903"/>
        <v>#NAME?</v>
      </c>
      <c r="K1526" s="58"/>
      <c r="L1526" s="58"/>
      <c r="M1526" s="57"/>
      <c r="N1526" s="57"/>
      <c r="O1526" s="58"/>
      <c r="P1526" s="82"/>
      <c r="Q1526" s="81"/>
      <c r="R1526" s="81"/>
      <c r="S1526" s="57"/>
      <c r="T1526" s="82"/>
      <c r="U1526" s="82"/>
      <c r="V1526" s="57"/>
      <c r="W1526" s="57"/>
      <c r="X1526" s="57" t="str">
        <f t="shared" si="917"/>
        <v/>
      </c>
      <c r="Y1526" s="58" t="str">
        <f t="shared" ref="Y1526:AC1526" si="1366">TRIM(SUBSTITUTE(SUBSTITUTE(OFFSET($Q1526,0,COLUMN()-COLUMN($AL$1)),CHAR(160)," "),_xludf.UNICHAR(8239)," "))</f>
        <v>#NAME?</v>
      </c>
      <c r="Z1526" s="58" t="str">
        <f t="shared" si="1366"/>
        <v>#NAME?</v>
      </c>
      <c r="AA1526" s="58" t="str">
        <f t="shared" si="1366"/>
        <v>#NAME?</v>
      </c>
      <c r="AB1526" s="58" t="str">
        <f t="shared" si="1366"/>
        <v>#NAME?</v>
      </c>
      <c r="AC1526" s="58" t="str">
        <f t="shared" si="1366"/>
        <v>#NAME?</v>
      </c>
      <c r="AD1526" s="57">
        <f t="shared" si="906"/>
        <v>0</v>
      </c>
      <c r="AE1526" s="57" t="str">
        <f t="shared" si="907"/>
        <v/>
      </c>
      <c r="AF1526" s="57">
        <f t="shared" si="908"/>
        <v>0</v>
      </c>
      <c r="AG1526" s="59">
        <f t="shared" si="909"/>
        <v>0</v>
      </c>
      <c r="AH1526" s="15"/>
      <c r="AI1526" s="15"/>
      <c r="AJ1526" s="15"/>
      <c r="AK1526" s="15"/>
      <c r="AL1526" s="15"/>
      <c r="AM1526" s="15"/>
      <c r="AN1526" s="15"/>
      <c r="AO1526" s="15"/>
      <c r="AP1526" s="15"/>
      <c r="AQ1526" s="15"/>
      <c r="AR1526" s="15"/>
      <c r="AS1526" s="15"/>
      <c r="AT1526" s="15"/>
      <c r="AU1526" s="15"/>
    </row>
    <row r="1527" ht="24.0" customHeight="1">
      <c r="A1527" s="45">
        <v>2951.0</v>
      </c>
      <c r="B1527" s="57"/>
      <c r="C1527" s="57"/>
      <c r="D1527" s="88" t="str">
        <f t="array" ref="D1527">IFERROR(
  LOOKUP(2, 1/((TRIM(IMS!$E$8:$E$2574)=TRIM(IMS!$E1527))*(IMS!$C$8:$C$2574&lt;IMS!$C1527)),
         IMS!$C$8:$C$2574),
"")</f>
        <v/>
      </c>
      <c r="E1527" s="57"/>
      <c r="F1527" s="57"/>
      <c r="G1527" s="77" t="str">
        <f t="shared" si="901"/>
        <v/>
      </c>
      <c r="H1527" s="78" t="str">
        <f t="shared" si="902"/>
        <v/>
      </c>
      <c r="I1527" s="79"/>
      <c r="J1527" s="80" t="str">
        <f t="shared" si="903"/>
        <v>#NAME?</v>
      </c>
      <c r="K1527" s="58"/>
      <c r="L1527" s="58"/>
      <c r="M1527" s="57"/>
      <c r="N1527" s="57"/>
      <c r="O1527" s="58"/>
      <c r="P1527" s="82"/>
      <c r="Q1527" s="81"/>
      <c r="R1527" s="81"/>
      <c r="S1527" s="57"/>
      <c r="T1527" s="82"/>
      <c r="U1527" s="82"/>
      <c r="V1527" s="57"/>
      <c r="W1527" s="57"/>
      <c r="X1527" s="57" t="str">
        <f t="shared" si="917"/>
        <v/>
      </c>
      <c r="Y1527" s="58" t="str">
        <f t="shared" ref="Y1527:AC1527" si="1367">TRIM(SUBSTITUTE(SUBSTITUTE(OFFSET($Q1527,0,COLUMN()-COLUMN($AL$1)),CHAR(160)," "),_xludf.UNICHAR(8239)," "))</f>
        <v>#NAME?</v>
      </c>
      <c r="Z1527" s="58" t="str">
        <f t="shared" si="1367"/>
        <v>#NAME?</v>
      </c>
      <c r="AA1527" s="58" t="str">
        <f t="shared" si="1367"/>
        <v>#NAME?</v>
      </c>
      <c r="AB1527" s="58" t="str">
        <f t="shared" si="1367"/>
        <v>#NAME?</v>
      </c>
      <c r="AC1527" s="58" t="str">
        <f t="shared" si="1367"/>
        <v>#NAME?</v>
      </c>
      <c r="AD1527" s="57">
        <f t="shared" si="906"/>
        <v>0</v>
      </c>
      <c r="AE1527" s="57" t="str">
        <f t="shared" si="907"/>
        <v/>
      </c>
      <c r="AF1527" s="57">
        <f t="shared" si="908"/>
        <v>0</v>
      </c>
      <c r="AG1527" s="59">
        <f t="shared" si="909"/>
        <v>0</v>
      </c>
      <c r="AH1527" s="15"/>
      <c r="AI1527" s="15"/>
      <c r="AJ1527" s="15"/>
      <c r="AK1527" s="15"/>
      <c r="AL1527" s="15"/>
      <c r="AM1527" s="15"/>
      <c r="AN1527" s="15"/>
      <c r="AO1527" s="15"/>
      <c r="AP1527" s="15"/>
      <c r="AQ1527" s="15"/>
      <c r="AR1527" s="15"/>
      <c r="AS1527" s="15"/>
      <c r="AT1527" s="15"/>
      <c r="AU1527" s="15"/>
    </row>
    <row r="1528" ht="24.0" customHeight="1">
      <c r="A1528" s="45">
        <v>2952.0</v>
      </c>
      <c r="B1528" s="57"/>
      <c r="C1528" s="57"/>
      <c r="D1528" s="88" t="str">
        <f t="array" ref="D1528">IFERROR(
  LOOKUP(2, 1/((TRIM(IMS!$E$8:$E$2574)=TRIM(IMS!$E1528))*(IMS!$C$8:$C$2574&lt;IMS!$C1528)),
         IMS!$C$8:$C$2574),
"")</f>
        <v/>
      </c>
      <c r="E1528" s="57"/>
      <c r="F1528" s="57"/>
      <c r="G1528" s="77" t="str">
        <f t="shared" si="901"/>
        <v/>
      </c>
      <c r="H1528" s="78" t="str">
        <f t="shared" si="902"/>
        <v/>
      </c>
      <c r="I1528" s="79"/>
      <c r="J1528" s="80" t="str">
        <f t="shared" si="903"/>
        <v>#NAME?</v>
      </c>
      <c r="K1528" s="58"/>
      <c r="L1528" s="58"/>
      <c r="M1528" s="57"/>
      <c r="N1528" s="57"/>
      <c r="O1528" s="58"/>
      <c r="P1528" s="82"/>
      <c r="Q1528" s="81"/>
      <c r="R1528" s="81"/>
      <c r="S1528" s="57"/>
      <c r="T1528" s="82"/>
      <c r="U1528" s="82"/>
      <c r="V1528" s="57"/>
      <c r="W1528" s="57"/>
      <c r="X1528" s="57" t="str">
        <f t="shared" si="917"/>
        <v/>
      </c>
      <c r="Y1528" s="58" t="str">
        <f t="shared" ref="Y1528:AC1528" si="1368">TRIM(SUBSTITUTE(SUBSTITUTE(OFFSET($Q1528,0,COLUMN()-COLUMN($AL$1)),CHAR(160)," "),_xludf.UNICHAR(8239)," "))</f>
        <v>#NAME?</v>
      </c>
      <c r="Z1528" s="58" t="str">
        <f t="shared" si="1368"/>
        <v>#NAME?</v>
      </c>
      <c r="AA1528" s="58" t="str">
        <f t="shared" si="1368"/>
        <v>#NAME?</v>
      </c>
      <c r="AB1528" s="58" t="str">
        <f t="shared" si="1368"/>
        <v>#NAME?</v>
      </c>
      <c r="AC1528" s="58" t="str">
        <f t="shared" si="1368"/>
        <v>#NAME?</v>
      </c>
      <c r="AD1528" s="57">
        <f t="shared" si="906"/>
        <v>0</v>
      </c>
      <c r="AE1528" s="57" t="str">
        <f t="shared" si="907"/>
        <v/>
      </c>
      <c r="AF1528" s="57">
        <f t="shared" si="908"/>
        <v>0</v>
      </c>
      <c r="AG1528" s="59">
        <f t="shared" si="909"/>
        <v>0</v>
      </c>
      <c r="AH1528" s="15"/>
      <c r="AI1528" s="15"/>
      <c r="AJ1528" s="15"/>
      <c r="AK1528" s="15"/>
      <c r="AL1528" s="15"/>
      <c r="AM1528" s="15"/>
      <c r="AN1528" s="15"/>
      <c r="AO1528" s="15"/>
      <c r="AP1528" s="15"/>
      <c r="AQ1528" s="15"/>
      <c r="AR1528" s="15"/>
      <c r="AS1528" s="15"/>
      <c r="AT1528" s="15"/>
      <c r="AU1528" s="15"/>
    </row>
    <row r="1529" ht="24.0" customHeight="1">
      <c r="A1529" s="45">
        <v>2953.0</v>
      </c>
      <c r="B1529" s="57"/>
      <c r="C1529" s="57"/>
      <c r="D1529" s="88" t="str">
        <f t="array" ref="D1529">IFERROR(
  LOOKUP(2, 1/((TRIM(IMS!$E$8:$E$2574)=TRIM(IMS!$E1529))*(IMS!$C$8:$C$2574&lt;IMS!$C1529)),
         IMS!$C$8:$C$2574),
"")</f>
        <v/>
      </c>
      <c r="E1529" s="57"/>
      <c r="F1529" s="57"/>
      <c r="G1529" s="77" t="str">
        <f t="shared" si="901"/>
        <v/>
      </c>
      <c r="H1529" s="78" t="str">
        <f t="shared" si="902"/>
        <v/>
      </c>
      <c r="I1529" s="79"/>
      <c r="J1529" s="80" t="str">
        <f t="shared" si="903"/>
        <v>#NAME?</v>
      </c>
      <c r="K1529" s="58"/>
      <c r="L1529" s="58"/>
      <c r="M1529" s="57"/>
      <c r="N1529" s="57"/>
      <c r="O1529" s="58"/>
      <c r="P1529" s="82"/>
      <c r="Q1529" s="81"/>
      <c r="R1529" s="81"/>
      <c r="S1529" s="57"/>
      <c r="T1529" s="82"/>
      <c r="U1529" s="82"/>
      <c r="V1529" s="57"/>
      <c r="W1529" s="57"/>
      <c r="X1529" s="57" t="str">
        <f t="shared" si="917"/>
        <v/>
      </c>
      <c r="Y1529" s="58" t="str">
        <f t="shared" ref="Y1529:AC1529" si="1369">TRIM(SUBSTITUTE(SUBSTITUTE(OFFSET($Q1529,0,COLUMN()-COLUMN($AL$1)),CHAR(160)," "),_xludf.UNICHAR(8239)," "))</f>
        <v>#NAME?</v>
      </c>
      <c r="Z1529" s="58" t="str">
        <f t="shared" si="1369"/>
        <v>#NAME?</v>
      </c>
      <c r="AA1529" s="58" t="str">
        <f t="shared" si="1369"/>
        <v>#NAME?</v>
      </c>
      <c r="AB1529" s="58" t="str">
        <f t="shared" si="1369"/>
        <v>#NAME?</v>
      </c>
      <c r="AC1529" s="58" t="str">
        <f t="shared" si="1369"/>
        <v>#NAME?</v>
      </c>
      <c r="AD1529" s="57">
        <f t="shared" si="906"/>
        <v>0</v>
      </c>
      <c r="AE1529" s="57" t="str">
        <f t="shared" si="907"/>
        <v/>
      </c>
      <c r="AF1529" s="57">
        <f t="shared" si="908"/>
        <v>0</v>
      </c>
      <c r="AG1529" s="59">
        <f t="shared" si="909"/>
        <v>0</v>
      </c>
      <c r="AH1529" s="15"/>
      <c r="AI1529" s="15"/>
      <c r="AJ1529" s="15"/>
      <c r="AK1529" s="15"/>
      <c r="AL1529" s="15"/>
      <c r="AM1529" s="15"/>
      <c r="AN1529" s="15"/>
      <c r="AO1529" s="15"/>
      <c r="AP1529" s="15"/>
      <c r="AQ1529" s="15"/>
      <c r="AR1529" s="15"/>
      <c r="AS1529" s="15"/>
      <c r="AT1529" s="15"/>
      <c r="AU1529" s="15"/>
    </row>
    <row r="1530" ht="24.0" customHeight="1">
      <c r="A1530" s="45">
        <v>2954.0</v>
      </c>
      <c r="B1530" s="57"/>
      <c r="C1530" s="57"/>
      <c r="D1530" s="88" t="str">
        <f t="array" ref="D1530">IFERROR(
  LOOKUP(2, 1/((TRIM(IMS!$E$8:$E$2574)=TRIM(IMS!$E1530))*(IMS!$C$8:$C$2574&lt;IMS!$C1530)),
         IMS!$C$8:$C$2574),
"")</f>
        <v/>
      </c>
      <c r="E1530" s="57"/>
      <c r="F1530" s="57"/>
      <c r="G1530" s="77" t="str">
        <f t="shared" si="901"/>
        <v/>
      </c>
      <c r="H1530" s="78" t="str">
        <f t="shared" si="902"/>
        <v/>
      </c>
      <c r="I1530" s="79"/>
      <c r="J1530" s="80" t="str">
        <f t="shared" si="903"/>
        <v>#NAME?</v>
      </c>
      <c r="K1530" s="58"/>
      <c r="L1530" s="58"/>
      <c r="M1530" s="57"/>
      <c r="N1530" s="57"/>
      <c r="O1530" s="58"/>
      <c r="P1530" s="82"/>
      <c r="Q1530" s="81"/>
      <c r="R1530" s="81"/>
      <c r="S1530" s="57"/>
      <c r="T1530" s="82"/>
      <c r="U1530" s="82"/>
      <c r="V1530" s="57"/>
      <c r="W1530" s="57"/>
      <c r="X1530" s="57" t="str">
        <f t="shared" si="917"/>
        <v/>
      </c>
      <c r="Y1530" s="58" t="str">
        <f t="shared" ref="Y1530:AC1530" si="1370">TRIM(SUBSTITUTE(SUBSTITUTE(OFFSET($Q1530,0,COLUMN()-COLUMN($AL$1)),CHAR(160)," "),_xludf.UNICHAR(8239)," "))</f>
        <v>#NAME?</v>
      </c>
      <c r="Z1530" s="58" t="str">
        <f t="shared" si="1370"/>
        <v>#NAME?</v>
      </c>
      <c r="AA1530" s="58" t="str">
        <f t="shared" si="1370"/>
        <v>#NAME?</v>
      </c>
      <c r="AB1530" s="58" t="str">
        <f t="shared" si="1370"/>
        <v>#NAME?</v>
      </c>
      <c r="AC1530" s="58" t="str">
        <f t="shared" si="1370"/>
        <v>#NAME?</v>
      </c>
      <c r="AD1530" s="57">
        <f t="shared" si="906"/>
        <v>0</v>
      </c>
      <c r="AE1530" s="57" t="str">
        <f t="shared" si="907"/>
        <v/>
      </c>
      <c r="AF1530" s="57">
        <f t="shared" si="908"/>
        <v>0</v>
      </c>
      <c r="AG1530" s="59">
        <f t="shared" si="909"/>
        <v>0</v>
      </c>
      <c r="AH1530" s="15"/>
      <c r="AI1530" s="15"/>
      <c r="AJ1530" s="15"/>
      <c r="AK1530" s="15"/>
      <c r="AL1530" s="15"/>
      <c r="AM1530" s="15"/>
      <c r="AN1530" s="15"/>
      <c r="AO1530" s="15"/>
      <c r="AP1530" s="15"/>
      <c r="AQ1530" s="15"/>
      <c r="AR1530" s="15"/>
      <c r="AS1530" s="15"/>
      <c r="AT1530" s="15"/>
      <c r="AU1530" s="15"/>
    </row>
    <row r="1531" ht="24.0" customHeight="1">
      <c r="A1531" s="45">
        <v>2955.0</v>
      </c>
      <c r="B1531" s="57"/>
      <c r="C1531" s="57"/>
      <c r="D1531" s="88" t="str">
        <f t="array" ref="D1531">IFERROR(
  LOOKUP(2, 1/((TRIM(IMS!$E$8:$E$2574)=TRIM(IMS!$E1531))*(IMS!$C$8:$C$2574&lt;IMS!$C1531)),
         IMS!$C$8:$C$2574),
"")</f>
        <v/>
      </c>
      <c r="E1531" s="57"/>
      <c r="F1531" s="57"/>
      <c r="G1531" s="77" t="str">
        <f t="shared" si="901"/>
        <v/>
      </c>
      <c r="H1531" s="78" t="str">
        <f t="shared" si="902"/>
        <v/>
      </c>
      <c r="I1531" s="79"/>
      <c r="J1531" s="80" t="str">
        <f t="shared" si="903"/>
        <v>#NAME?</v>
      </c>
      <c r="K1531" s="58"/>
      <c r="L1531" s="58"/>
      <c r="M1531" s="57"/>
      <c r="N1531" s="57"/>
      <c r="O1531" s="58"/>
      <c r="P1531" s="82"/>
      <c r="Q1531" s="81"/>
      <c r="R1531" s="81"/>
      <c r="S1531" s="57"/>
      <c r="T1531" s="82"/>
      <c r="U1531" s="82"/>
      <c r="V1531" s="57"/>
      <c r="W1531" s="57"/>
      <c r="X1531" s="57" t="str">
        <f t="shared" si="917"/>
        <v/>
      </c>
      <c r="Y1531" s="58" t="str">
        <f t="shared" ref="Y1531:AC1531" si="1371">TRIM(SUBSTITUTE(SUBSTITUTE(OFFSET($Q1531,0,COLUMN()-COLUMN($AL$1)),CHAR(160)," "),_xludf.UNICHAR(8239)," "))</f>
        <v>#NAME?</v>
      </c>
      <c r="Z1531" s="58" t="str">
        <f t="shared" si="1371"/>
        <v>#NAME?</v>
      </c>
      <c r="AA1531" s="58" t="str">
        <f t="shared" si="1371"/>
        <v>#NAME?</v>
      </c>
      <c r="AB1531" s="58" t="str">
        <f t="shared" si="1371"/>
        <v>#NAME?</v>
      </c>
      <c r="AC1531" s="58" t="str">
        <f t="shared" si="1371"/>
        <v>#NAME?</v>
      </c>
      <c r="AD1531" s="57">
        <f t="shared" si="906"/>
        <v>0</v>
      </c>
      <c r="AE1531" s="57" t="str">
        <f t="shared" si="907"/>
        <v/>
      </c>
      <c r="AF1531" s="57">
        <f t="shared" si="908"/>
        <v>0</v>
      </c>
      <c r="AG1531" s="59">
        <f t="shared" si="909"/>
        <v>0</v>
      </c>
      <c r="AH1531" s="15"/>
      <c r="AI1531" s="15"/>
      <c r="AJ1531" s="15"/>
      <c r="AK1531" s="15"/>
      <c r="AL1531" s="15"/>
      <c r="AM1531" s="15"/>
      <c r="AN1531" s="15"/>
      <c r="AO1531" s="15"/>
      <c r="AP1531" s="15"/>
      <c r="AQ1531" s="15"/>
      <c r="AR1531" s="15"/>
      <c r="AS1531" s="15"/>
      <c r="AT1531" s="15"/>
      <c r="AU1531" s="15"/>
    </row>
    <row r="1532" ht="24.0" customHeight="1">
      <c r="A1532" s="45">
        <v>2956.0</v>
      </c>
      <c r="B1532" s="57"/>
      <c r="C1532" s="57"/>
      <c r="D1532" s="88" t="str">
        <f t="array" ref="D1532">IFERROR(
  LOOKUP(2, 1/((TRIM(IMS!$E$8:$E$2574)=TRIM(IMS!$E1532))*(IMS!$C$8:$C$2574&lt;IMS!$C1532)),
         IMS!$C$8:$C$2574),
"")</f>
        <v/>
      </c>
      <c r="E1532" s="57"/>
      <c r="F1532" s="57"/>
      <c r="G1532" s="77" t="str">
        <f t="shared" si="901"/>
        <v/>
      </c>
      <c r="H1532" s="78" t="str">
        <f t="shared" si="902"/>
        <v/>
      </c>
      <c r="I1532" s="79"/>
      <c r="J1532" s="80" t="str">
        <f t="shared" si="903"/>
        <v>#NAME?</v>
      </c>
      <c r="K1532" s="58"/>
      <c r="L1532" s="58"/>
      <c r="M1532" s="57"/>
      <c r="N1532" s="57"/>
      <c r="O1532" s="58"/>
      <c r="P1532" s="82"/>
      <c r="Q1532" s="81"/>
      <c r="R1532" s="81"/>
      <c r="S1532" s="57"/>
      <c r="T1532" s="82"/>
      <c r="U1532" s="82"/>
      <c r="V1532" s="57"/>
      <c r="W1532" s="57"/>
      <c r="X1532" s="57" t="str">
        <f t="shared" si="917"/>
        <v/>
      </c>
      <c r="Y1532" s="58" t="str">
        <f t="shared" ref="Y1532:AC1532" si="1372">TRIM(SUBSTITUTE(SUBSTITUTE(OFFSET($Q1532,0,COLUMN()-COLUMN($AL$1)),CHAR(160)," "),_xludf.UNICHAR(8239)," "))</f>
        <v>#NAME?</v>
      </c>
      <c r="Z1532" s="58" t="str">
        <f t="shared" si="1372"/>
        <v>#NAME?</v>
      </c>
      <c r="AA1532" s="58" t="str">
        <f t="shared" si="1372"/>
        <v>#NAME?</v>
      </c>
      <c r="AB1532" s="58" t="str">
        <f t="shared" si="1372"/>
        <v>#NAME?</v>
      </c>
      <c r="AC1532" s="58" t="str">
        <f t="shared" si="1372"/>
        <v>#NAME?</v>
      </c>
      <c r="AD1532" s="57">
        <f t="shared" si="906"/>
        <v>0</v>
      </c>
      <c r="AE1532" s="57" t="str">
        <f t="shared" si="907"/>
        <v/>
      </c>
      <c r="AF1532" s="57">
        <f t="shared" si="908"/>
        <v>0</v>
      </c>
      <c r="AG1532" s="59">
        <f t="shared" si="909"/>
        <v>0</v>
      </c>
      <c r="AH1532" s="15"/>
      <c r="AI1532" s="15"/>
      <c r="AJ1532" s="15"/>
      <c r="AK1532" s="15"/>
      <c r="AL1532" s="15"/>
      <c r="AM1532" s="15"/>
      <c r="AN1532" s="15"/>
      <c r="AO1532" s="15"/>
      <c r="AP1532" s="15"/>
      <c r="AQ1532" s="15"/>
      <c r="AR1532" s="15"/>
      <c r="AS1532" s="15"/>
      <c r="AT1532" s="15"/>
      <c r="AU1532" s="15"/>
    </row>
    <row r="1533" ht="24.0" customHeight="1">
      <c r="A1533" s="45">
        <v>2957.0</v>
      </c>
      <c r="B1533" s="57"/>
      <c r="C1533" s="57"/>
      <c r="D1533" s="88" t="str">
        <f t="array" ref="D1533">IFERROR(
  LOOKUP(2, 1/((TRIM(IMS!$E$8:$E$2574)=TRIM(IMS!$E1533))*(IMS!$C$8:$C$2574&lt;IMS!$C1533)),
         IMS!$C$8:$C$2574),
"")</f>
        <v/>
      </c>
      <c r="E1533" s="57"/>
      <c r="F1533" s="57"/>
      <c r="G1533" s="77" t="str">
        <f t="shared" si="901"/>
        <v/>
      </c>
      <c r="H1533" s="78" t="str">
        <f t="shared" si="902"/>
        <v/>
      </c>
      <c r="I1533" s="79"/>
      <c r="J1533" s="80" t="str">
        <f t="shared" si="903"/>
        <v>#NAME?</v>
      </c>
      <c r="K1533" s="58"/>
      <c r="L1533" s="58"/>
      <c r="M1533" s="57"/>
      <c r="N1533" s="57"/>
      <c r="O1533" s="58"/>
      <c r="P1533" s="82"/>
      <c r="Q1533" s="81"/>
      <c r="R1533" s="81"/>
      <c r="S1533" s="57"/>
      <c r="T1533" s="82"/>
      <c r="U1533" s="82"/>
      <c r="V1533" s="57"/>
      <c r="W1533" s="57"/>
      <c r="X1533" s="57" t="str">
        <f t="shared" si="917"/>
        <v/>
      </c>
      <c r="Y1533" s="58" t="str">
        <f t="shared" ref="Y1533:AC1533" si="1373">TRIM(SUBSTITUTE(SUBSTITUTE(OFFSET($Q1533,0,COLUMN()-COLUMN($AL$1)),CHAR(160)," "),_xludf.UNICHAR(8239)," "))</f>
        <v>#NAME?</v>
      </c>
      <c r="Z1533" s="58" t="str">
        <f t="shared" si="1373"/>
        <v>#NAME?</v>
      </c>
      <c r="AA1533" s="58" t="str">
        <f t="shared" si="1373"/>
        <v>#NAME?</v>
      </c>
      <c r="AB1533" s="58" t="str">
        <f t="shared" si="1373"/>
        <v>#NAME?</v>
      </c>
      <c r="AC1533" s="58" t="str">
        <f t="shared" si="1373"/>
        <v>#NAME?</v>
      </c>
      <c r="AD1533" s="57">
        <f t="shared" si="906"/>
        <v>0</v>
      </c>
      <c r="AE1533" s="57" t="str">
        <f t="shared" si="907"/>
        <v/>
      </c>
      <c r="AF1533" s="57">
        <f t="shared" si="908"/>
        <v>0</v>
      </c>
      <c r="AG1533" s="59">
        <f t="shared" si="909"/>
        <v>0</v>
      </c>
      <c r="AH1533" s="15"/>
      <c r="AI1533" s="15"/>
      <c r="AJ1533" s="15"/>
      <c r="AK1533" s="15"/>
      <c r="AL1533" s="15"/>
      <c r="AM1533" s="15"/>
      <c r="AN1533" s="15"/>
      <c r="AO1533" s="15"/>
      <c r="AP1533" s="15"/>
      <c r="AQ1533" s="15"/>
      <c r="AR1533" s="15"/>
      <c r="AS1533" s="15"/>
      <c r="AT1533" s="15"/>
      <c r="AU1533" s="15"/>
    </row>
    <row r="1534" ht="24.0" customHeight="1">
      <c r="A1534" s="45">
        <v>2958.0</v>
      </c>
      <c r="B1534" s="57"/>
      <c r="C1534" s="57"/>
      <c r="D1534" s="88" t="str">
        <f t="array" ref="D1534">IFERROR(
  LOOKUP(2, 1/((TRIM(IMS!$E$8:$E$2574)=TRIM(IMS!$E1534))*(IMS!$C$8:$C$2574&lt;IMS!$C1534)),
         IMS!$C$8:$C$2574),
"")</f>
        <v/>
      </c>
      <c r="E1534" s="57"/>
      <c r="F1534" s="57"/>
      <c r="G1534" s="77" t="str">
        <f t="shared" si="901"/>
        <v/>
      </c>
      <c r="H1534" s="78" t="str">
        <f t="shared" si="902"/>
        <v/>
      </c>
      <c r="I1534" s="79"/>
      <c r="J1534" s="80" t="str">
        <f t="shared" si="903"/>
        <v>#NAME?</v>
      </c>
      <c r="K1534" s="58"/>
      <c r="L1534" s="58"/>
      <c r="M1534" s="57"/>
      <c r="N1534" s="57"/>
      <c r="O1534" s="58"/>
      <c r="P1534" s="82"/>
      <c r="Q1534" s="81"/>
      <c r="R1534" s="81"/>
      <c r="S1534" s="57"/>
      <c r="T1534" s="82"/>
      <c r="U1534" s="82"/>
      <c r="V1534" s="57"/>
      <c r="W1534" s="57"/>
      <c r="X1534" s="57" t="str">
        <f t="shared" si="917"/>
        <v/>
      </c>
      <c r="Y1534" s="58" t="str">
        <f t="shared" ref="Y1534:AC1534" si="1374">TRIM(SUBSTITUTE(SUBSTITUTE(OFFSET($Q1534,0,COLUMN()-COLUMN($AL$1)),CHAR(160)," "),_xludf.UNICHAR(8239)," "))</f>
        <v>#NAME?</v>
      </c>
      <c r="Z1534" s="58" t="str">
        <f t="shared" si="1374"/>
        <v>#NAME?</v>
      </c>
      <c r="AA1534" s="58" t="str">
        <f t="shared" si="1374"/>
        <v>#NAME?</v>
      </c>
      <c r="AB1534" s="58" t="str">
        <f t="shared" si="1374"/>
        <v>#NAME?</v>
      </c>
      <c r="AC1534" s="58" t="str">
        <f t="shared" si="1374"/>
        <v>#NAME?</v>
      </c>
      <c r="AD1534" s="57">
        <f t="shared" si="906"/>
        <v>0</v>
      </c>
      <c r="AE1534" s="57" t="str">
        <f t="shared" si="907"/>
        <v/>
      </c>
      <c r="AF1534" s="57">
        <f t="shared" si="908"/>
        <v>0</v>
      </c>
      <c r="AG1534" s="59">
        <f t="shared" si="909"/>
        <v>0</v>
      </c>
      <c r="AH1534" s="15"/>
      <c r="AI1534" s="15"/>
      <c r="AJ1534" s="15"/>
      <c r="AK1534" s="15"/>
      <c r="AL1534" s="15"/>
      <c r="AM1534" s="15"/>
      <c r="AN1534" s="15"/>
      <c r="AO1534" s="15"/>
      <c r="AP1534" s="15"/>
      <c r="AQ1534" s="15"/>
      <c r="AR1534" s="15"/>
      <c r="AS1534" s="15"/>
      <c r="AT1534" s="15"/>
      <c r="AU1534" s="15"/>
    </row>
    <row r="1535" ht="24.0" customHeight="1">
      <c r="A1535" s="45">
        <v>2959.0</v>
      </c>
      <c r="B1535" s="57"/>
      <c r="C1535" s="57"/>
      <c r="D1535" s="88" t="str">
        <f t="array" ref="D1535">IFERROR(
  LOOKUP(2, 1/((TRIM(IMS!$E$8:$E$2574)=TRIM(IMS!$E1535))*(IMS!$C$8:$C$2574&lt;IMS!$C1535)),
         IMS!$C$8:$C$2574),
"")</f>
        <v/>
      </c>
      <c r="E1535" s="57"/>
      <c r="F1535" s="57"/>
      <c r="G1535" s="77" t="str">
        <f t="shared" si="901"/>
        <v/>
      </c>
      <c r="H1535" s="78" t="str">
        <f t="shared" si="902"/>
        <v/>
      </c>
      <c r="I1535" s="79"/>
      <c r="J1535" s="80" t="str">
        <f t="shared" si="903"/>
        <v>#NAME?</v>
      </c>
      <c r="K1535" s="58"/>
      <c r="L1535" s="58"/>
      <c r="M1535" s="57"/>
      <c r="N1535" s="57"/>
      <c r="O1535" s="58"/>
      <c r="P1535" s="82"/>
      <c r="Q1535" s="81"/>
      <c r="R1535" s="81"/>
      <c r="S1535" s="57"/>
      <c r="T1535" s="82"/>
      <c r="U1535" s="82"/>
      <c r="V1535" s="57"/>
      <c r="W1535" s="57"/>
      <c r="X1535" s="57" t="str">
        <f t="shared" si="917"/>
        <v/>
      </c>
      <c r="Y1535" s="58" t="str">
        <f t="shared" ref="Y1535:AC1535" si="1375">TRIM(SUBSTITUTE(SUBSTITUTE(OFFSET($Q1535,0,COLUMN()-COLUMN($AL$1)),CHAR(160)," "),_xludf.UNICHAR(8239)," "))</f>
        <v>#NAME?</v>
      </c>
      <c r="Z1535" s="58" t="str">
        <f t="shared" si="1375"/>
        <v>#NAME?</v>
      </c>
      <c r="AA1535" s="58" t="str">
        <f t="shared" si="1375"/>
        <v>#NAME?</v>
      </c>
      <c r="AB1535" s="58" t="str">
        <f t="shared" si="1375"/>
        <v>#NAME?</v>
      </c>
      <c r="AC1535" s="58" t="str">
        <f t="shared" si="1375"/>
        <v>#NAME?</v>
      </c>
      <c r="AD1535" s="57">
        <f t="shared" si="906"/>
        <v>0</v>
      </c>
      <c r="AE1535" s="57" t="str">
        <f t="shared" si="907"/>
        <v/>
      </c>
      <c r="AF1535" s="57">
        <f t="shared" si="908"/>
        <v>0</v>
      </c>
      <c r="AG1535" s="59">
        <f t="shared" si="909"/>
        <v>0</v>
      </c>
      <c r="AH1535" s="15"/>
      <c r="AI1535" s="15"/>
      <c r="AJ1535" s="15"/>
      <c r="AK1535" s="15"/>
      <c r="AL1535" s="15"/>
      <c r="AM1535" s="15"/>
      <c r="AN1535" s="15"/>
      <c r="AO1535" s="15"/>
      <c r="AP1535" s="15"/>
      <c r="AQ1535" s="15"/>
      <c r="AR1535" s="15"/>
      <c r="AS1535" s="15"/>
      <c r="AT1535" s="15"/>
      <c r="AU1535" s="15"/>
    </row>
    <row r="1536" ht="24.0" customHeight="1">
      <c r="A1536" s="45">
        <v>2960.0</v>
      </c>
      <c r="B1536" s="57"/>
      <c r="C1536" s="57"/>
      <c r="D1536" s="88" t="str">
        <f t="array" ref="D1536">IFERROR(
  LOOKUP(2, 1/((TRIM(IMS!$E$8:$E$2574)=TRIM(IMS!$E1536))*(IMS!$C$8:$C$2574&lt;IMS!$C1536)),
         IMS!$C$8:$C$2574),
"")</f>
        <v/>
      </c>
      <c r="E1536" s="57"/>
      <c r="F1536" s="57"/>
      <c r="G1536" s="77" t="str">
        <f t="shared" si="901"/>
        <v/>
      </c>
      <c r="H1536" s="78" t="str">
        <f t="shared" si="902"/>
        <v/>
      </c>
      <c r="I1536" s="79"/>
      <c r="J1536" s="80" t="str">
        <f t="shared" si="903"/>
        <v>#NAME?</v>
      </c>
      <c r="K1536" s="58"/>
      <c r="L1536" s="58"/>
      <c r="M1536" s="57"/>
      <c r="N1536" s="57"/>
      <c r="O1536" s="58"/>
      <c r="P1536" s="82"/>
      <c r="Q1536" s="81"/>
      <c r="R1536" s="81"/>
      <c r="S1536" s="57"/>
      <c r="T1536" s="82"/>
      <c r="U1536" s="82"/>
      <c r="V1536" s="57"/>
      <c r="W1536" s="57"/>
      <c r="X1536" s="57" t="str">
        <f t="shared" si="917"/>
        <v/>
      </c>
      <c r="Y1536" s="58" t="str">
        <f t="shared" ref="Y1536:AC1536" si="1376">TRIM(SUBSTITUTE(SUBSTITUTE(OFFSET($Q1536,0,COLUMN()-COLUMN($AL$1)),CHAR(160)," "),_xludf.UNICHAR(8239)," "))</f>
        <v>#NAME?</v>
      </c>
      <c r="Z1536" s="58" t="str">
        <f t="shared" si="1376"/>
        <v>#NAME?</v>
      </c>
      <c r="AA1536" s="58" t="str">
        <f t="shared" si="1376"/>
        <v>#NAME?</v>
      </c>
      <c r="AB1536" s="58" t="str">
        <f t="shared" si="1376"/>
        <v>#NAME?</v>
      </c>
      <c r="AC1536" s="58" t="str">
        <f t="shared" si="1376"/>
        <v>#NAME?</v>
      </c>
      <c r="AD1536" s="57">
        <f t="shared" si="906"/>
        <v>0</v>
      </c>
      <c r="AE1536" s="57" t="str">
        <f t="shared" si="907"/>
        <v/>
      </c>
      <c r="AF1536" s="57">
        <f t="shared" si="908"/>
        <v>0</v>
      </c>
      <c r="AG1536" s="59">
        <f t="shared" si="909"/>
        <v>0</v>
      </c>
      <c r="AH1536" s="15"/>
      <c r="AI1536" s="15"/>
      <c r="AJ1536" s="15"/>
      <c r="AK1536" s="15"/>
      <c r="AL1536" s="15"/>
      <c r="AM1536" s="15"/>
      <c r="AN1536" s="15"/>
      <c r="AO1536" s="15"/>
      <c r="AP1536" s="15"/>
      <c r="AQ1536" s="15"/>
      <c r="AR1536" s="15"/>
      <c r="AS1536" s="15"/>
      <c r="AT1536" s="15"/>
      <c r="AU1536" s="15"/>
    </row>
    <row r="1537" ht="24.0" customHeight="1">
      <c r="A1537" s="45">
        <v>2961.0</v>
      </c>
      <c r="B1537" s="57"/>
      <c r="C1537" s="57"/>
      <c r="D1537" s="88" t="str">
        <f t="array" ref="D1537">IFERROR(
  LOOKUP(2, 1/((TRIM(IMS!$E$8:$E$2574)=TRIM(IMS!$E1537))*(IMS!$C$8:$C$2574&lt;IMS!$C1537)),
         IMS!$C$8:$C$2574),
"")</f>
        <v/>
      </c>
      <c r="E1537" s="57"/>
      <c r="F1537" s="57"/>
      <c r="G1537" s="77" t="str">
        <f t="shared" si="901"/>
        <v/>
      </c>
      <c r="H1537" s="78" t="str">
        <f t="shared" si="902"/>
        <v/>
      </c>
      <c r="I1537" s="79"/>
      <c r="J1537" s="80" t="str">
        <f t="shared" si="903"/>
        <v>#NAME?</v>
      </c>
      <c r="K1537" s="58"/>
      <c r="L1537" s="58"/>
      <c r="M1537" s="57"/>
      <c r="N1537" s="57"/>
      <c r="O1537" s="58"/>
      <c r="P1537" s="82"/>
      <c r="Q1537" s="81"/>
      <c r="R1537" s="81"/>
      <c r="S1537" s="57"/>
      <c r="T1537" s="82"/>
      <c r="U1537" s="82"/>
      <c r="V1537" s="57"/>
      <c r="W1537" s="57"/>
      <c r="X1537" s="57" t="str">
        <f t="shared" si="917"/>
        <v/>
      </c>
      <c r="Y1537" s="58" t="str">
        <f t="shared" ref="Y1537:AC1537" si="1377">TRIM(SUBSTITUTE(SUBSTITUTE(OFFSET($Q1537,0,COLUMN()-COLUMN($AL$1)),CHAR(160)," "),_xludf.UNICHAR(8239)," "))</f>
        <v>#NAME?</v>
      </c>
      <c r="Z1537" s="58" t="str">
        <f t="shared" si="1377"/>
        <v>#NAME?</v>
      </c>
      <c r="AA1537" s="58" t="str">
        <f t="shared" si="1377"/>
        <v>#NAME?</v>
      </c>
      <c r="AB1537" s="58" t="str">
        <f t="shared" si="1377"/>
        <v>#NAME?</v>
      </c>
      <c r="AC1537" s="58" t="str">
        <f t="shared" si="1377"/>
        <v>#NAME?</v>
      </c>
      <c r="AD1537" s="57">
        <f t="shared" si="906"/>
        <v>0</v>
      </c>
      <c r="AE1537" s="57" t="str">
        <f t="shared" si="907"/>
        <v/>
      </c>
      <c r="AF1537" s="57">
        <f t="shared" si="908"/>
        <v>0</v>
      </c>
      <c r="AG1537" s="59">
        <f t="shared" si="909"/>
        <v>0</v>
      </c>
      <c r="AH1537" s="15"/>
      <c r="AI1537" s="15"/>
      <c r="AJ1537" s="15"/>
      <c r="AK1537" s="15"/>
      <c r="AL1537" s="15"/>
      <c r="AM1537" s="15"/>
      <c r="AN1537" s="15"/>
      <c r="AO1537" s="15"/>
      <c r="AP1537" s="15"/>
      <c r="AQ1537" s="15"/>
      <c r="AR1537" s="15"/>
      <c r="AS1537" s="15"/>
      <c r="AT1537" s="15"/>
      <c r="AU1537" s="15"/>
    </row>
    <row r="1538" ht="24.0" customHeight="1">
      <c r="A1538" s="45">
        <v>2962.0</v>
      </c>
      <c r="B1538" s="57"/>
      <c r="C1538" s="57"/>
      <c r="D1538" s="88" t="str">
        <f t="array" ref="D1538">IFERROR(
  LOOKUP(2, 1/((TRIM(IMS!$E$8:$E$2574)=TRIM(IMS!$E1538))*(IMS!$C$8:$C$2574&lt;IMS!$C1538)),
         IMS!$C$8:$C$2574),
"")</f>
        <v/>
      </c>
      <c r="E1538" s="57"/>
      <c r="F1538" s="57"/>
      <c r="G1538" s="77" t="str">
        <f t="shared" si="901"/>
        <v/>
      </c>
      <c r="H1538" s="78" t="str">
        <f t="shared" si="902"/>
        <v/>
      </c>
      <c r="I1538" s="79"/>
      <c r="J1538" s="80" t="str">
        <f t="shared" si="903"/>
        <v>#NAME?</v>
      </c>
      <c r="K1538" s="58"/>
      <c r="L1538" s="58"/>
      <c r="M1538" s="57"/>
      <c r="N1538" s="57"/>
      <c r="O1538" s="58"/>
      <c r="P1538" s="82"/>
      <c r="Q1538" s="81"/>
      <c r="R1538" s="81"/>
      <c r="S1538" s="57"/>
      <c r="T1538" s="82"/>
      <c r="U1538" s="82"/>
      <c r="V1538" s="57"/>
      <c r="W1538" s="57"/>
      <c r="X1538" s="57" t="str">
        <f t="shared" si="917"/>
        <v/>
      </c>
      <c r="Y1538" s="58" t="str">
        <f t="shared" ref="Y1538:AC1538" si="1378">TRIM(SUBSTITUTE(SUBSTITUTE(OFFSET($Q1538,0,COLUMN()-COLUMN($AL$1)),CHAR(160)," "),_xludf.UNICHAR(8239)," "))</f>
        <v>#NAME?</v>
      </c>
      <c r="Z1538" s="58" t="str">
        <f t="shared" si="1378"/>
        <v>#NAME?</v>
      </c>
      <c r="AA1538" s="58" t="str">
        <f t="shared" si="1378"/>
        <v>#NAME?</v>
      </c>
      <c r="AB1538" s="58" t="str">
        <f t="shared" si="1378"/>
        <v>#NAME?</v>
      </c>
      <c r="AC1538" s="58" t="str">
        <f t="shared" si="1378"/>
        <v>#NAME?</v>
      </c>
      <c r="AD1538" s="57">
        <f t="shared" si="906"/>
        <v>0</v>
      </c>
      <c r="AE1538" s="57" t="str">
        <f t="shared" si="907"/>
        <v/>
      </c>
      <c r="AF1538" s="57">
        <f t="shared" si="908"/>
        <v>0</v>
      </c>
      <c r="AG1538" s="59">
        <f t="shared" si="909"/>
        <v>0</v>
      </c>
      <c r="AH1538" s="15"/>
      <c r="AI1538" s="15"/>
      <c r="AJ1538" s="15"/>
      <c r="AK1538" s="15"/>
      <c r="AL1538" s="15"/>
      <c r="AM1538" s="15"/>
      <c r="AN1538" s="15"/>
      <c r="AO1538" s="15"/>
      <c r="AP1538" s="15"/>
      <c r="AQ1538" s="15"/>
      <c r="AR1538" s="15"/>
      <c r="AS1538" s="15"/>
      <c r="AT1538" s="15"/>
      <c r="AU1538" s="15"/>
    </row>
    <row r="1539" ht="24.0" customHeight="1">
      <c r="A1539" s="45">
        <v>2963.0</v>
      </c>
      <c r="B1539" s="57"/>
      <c r="C1539" s="57"/>
      <c r="D1539" s="88" t="str">
        <f t="array" ref="D1539">IFERROR(
  LOOKUP(2, 1/((TRIM(IMS!$E$8:$E$2574)=TRIM(IMS!$E1539))*(IMS!$C$8:$C$2574&lt;IMS!$C1539)),
         IMS!$C$8:$C$2574),
"")</f>
        <v/>
      </c>
      <c r="E1539" s="57"/>
      <c r="F1539" s="57"/>
      <c r="G1539" s="77" t="str">
        <f t="shared" si="901"/>
        <v/>
      </c>
      <c r="H1539" s="78" t="str">
        <f t="shared" si="902"/>
        <v/>
      </c>
      <c r="I1539" s="79"/>
      <c r="J1539" s="80" t="str">
        <f t="shared" si="903"/>
        <v>#NAME?</v>
      </c>
      <c r="K1539" s="58"/>
      <c r="L1539" s="58"/>
      <c r="M1539" s="57"/>
      <c r="N1539" s="57"/>
      <c r="O1539" s="58"/>
      <c r="P1539" s="82"/>
      <c r="Q1539" s="81"/>
      <c r="R1539" s="81"/>
      <c r="S1539" s="57"/>
      <c r="T1539" s="82"/>
      <c r="U1539" s="82"/>
      <c r="V1539" s="57"/>
      <c r="W1539" s="57"/>
      <c r="X1539" s="57" t="str">
        <f t="shared" si="917"/>
        <v/>
      </c>
      <c r="Y1539" s="58" t="str">
        <f t="shared" ref="Y1539:AC1539" si="1379">TRIM(SUBSTITUTE(SUBSTITUTE(OFFSET($Q1539,0,COLUMN()-COLUMN($AL$1)),CHAR(160)," "),_xludf.UNICHAR(8239)," "))</f>
        <v>#NAME?</v>
      </c>
      <c r="Z1539" s="58" t="str">
        <f t="shared" si="1379"/>
        <v>#NAME?</v>
      </c>
      <c r="AA1539" s="58" t="str">
        <f t="shared" si="1379"/>
        <v>#NAME?</v>
      </c>
      <c r="AB1539" s="58" t="str">
        <f t="shared" si="1379"/>
        <v>#NAME?</v>
      </c>
      <c r="AC1539" s="58" t="str">
        <f t="shared" si="1379"/>
        <v>#NAME?</v>
      </c>
      <c r="AD1539" s="57">
        <f t="shared" si="906"/>
        <v>0</v>
      </c>
      <c r="AE1539" s="57" t="str">
        <f t="shared" si="907"/>
        <v/>
      </c>
      <c r="AF1539" s="57">
        <f t="shared" si="908"/>
        <v>0</v>
      </c>
      <c r="AG1539" s="59">
        <f t="shared" si="909"/>
        <v>0</v>
      </c>
      <c r="AH1539" s="15"/>
      <c r="AI1539" s="15"/>
      <c r="AJ1539" s="15"/>
      <c r="AK1539" s="15"/>
      <c r="AL1539" s="15"/>
      <c r="AM1539" s="15"/>
      <c r="AN1539" s="15"/>
      <c r="AO1539" s="15"/>
      <c r="AP1539" s="15"/>
      <c r="AQ1539" s="15"/>
      <c r="AR1539" s="15"/>
      <c r="AS1539" s="15"/>
      <c r="AT1539" s="15"/>
      <c r="AU1539" s="15"/>
    </row>
    <row r="1540" ht="24.0" customHeight="1">
      <c r="A1540" s="45">
        <v>2964.0</v>
      </c>
      <c r="B1540" s="57"/>
      <c r="C1540" s="57"/>
      <c r="D1540" s="88" t="str">
        <f t="array" ref="D1540">IFERROR(
  LOOKUP(2, 1/((TRIM(IMS!$E$8:$E$2574)=TRIM(IMS!$E1540))*(IMS!$C$8:$C$2574&lt;IMS!$C1540)),
         IMS!$C$8:$C$2574),
"")</f>
        <v/>
      </c>
      <c r="E1540" s="57"/>
      <c r="F1540" s="57"/>
      <c r="G1540" s="77" t="str">
        <f t="shared" si="901"/>
        <v/>
      </c>
      <c r="H1540" s="78" t="str">
        <f t="shared" si="902"/>
        <v/>
      </c>
      <c r="I1540" s="79"/>
      <c r="J1540" s="80" t="str">
        <f t="shared" si="903"/>
        <v>#NAME?</v>
      </c>
      <c r="K1540" s="58"/>
      <c r="L1540" s="58"/>
      <c r="M1540" s="57"/>
      <c r="N1540" s="57"/>
      <c r="O1540" s="58"/>
      <c r="P1540" s="82"/>
      <c r="Q1540" s="81"/>
      <c r="R1540" s="81"/>
      <c r="S1540" s="57"/>
      <c r="T1540" s="82"/>
      <c r="U1540" s="82"/>
      <c r="V1540" s="57"/>
      <c r="W1540" s="57"/>
      <c r="X1540" s="57" t="str">
        <f t="shared" si="917"/>
        <v/>
      </c>
      <c r="Y1540" s="58" t="str">
        <f t="shared" ref="Y1540:AC1540" si="1380">TRIM(SUBSTITUTE(SUBSTITUTE(OFFSET($Q1540,0,COLUMN()-COLUMN($AL$1)),CHAR(160)," "),_xludf.UNICHAR(8239)," "))</f>
        <v>#NAME?</v>
      </c>
      <c r="Z1540" s="58" t="str">
        <f t="shared" si="1380"/>
        <v>#NAME?</v>
      </c>
      <c r="AA1540" s="58" t="str">
        <f t="shared" si="1380"/>
        <v>#NAME?</v>
      </c>
      <c r="AB1540" s="58" t="str">
        <f t="shared" si="1380"/>
        <v>#NAME?</v>
      </c>
      <c r="AC1540" s="58" t="str">
        <f t="shared" si="1380"/>
        <v>#NAME?</v>
      </c>
      <c r="AD1540" s="57">
        <f t="shared" si="906"/>
        <v>0</v>
      </c>
      <c r="AE1540" s="57" t="str">
        <f t="shared" si="907"/>
        <v/>
      </c>
      <c r="AF1540" s="57">
        <f t="shared" si="908"/>
        <v>0</v>
      </c>
      <c r="AG1540" s="59">
        <f t="shared" si="909"/>
        <v>0</v>
      </c>
      <c r="AH1540" s="15"/>
      <c r="AI1540" s="15"/>
      <c r="AJ1540" s="15"/>
      <c r="AK1540" s="15"/>
      <c r="AL1540" s="15"/>
      <c r="AM1540" s="15"/>
      <c r="AN1540" s="15"/>
      <c r="AO1540" s="15"/>
      <c r="AP1540" s="15"/>
      <c r="AQ1540" s="15"/>
      <c r="AR1540" s="15"/>
      <c r="AS1540" s="15"/>
      <c r="AT1540" s="15"/>
      <c r="AU1540" s="15"/>
    </row>
    <row r="1541" ht="24.0" customHeight="1">
      <c r="A1541" s="45">
        <v>2965.0</v>
      </c>
      <c r="B1541" s="57"/>
      <c r="C1541" s="57"/>
      <c r="D1541" s="88" t="str">
        <f t="array" ref="D1541">IFERROR(
  LOOKUP(2, 1/((TRIM(IMS!$E$8:$E$2574)=TRIM(IMS!$E1541))*(IMS!$C$8:$C$2574&lt;IMS!$C1541)),
         IMS!$C$8:$C$2574),
"")</f>
        <v/>
      </c>
      <c r="E1541" s="57"/>
      <c r="F1541" s="57"/>
      <c r="G1541" s="77" t="str">
        <f t="shared" si="901"/>
        <v/>
      </c>
      <c r="H1541" s="78" t="str">
        <f t="shared" si="902"/>
        <v/>
      </c>
      <c r="I1541" s="79"/>
      <c r="J1541" s="80" t="str">
        <f t="shared" si="903"/>
        <v>#NAME?</v>
      </c>
      <c r="K1541" s="58"/>
      <c r="L1541" s="58"/>
      <c r="M1541" s="57"/>
      <c r="N1541" s="57"/>
      <c r="O1541" s="58"/>
      <c r="P1541" s="82"/>
      <c r="Q1541" s="81"/>
      <c r="R1541" s="81"/>
      <c r="S1541" s="57"/>
      <c r="T1541" s="82"/>
      <c r="U1541" s="82"/>
      <c r="V1541" s="57"/>
      <c r="W1541" s="57"/>
      <c r="X1541" s="57" t="str">
        <f t="shared" si="917"/>
        <v/>
      </c>
      <c r="Y1541" s="58" t="str">
        <f t="shared" ref="Y1541:AC1541" si="1381">TRIM(SUBSTITUTE(SUBSTITUTE(OFFSET($Q1541,0,COLUMN()-COLUMN($AL$1)),CHAR(160)," "),_xludf.UNICHAR(8239)," "))</f>
        <v>#NAME?</v>
      </c>
      <c r="Z1541" s="58" t="str">
        <f t="shared" si="1381"/>
        <v>#NAME?</v>
      </c>
      <c r="AA1541" s="58" t="str">
        <f t="shared" si="1381"/>
        <v>#NAME?</v>
      </c>
      <c r="AB1541" s="58" t="str">
        <f t="shared" si="1381"/>
        <v>#NAME?</v>
      </c>
      <c r="AC1541" s="58" t="str">
        <f t="shared" si="1381"/>
        <v>#NAME?</v>
      </c>
      <c r="AD1541" s="57">
        <f t="shared" si="906"/>
        <v>0</v>
      </c>
      <c r="AE1541" s="57" t="str">
        <f t="shared" si="907"/>
        <v/>
      </c>
      <c r="AF1541" s="57">
        <f t="shared" si="908"/>
        <v>0</v>
      </c>
      <c r="AG1541" s="59">
        <f t="shared" si="909"/>
        <v>0</v>
      </c>
      <c r="AH1541" s="15"/>
      <c r="AI1541" s="15"/>
      <c r="AJ1541" s="15"/>
      <c r="AK1541" s="15"/>
      <c r="AL1541" s="15"/>
      <c r="AM1541" s="15"/>
      <c r="AN1541" s="15"/>
      <c r="AO1541" s="15"/>
      <c r="AP1541" s="15"/>
      <c r="AQ1541" s="15"/>
      <c r="AR1541" s="15"/>
      <c r="AS1541" s="15"/>
      <c r="AT1541" s="15"/>
      <c r="AU1541" s="15"/>
    </row>
    <row r="1542" ht="24.0" customHeight="1">
      <c r="A1542" s="45">
        <v>2966.0</v>
      </c>
      <c r="B1542" s="57"/>
      <c r="C1542" s="57"/>
      <c r="D1542" s="88" t="str">
        <f t="array" ref="D1542">IFERROR(
  LOOKUP(2, 1/((TRIM(IMS!$E$8:$E$2574)=TRIM(IMS!$E1542))*(IMS!$C$8:$C$2574&lt;IMS!$C1542)),
         IMS!$C$8:$C$2574),
"")</f>
        <v/>
      </c>
      <c r="E1542" s="57"/>
      <c r="F1542" s="57"/>
      <c r="G1542" s="77" t="str">
        <f t="shared" si="901"/>
        <v/>
      </c>
      <c r="H1542" s="78" t="str">
        <f t="shared" si="902"/>
        <v/>
      </c>
      <c r="I1542" s="79"/>
      <c r="J1542" s="80" t="str">
        <f t="shared" si="903"/>
        <v>#NAME?</v>
      </c>
      <c r="K1542" s="58"/>
      <c r="L1542" s="58"/>
      <c r="M1542" s="57"/>
      <c r="N1542" s="57"/>
      <c r="O1542" s="58"/>
      <c r="P1542" s="82"/>
      <c r="Q1542" s="81"/>
      <c r="R1542" s="81"/>
      <c r="S1542" s="57"/>
      <c r="T1542" s="82"/>
      <c r="U1542" s="82"/>
      <c r="V1542" s="57"/>
      <c r="W1542" s="57"/>
      <c r="X1542" s="57" t="str">
        <f t="shared" si="917"/>
        <v/>
      </c>
      <c r="Y1542" s="58" t="str">
        <f t="shared" ref="Y1542:AC1542" si="1382">TRIM(SUBSTITUTE(SUBSTITUTE(OFFSET($Q1542,0,COLUMN()-COLUMN($AL$1)),CHAR(160)," "),_xludf.UNICHAR(8239)," "))</f>
        <v>#NAME?</v>
      </c>
      <c r="Z1542" s="58" t="str">
        <f t="shared" si="1382"/>
        <v>#NAME?</v>
      </c>
      <c r="AA1542" s="58" t="str">
        <f t="shared" si="1382"/>
        <v>#NAME?</v>
      </c>
      <c r="AB1542" s="58" t="str">
        <f t="shared" si="1382"/>
        <v>#NAME?</v>
      </c>
      <c r="AC1542" s="58" t="str">
        <f t="shared" si="1382"/>
        <v>#NAME?</v>
      </c>
      <c r="AD1542" s="57">
        <f t="shared" si="906"/>
        <v>0</v>
      </c>
      <c r="AE1542" s="57" t="str">
        <f t="shared" si="907"/>
        <v/>
      </c>
      <c r="AF1542" s="57">
        <f t="shared" si="908"/>
        <v>0</v>
      </c>
      <c r="AG1542" s="59">
        <f t="shared" si="909"/>
        <v>0</v>
      </c>
      <c r="AH1542" s="15"/>
      <c r="AI1542" s="15"/>
      <c r="AJ1542" s="15"/>
      <c r="AK1542" s="15"/>
      <c r="AL1542" s="15"/>
      <c r="AM1542" s="15"/>
      <c r="AN1542" s="15"/>
      <c r="AO1542" s="15"/>
      <c r="AP1542" s="15"/>
      <c r="AQ1542" s="15"/>
      <c r="AR1542" s="15"/>
      <c r="AS1542" s="15"/>
      <c r="AT1542" s="15"/>
      <c r="AU1542" s="15"/>
    </row>
    <row r="1543" ht="24.0" customHeight="1">
      <c r="A1543" s="45">
        <v>2967.0</v>
      </c>
      <c r="B1543" s="57"/>
      <c r="C1543" s="57"/>
      <c r="D1543" s="88" t="str">
        <f t="array" ref="D1543">IFERROR(
  LOOKUP(2, 1/((TRIM(IMS!$E$8:$E$2574)=TRIM(IMS!$E1543))*(IMS!$C$8:$C$2574&lt;IMS!$C1543)),
         IMS!$C$8:$C$2574),
"")</f>
        <v/>
      </c>
      <c r="E1543" s="57"/>
      <c r="F1543" s="57"/>
      <c r="G1543" s="77" t="str">
        <f t="shared" si="901"/>
        <v/>
      </c>
      <c r="H1543" s="78" t="str">
        <f t="shared" si="902"/>
        <v/>
      </c>
      <c r="I1543" s="79"/>
      <c r="J1543" s="80" t="str">
        <f t="shared" si="903"/>
        <v>#NAME?</v>
      </c>
      <c r="K1543" s="58"/>
      <c r="L1543" s="58"/>
      <c r="M1543" s="57"/>
      <c r="N1543" s="57"/>
      <c r="O1543" s="58"/>
      <c r="P1543" s="82"/>
      <c r="Q1543" s="81"/>
      <c r="R1543" s="81"/>
      <c r="S1543" s="57"/>
      <c r="T1543" s="82"/>
      <c r="U1543" s="82"/>
      <c r="V1543" s="57"/>
      <c r="W1543" s="57"/>
      <c r="X1543" s="57" t="str">
        <f t="shared" si="917"/>
        <v/>
      </c>
      <c r="Y1543" s="58" t="str">
        <f t="shared" ref="Y1543:AC1543" si="1383">TRIM(SUBSTITUTE(SUBSTITUTE(OFFSET($Q1543,0,COLUMN()-COLUMN($AL$1)),CHAR(160)," "),_xludf.UNICHAR(8239)," "))</f>
        <v>#NAME?</v>
      </c>
      <c r="Z1543" s="58" t="str">
        <f t="shared" si="1383"/>
        <v>#NAME?</v>
      </c>
      <c r="AA1543" s="58" t="str">
        <f t="shared" si="1383"/>
        <v>#NAME?</v>
      </c>
      <c r="AB1543" s="58" t="str">
        <f t="shared" si="1383"/>
        <v>#NAME?</v>
      </c>
      <c r="AC1543" s="58" t="str">
        <f t="shared" si="1383"/>
        <v>#NAME?</v>
      </c>
      <c r="AD1543" s="57">
        <f t="shared" si="906"/>
        <v>0</v>
      </c>
      <c r="AE1543" s="57" t="str">
        <f t="shared" si="907"/>
        <v/>
      </c>
      <c r="AF1543" s="57">
        <f t="shared" si="908"/>
        <v>0</v>
      </c>
      <c r="AG1543" s="59">
        <f t="shared" si="909"/>
        <v>0</v>
      </c>
      <c r="AH1543" s="15"/>
      <c r="AI1543" s="15"/>
      <c r="AJ1543" s="15"/>
      <c r="AK1543" s="15"/>
      <c r="AL1543" s="15"/>
      <c r="AM1543" s="15"/>
      <c r="AN1543" s="15"/>
      <c r="AO1543" s="15"/>
      <c r="AP1543" s="15"/>
      <c r="AQ1543" s="15"/>
      <c r="AR1543" s="15"/>
      <c r="AS1543" s="15"/>
      <c r="AT1543" s="15"/>
      <c r="AU1543" s="15"/>
    </row>
    <row r="1544" ht="24.0" customHeight="1">
      <c r="A1544" s="45">
        <v>2968.0</v>
      </c>
      <c r="B1544" s="57"/>
      <c r="C1544" s="57"/>
      <c r="D1544" s="88" t="str">
        <f t="array" ref="D1544">IFERROR(
  LOOKUP(2, 1/((TRIM(IMS!$E$8:$E$2574)=TRIM(IMS!$E1544))*(IMS!$C$8:$C$2574&lt;IMS!$C1544)),
         IMS!$C$8:$C$2574),
"")</f>
        <v/>
      </c>
      <c r="E1544" s="57"/>
      <c r="F1544" s="57"/>
      <c r="G1544" s="77" t="str">
        <f t="shared" si="901"/>
        <v/>
      </c>
      <c r="H1544" s="78" t="str">
        <f t="shared" si="902"/>
        <v/>
      </c>
      <c r="I1544" s="79"/>
      <c r="J1544" s="80" t="str">
        <f t="shared" si="903"/>
        <v>#NAME?</v>
      </c>
      <c r="K1544" s="58"/>
      <c r="L1544" s="58"/>
      <c r="M1544" s="57"/>
      <c r="N1544" s="57"/>
      <c r="O1544" s="58"/>
      <c r="P1544" s="82"/>
      <c r="Q1544" s="81"/>
      <c r="R1544" s="81"/>
      <c r="S1544" s="57"/>
      <c r="T1544" s="82"/>
      <c r="U1544" s="82"/>
      <c r="V1544" s="57"/>
      <c r="W1544" s="57"/>
      <c r="X1544" s="57" t="str">
        <f t="shared" si="917"/>
        <v/>
      </c>
      <c r="Y1544" s="58" t="str">
        <f t="shared" ref="Y1544:AC1544" si="1384">TRIM(SUBSTITUTE(SUBSTITUTE(OFFSET($Q1544,0,COLUMN()-COLUMN($AL$1)),CHAR(160)," "),_xludf.UNICHAR(8239)," "))</f>
        <v>#NAME?</v>
      </c>
      <c r="Z1544" s="58" t="str">
        <f t="shared" si="1384"/>
        <v>#NAME?</v>
      </c>
      <c r="AA1544" s="58" t="str">
        <f t="shared" si="1384"/>
        <v>#NAME?</v>
      </c>
      <c r="AB1544" s="58" t="str">
        <f t="shared" si="1384"/>
        <v>#NAME?</v>
      </c>
      <c r="AC1544" s="58" t="str">
        <f t="shared" si="1384"/>
        <v>#NAME?</v>
      </c>
      <c r="AD1544" s="57">
        <f t="shared" si="906"/>
        <v>0</v>
      </c>
      <c r="AE1544" s="57" t="str">
        <f t="shared" si="907"/>
        <v/>
      </c>
      <c r="AF1544" s="57">
        <f t="shared" si="908"/>
        <v>0</v>
      </c>
      <c r="AG1544" s="59">
        <f t="shared" si="909"/>
        <v>0</v>
      </c>
      <c r="AH1544" s="15"/>
      <c r="AI1544" s="15"/>
      <c r="AJ1544" s="15"/>
      <c r="AK1544" s="15"/>
      <c r="AL1544" s="15"/>
      <c r="AM1544" s="15"/>
      <c r="AN1544" s="15"/>
      <c r="AO1544" s="15"/>
      <c r="AP1544" s="15"/>
      <c r="AQ1544" s="15"/>
      <c r="AR1544" s="15"/>
      <c r="AS1544" s="15"/>
      <c r="AT1544" s="15"/>
      <c r="AU1544" s="15"/>
    </row>
    <row r="1545" ht="24.0" customHeight="1">
      <c r="A1545" s="45">
        <v>2969.0</v>
      </c>
      <c r="B1545" s="57"/>
      <c r="C1545" s="57"/>
      <c r="D1545" s="88" t="str">
        <f t="array" ref="D1545">IFERROR(
  LOOKUP(2, 1/((TRIM(IMS!$E$8:$E$2574)=TRIM(IMS!$E1545))*(IMS!$C$8:$C$2574&lt;IMS!$C1545)),
         IMS!$C$8:$C$2574),
"")</f>
        <v/>
      </c>
      <c r="E1545" s="57"/>
      <c r="F1545" s="57"/>
      <c r="G1545" s="77" t="str">
        <f t="shared" si="901"/>
        <v/>
      </c>
      <c r="H1545" s="78" t="str">
        <f t="shared" si="902"/>
        <v/>
      </c>
      <c r="I1545" s="79"/>
      <c r="J1545" s="80" t="str">
        <f t="shared" si="903"/>
        <v>#NAME?</v>
      </c>
      <c r="K1545" s="58"/>
      <c r="L1545" s="58"/>
      <c r="M1545" s="57"/>
      <c r="N1545" s="57"/>
      <c r="O1545" s="58"/>
      <c r="P1545" s="82"/>
      <c r="Q1545" s="81"/>
      <c r="R1545" s="81"/>
      <c r="S1545" s="57"/>
      <c r="T1545" s="82"/>
      <c r="U1545" s="82"/>
      <c r="V1545" s="57"/>
      <c r="W1545" s="57"/>
      <c r="X1545" s="57" t="str">
        <f t="shared" si="917"/>
        <v/>
      </c>
      <c r="Y1545" s="58" t="str">
        <f t="shared" ref="Y1545:AC1545" si="1385">TRIM(SUBSTITUTE(SUBSTITUTE(OFFSET($Q1545,0,COLUMN()-COLUMN($AL$1)),CHAR(160)," "),_xludf.UNICHAR(8239)," "))</f>
        <v>#NAME?</v>
      </c>
      <c r="Z1545" s="58" t="str">
        <f t="shared" si="1385"/>
        <v>#NAME?</v>
      </c>
      <c r="AA1545" s="58" t="str">
        <f t="shared" si="1385"/>
        <v>#NAME?</v>
      </c>
      <c r="AB1545" s="58" t="str">
        <f t="shared" si="1385"/>
        <v>#NAME?</v>
      </c>
      <c r="AC1545" s="58" t="str">
        <f t="shared" si="1385"/>
        <v>#NAME?</v>
      </c>
      <c r="AD1545" s="57">
        <f t="shared" si="906"/>
        <v>0</v>
      </c>
      <c r="AE1545" s="57" t="str">
        <f t="shared" si="907"/>
        <v/>
      </c>
      <c r="AF1545" s="57">
        <f t="shared" si="908"/>
        <v>0</v>
      </c>
      <c r="AG1545" s="59">
        <f t="shared" si="909"/>
        <v>0</v>
      </c>
      <c r="AH1545" s="15"/>
      <c r="AI1545" s="15"/>
      <c r="AJ1545" s="15"/>
      <c r="AK1545" s="15"/>
      <c r="AL1545" s="15"/>
      <c r="AM1545" s="15"/>
      <c r="AN1545" s="15"/>
      <c r="AO1545" s="15"/>
      <c r="AP1545" s="15"/>
      <c r="AQ1545" s="15"/>
      <c r="AR1545" s="15"/>
      <c r="AS1545" s="15"/>
      <c r="AT1545" s="15"/>
      <c r="AU1545" s="15"/>
    </row>
    <row r="1546" ht="24.0" customHeight="1">
      <c r="A1546" s="45">
        <v>2970.0</v>
      </c>
      <c r="B1546" s="57"/>
      <c r="C1546" s="57"/>
      <c r="D1546" s="88" t="str">
        <f t="array" ref="D1546">IFERROR(
  LOOKUP(2, 1/((TRIM(IMS!$E$8:$E$2574)=TRIM(IMS!$E1546))*(IMS!$C$8:$C$2574&lt;IMS!$C1546)),
         IMS!$C$8:$C$2574),
"")</f>
        <v/>
      </c>
      <c r="E1546" s="57"/>
      <c r="F1546" s="57"/>
      <c r="G1546" s="77" t="str">
        <f t="shared" si="901"/>
        <v/>
      </c>
      <c r="H1546" s="78" t="str">
        <f t="shared" si="902"/>
        <v/>
      </c>
      <c r="I1546" s="79"/>
      <c r="J1546" s="80" t="str">
        <f t="shared" si="903"/>
        <v>#NAME?</v>
      </c>
      <c r="K1546" s="58"/>
      <c r="L1546" s="58"/>
      <c r="M1546" s="57"/>
      <c r="N1546" s="57"/>
      <c r="O1546" s="58"/>
      <c r="P1546" s="82"/>
      <c r="Q1546" s="81"/>
      <c r="R1546" s="81"/>
      <c r="S1546" s="57"/>
      <c r="T1546" s="82"/>
      <c r="U1546" s="82"/>
      <c r="V1546" s="57"/>
      <c r="W1546" s="57"/>
      <c r="X1546" s="57" t="str">
        <f t="shared" si="917"/>
        <v/>
      </c>
      <c r="Y1546" s="58" t="str">
        <f t="shared" ref="Y1546:AC1546" si="1386">TRIM(SUBSTITUTE(SUBSTITUTE(OFFSET($Q1546,0,COLUMN()-COLUMN($AL$1)),CHAR(160)," "),_xludf.UNICHAR(8239)," "))</f>
        <v>#NAME?</v>
      </c>
      <c r="Z1546" s="58" t="str">
        <f t="shared" si="1386"/>
        <v>#NAME?</v>
      </c>
      <c r="AA1546" s="58" t="str">
        <f t="shared" si="1386"/>
        <v>#NAME?</v>
      </c>
      <c r="AB1546" s="58" t="str">
        <f t="shared" si="1386"/>
        <v>#NAME?</v>
      </c>
      <c r="AC1546" s="58" t="str">
        <f t="shared" si="1386"/>
        <v>#NAME?</v>
      </c>
      <c r="AD1546" s="57">
        <f t="shared" si="906"/>
        <v>0</v>
      </c>
      <c r="AE1546" s="57" t="str">
        <f t="shared" si="907"/>
        <v/>
      </c>
      <c r="AF1546" s="57">
        <f t="shared" si="908"/>
        <v>0</v>
      </c>
      <c r="AG1546" s="59">
        <f t="shared" si="909"/>
        <v>0</v>
      </c>
      <c r="AH1546" s="15"/>
      <c r="AI1546" s="15"/>
      <c r="AJ1546" s="15"/>
      <c r="AK1546" s="15"/>
      <c r="AL1546" s="15"/>
      <c r="AM1546" s="15"/>
      <c r="AN1546" s="15"/>
      <c r="AO1546" s="15"/>
      <c r="AP1546" s="15"/>
      <c r="AQ1546" s="15"/>
      <c r="AR1546" s="15"/>
      <c r="AS1546" s="15"/>
      <c r="AT1546" s="15"/>
      <c r="AU1546" s="15"/>
    </row>
    <row r="1547" ht="24.0" customHeight="1">
      <c r="A1547" s="45">
        <v>2971.0</v>
      </c>
      <c r="B1547" s="57"/>
      <c r="C1547" s="57"/>
      <c r="D1547" s="88" t="str">
        <f t="array" ref="D1547">IFERROR(
  LOOKUP(2, 1/((TRIM(IMS!$E$8:$E$2574)=TRIM(IMS!$E1547))*(IMS!$C$8:$C$2574&lt;IMS!$C1547)),
         IMS!$C$8:$C$2574),
"")</f>
        <v/>
      </c>
      <c r="E1547" s="57"/>
      <c r="F1547" s="57"/>
      <c r="G1547" s="77" t="str">
        <f t="shared" si="901"/>
        <v/>
      </c>
      <c r="H1547" s="78" t="str">
        <f t="shared" si="902"/>
        <v/>
      </c>
      <c r="I1547" s="79"/>
      <c r="J1547" s="80" t="str">
        <f t="shared" si="903"/>
        <v>#NAME?</v>
      </c>
      <c r="K1547" s="58"/>
      <c r="L1547" s="58"/>
      <c r="M1547" s="57"/>
      <c r="N1547" s="57"/>
      <c r="O1547" s="58"/>
      <c r="P1547" s="82"/>
      <c r="Q1547" s="81"/>
      <c r="R1547" s="81"/>
      <c r="S1547" s="57"/>
      <c r="T1547" s="82"/>
      <c r="U1547" s="82"/>
      <c r="V1547" s="57"/>
      <c r="W1547" s="57"/>
      <c r="X1547" s="57" t="str">
        <f t="shared" si="917"/>
        <v/>
      </c>
      <c r="Y1547" s="58" t="str">
        <f t="shared" ref="Y1547:AC1547" si="1387">TRIM(SUBSTITUTE(SUBSTITUTE(OFFSET($Q1547,0,COLUMN()-COLUMN($AL$1)),CHAR(160)," "),_xludf.UNICHAR(8239)," "))</f>
        <v>#NAME?</v>
      </c>
      <c r="Z1547" s="58" t="str">
        <f t="shared" si="1387"/>
        <v>#NAME?</v>
      </c>
      <c r="AA1547" s="58" t="str">
        <f t="shared" si="1387"/>
        <v>#NAME?</v>
      </c>
      <c r="AB1547" s="58" t="str">
        <f t="shared" si="1387"/>
        <v>#NAME?</v>
      </c>
      <c r="AC1547" s="58" t="str">
        <f t="shared" si="1387"/>
        <v>#NAME?</v>
      </c>
      <c r="AD1547" s="57">
        <f t="shared" si="906"/>
        <v>0</v>
      </c>
      <c r="AE1547" s="57" t="str">
        <f t="shared" si="907"/>
        <v/>
      </c>
      <c r="AF1547" s="57">
        <f t="shared" si="908"/>
        <v>0</v>
      </c>
      <c r="AG1547" s="59">
        <f t="shared" si="909"/>
        <v>0</v>
      </c>
      <c r="AH1547" s="15"/>
      <c r="AI1547" s="15"/>
      <c r="AJ1547" s="15"/>
      <c r="AK1547" s="15"/>
      <c r="AL1547" s="15"/>
      <c r="AM1547" s="15"/>
      <c r="AN1547" s="15"/>
      <c r="AO1547" s="15"/>
      <c r="AP1547" s="15"/>
      <c r="AQ1547" s="15"/>
      <c r="AR1547" s="15"/>
      <c r="AS1547" s="15"/>
      <c r="AT1547" s="15"/>
      <c r="AU1547" s="15"/>
    </row>
    <row r="1548" ht="24.0" customHeight="1">
      <c r="A1548" s="45">
        <v>2972.0</v>
      </c>
      <c r="B1548" s="57"/>
      <c r="C1548" s="57"/>
      <c r="D1548" s="88" t="str">
        <f t="array" ref="D1548">IFERROR(
  LOOKUP(2, 1/((TRIM(IMS!$E$8:$E$2574)=TRIM(IMS!$E1548))*(IMS!$C$8:$C$2574&lt;IMS!$C1548)),
         IMS!$C$8:$C$2574),
"")</f>
        <v/>
      </c>
      <c r="E1548" s="57"/>
      <c r="F1548" s="57"/>
      <c r="G1548" s="77" t="str">
        <f t="shared" si="901"/>
        <v/>
      </c>
      <c r="H1548" s="78" t="str">
        <f t="shared" si="902"/>
        <v/>
      </c>
      <c r="I1548" s="79"/>
      <c r="J1548" s="80" t="str">
        <f t="shared" si="903"/>
        <v>#NAME?</v>
      </c>
      <c r="K1548" s="58"/>
      <c r="L1548" s="58"/>
      <c r="M1548" s="57"/>
      <c r="N1548" s="57"/>
      <c r="O1548" s="58"/>
      <c r="P1548" s="82"/>
      <c r="Q1548" s="81"/>
      <c r="R1548" s="81"/>
      <c r="S1548" s="57"/>
      <c r="T1548" s="82"/>
      <c r="U1548" s="82"/>
      <c r="V1548" s="57"/>
      <c r="W1548" s="57"/>
      <c r="X1548" s="57" t="str">
        <f t="shared" si="917"/>
        <v/>
      </c>
      <c r="Y1548" s="58" t="str">
        <f t="shared" ref="Y1548:AC1548" si="1388">TRIM(SUBSTITUTE(SUBSTITUTE(OFFSET($Q1548,0,COLUMN()-COLUMN($AL$1)),CHAR(160)," "),_xludf.UNICHAR(8239)," "))</f>
        <v>#NAME?</v>
      </c>
      <c r="Z1548" s="58" t="str">
        <f t="shared" si="1388"/>
        <v>#NAME?</v>
      </c>
      <c r="AA1548" s="58" t="str">
        <f t="shared" si="1388"/>
        <v>#NAME?</v>
      </c>
      <c r="AB1548" s="58" t="str">
        <f t="shared" si="1388"/>
        <v>#NAME?</v>
      </c>
      <c r="AC1548" s="58" t="str">
        <f t="shared" si="1388"/>
        <v>#NAME?</v>
      </c>
      <c r="AD1548" s="57">
        <f t="shared" si="906"/>
        <v>0</v>
      </c>
      <c r="AE1548" s="57" t="str">
        <f t="shared" si="907"/>
        <v/>
      </c>
      <c r="AF1548" s="57">
        <f t="shared" si="908"/>
        <v>0</v>
      </c>
      <c r="AG1548" s="59">
        <f t="shared" si="909"/>
        <v>0</v>
      </c>
      <c r="AH1548" s="15"/>
      <c r="AI1548" s="15"/>
      <c r="AJ1548" s="15"/>
      <c r="AK1548" s="15"/>
      <c r="AL1548" s="15"/>
      <c r="AM1548" s="15"/>
      <c r="AN1548" s="15"/>
      <c r="AO1548" s="15"/>
      <c r="AP1548" s="15"/>
      <c r="AQ1548" s="15"/>
      <c r="AR1548" s="15"/>
      <c r="AS1548" s="15"/>
      <c r="AT1548" s="15"/>
      <c r="AU1548" s="15"/>
    </row>
    <row r="1549" ht="24.0" customHeight="1">
      <c r="A1549" s="45">
        <v>2973.0</v>
      </c>
      <c r="B1549" s="57"/>
      <c r="C1549" s="57"/>
      <c r="D1549" s="88" t="str">
        <f t="array" ref="D1549">IFERROR(
  LOOKUP(2, 1/((TRIM(IMS!$E$8:$E$2574)=TRIM(IMS!$E1549))*(IMS!$C$8:$C$2574&lt;IMS!$C1549)),
         IMS!$C$8:$C$2574),
"")</f>
        <v/>
      </c>
      <c r="E1549" s="57"/>
      <c r="F1549" s="57"/>
      <c r="G1549" s="77" t="str">
        <f t="shared" si="901"/>
        <v/>
      </c>
      <c r="H1549" s="78" t="str">
        <f t="shared" si="902"/>
        <v/>
      </c>
      <c r="I1549" s="79"/>
      <c r="J1549" s="80" t="str">
        <f t="shared" si="903"/>
        <v>#NAME?</v>
      </c>
      <c r="K1549" s="58"/>
      <c r="L1549" s="58"/>
      <c r="M1549" s="57"/>
      <c r="N1549" s="57"/>
      <c r="O1549" s="58"/>
      <c r="P1549" s="82"/>
      <c r="Q1549" s="81"/>
      <c r="R1549" s="81"/>
      <c r="S1549" s="57"/>
      <c r="T1549" s="82"/>
      <c r="U1549" s="82"/>
      <c r="V1549" s="57"/>
      <c r="W1549" s="57"/>
      <c r="X1549" s="57" t="str">
        <f t="shared" si="917"/>
        <v/>
      </c>
      <c r="Y1549" s="58" t="str">
        <f t="shared" ref="Y1549:AC1549" si="1389">TRIM(SUBSTITUTE(SUBSTITUTE(OFFSET($Q1549,0,COLUMN()-COLUMN($AL$1)),CHAR(160)," "),_xludf.UNICHAR(8239)," "))</f>
        <v>#NAME?</v>
      </c>
      <c r="Z1549" s="58" t="str">
        <f t="shared" si="1389"/>
        <v>#NAME?</v>
      </c>
      <c r="AA1549" s="58" t="str">
        <f t="shared" si="1389"/>
        <v>#NAME?</v>
      </c>
      <c r="AB1549" s="58" t="str">
        <f t="shared" si="1389"/>
        <v>#NAME?</v>
      </c>
      <c r="AC1549" s="58" t="str">
        <f t="shared" si="1389"/>
        <v>#NAME?</v>
      </c>
      <c r="AD1549" s="57">
        <f t="shared" si="906"/>
        <v>0</v>
      </c>
      <c r="AE1549" s="57" t="str">
        <f t="shared" si="907"/>
        <v/>
      </c>
      <c r="AF1549" s="57">
        <f t="shared" si="908"/>
        <v>0</v>
      </c>
      <c r="AG1549" s="59">
        <f t="shared" si="909"/>
        <v>0</v>
      </c>
      <c r="AH1549" s="15"/>
      <c r="AI1549" s="15"/>
      <c r="AJ1549" s="15"/>
      <c r="AK1549" s="15"/>
      <c r="AL1549" s="15"/>
      <c r="AM1549" s="15"/>
      <c r="AN1549" s="15"/>
      <c r="AO1549" s="15"/>
      <c r="AP1549" s="15"/>
      <c r="AQ1549" s="15"/>
      <c r="AR1549" s="15"/>
      <c r="AS1549" s="15"/>
      <c r="AT1549" s="15"/>
      <c r="AU1549" s="15"/>
    </row>
    <row r="1550" ht="24.0" customHeight="1">
      <c r="A1550" s="45">
        <v>2974.0</v>
      </c>
      <c r="B1550" s="57"/>
      <c r="C1550" s="57"/>
      <c r="D1550" s="88" t="str">
        <f t="array" ref="D1550">IFERROR(
  LOOKUP(2, 1/((TRIM(IMS!$E$8:$E$2574)=TRIM(IMS!$E1550))*(IMS!$C$8:$C$2574&lt;IMS!$C1550)),
         IMS!$C$8:$C$2574),
"")</f>
        <v/>
      </c>
      <c r="E1550" s="57"/>
      <c r="F1550" s="57"/>
      <c r="G1550" s="77" t="str">
        <f t="shared" si="901"/>
        <v/>
      </c>
      <c r="H1550" s="78" t="str">
        <f t="shared" si="902"/>
        <v/>
      </c>
      <c r="I1550" s="79"/>
      <c r="J1550" s="80" t="str">
        <f t="shared" si="903"/>
        <v>#NAME?</v>
      </c>
      <c r="K1550" s="58"/>
      <c r="L1550" s="58"/>
      <c r="M1550" s="57"/>
      <c r="N1550" s="57"/>
      <c r="O1550" s="58"/>
      <c r="P1550" s="82"/>
      <c r="Q1550" s="81"/>
      <c r="R1550" s="81"/>
      <c r="S1550" s="57"/>
      <c r="T1550" s="82"/>
      <c r="U1550" s="82"/>
      <c r="V1550" s="57"/>
      <c r="W1550" s="57"/>
      <c r="X1550" s="57" t="str">
        <f t="shared" si="917"/>
        <v/>
      </c>
      <c r="Y1550" s="58" t="str">
        <f t="shared" ref="Y1550:AC1550" si="1390">TRIM(SUBSTITUTE(SUBSTITUTE(OFFSET($Q1550,0,COLUMN()-COLUMN($AL$1)),CHAR(160)," "),_xludf.UNICHAR(8239)," "))</f>
        <v>#NAME?</v>
      </c>
      <c r="Z1550" s="58" t="str">
        <f t="shared" si="1390"/>
        <v>#NAME?</v>
      </c>
      <c r="AA1550" s="58" t="str">
        <f t="shared" si="1390"/>
        <v>#NAME?</v>
      </c>
      <c r="AB1550" s="58" t="str">
        <f t="shared" si="1390"/>
        <v>#NAME?</v>
      </c>
      <c r="AC1550" s="58" t="str">
        <f t="shared" si="1390"/>
        <v>#NAME?</v>
      </c>
      <c r="AD1550" s="57">
        <f t="shared" si="906"/>
        <v>0</v>
      </c>
      <c r="AE1550" s="57" t="str">
        <f t="shared" si="907"/>
        <v/>
      </c>
      <c r="AF1550" s="57">
        <f t="shared" si="908"/>
        <v>0</v>
      </c>
      <c r="AG1550" s="59">
        <f t="shared" si="909"/>
        <v>0</v>
      </c>
      <c r="AH1550" s="15"/>
      <c r="AI1550" s="15"/>
      <c r="AJ1550" s="15"/>
      <c r="AK1550" s="15"/>
      <c r="AL1550" s="15"/>
      <c r="AM1550" s="15"/>
      <c r="AN1550" s="15"/>
      <c r="AO1550" s="15"/>
      <c r="AP1550" s="15"/>
      <c r="AQ1550" s="15"/>
      <c r="AR1550" s="15"/>
      <c r="AS1550" s="15"/>
      <c r="AT1550" s="15"/>
      <c r="AU1550" s="15"/>
    </row>
    <row r="1551" ht="24.0" customHeight="1">
      <c r="A1551" s="45">
        <v>2975.0</v>
      </c>
      <c r="B1551" s="57"/>
      <c r="C1551" s="57"/>
      <c r="D1551" s="88" t="str">
        <f t="array" ref="D1551">IFERROR(
  LOOKUP(2, 1/((TRIM(IMS!$E$8:$E$2574)=TRIM(IMS!$E1551))*(IMS!$C$8:$C$2574&lt;IMS!$C1551)),
         IMS!$C$8:$C$2574),
"")</f>
        <v/>
      </c>
      <c r="E1551" s="57"/>
      <c r="F1551" s="57"/>
      <c r="G1551" s="77" t="str">
        <f t="shared" si="901"/>
        <v/>
      </c>
      <c r="H1551" s="78" t="str">
        <f t="shared" si="902"/>
        <v/>
      </c>
      <c r="I1551" s="79"/>
      <c r="J1551" s="80" t="str">
        <f t="shared" si="903"/>
        <v>#NAME?</v>
      </c>
      <c r="K1551" s="58"/>
      <c r="L1551" s="58"/>
      <c r="M1551" s="57"/>
      <c r="N1551" s="57"/>
      <c r="O1551" s="58"/>
      <c r="P1551" s="82"/>
      <c r="Q1551" s="81"/>
      <c r="R1551" s="81"/>
      <c r="S1551" s="57"/>
      <c r="T1551" s="82"/>
      <c r="U1551" s="82"/>
      <c r="V1551" s="57"/>
      <c r="W1551" s="57"/>
      <c r="X1551" s="57" t="str">
        <f t="shared" si="917"/>
        <v/>
      </c>
      <c r="Y1551" s="58" t="str">
        <f t="shared" ref="Y1551:AC1551" si="1391">TRIM(SUBSTITUTE(SUBSTITUTE(OFFSET($Q1551,0,COLUMN()-COLUMN($AL$1)),CHAR(160)," "),_xludf.UNICHAR(8239)," "))</f>
        <v>#NAME?</v>
      </c>
      <c r="Z1551" s="58" t="str">
        <f t="shared" si="1391"/>
        <v>#NAME?</v>
      </c>
      <c r="AA1551" s="58" t="str">
        <f t="shared" si="1391"/>
        <v>#NAME?</v>
      </c>
      <c r="AB1551" s="58" t="str">
        <f t="shared" si="1391"/>
        <v>#NAME?</v>
      </c>
      <c r="AC1551" s="58" t="str">
        <f t="shared" si="1391"/>
        <v>#NAME?</v>
      </c>
      <c r="AD1551" s="57">
        <f t="shared" si="906"/>
        <v>0</v>
      </c>
      <c r="AE1551" s="57" t="str">
        <f t="shared" si="907"/>
        <v/>
      </c>
      <c r="AF1551" s="57">
        <f t="shared" si="908"/>
        <v>0</v>
      </c>
      <c r="AG1551" s="59">
        <f t="shared" si="909"/>
        <v>0</v>
      </c>
      <c r="AH1551" s="15"/>
      <c r="AI1551" s="15"/>
      <c r="AJ1551" s="15"/>
      <c r="AK1551" s="15"/>
      <c r="AL1551" s="15"/>
      <c r="AM1551" s="15"/>
      <c r="AN1551" s="15"/>
      <c r="AO1551" s="15"/>
      <c r="AP1551" s="15"/>
      <c r="AQ1551" s="15"/>
      <c r="AR1551" s="15"/>
      <c r="AS1551" s="15"/>
      <c r="AT1551" s="15"/>
      <c r="AU1551" s="15"/>
    </row>
    <row r="1552" ht="24.0" customHeight="1">
      <c r="A1552" s="45">
        <v>2976.0</v>
      </c>
      <c r="B1552" s="57"/>
      <c r="C1552" s="57"/>
      <c r="D1552" s="88" t="str">
        <f t="array" ref="D1552">IFERROR(
  LOOKUP(2, 1/((TRIM(IMS!$E$8:$E$2574)=TRIM(IMS!$E1552))*(IMS!$C$8:$C$2574&lt;IMS!$C1552)),
         IMS!$C$8:$C$2574),
"")</f>
        <v/>
      </c>
      <c r="E1552" s="57"/>
      <c r="F1552" s="57"/>
      <c r="G1552" s="77" t="str">
        <f t="shared" si="901"/>
        <v/>
      </c>
      <c r="H1552" s="78" t="str">
        <f t="shared" si="902"/>
        <v/>
      </c>
      <c r="I1552" s="79"/>
      <c r="J1552" s="80" t="str">
        <f t="shared" si="903"/>
        <v>#NAME?</v>
      </c>
      <c r="K1552" s="58"/>
      <c r="L1552" s="58"/>
      <c r="M1552" s="57"/>
      <c r="N1552" s="57"/>
      <c r="O1552" s="58"/>
      <c r="P1552" s="82"/>
      <c r="Q1552" s="81"/>
      <c r="R1552" s="81"/>
      <c r="S1552" s="57"/>
      <c r="T1552" s="82"/>
      <c r="U1552" s="82"/>
      <c r="V1552" s="57"/>
      <c r="W1552" s="57"/>
      <c r="X1552" s="57" t="str">
        <f t="shared" si="917"/>
        <v/>
      </c>
      <c r="Y1552" s="58" t="str">
        <f t="shared" ref="Y1552:AC1552" si="1392">TRIM(SUBSTITUTE(SUBSTITUTE(OFFSET($Q1552,0,COLUMN()-COLUMN($AL$1)),CHAR(160)," "),_xludf.UNICHAR(8239)," "))</f>
        <v>#NAME?</v>
      </c>
      <c r="Z1552" s="58" t="str">
        <f t="shared" si="1392"/>
        <v>#NAME?</v>
      </c>
      <c r="AA1552" s="58" t="str">
        <f t="shared" si="1392"/>
        <v>#NAME?</v>
      </c>
      <c r="AB1552" s="58" t="str">
        <f t="shared" si="1392"/>
        <v>#NAME?</v>
      </c>
      <c r="AC1552" s="58" t="str">
        <f t="shared" si="1392"/>
        <v>#NAME?</v>
      </c>
      <c r="AD1552" s="57">
        <f t="shared" si="906"/>
        <v>0</v>
      </c>
      <c r="AE1552" s="57" t="str">
        <f t="shared" si="907"/>
        <v/>
      </c>
      <c r="AF1552" s="57">
        <f t="shared" si="908"/>
        <v>0</v>
      </c>
      <c r="AG1552" s="59">
        <f t="shared" si="909"/>
        <v>0</v>
      </c>
      <c r="AH1552" s="15"/>
      <c r="AI1552" s="15"/>
      <c r="AJ1552" s="15"/>
      <c r="AK1552" s="15"/>
      <c r="AL1552" s="15"/>
      <c r="AM1552" s="15"/>
      <c r="AN1552" s="15"/>
      <c r="AO1552" s="15"/>
      <c r="AP1552" s="15"/>
      <c r="AQ1552" s="15"/>
      <c r="AR1552" s="15"/>
      <c r="AS1552" s="15"/>
      <c r="AT1552" s="15"/>
      <c r="AU1552" s="15"/>
    </row>
    <row r="1553" ht="24.0" customHeight="1">
      <c r="A1553" s="45">
        <v>2977.0</v>
      </c>
      <c r="B1553" s="57"/>
      <c r="C1553" s="57"/>
      <c r="D1553" s="88" t="str">
        <f t="array" ref="D1553">IFERROR(
  LOOKUP(2, 1/((TRIM(IMS!$E$8:$E$2574)=TRIM(IMS!$E1553))*(IMS!$C$8:$C$2574&lt;IMS!$C1553)),
         IMS!$C$8:$C$2574),
"")</f>
        <v/>
      </c>
      <c r="E1553" s="57"/>
      <c r="F1553" s="57"/>
      <c r="G1553" s="77" t="str">
        <f t="shared" si="901"/>
        <v/>
      </c>
      <c r="H1553" s="78" t="str">
        <f t="shared" si="902"/>
        <v/>
      </c>
      <c r="I1553" s="79"/>
      <c r="J1553" s="80" t="str">
        <f t="shared" si="903"/>
        <v>#NAME?</v>
      </c>
      <c r="K1553" s="58"/>
      <c r="L1553" s="58"/>
      <c r="M1553" s="57"/>
      <c r="N1553" s="57"/>
      <c r="O1553" s="58"/>
      <c r="P1553" s="82"/>
      <c r="Q1553" s="81"/>
      <c r="R1553" s="81"/>
      <c r="S1553" s="57"/>
      <c r="T1553" s="82"/>
      <c r="U1553" s="82"/>
      <c r="V1553" s="57"/>
      <c r="W1553" s="57"/>
      <c r="X1553" s="57" t="str">
        <f t="shared" si="917"/>
        <v/>
      </c>
      <c r="Y1553" s="58" t="str">
        <f t="shared" ref="Y1553:AC1553" si="1393">TRIM(SUBSTITUTE(SUBSTITUTE(OFFSET($Q1553,0,COLUMN()-COLUMN($AL$1)),CHAR(160)," "),_xludf.UNICHAR(8239)," "))</f>
        <v>#NAME?</v>
      </c>
      <c r="Z1553" s="58" t="str">
        <f t="shared" si="1393"/>
        <v>#NAME?</v>
      </c>
      <c r="AA1553" s="58" t="str">
        <f t="shared" si="1393"/>
        <v>#NAME?</v>
      </c>
      <c r="AB1553" s="58" t="str">
        <f t="shared" si="1393"/>
        <v>#NAME?</v>
      </c>
      <c r="AC1553" s="58" t="str">
        <f t="shared" si="1393"/>
        <v>#NAME?</v>
      </c>
      <c r="AD1553" s="57">
        <f t="shared" si="906"/>
        <v>0</v>
      </c>
      <c r="AE1553" s="57" t="str">
        <f t="shared" si="907"/>
        <v/>
      </c>
      <c r="AF1553" s="57">
        <f t="shared" si="908"/>
        <v>0</v>
      </c>
      <c r="AG1553" s="59">
        <f t="shared" si="909"/>
        <v>0</v>
      </c>
      <c r="AH1553" s="15"/>
      <c r="AI1553" s="15"/>
      <c r="AJ1553" s="15"/>
      <c r="AK1553" s="15"/>
      <c r="AL1553" s="15"/>
      <c r="AM1553" s="15"/>
      <c r="AN1553" s="15"/>
      <c r="AO1553" s="15"/>
      <c r="AP1553" s="15"/>
      <c r="AQ1553" s="15"/>
      <c r="AR1553" s="15"/>
      <c r="AS1553" s="15"/>
      <c r="AT1553" s="15"/>
      <c r="AU1553" s="15"/>
    </row>
    <row r="1554" ht="24.0" customHeight="1">
      <c r="A1554" s="45">
        <v>2978.0</v>
      </c>
      <c r="B1554" s="57"/>
      <c r="C1554" s="57"/>
      <c r="D1554" s="88" t="str">
        <f t="array" ref="D1554">IFERROR(
  LOOKUP(2, 1/((TRIM(IMS!$E$8:$E$2574)=TRIM(IMS!$E1554))*(IMS!$C$8:$C$2574&lt;IMS!$C1554)),
         IMS!$C$8:$C$2574),
"")</f>
        <v/>
      </c>
      <c r="E1554" s="57"/>
      <c r="F1554" s="57"/>
      <c r="G1554" s="77" t="str">
        <f t="shared" si="901"/>
        <v/>
      </c>
      <c r="H1554" s="78" t="str">
        <f t="shared" si="902"/>
        <v/>
      </c>
      <c r="I1554" s="79"/>
      <c r="J1554" s="80" t="str">
        <f t="shared" si="903"/>
        <v>#NAME?</v>
      </c>
      <c r="K1554" s="58"/>
      <c r="L1554" s="58"/>
      <c r="M1554" s="57"/>
      <c r="N1554" s="57"/>
      <c r="O1554" s="58"/>
      <c r="P1554" s="82"/>
      <c r="Q1554" s="81"/>
      <c r="R1554" s="81"/>
      <c r="S1554" s="57"/>
      <c r="T1554" s="82"/>
      <c r="U1554" s="82"/>
      <c r="V1554" s="57"/>
      <c r="W1554" s="57"/>
      <c r="X1554" s="57" t="str">
        <f t="shared" si="917"/>
        <v/>
      </c>
      <c r="Y1554" s="58" t="str">
        <f t="shared" ref="Y1554:AC1554" si="1394">TRIM(SUBSTITUTE(SUBSTITUTE(OFFSET($Q1554,0,COLUMN()-COLUMN($AL$1)),CHAR(160)," "),_xludf.UNICHAR(8239)," "))</f>
        <v>#NAME?</v>
      </c>
      <c r="Z1554" s="58" t="str">
        <f t="shared" si="1394"/>
        <v>#NAME?</v>
      </c>
      <c r="AA1554" s="58" t="str">
        <f t="shared" si="1394"/>
        <v>#NAME?</v>
      </c>
      <c r="AB1554" s="58" t="str">
        <f t="shared" si="1394"/>
        <v>#NAME?</v>
      </c>
      <c r="AC1554" s="58" t="str">
        <f t="shared" si="1394"/>
        <v>#NAME?</v>
      </c>
      <c r="AD1554" s="57">
        <f t="shared" si="906"/>
        <v>0</v>
      </c>
      <c r="AE1554" s="57" t="str">
        <f t="shared" si="907"/>
        <v/>
      </c>
      <c r="AF1554" s="57">
        <f t="shared" si="908"/>
        <v>0</v>
      </c>
      <c r="AG1554" s="59">
        <f t="shared" si="909"/>
        <v>0</v>
      </c>
      <c r="AH1554" s="15"/>
      <c r="AI1554" s="15"/>
      <c r="AJ1554" s="15"/>
      <c r="AK1554" s="15"/>
      <c r="AL1554" s="15"/>
      <c r="AM1554" s="15"/>
      <c r="AN1554" s="15"/>
      <c r="AO1554" s="15"/>
      <c r="AP1554" s="15"/>
      <c r="AQ1554" s="15"/>
      <c r="AR1554" s="15"/>
      <c r="AS1554" s="15"/>
      <c r="AT1554" s="15"/>
      <c r="AU1554" s="15"/>
    </row>
    <row r="1555" ht="24.0" customHeight="1">
      <c r="A1555" s="45">
        <v>2979.0</v>
      </c>
      <c r="B1555" s="57"/>
      <c r="C1555" s="57"/>
      <c r="D1555" s="88" t="str">
        <f t="array" ref="D1555">IFERROR(
  LOOKUP(2, 1/((TRIM(IMS!$E$8:$E$2574)=TRIM(IMS!$E1555))*(IMS!$C$8:$C$2574&lt;IMS!$C1555)),
         IMS!$C$8:$C$2574),
"")</f>
        <v/>
      </c>
      <c r="E1555" s="57"/>
      <c r="F1555" s="57"/>
      <c r="G1555" s="77" t="str">
        <f t="shared" si="901"/>
        <v/>
      </c>
      <c r="H1555" s="78" t="str">
        <f t="shared" si="902"/>
        <v/>
      </c>
      <c r="I1555" s="79"/>
      <c r="J1555" s="80" t="str">
        <f t="shared" si="903"/>
        <v>#NAME?</v>
      </c>
      <c r="K1555" s="58"/>
      <c r="L1555" s="58"/>
      <c r="M1555" s="57"/>
      <c r="N1555" s="57"/>
      <c r="O1555" s="58"/>
      <c r="P1555" s="82"/>
      <c r="Q1555" s="81"/>
      <c r="R1555" s="81"/>
      <c r="S1555" s="57"/>
      <c r="T1555" s="82"/>
      <c r="U1555" s="82"/>
      <c r="V1555" s="57"/>
      <c r="W1555" s="57"/>
      <c r="X1555" s="57" t="str">
        <f t="shared" si="917"/>
        <v/>
      </c>
      <c r="Y1555" s="58" t="str">
        <f t="shared" ref="Y1555:AC1555" si="1395">TRIM(SUBSTITUTE(SUBSTITUTE(OFFSET($Q1555,0,COLUMN()-COLUMN($AL$1)),CHAR(160)," "),_xludf.UNICHAR(8239)," "))</f>
        <v>#NAME?</v>
      </c>
      <c r="Z1555" s="58" t="str">
        <f t="shared" si="1395"/>
        <v>#NAME?</v>
      </c>
      <c r="AA1555" s="58" t="str">
        <f t="shared" si="1395"/>
        <v>#NAME?</v>
      </c>
      <c r="AB1555" s="58" t="str">
        <f t="shared" si="1395"/>
        <v>#NAME?</v>
      </c>
      <c r="AC1555" s="58" t="str">
        <f t="shared" si="1395"/>
        <v>#NAME?</v>
      </c>
      <c r="AD1555" s="57">
        <f t="shared" si="906"/>
        <v>0</v>
      </c>
      <c r="AE1555" s="57" t="str">
        <f t="shared" si="907"/>
        <v/>
      </c>
      <c r="AF1555" s="57">
        <f t="shared" si="908"/>
        <v>0</v>
      </c>
      <c r="AG1555" s="59">
        <f t="shared" si="909"/>
        <v>0</v>
      </c>
      <c r="AH1555" s="15"/>
      <c r="AI1555" s="15"/>
      <c r="AJ1555" s="15"/>
      <c r="AK1555" s="15"/>
      <c r="AL1555" s="15"/>
      <c r="AM1555" s="15"/>
      <c r="AN1555" s="15"/>
      <c r="AO1555" s="15"/>
      <c r="AP1555" s="15"/>
      <c r="AQ1555" s="15"/>
      <c r="AR1555" s="15"/>
      <c r="AS1555" s="15"/>
      <c r="AT1555" s="15"/>
      <c r="AU1555" s="15"/>
    </row>
    <row r="1556" ht="24.0" customHeight="1">
      <c r="A1556" s="45">
        <v>2980.0</v>
      </c>
      <c r="B1556" s="57"/>
      <c r="C1556" s="57"/>
      <c r="D1556" s="88" t="str">
        <f t="array" ref="D1556">IFERROR(
  LOOKUP(2, 1/((TRIM(IMS!$E$8:$E$2574)=TRIM(IMS!$E1556))*(IMS!$C$8:$C$2574&lt;IMS!$C1556)),
         IMS!$C$8:$C$2574),
"")</f>
        <v/>
      </c>
      <c r="E1556" s="57"/>
      <c r="F1556" s="57"/>
      <c r="G1556" s="77" t="str">
        <f t="shared" si="901"/>
        <v/>
      </c>
      <c r="H1556" s="78" t="str">
        <f t="shared" si="902"/>
        <v/>
      </c>
      <c r="I1556" s="79"/>
      <c r="J1556" s="80" t="str">
        <f t="shared" si="903"/>
        <v>#NAME?</v>
      </c>
      <c r="K1556" s="58"/>
      <c r="L1556" s="58"/>
      <c r="M1556" s="57"/>
      <c r="N1556" s="57"/>
      <c r="O1556" s="58"/>
      <c r="P1556" s="82"/>
      <c r="Q1556" s="81"/>
      <c r="R1556" s="81"/>
      <c r="S1556" s="57"/>
      <c r="T1556" s="82"/>
      <c r="U1556" s="82"/>
      <c r="V1556" s="57"/>
      <c r="W1556" s="57"/>
      <c r="X1556" s="57" t="str">
        <f t="shared" si="917"/>
        <v/>
      </c>
      <c r="Y1556" s="58" t="str">
        <f t="shared" ref="Y1556:AC1556" si="1396">TRIM(SUBSTITUTE(SUBSTITUTE(OFFSET($Q1556,0,COLUMN()-COLUMN($AL$1)),CHAR(160)," "),_xludf.UNICHAR(8239)," "))</f>
        <v>#NAME?</v>
      </c>
      <c r="Z1556" s="58" t="str">
        <f t="shared" si="1396"/>
        <v>#NAME?</v>
      </c>
      <c r="AA1556" s="58" t="str">
        <f t="shared" si="1396"/>
        <v>#NAME?</v>
      </c>
      <c r="AB1556" s="58" t="str">
        <f t="shared" si="1396"/>
        <v>#NAME?</v>
      </c>
      <c r="AC1556" s="58" t="str">
        <f t="shared" si="1396"/>
        <v>#NAME?</v>
      </c>
      <c r="AD1556" s="57">
        <f t="shared" si="906"/>
        <v>0</v>
      </c>
      <c r="AE1556" s="57" t="str">
        <f t="shared" si="907"/>
        <v/>
      </c>
      <c r="AF1556" s="57">
        <f t="shared" si="908"/>
        <v>0</v>
      </c>
      <c r="AG1556" s="59">
        <f t="shared" si="909"/>
        <v>0</v>
      </c>
      <c r="AH1556" s="15"/>
      <c r="AI1556" s="15"/>
      <c r="AJ1556" s="15"/>
      <c r="AK1556" s="15"/>
      <c r="AL1556" s="15"/>
      <c r="AM1556" s="15"/>
      <c r="AN1556" s="15"/>
      <c r="AO1556" s="15"/>
      <c r="AP1556" s="15"/>
      <c r="AQ1556" s="15"/>
      <c r="AR1556" s="15"/>
      <c r="AS1556" s="15"/>
      <c r="AT1556" s="15"/>
      <c r="AU1556" s="15"/>
    </row>
    <row r="1557" ht="24.0" customHeight="1">
      <c r="A1557" s="45">
        <v>2981.0</v>
      </c>
      <c r="B1557" s="57"/>
      <c r="C1557" s="57"/>
      <c r="D1557" s="88" t="str">
        <f t="array" ref="D1557">IFERROR(
  LOOKUP(2, 1/((TRIM(IMS!$E$8:$E$2574)=TRIM(IMS!$E1557))*(IMS!$C$8:$C$2574&lt;IMS!$C1557)),
         IMS!$C$8:$C$2574),
"")</f>
        <v/>
      </c>
      <c r="E1557" s="57"/>
      <c r="F1557" s="57"/>
      <c r="G1557" s="77" t="str">
        <f t="shared" si="901"/>
        <v/>
      </c>
      <c r="H1557" s="78" t="str">
        <f t="shared" si="902"/>
        <v/>
      </c>
      <c r="I1557" s="79"/>
      <c r="J1557" s="80" t="str">
        <f t="shared" si="903"/>
        <v>#NAME?</v>
      </c>
      <c r="K1557" s="58"/>
      <c r="L1557" s="58"/>
      <c r="M1557" s="57"/>
      <c r="N1557" s="57"/>
      <c r="O1557" s="58"/>
      <c r="P1557" s="82"/>
      <c r="Q1557" s="81"/>
      <c r="R1557" s="81"/>
      <c r="S1557" s="57"/>
      <c r="T1557" s="82"/>
      <c r="U1557" s="82"/>
      <c r="V1557" s="57"/>
      <c r="W1557" s="57"/>
      <c r="X1557" s="57" t="str">
        <f t="shared" si="917"/>
        <v/>
      </c>
      <c r="Y1557" s="58" t="str">
        <f t="shared" ref="Y1557:AC1557" si="1397">TRIM(SUBSTITUTE(SUBSTITUTE(OFFSET($Q1557,0,COLUMN()-COLUMN($AL$1)),CHAR(160)," "),_xludf.UNICHAR(8239)," "))</f>
        <v>#NAME?</v>
      </c>
      <c r="Z1557" s="58" t="str">
        <f t="shared" si="1397"/>
        <v>#NAME?</v>
      </c>
      <c r="AA1557" s="58" t="str">
        <f t="shared" si="1397"/>
        <v>#NAME?</v>
      </c>
      <c r="AB1557" s="58" t="str">
        <f t="shared" si="1397"/>
        <v>#NAME?</v>
      </c>
      <c r="AC1557" s="58" t="str">
        <f t="shared" si="1397"/>
        <v>#NAME?</v>
      </c>
      <c r="AD1557" s="57">
        <f t="shared" si="906"/>
        <v>0</v>
      </c>
      <c r="AE1557" s="57" t="str">
        <f t="shared" si="907"/>
        <v/>
      </c>
      <c r="AF1557" s="57">
        <f t="shared" si="908"/>
        <v>0</v>
      </c>
      <c r="AG1557" s="59">
        <f t="shared" si="909"/>
        <v>0</v>
      </c>
      <c r="AH1557" s="15"/>
      <c r="AI1557" s="15"/>
      <c r="AJ1557" s="15"/>
      <c r="AK1557" s="15"/>
      <c r="AL1557" s="15"/>
      <c r="AM1557" s="15"/>
      <c r="AN1557" s="15"/>
      <c r="AO1557" s="15"/>
      <c r="AP1557" s="15"/>
      <c r="AQ1557" s="15"/>
      <c r="AR1557" s="15"/>
      <c r="AS1557" s="15"/>
      <c r="AT1557" s="15"/>
      <c r="AU1557" s="15"/>
    </row>
    <row r="1558" ht="24.0" customHeight="1">
      <c r="A1558" s="45">
        <v>2982.0</v>
      </c>
      <c r="B1558" s="57"/>
      <c r="C1558" s="57"/>
      <c r="D1558" s="88" t="str">
        <f t="array" ref="D1558">IFERROR(
  LOOKUP(2, 1/((TRIM(IMS!$E$8:$E$2574)=TRIM(IMS!$E1558))*(IMS!$C$8:$C$2574&lt;IMS!$C1558)),
         IMS!$C$8:$C$2574),
"")</f>
        <v/>
      </c>
      <c r="E1558" s="57"/>
      <c r="F1558" s="57"/>
      <c r="G1558" s="77" t="str">
        <f t="shared" si="901"/>
        <v/>
      </c>
      <c r="H1558" s="78" t="str">
        <f t="shared" si="902"/>
        <v/>
      </c>
      <c r="I1558" s="79"/>
      <c r="J1558" s="80" t="str">
        <f t="shared" si="903"/>
        <v>#NAME?</v>
      </c>
      <c r="K1558" s="58"/>
      <c r="L1558" s="58"/>
      <c r="M1558" s="57"/>
      <c r="N1558" s="57"/>
      <c r="O1558" s="58"/>
      <c r="P1558" s="82"/>
      <c r="Q1558" s="81"/>
      <c r="R1558" s="81"/>
      <c r="S1558" s="57"/>
      <c r="T1558" s="82"/>
      <c r="U1558" s="82"/>
      <c r="V1558" s="57"/>
      <c r="W1558" s="57"/>
      <c r="X1558" s="57" t="str">
        <f t="shared" si="917"/>
        <v/>
      </c>
      <c r="Y1558" s="58" t="str">
        <f t="shared" ref="Y1558:AC1558" si="1398">TRIM(SUBSTITUTE(SUBSTITUTE(OFFSET($Q1558,0,COLUMN()-COLUMN($AL$1)),CHAR(160)," "),_xludf.UNICHAR(8239)," "))</f>
        <v>#NAME?</v>
      </c>
      <c r="Z1558" s="58" t="str">
        <f t="shared" si="1398"/>
        <v>#NAME?</v>
      </c>
      <c r="AA1558" s="58" t="str">
        <f t="shared" si="1398"/>
        <v>#NAME?</v>
      </c>
      <c r="AB1558" s="58" t="str">
        <f t="shared" si="1398"/>
        <v>#NAME?</v>
      </c>
      <c r="AC1558" s="58" t="str">
        <f t="shared" si="1398"/>
        <v>#NAME?</v>
      </c>
      <c r="AD1558" s="57">
        <f t="shared" si="906"/>
        <v>0</v>
      </c>
      <c r="AE1558" s="57" t="str">
        <f t="shared" si="907"/>
        <v/>
      </c>
      <c r="AF1558" s="57">
        <f t="shared" si="908"/>
        <v>0</v>
      </c>
      <c r="AG1558" s="59">
        <f t="shared" si="909"/>
        <v>0</v>
      </c>
      <c r="AH1558" s="15"/>
      <c r="AI1558" s="15"/>
      <c r="AJ1558" s="15"/>
      <c r="AK1558" s="15"/>
      <c r="AL1558" s="15"/>
      <c r="AM1558" s="15"/>
      <c r="AN1558" s="15"/>
      <c r="AO1558" s="15"/>
      <c r="AP1558" s="15"/>
      <c r="AQ1558" s="15"/>
      <c r="AR1558" s="15"/>
      <c r="AS1558" s="15"/>
      <c r="AT1558" s="15"/>
      <c r="AU1558" s="15"/>
    </row>
    <row r="1559" ht="24.0" customHeight="1">
      <c r="A1559" s="45">
        <v>2983.0</v>
      </c>
      <c r="B1559" s="57"/>
      <c r="C1559" s="57"/>
      <c r="D1559" s="88" t="str">
        <f t="array" ref="D1559">IFERROR(
  LOOKUP(2, 1/((TRIM(IMS!$E$8:$E$2574)=TRIM(IMS!$E1559))*(IMS!$C$8:$C$2574&lt;IMS!$C1559)),
         IMS!$C$8:$C$2574),
"")</f>
        <v/>
      </c>
      <c r="E1559" s="57"/>
      <c r="F1559" s="57"/>
      <c r="G1559" s="77" t="str">
        <f t="shared" si="901"/>
        <v/>
      </c>
      <c r="H1559" s="78" t="str">
        <f t="shared" si="902"/>
        <v/>
      </c>
      <c r="I1559" s="79"/>
      <c r="J1559" s="80" t="str">
        <f t="shared" si="903"/>
        <v>#NAME?</v>
      </c>
      <c r="K1559" s="58"/>
      <c r="L1559" s="58"/>
      <c r="M1559" s="57"/>
      <c r="N1559" s="57"/>
      <c r="O1559" s="58"/>
      <c r="P1559" s="82"/>
      <c r="Q1559" s="81"/>
      <c r="R1559" s="81"/>
      <c r="S1559" s="57"/>
      <c r="T1559" s="82"/>
      <c r="U1559" s="82"/>
      <c r="V1559" s="57"/>
      <c r="W1559" s="57"/>
      <c r="X1559" s="57" t="str">
        <f t="shared" si="917"/>
        <v/>
      </c>
      <c r="Y1559" s="58" t="str">
        <f t="shared" ref="Y1559:AC1559" si="1399">TRIM(SUBSTITUTE(SUBSTITUTE(OFFSET($Q1559,0,COLUMN()-COLUMN($AL$1)),CHAR(160)," "),_xludf.UNICHAR(8239)," "))</f>
        <v>#NAME?</v>
      </c>
      <c r="Z1559" s="58" t="str">
        <f t="shared" si="1399"/>
        <v>#NAME?</v>
      </c>
      <c r="AA1559" s="58" t="str">
        <f t="shared" si="1399"/>
        <v>#NAME?</v>
      </c>
      <c r="AB1559" s="58" t="str">
        <f t="shared" si="1399"/>
        <v>#NAME?</v>
      </c>
      <c r="AC1559" s="58" t="str">
        <f t="shared" si="1399"/>
        <v>#NAME?</v>
      </c>
      <c r="AD1559" s="57">
        <f t="shared" si="906"/>
        <v>0</v>
      </c>
      <c r="AE1559" s="57" t="str">
        <f t="shared" si="907"/>
        <v/>
      </c>
      <c r="AF1559" s="57">
        <f t="shared" si="908"/>
        <v>0</v>
      </c>
      <c r="AG1559" s="59">
        <f t="shared" si="909"/>
        <v>0</v>
      </c>
      <c r="AH1559" s="15"/>
      <c r="AI1559" s="15"/>
      <c r="AJ1559" s="15"/>
      <c r="AK1559" s="15"/>
      <c r="AL1559" s="15"/>
      <c r="AM1559" s="15"/>
      <c r="AN1559" s="15"/>
      <c r="AO1559" s="15"/>
      <c r="AP1559" s="15"/>
      <c r="AQ1559" s="15"/>
      <c r="AR1559" s="15"/>
      <c r="AS1559" s="15"/>
      <c r="AT1559" s="15"/>
      <c r="AU1559" s="15"/>
    </row>
    <row r="1560" ht="24.0" customHeight="1">
      <c r="A1560" s="45">
        <v>2984.0</v>
      </c>
      <c r="B1560" s="57"/>
      <c r="C1560" s="57"/>
      <c r="D1560" s="88" t="str">
        <f t="array" ref="D1560">IFERROR(
  LOOKUP(2, 1/((TRIM(IMS!$E$8:$E$2574)=TRIM(IMS!$E1560))*(IMS!$C$8:$C$2574&lt;IMS!$C1560)),
         IMS!$C$8:$C$2574),
"")</f>
        <v/>
      </c>
      <c r="E1560" s="57"/>
      <c r="F1560" s="57"/>
      <c r="G1560" s="77" t="str">
        <f t="shared" si="901"/>
        <v/>
      </c>
      <c r="H1560" s="78" t="str">
        <f t="shared" si="902"/>
        <v/>
      </c>
      <c r="I1560" s="79"/>
      <c r="J1560" s="80" t="str">
        <f t="shared" si="903"/>
        <v>#NAME?</v>
      </c>
      <c r="K1560" s="58"/>
      <c r="L1560" s="58"/>
      <c r="M1560" s="57"/>
      <c r="N1560" s="57"/>
      <c r="O1560" s="58"/>
      <c r="P1560" s="82"/>
      <c r="Q1560" s="81"/>
      <c r="R1560" s="81"/>
      <c r="S1560" s="57"/>
      <c r="T1560" s="82"/>
      <c r="U1560" s="82"/>
      <c r="V1560" s="57"/>
      <c r="W1560" s="57"/>
      <c r="X1560" s="57" t="str">
        <f t="shared" si="917"/>
        <v/>
      </c>
      <c r="Y1560" s="58" t="str">
        <f t="shared" ref="Y1560:AC1560" si="1400">TRIM(SUBSTITUTE(SUBSTITUTE(OFFSET($Q1560,0,COLUMN()-COLUMN($AL$1)),CHAR(160)," "),_xludf.UNICHAR(8239)," "))</f>
        <v>#NAME?</v>
      </c>
      <c r="Z1560" s="58" t="str">
        <f t="shared" si="1400"/>
        <v>#NAME?</v>
      </c>
      <c r="AA1560" s="58" t="str">
        <f t="shared" si="1400"/>
        <v>#NAME?</v>
      </c>
      <c r="AB1560" s="58" t="str">
        <f t="shared" si="1400"/>
        <v>#NAME?</v>
      </c>
      <c r="AC1560" s="58" t="str">
        <f t="shared" si="1400"/>
        <v>#NAME?</v>
      </c>
      <c r="AD1560" s="57">
        <f t="shared" si="906"/>
        <v>0</v>
      </c>
      <c r="AE1560" s="57" t="str">
        <f t="shared" si="907"/>
        <v/>
      </c>
      <c r="AF1560" s="57">
        <f t="shared" si="908"/>
        <v>0</v>
      </c>
      <c r="AG1560" s="59">
        <f t="shared" si="909"/>
        <v>0</v>
      </c>
      <c r="AH1560" s="15"/>
      <c r="AI1560" s="15"/>
      <c r="AJ1560" s="15"/>
      <c r="AK1560" s="15"/>
      <c r="AL1560" s="15"/>
      <c r="AM1560" s="15"/>
      <c r="AN1560" s="15"/>
      <c r="AO1560" s="15"/>
      <c r="AP1560" s="15"/>
      <c r="AQ1560" s="15"/>
      <c r="AR1560" s="15"/>
      <c r="AS1560" s="15"/>
      <c r="AT1560" s="15"/>
      <c r="AU1560" s="15"/>
    </row>
    <row r="1561" ht="24.0" customHeight="1">
      <c r="A1561" s="45">
        <v>2985.0</v>
      </c>
      <c r="B1561" s="57"/>
      <c r="C1561" s="57"/>
      <c r="D1561" s="88" t="str">
        <f t="array" ref="D1561">IFERROR(
  LOOKUP(2, 1/((TRIM(IMS!$E$8:$E$2574)=TRIM(IMS!$E1561))*(IMS!$C$8:$C$2574&lt;IMS!$C1561)),
         IMS!$C$8:$C$2574),
"")</f>
        <v/>
      </c>
      <c r="E1561" s="57"/>
      <c r="F1561" s="57"/>
      <c r="G1561" s="77" t="str">
        <f t="shared" si="901"/>
        <v/>
      </c>
      <c r="H1561" s="78" t="str">
        <f t="shared" si="902"/>
        <v/>
      </c>
      <c r="I1561" s="79"/>
      <c r="J1561" s="80" t="str">
        <f t="shared" si="903"/>
        <v>#NAME?</v>
      </c>
      <c r="K1561" s="58"/>
      <c r="L1561" s="58"/>
      <c r="M1561" s="57"/>
      <c r="N1561" s="57"/>
      <c r="O1561" s="58"/>
      <c r="P1561" s="82"/>
      <c r="Q1561" s="81"/>
      <c r="R1561" s="81"/>
      <c r="S1561" s="57"/>
      <c r="T1561" s="82"/>
      <c r="U1561" s="82"/>
      <c r="V1561" s="57"/>
      <c r="W1561" s="57"/>
      <c r="X1561" s="57" t="str">
        <f t="shared" si="917"/>
        <v/>
      </c>
      <c r="Y1561" s="58" t="str">
        <f t="shared" ref="Y1561:AC1561" si="1401">TRIM(SUBSTITUTE(SUBSTITUTE(OFFSET($Q1561,0,COLUMN()-COLUMN($AL$1)),CHAR(160)," "),_xludf.UNICHAR(8239)," "))</f>
        <v>#NAME?</v>
      </c>
      <c r="Z1561" s="58" t="str">
        <f t="shared" si="1401"/>
        <v>#NAME?</v>
      </c>
      <c r="AA1561" s="58" t="str">
        <f t="shared" si="1401"/>
        <v>#NAME?</v>
      </c>
      <c r="AB1561" s="58" t="str">
        <f t="shared" si="1401"/>
        <v>#NAME?</v>
      </c>
      <c r="AC1561" s="58" t="str">
        <f t="shared" si="1401"/>
        <v>#NAME?</v>
      </c>
      <c r="AD1561" s="57">
        <f t="shared" si="906"/>
        <v>0</v>
      </c>
      <c r="AE1561" s="57" t="str">
        <f t="shared" si="907"/>
        <v/>
      </c>
      <c r="AF1561" s="57">
        <f t="shared" si="908"/>
        <v>0</v>
      </c>
      <c r="AG1561" s="59">
        <f t="shared" si="909"/>
        <v>0</v>
      </c>
      <c r="AH1561" s="15"/>
      <c r="AI1561" s="15"/>
      <c r="AJ1561" s="15"/>
      <c r="AK1561" s="15"/>
      <c r="AL1561" s="15"/>
      <c r="AM1561" s="15"/>
      <c r="AN1561" s="15"/>
      <c r="AO1561" s="15"/>
      <c r="AP1561" s="15"/>
      <c r="AQ1561" s="15"/>
      <c r="AR1561" s="15"/>
      <c r="AS1561" s="15"/>
      <c r="AT1561" s="15"/>
      <c r="AU1561" s="15"/>
    </row>
    <row r="1562" ht="24.0" customHeight="1">
      <c r="A1562" s="45">
        <v>2986.0</v>
      </c>
      <c r="B1562" s="57"/>
      <c r="C1562" s="57"/>
      <c r="D1562" s="88" t="str">
        <f t="array" ref="D1562">IFERROR(
  LOOKUP(2, 1/((TRIM(IMS!$E$8:$E$2574)=TRIM(IMS!$E1562))*(IMS!$C$8:$C$2574&lt;IMS!$C1562)),
         IMS!$C$8:$C$2574),
"")</f>
        <v/>
      </c>
      <c r="E1562" s="57"/>
      <c r="F1562" s="57"/>
      <c r="G1562" s="77" t="str">
        <f t="shared" si="901"/>
        <v/>
      </c>
      <c r="H1562" s="78" t="str">
        <f t="shared" si="902"/>
        <v/>
      </c>
      <c r="I1562" s="79"/>
      <c r="J1562" s="80" t="str">
        <f t="shared" si="903"/>
        <v>#NAME?</v>
      </c>
      <c r="K1562" s="58"/>
      <c r="L1562" s="58"/>
      <c r="M1562" s="57"/>
      <c r="N1562" s="57"/>
      <c r="O1562" s="58"/>
      <c r="P1562" s="82"/>
      <c r="Q1562" s="81"/>
      <c r="R1562" s="81"/>
      <c r="S1562" s="57"/>
      <c r="T1562" s="82"/>
      <c r="U1562" s="82"/>
      <c r="V1562" s="57"/>
      <c r="W1562" s="57"/>
      <c r="X1562" s="57" t="str">
        <f t="shared" si="917"/>
        <v/>
      </c>
      <c r="Y1562" s="58" t="str">
        <f t="shared" ref="Y1562:AC1562" si="1402">TRIM(SUBSTITUTE(SUBSTITUTE(OFFSET($Q1562,0,COLUMN()-COLUMN($AL$1)),CHAR(160)," "),_xludf.UNICHAR(8239)," "))</f>
        <v>#NAME?</v>
      </c>
      <c r="Z1562" s="58" t="str">
        <f t="shared" si="1402"/>
        <v>#NAME?</v>
      </c>
      <c r="AA1562" s="58" t="str">
        <f t="shared" si="1402"/>
        <v>#NAME?</v>
      </c>
      <c r="AB1562" s="58" t="str">
        <f t="shared" si="1402"/>
        <v>#NAME?</v>
      </c>
      <c r="AC1562" s="58" t="str">
        <f t="shared" si="1402"/>
        <v>#NAME?</v>
      </c>
      <c r="AD1562" s="57">
        <f t="shared" si="906"/>
        <v>0</v>
      </c>
      <c r="AE1562" s="57" t="str">
        <f t="shared" si="907"/>
        <v/>
      </c>
      <c r="AF1562" s="57">
        <f t="shared" si="908"/>
        <v>0</v>
      </c>
      <c r="AG1562" s="59">
        <f t="shared" si="909"/>
        <v>0</v>
      </c>
      <c r="AH1562" s="15"/>
      <c r="AI1562" s="15"/>
      <c r="AJ1562" s="15"/>
      <c r="AK1562" s="15"/>
      <c r="AL1562" s="15"/>
      <c r="AM1562" s="15"/>
      <c r="AN1562" s="15"/>
      <c r="AO1562" s="15"/>
      <c r="AP1562" s="15"/>
      <c r="AQ1562" s="15"/>
      <c r="AR1562" s="15"/>
      <c r="AS1562" s="15"/>
      <c r="AT1562" s="15"/>
      <c r="AU1562" s="15"/>
    </row>
    <row r="1563" ht="24.0" customHeight="1">
      <c r="A1563" s="45">
        <v>2987.0</v>
      </c>
      <c r="B1563" s="57"/>
      <c r="C1563" s="57"/>
      <c r="D1563" s="88" t="str">
        <f t="array" ref="D1563">IFERROR(
  LOOKUP(2, 1/((TRIM(IMS!$E$8:$E$2574)=TRIM(IMS!$E1563))*(IMS!$C$8:$C$2574&lt;IMS!$C1563)),
         IMS!$C$8:$C$2574),
"")</f>
        <v/>
      </c>
      <c r="E1563" s="57"/>
      <c r="F1563" s="57"/>
      <c r="G1563" s="77" t="str">
        <f t="shared" si="901"/>
        <v/>
      </c>
      <c r="H1563" s="78" t="str">
        <f t="shared" si="902"/>
        <v/>
      </c>
      <c r="I1563" s="79"/>
      <c r="J1563" s="80" t="str">
        <f t="shared" si="903"/>
        <v>#NAME?</v>
      </c>
      <c r="K1563" s="58"/>
      <c r="L1563" s="58"/>
      <c r="M1563" s="57"/>
      <c r="N1563" s="57"/>
      <c r="O1563" s="58"/>
      <c r="P1563" s="82"/>
      <c r="Q1563" s="81"/>
      <c r="R1563" s="81"/>
      <c r="S1563" s="57"/>
      <c r="T1563" s="82"/>
      <c r="U1563" s="82"/>
      <c r="V1563" s="57"/>
      <c r="W1563" s="57"/>
      <c r="X1563" s="57" t="str">
        <f t="shared" si="917"/>
        <v/>
      </c>
      <c r="Y1563" s="58" t="str">
        <f t="shared" ref="Y1563:AC1563" si="1403">TRIM(SUBSTITUTE(SUBSTITUTE(OFFSET($Q1563,0,COLUMN()-COLUMN($AL$1)),CHAR(160)," "),_xludf.UNICHAR(8239)," "))</f>
        <v>#NAME?</v>
      </c>
      <c r="Z1563" s="58" t="str">
        <f t="shared" si="1403"/>
        <v>#NAME?</v>
      </c>
      <c r="AA1563" s="58" t="str">
        <f t="shared" si="1403"/>
        <v>#NAME?</v>
      </c>
      <c r="AB1563" s="58" t="str">
        <f t="shared" si="1403"/>
        <v>#NAME?</v>
      </c>
      <c r="AC1563" s="58" t="str">
        <f t="shared" si="1403"/>
        <v>#NAME?</v>
      </c>
      <c r="AD1563" s="57">
        <f t="shared" si="906"/>
        <v>0</v>
      </c>
      <c r="AE1563" s="57" t="str">
        <f t="shared" si="907"/>
        <v/>
      </c>
      <c r="AF1563" s="57">
        <f t="shared" si="908"/>
        <v>0</v>
      </c>
      <c r="AG1563" s="59">
        <f t="shared" si="909"/>
        <v>0</v>
      </c>
      <c r="AH1563" s="15"/>
      <c r="AI1563" s="15"/>
      <c r="AJ1563" s="15"/>
      <c r="AK1563" s="15"/>
      <c r="AL1563" s="15"/>
      <c r="AM1563" s="15"/>
      <c r="AN1563" s="15"/>
      <c r="AO1563" s="15"/>
      <c r="AP1563" s="15"/>
      <c r="AQ1563" s="15"/>
      <c r="AR1563" s="15"/>
      <c r="AS1563" s="15"/>
      <c r="AT1563" s="15"/>
      <c r="AU1563" s="15"/>
    </row>
    <row r="1564" ht="24.0" customHeight="1">
      <c r="A1564" s="45">
        <v>2988.0</v>
      </c>
      <c r="B1564" s="57"/>
      <c r="C1564" s="57"/>
      <c r="D1564" s="88" t="str">
        <f t="array" ref="D1564">IFERROR(
  LOOKUP(2, 1/((TRIM(IMS!$E$8:$E$2574)=TRIM(IMS!$E1564))*(IMS!$C$8:$C$2574&lt;IMS!$C1564)),
         IMS!$C$8:$C$2574),
"")</f>
        <v/>
      </c>
      <c r="E1564" s="57"/>
      <c r="F1564" s="57"/>
      <c r="G1564" s="77" t="str">
        <f t="shared" si="901"/>
        <v/>
      </c>
      <c r="H1564" s="78" t="str">
        <f t="shared" si="902"/>
        <v/>
      </c>
      <c r="I1564" s="79"/>
      <c r="J1564" s="80" t="str">
        <f t="shared" si="903"/>
        <v>#NAME?</v>
      </c>
      <c r="K1564" s="58"/>
      <c r="L1564" s="58"/>
      <c r="M1564" s="57"/>
      <c r="N1564" s="57"/>
      <c r="O1564" s="58"/>
      <c r="P1564" s="82"/>
      <c r="Q1564" s="81"/>
      <c r="R1564" s="81"/>
      <c r="S1564" s="57"/>
      <c r="T1564" s="82"/>
      <c r="U1564" s="82"/>
      <c r="V1564" s="57"/>
      <c r="W1564" s="57"/>
      <c r="X1564" s="57" t="str">
        <f t="shared" si="917"/>
        <v/>
      </c>
      <c r="Y1564" s="58" t="str">
        <f t="shared" ref="Y1564:AC1564" si="1404">TRIM(SUBSTITUTE(SUBSTITUTE(OFFSET($Q1564,0,COLUMN()-COLUMN($AL$1)),CHAR(160)," "),_xludf.UNICHAR(8239)," "))</f>
        <v>#NAME?</v>
      </c>
      <c r="Z1564" s="58" t="str">
        <f t="shared" si="1404"/>
        <v>#NAME?</v>
      </c>
      <c r="AA1564" s="58" t="str">
        <f t="shared" si="1404"/>
        <v>#NAME?</v>
      </c>
      <c r="AB1564" s="58" t="str">
        <f t="shared" si="1404"/>
        <v>#NAME?</v>
      </c>
      <c r="AC1564" s="58" t="str">
        <f t="shared" si="1404"/>
        <v>#NAME?</v>
      </c>
      <c r="AD1564" s="57">
        <f t="shared" si="906"/>
        <v>0</v>
      </c>
      <c r="AE1564" s="57" t="str">
        <f t="shared" si="907"/>
        <v/>
      </c>
      <c r="AF1564" s="57">
        <f t="shared" si="908"/>
        <v>0</v>
      </c>
      <c r="AG1564" s="59">
        <f t="shared" si="909"/>
        <v>0</v>
      </c>
      <c r="AH1564" s="15"/>
      <c r="AI1564" s="15"/>
      <c r="AJ1564" s="15"/>
      <c r="AK1564" s="15"/>
      <c r="AL1564" s="15"/>
      <c r="AM1564" s="15"/>
      <c r="AN1564" s="15"/>
      <c r="AO1564" s="15"/>
      <c r="AP1564" s="15"/>
      <c r="AQ1564" s="15"/>
      <c r="AR1564" s="15"/>
      <c r="AS1564" s="15"/>
      <c r="AT1564" s="15"/>
      <c r="AU1564" s="15"/>
    </row>
    <row r="1565" ht="24.0" customHeight="1">
      <c r="A1565" s="45">
        <v>2989.0</v>
      </c>
      <c r="B1565" s="57"/>
      <c r="C1565" s="57"/>
      <c r="D1565" s="88" t="str">
        <f t="array" ref="D1565">IFERROR(
  LOOKUP(2, 1/((TRIM(IMS!$E$8:$E$2574)=TRIM(IMS!$E1565))*(IMS!$C$8:$C$2574&lt;IMS!$C1565)),
         IMS!$C$8:$C$2574),
"")</f>
        <v/>
      </c>
      <c r="E1565" s="57"/>
      <c r="F1565" s="57"/>
      <c r="G1565" s="77" t="str">
        <f t="shared" si="901"/>
        <v/>
      </c>
      <c r="H1565" s="78" t="str">
        <f t="shared" si="902"/>
        <v/>
      </c>
      <c r="I1565" s="79"/>
      <c r="J1565" s="80" t="str">
        <f t="shared" si="903"/>
        <v>#NAME?</v>
      </c>
      <c r="K1565" s="58"/>
      <c r="L1565" s="58"/>
      <c r="M1565" s="57"/>
      <c r="N1565" s="57"/>
      <c r="O1565" s="58"/>
      <c r="P1565" s="82"/>
      <c r="Q1565" s="81"/>
      <c r="R1565" s="81"/>
      <c r="S1565" s="57"/>
      <c r="T1565" s="82"/>
      <c r="U1565" s="82"/>
      <c r="V1565" s="57"/>
      <c r="W1565" s="57"/>
      <c r="X1565" s="57" t="str">
        <f t="shared" si="917"/>
        <v/>
      </c>
      <c r="Y1565" s="58" t="str">
        <f t="shared" ref="Y1565:AC1565" si="1405">TRIM(SUBSTITUTE(SUBSTITUTE(OFFSET($Q1565,0,COLUMN()-COLUMN($AL$1)),CHAR(160)," "),_xludf.UNICHAR(8239)," "))</f>
        <v>#NAME?</v>
      </c>
      <c r="Z1565" s="58" t="str">
        <f t="shared" si="1405"/>
        <v>#NAME?</v>
      </c>
      <c r="AA1565" s="58" t="str">
        <f t="shared" si="1405"/>
        <v>#NAME?</v>
      </c>
      <c r="AB1565" s="58" t="str">
        <f t="shared" si="1405"/>
        <v>#NAME?</v>
      </c>
      <c r="AC1565" s="58" t="str">
        <f t="shared" si="1405"/>
        <v>#NAME?</v>
      </c>
      <c r="AD1565" s="57">
        <f t="shared" si="906"/>
        <v>0</v>
      </c>
      <c r="AE1565" s="57" t="str">
        <f t="shared" si="907"/>
        <v/>
      </c>
      <c r="AF1565" s="57">
        <f t="shared" si="908"/>
        <v>0</v>
      </c>
      <c r="AG1565" s="59">
        <f t="shared" si="909"/>
        <v>0</v>
      </c>
      <c r="AH1565" s="15"/>
      <c r="AI1565" s="15"/>
      <c r="AJ1565" s="15"/>
      <c r="AK1565" s="15"/>
      <c r="AL1565" s="15"/>
      <c r="AM1565" s="15"/>
      <c r="AN1565" s="15"/>
      <c r="AO1565" s="15"/>
      <c r="AP1565" s="15"/>
      <c r="AQ1565" s="15"/>
      <c r="AR1565" s="15"/>
      <c r="AS1565" s="15"/>
      <c r="AT1565" s="15"/>
      <c r="AU1565" s="15"/>
    </row>
    <row r="1566" ht="24.0" customHeight="1">
      <c r="A1566" s="45">
        <v>2990.0</v>
      </c>
      <c r="B1566" s="57"/>
      <c r="C1566" s="57"/>
      <c r="D1566" s="88" t="str">
        <f t="array" ref="D1566">IFERROR(
  LOOKUP(2, 1/((TRIM(IMS!$E$8:$E$2574)=TRIM(IMS!$E1566))*(IMS!$C$8:$C$2574&lt;IMS!$C1566)),
         IMS!$C$8:$C$2574),
"")</f>
        <v/>
      </c>
      <c r="E1566" s="57"/>
      <c r="F1566" s="57"/>
      <c r="G1566" s="77" t="str">
        <f t="shared" si="901"/>
        <v/>
      </c>
      <c r="H1566" s="78" t="str">
        <f t="shared" si="902"/>
        <v/>
      </c>
      <c r="I1566" s="79"/>
      <c r="J1566" s="80" t="str">
        <f t="shared" si="903"/>
        <v>#NAME?</v>
      </c>
      <c r="K1566" s="58"/>
      <c r="L1566" s="58"/>
      <c r="M1566" s="57"/>
      <c r="N1566" s="57"/>
      <c r="O1566" s="58"/>
      <c r="P1566" s="82"/>
      <c r="Q1566" s="81"/>
      <c r="R1566" s="81"/>
      <c r="S1566" s="57"/>
      <c r="T1566" s="82"/>
      <c r="U1566" s="82"/>
      <c r="V1566" s="57"/>
      <c r="W1566" s="57"/>
      <c r="X1566" s="57" t="str">
        <f t="shared" si="917"/>
        <v/>
      </c>
      <c r="Y1566" s="58" t="str">
        <f t="shared" ref="Y1566:AC1566" si="1406">TRIM(SUBSTITUTE(SUBSTITUTE(OFFSET($Q1566,0,COLUMN()-COLUMN($AL$1)),CHAR(160)," "),_xludf.UNICHAR(8239)," "))</f>
        <v>#NAME?</v>
      </c>
      <c r="Z1566" s="58" t="str">
        <f t="shared" si="1406"/>
        <v>#NAME?</v>
      </c>
      <c r="AA1566" s="58" t="str">
        <f t="shared" si="1406"/>
        <v>#NAME?</v>
      </c>
      <c r="AB1566" s="58" t="str">
        <f t="shared" si="1406"/>
        <v>#NAME?</v>
      </c>
      <c r="AC1566" s="58" t="str">
        <f t="shared" si="1406"/>
        <v>#NAME?</v>
      </c>
      <c r="AD1566" s="57">
        <f t="shared" si="906"/>
        <v>0</v>
      </c>
      <c r="AE1566" s="57" t="str">
        <f t="shared" si="907"/>
        <v/>
      </c>
      <c r="AF1566" s="57">
        <f t="shared" si="908"/>
        <v>0</v>
      </c>
      <c r="AG1566" s="59">
        <f t="shared" si="909"/>
        <v>0</v>
      </c>
      <c r="AH1566" s="15"/>
      <c r="AI1566" s="15"/>
      <c r="AJ1566" s="15"/>
      <c r="AK1566" s="15"/>
      <c r="AL1566" s="15"/>
      <c r="AM1566" s="15"/>
      <c r="AN1566" s="15"/>
      <c r="AO1566" s="15"/>
      <c r="AP1566" s="15"/>
      <c r="AQ1566" s="15"/>
      <c r="AR1566" s="15"/>
      <c r="AS1566" s="15"/>
      <c r="AT1566" s="15"/>
      <c r="AU1566" s="15"/>
    </row>
    <row r="1567" ht="24.0" customHeight="1">
      <c r="A1567" s="45">
        <v>2991.0</v>
      </c>
      <c r="B1567" s="57"/>
      <c r="C1567" s="57"/>
      <c r="D1567" s="88" t="str">
        <f t="array" ref="D1567">IFERROR(
  LOOKUP(2, 1/((TRIM(IMS!$E$8:$E$2574)=TRIM(IMS!$E1567))*(IMS!$C$8:$C$2574&lt;IMS!$C1567)),
         IMS!$C$8:$C$2574),
"")</f>
        <v/>
      </c>
      <c r="E1567" s="57"/>
      <c r="F1567" s="57"/>
      <c r="G1567" s="77" t="str">
        <f t="shared" si="901"/>
        <v/>
      </c>
      <c r="H1567" s="78" t="str">
        <f t="shared" si="902"/>
        <v/>
      </c>
      <c r="I1567" s="79"/>
      <c r="J1567" s="80" t="str">
        <f t="shared" si="903"/>
        <v>#NAME?</v>
      </c>
      <c r="K1567" s="58"/>
      <c r="L1567" s="58"/>
      <c r="M1567" s="57"/>
      <c r="N1567" s="57"/>
      <c r="O1567" s="58"/>
      <c r="P1567" s="82"/>
      <c r="Q1567" s="81"/>
      <c r="R1567" s="81"/>
      <c r="S1567" s="57"/>
      <c r="T1567" s="82"/>
      <c r="U1567" s="82"/>
      <c r="V1567" s="57"/>
      <c r="W1567" s="57"/>
      <c r="X1567" s="57" t="str">
        <f t="shared" si="917"/>
        <v/>
      </c>
      <c r="Y1567" s="58" t="str">
        <f t="shared" ref="Y1567:AC1567" si="1407">TRIM(SUBSTITUTE(SUBSTITUTE(OFFSET($Q1567,0,COLUMN()-COLUMN($AL$1)),CHAR(160)," "),_xludf.UNICHAR(8239)," "))</f>
        <v>#NAME?</v>
      </c>
      <c r="Z1567" s="58" t="str">
        <f t="shared" si="1407"/>
        <v>#NAME?</v>
      </c>
      <c r="AA1567" s="58" t="str">
        <f t="shared" si="1407"/>
        <v>#NAME?</v>
      </c>
      <c r="AB1567" s="58" t="str">
        <f t="shared" si="1407"/>
        <v>#NAME?</v>
      </c>
      <c r="AC1567" s="58" t="str">
        <f t="shared" si="1407"/>
        <v>#NAME?</v>
      </c>
      <c r="AD1567" s="57">
        <f t="shared" si="906"/>
        <v>0</v>
      </c>
      <c r="AE1567" s="57" t="str">
        <f t="shared" si="907"/>
        <v/>
      </c>
      <c r="AF1567" s="57">
        <f t="shared" si="908"/>
        <v>0</v>
      </c>
      <c r="AG1567" s="59">
        <f t="shared" si="909"/>
        <v>0</v>
      </c>
      <c r="AH1567" s="15"/>
      <c r="AI1567" s="15"/>
      <c r="AJ1567" s="15"/>
      <c r="AK1567" s="15"/>
      <c r="AL1567" s="15"/>
      <c r="AM1567" s="15"/>
      <c r="AN1567" s="15"/>
      <c r="AO1567" s="15"/>
      <c r="AP1567" s="15"/>
      <c r="AQ1567" s="15"/>
      <c r="AR1567" s="15"/>
      <c r="AS1567" s="15"/>
      <c r="AT1567" s="15"/>
      <c r="AU1567" s="15"/>
    </row>
    <row r="1568" ht="24.0" customHeight="1">
      <c r="A1568" s="45">
        <v>2992.0</v>
      </c>
      <c r="B1568" s="57"/>
      <c r="C1568" s="57"/>
      <c r="D1568" s="88" t="str">
        <f t="array" ref="D1568">IFERROR(
  LOOKUP(2, 1/((TRIM(IMS!$E$8:$E$2574)=TRIM(IMS!$E1568))*(IMS!$C$8:$C$2574&lt;IMS!$C1568)),
         IMS!$C$8:$C$2574),
"")</f>
        <v/>
      </c>
      <c r="E1568" s="57"/>
      <c r="F1568" s="57"/>
      <c r="G1568" s="77" t="str">
        <f t="shared" si="901"/>
        <v/>
      </c>
      <c r="H1568" s="78" t="str">
        <f t="shared" si="902"/>
        <v/>
      </c>
      <c r="I1568" s="79"/>
      <c r="J1568" s="80" t="str">
        <f t="shared" si="903"/>
        <v>#NAME?</v>
      </c>
      <c r="K1568" s="58"/>
      <c r="L1568" s="58"/>
      <c r="M1568" s="57"/>
      <c r="N1568" s="57"/>
      <c r="O1568" s="58"/>
      <c r="P1568" s="82"/>
      <c r="Q1568" s="81"/>
      <c r="R1568" s="81"/>
      <c r="S1568" s="57"/>
      <c r="T1568" s="82"/>
      <c r="U1568" s="82"/>
      <c r="V1568" s="57"/>
      <c r="W1568" s="57"/>
      <c r="X1568" s="57" t="str">
        <f t="shared" si="917"/>
        <v/>
      </c>
      <c r="Y1568" s="58" t="str">
        <f t="shared" ref="Y1568:AC1568" si="1408">TRIM(SUBSTITUTE(SUBSTITUTE(OFFSET($Q1568,0,COLUMN()-COLUMN($AL$1)),CHAR(160)," "),_xludf.UNICHAR(8239)," "))</f>
        <v>#NAME?</v>
      </c>
      <c r="Z1568" s="58" t="str">
        <f t="shared" si="1408"/>
        <v>#NAME?</v>
      </c>
      <c r="AA1568" s="58" t="str">
        <f t="shared" si="1408"/>
        <v>#NAME?</v>
      </c>
      <c r="AB1568" s="58" t="str">
        <f t="shared" si="1408"/>
        <v>#NAME?</v>
      </c>
      <c r="AC1568" s="58" t="str">
        <f t="shared" si="1408"/>
        <v>#NAME?</v>
      </c>
      <c r="AD1568" s="57">
        <f t="shared" si="906"/>
        <v>0</v>
      </c>
      <c r="AE1568" s="57" t="str">
        <f t="shared" si="907"/>
        <v/>
      </c>
      <c r="AF1568" s="57">
        <f t="shared" si="908"/>
        <v>0</v>
      </c>
      <c r="AG1568" s="59">
        <f t="shared" si="909"/>
        <v>0</v>
      </c>
      <c r="AH1568" s="15"/>
      <c r="AI1568" s="15"/>
      <c r="AJ1568" s="15"/>
      <c r="AK1568" s="15"/>
      <c r="AL1568" s="15"/>
      <c r="AM1568" s="15"/>
      <c r="AN1568" s="15"/>
      <c r="AO1568" s="15"/>
      <c r="AP1568" s="15"/>
      <c r="AQ1568" s="15"/>
      <c r="AR1568" s="15"/>
      <c r="AS1568" s="15"/>
      <c r="AT1568" s="15"/>
      <c r="AU1568" s="15"/>
    </row>
    <row r="1569" ht="24.0" customHeight="1">
      <c r="A1569" s="45">
        <v>2993.0</v>
      </c>
      <c r="B1569" s="57"/>
      <c r="C1569" s="57"/>
      <c r="D1569" s="88" t="str">
        <f t="array" ref="D1569">IFERROR(
  LOOKUP(2, 1/((TRIM(IMS!$E$8:$E$2574)=TRIM(IMS!$E1569))*(IMS!$C$8:$C$2574&lt;IMS!$C1569)),
         IMS!$C$8:$C$2574),
"")</f>
        <v/>
      </c>
      <c r="E1569" s="57"/>
      <c r="F1569" s="57"/>
      <c r="G1569" s="77" t="str">
        <f t="shared" si="901"/>
        <v/>
      </c>
      <c r="H1569" s="78" t="str">
        <f t="shared" si="902"/>
        <v/>
      </c>
      <c r="I1569" s="79"/>
      <c r="J1569" s="80" t="str">
        <f t="shared" si="903"/>
        <v>#NAME?</v>
      </c>
      <c r="K1569" s="58"/>
      <c r="L1569" s="58"/>
      <c r="M1569" s="57"/>
      <c r="N1569" s="57"/>
      <c r="O1569" s="58"/>
      <c r="P1569" s="82"/>
      <c r="Q1569" s="81"/>
      <c r="R1569" s="81"/>
      <c r="S1569" s="57"/>
      <c r="T1569" s="82"/>
      <c r="U1569" s="82"/>
      <c r="V1569" s="57"/>
      <c r="W1569" s="57"/>
      <c r="X1569" s="57" t="str">
        <f t="shared" si="917"/>
        <v/>
      </c>
      <c r="Y1569" s="58" t="str">
        <f t="shared" ref="Y1569:AC1569" si="1409">TRIM(SUBSTITUTE(SUBSTITUTE(OFFSET($Q1569,0,COLUMN()-COLUMN($AL$1)),CHAR(160)," "),_xludf.UNICHAR(8239)," "))</f>
        <v>#NAME?</v>
      </c>
      <c r="Z1569" s="58" t="str">
        <f t="shared" si="1409"/>
        <v>#NAME?</v>
      </c>
      <c r="AA1569" s="58" t="str">
        <f t="shared" si="1409"/>
        <v>#NAME?</v>
      </c>
      <c r="AB1569" s="58" t="str">
        <f t="shared" si="1409"/>
        <v>#NAME?</v>
      </c>
      <c r="AC1569" s="58" t="str">
        <f t="shared" si="1409"/>
        <v>#NAME?</v>
      </c>
      <c r="AD1569" s="57">
        <f t="shared" si="906"/>
        <v>0</v>
      </c>
      <c r="AE1569" s="57" t="str">
        <f t="shared" si="907"/>
        <v/>
      </c>
      <c r="AF1569" s="57">
        <f t="shared" si="908"/>
        <v>0</v>
      </c>
      <c r="AG1569" s="59">
        <f t="shared" si="909"/>
        <v>0</v>
      </c>
      <c r="AH1569" s="15"/>
      <c r="AI1569" s="15"/>
      <c r="AJ1569" s="15"/>
      <c r="AK1569" s="15"/>
      <c r="AL1569" s="15"/>
      <c r="AM1569" s="15"/>
      <c r="AN1569" s="15"/>
      <c r="AO1569" s="15"/>
      <c r="AP1569" s="15"/>
      <c r="AQ1569" s="15"/>
      <c r="AR1569" s="15"/>
      <c r="AS1569" s="15"/>
      <c r="AT1569" s="15"/>
      <c r="AU1569" s="15"/>
    </row>
    <row r="1570" ht="24.0" customHeight="1">
      <c r="A1570" s="45">
        <v>2994.0</v>
      </c>
      <c r="B1570" s="57"/>
      <c r="C1570" s="57"/>
      <c r="D1570" s="88" t="str">
        <f t="array" ref="D1570">IFERROR(
  LOOKUP(2, 1/((TRIM(IMS!$E$8:$E$2574)=TRIM(IMS!$E1570))*(IMS!$C$8:$C$2574&lt;IMS!$C1570)),
         IMS!$C$8:$C$2574),
"")</f>
        <v/>
      </c>
      <c r="E1570" s="57"/>
      <c r="F1570" s="57"/>
      <c r="G1570" s="77" t="str">
        <f t="shared" si="901"/>
        <v/>
      </c>
      <c r="H1570" s="78" t="str">
        <f t="shared" si="902"/>
        <v/>
      </c>
      <c r="I1570" s="79"/>
      <c r="J1570" s="80" t="str">
        <f t="shared" si="903"/>
        <v>#NAME?</v>
      </c>
      <c r="K1570" s="58"/>
      <c r="L1570" s="58"/>
      <c r="M1570" s="57"/>
      <c r="N1570" s="57"/>
      <c r="O1570" s="58"/>
      <c r="P1570" s="82"/>
      <c r="Q1570" s="81"/>
      <c r="R1570" s="81"/>
      <c r="S1570" s="57"/>
      <c r="T1570" s="82"/>
      <c r="U1570" s="82"/>
      <c r="V1570" s="57"/>
      <c r="W1570" s="57"/>
      <c r="X1570" s="57" t="str">
        <f t="shared" si="917"/>
        <v/>
      </c>
      <c r="Y1570" s="58" t="str">
        <f t="shared" ref="Y1570:AC1570" si="1410">TRIM(SUBSTITUTE(SUBSTITUTE(OFFSET($Q1570,0,COLUMN()-COLUMN($AL$1)),CHAR(160)," "),_xludf.UNICHAR(8239)," "))</f>
        <v>#NAME?</v>
      </c>
      <c r="Z1570" s="58" t="str">
        <f t="shared" si="1410"/>
        <v>#NAME?</v>
      </c>
      <c r="AA1570" s="58" t="str">
        <f t="shared" si="1410"/>
        <v>#NAME?</v>
      </c>
      <c r="AB1570" s="58" t="str">
        <f t="shared" si="1410"/>
        <v>#NAME?</v>
      </c>
      <c r="AC1570" s="58" t="str">
        <f t="shared" si="1410"/>
        <v>#NAME?</v>
      </c>
      <c r="AD1570" s="57">
        <f t="shared" si="906"/>
        <v>0</v>
      </c>
      <c r="AE1570" s="57" t="str">
        <f t="shared" si="907"/>
        <v/>
      </c>
      <c r="AF1570" s="57">
        <f t="shared" si="908"/>
        <v>0</v>
      </c>
      <c r="AG1570" s="59">
        <f t="shared" si="909"/>
        <v>0</v>
      </c>
      <c r="AH1570" s="15"/>
      <c r="AI1570" s="15"/>
      <c r="AJ1570" s="15"/>
      <c r="AK1570" s="15"/>
      <c r="AL1570" s="15"/>
      <c r="AM1570" s="15"/>
      <c r="AN1570" s="15"/>
      <c r="AO1570" s="15"/>
      <c r="AP1570" s="15"/>
      <c r="AQ1570" s="15"/>
      <c r="AR1570" s="15"/>
      <c r="AS1570" s="15"/>
      <c r="AT1570" s="15"/>
      <c r="AU1570" s="15"/>
    </row>
    <row r="1571" ht="24.0" customHeight="1">
      <c r="A1571" s="45">
        <v>2995.0</v>
      </c>
      <c r="B1571" s="57"/>
      <c r="C1571" s="57"/>
      <c r="D1571" s="88" t="str">
        <f t="array" ref="D1571">IFERROR(
  LOOKUP(2, 1/((TRIM(IMS!$E$8:$E$2574)=TRIM(IMS!$E1571))*(IMS!$C$8:$C$2574&lt;IMS!$C1571)),
         IMS!$C$8:$C$2574),
"")</f>
        <v/>
      </c>
      <c r="E1571" s="57"/>
      <c r="F1571" s="57"/>
      <c r="G1571" s="77" t="str">
        <f t="shared" si="901"/>
        <v/>
      </c>
      <c r="H1571" s="78" t="str">
        <f t="shared" si="902"/>
        <v/>
      </c>
      <c r="I1571" s="79"/>
      <c r="J1571" s="80" t="str">
        <f t="shared" si="903"/>
        <v>#NAME?</v>
      </c>
      <c r="K1571" s="58"/>
      <c r="L1571" s="58"/>
      <c r="M1571" s="57"/>
      <c r="N1571" s="57"/>
      <c r="O1571" s="58"/>
      <c r="P1571" s="82"/>
      <c r="Q1571" s="81"/>
      <c r="R1571" s="81"/>
      <c r="S1571" s="57"/>
      <c r="T1571" s="82"/>
      <c r="U1571" s="82"/>
      <c r="V1571" s="57"/>
      <c r="W1571" s="57"/>
      <c r="X1571" s="57" t="str">
        <f t="shared" si="917"/>
        <v/>
      </c>
      <c r="Y1571" s="58" t="str">
        <f t="shared" ref="Y1571:AC1571" si="1411">TRIM(SUBSTITUTE(SUBSTITUTE(OFFSET($Q1571,0,COLUMN()-COLUMN($AL$1)),CHAR(160)," "),_xludf.UNICHAR(8239)," "))</f>
        <v>#NAME?</v>
      </c>
      <c r="Z1571" s="58" t="str">
        <f t="shared" si="1411"/>
        <v>#NAME?</v>
      </c>
      <c r="AA1571" s="58" t="str">
        <f t="shared" si="1411"/>
        <v>#NAME?</v>
      </c>
      <c r="AB1571" s="58" t="str">
        <f t="shared" si="1411"/>
        <v>#NAME?</v>
      </c>
      <c r="AC1571" s="58" t="str">
        <f t="shared" si="1411"/>
        <v>#NAME?</v>
      </c>
      <c r="AD1571" s="57">
        <f t="shared" si="906"/>
        <v>0</v>
      </c>
      <c r="AE1571" s="57" t="str">
        <f t="shared" si="907"/>
        <v/>
      </c>
      <c r="AF1571" s="57">
        <f t="shared" si="908"/>
        <v>0</v>
      </c>
      <c r="AG1571" s="59">
        <f t="shared" si="909"/>
        <v>0</v>
      </c>
      <c r="AH1571" s="15"/>
      <c r="AI1571" s="15"/>
      <c r="AJ1571" s="15"/>
      <c r="AK1571" s="15"/>
      <c r="AL1571" s="15"/>
      <c r="AM1571" s="15"/>
      <c r="AN1571" s="15"/>
      <c r="AO1571" s="15"/>
      <c r="AP1571" s="15"/>
      <c r="AQ1571" s="15"/>
      <c r="AR1571" s="15"/>
      <c r="AS1571" s="15"/>
      <c r="AT1571" s="15"/>
      <c r="AU1571" s="15"/>
    </row>
    <row r="1572" ht="24.0" customHeight="1">
      <c r="A1572" s="45">
        <v>2996.0</v>
      </c>
      <c r="B1572" s="57"/>
      <c r="C1572" s="57"/>
      <c r="D1572" s="88" t="str">
        <f t="array" ref="D1572">IFERROR(
  LOOKUP(2, 1/((TRIM(IMS!$E$8:$E$2574)=TRIM(IMS!$E1572))*(IMS!$C$8:$C$2574&lt;IMS!$C1572)),
         IMS!$C$8:$C$2574),
"")</f>
        <v/>
      </c>
      <c r="E1572" s="57"/>
      <c r="F1572" s="57"/>
      <c r="G1572" s="77" t="str">
        <f t="shared" si="901"/>
        <v/>
      </c>
      <c r="H1572" s="78" t="str">
        <f t="shared" si="902"/>
        <v/>
      </c>
      <c r="I1572" s="79"/>
      <c r="J1572" s="80" t="str">
        <f t="shared" si="903"/>
        <v>#NAME?</v>
      </c>
      <c r="K1572" s="58"/>
      <c r="L1572" s="58"/>
      <c r="M1572" s="57"/>
      <c r="N1572" s="57"/>
      <c r="O1572" s="58"/>
      <c r="P1572" s="82"/>
      <c r="Q1572" s="81"/>
      <c r="R1572" s="81"/>
      <c r="S1572" s="57"/>
      <c r="T1572" s="82"/>
      <c r="U1572" s="82"/>
      <c r="V1572" s="57"/>
      <c r="W1572" s="57"/>
      <c r="X1572" s="57" t="str">
        <f t="shared" si="917"/>
        <v/>
      </c>
      <c r="Y1572" s="58" t="str">
        <f t="shared" ref="Y1572:AC1572" si="1412">TRIM(SUBSTITUTE(SUBSTITUTE(OFFSET($Q1572,0,COLUMN()-COLUMN($AL$1)),CHAR(160)," "),_xludf.UNICHAR(8239)," "))</f>
        <v>#NAME?</v>
      </c>
      <c r="Z1572" s="58" t="str">
        <f t="shared" si="1412"/>
        <v>#NAME?</v>
      </c>
      <c r="AA1572" s="58" t="str">
        <f t="shared" si="1412"/>
        <v>#NAME?</v>
      </c>
      <c r="AB1572" s="58" t="str">
        <f t="shared" si="1412"/>
        <v>#NAME?</v>
      </c>
      <c r="AC1572" s="58" t="str">
        <f t="shared" si="1412"/>
        <v>#NAME?</v>
      </c>
      <c r="AD1572" s="57">
        <f t="shared" si="906"/>
        <v>0</v>
      </c>
      <c r="AE1572" s="57" t="str">
        <f t="shared" si="907"/>
        <v/>
      </c>
      <c r="AF1572" s="57">
        <f t="shared" si="908"/>
        <v>0</v>
      </c>
      <c r="AG1572" s="59">
        <f t="shared" si="909"/>
        <v>0</v>
      </c>
      <c r="AH1572" s="15"/>
      <c r="AI1572" s="15"/>
      <c r="AJ1572" s="15"/>
      <c r="AK1572" s="15"/>
      <c r="AL1572" s="15"/>
      <c r="AM1572" s="15"/>
      <c r="AN1572" s="15"/>
      <c r="AO1572" s="15"/>
      <c r="AP1572" s="15"/>
      <c r="AQ1572" s="15"/>
      <c r="AR1572" s="15"/>
      <c r="AS1572" s="15"/>
      <c r="AT1572" s="15"/>
      <c r="AU1572" s="15"/>
    </row>
    <row r="1573" ht="24.0" customHeight="1">
      <c r="A1573" s="45">
        <v>2997.0</v>
      </c>
      <c r="B1573" s="57"/>
      <c r="C1573" s="57"/>
      <c r="D1573" s="88" t="str">
        <f t="array" ref="D1573">IFERROR(
  LOOKUP(2, 1/((TRIM(IMS!$E$8:$E$2574)=TRIM(IMS!$E1573))*(IMS!$C$8:$C$2574&lt;IMS!$C1573)),
         IMS!$C$8:$C$2574),
"")</f>
        <v/>
      </c>
      <c r="E1573" s="57"/>
      <c r="F1573" s="57"/>
      <c r="G1573" s="77" t="str">
        <f t="shared" si="901"/>
        <v/>
      </c>
      <c r="H1573" s="78" t="str">
        <f t="shared" si="902"/>
        <v/>
      </c>
      <c r="I1573" s="79"/>
      <c r="J1573" s="80" t="str">
        <f t="shared" si="903"/>
        <v>#NAME?</v>
      </c>
      <c r="K1573" s="58"/>
      <c r="L1573" s="58"/>
      <c r="M1573" s="57"/>
      <c r="N1573" s="57"/>
      <c r="O1573" s="58"/>
      <c r="P1573" s="82"/>
      <c r="Q1573" s="81"/>
      <c r="R1573" s="81"/>
      <c r="S1573" s="57"/>
      <c r="T1573" s="82"/>
      <c r="U1573" s="82"/>
      <c r="V1573" s="57"/>
      <c r="W1573" s="57"/>
      <c r="X1573" s="57" t="str">
        <f t="shared" si="917"/>
        <v/>
      </c>
      <c r="Y1573" s="58" t="str">
        <f t="shared" ref="Y1573:AC1573" si="1413">TRIM(SUBSTITUTE(SUBSTITUTE(OFFSET($Q1573,0,COLUMN()-COLUMN($AL$1)),CHAR(160)," "),_xludf.UNICHAR(8239)," "))</f>
        <v>#NAME?</v>
      </c>
      <c r="Z1573" s="58" t="str">
        <f t="shared" si="1413"/>
        <v>#NAME?</v>
      </c>
      <c r="AA1573" s="58" t="str">
        <f t="shared" si="1413"/>
        <v>#NAME?</v>
      </c>
      <c r="AB1573" s="58" t="str">
        <f t="shared" si="1413"/>
        <v>#NAME?</v>
      </c>
      <c r="AC1573" s="58" t="str">
        <f t="shared" si="1413"/>
        <v>#NAME?</v>
      </c>
      <c r="AD1573" s="57">
        <f t="shared" si="906"/>
        <v>0</v>
      </c>
      <c r="AE1573" s="57" t="str">
        <f t="shared" si="907"/>
        <v/>
      </c>
      <c r="AF1573" s="57">
        <f t="shared" si="908"/>
        <v>0</v>
      </c>
      <c r="AG1573" s="59">
        <f t="shared" si="909"/>
        <v>0</v>
      </c>
      <c r="AH1573" s="15"/>
      <c r="AI1573" s="15"/>
      <c r="AJ1573" s="15"/>
      <c r="AK1573" s="15"/>
      <c r="AL1573" s="15"/>
      <c r="AM1573" s="15"/>
      <c r="AN1573" s="15"/>
      <c r="AO1573" s="15"/>
      <c r="AP1573" s="15"/>
      <c r="AQ1573" s="15"/>
      <c r="AR1573" s="15"/>
      <c r="AS1573" s="15"/>
      <c r="AT1573" s="15"/>
      <c r="AU1573" s="15"/>
    </row>
    <row r="1574" ht="24.0" customHeight="1">
      <c r="A1574" s="45">
        <v>2998.0</v>
      </c>
      <c r="B1574" s="57"/>
      <c r="C1574" s="57"/>
      <c r="D1574" s="88" t="str">
        <f t="array" ref="D1574">IFERROR(
  LOOKUP(2, 1/((TRIM(IMS!$E$8:$E$2574)=TRIM(IMS!$E1574))*(IMS!$C$8:$C$2574&lt;IMS!$C1574)),
         IMS!$C$8:$C$2574),
"")</f>
        <v/>
      </c>
      <c r="E1574" s="57"/>
      <c r="F1574" s="57"/>
      <c r="G1574" s="77" t="str">
        <f t="shared" si="901"/>
        <v/>
      </c>
      <c r="H1574" s="78" t="str">
        <f t="shared" si="902"/>
        <v/>
      </c>
      <c r="I1574" s="79"/>
      <c r="J1574" s="80" t="str">
        <f t="shared" si="903"/>
        <v>#NAME?</v>
      </c>
      <c r="K1574" s="58"/>
      <c r="L1574" s="58"/>
      <c r="M1574" s="57"/>
      <c r="N1574" s="57"/>
      <c r="O1574" s="58"/>
      <c r="P1574" s="82"/>
      <c r="Q1574" s="81"/>
      <c r="R1574" s="81"/>
      <c r="S1574" s="57"/>
      <c r="T1574" s="82"/>
      <c r="U1574" s="82"/>
      <c r="V1574" s="57"/>
      <c r="W1574" s="57"/>
      <c r="X1574" s="57" t="str">
        <f t="shared" si="917"/>
        <v/>
      </c>
      <c r="Y1574" s="58" t="str">
        <f t="shared" ref="Y1574:AC1574" si="1414">TRIM(SUBSTITUTE(SUBSTITUTE(OFFSET($Q1574,0,COLUMN()-COLUMN($AL$1)),CHAR(160)," "),_xludf.UNICHAR(8239)," "))</f>
        <v>#NAME?</v>
      </c>
      <c r="Z1574" s="58" t="str">
        <f t="shared" si="1414"/>
        <v>#NAME?</v>
      </c>
      <c r="AA1574" s="58" t="str">
        <f t="shared" si="1414"/>
        <v>#NAME?</v>
      </c>
      <c r="AB1574" s="58" t="str">
        <f t="shared" si="1414"/>
        <v>#NAME?</v>
      </c>
      <c r="AC1574" s="58" t="str">
        <f t="shared" si="1414"/>
        <v>#NAME?</v>
      </c>
      <c r="AD1574" s="57">
        <f t="shared" si="906"/>
        <v>0</v>
      </c>
      <c r="AE1574" s="57" t="str">
        <f t="shared" si="907"/>
        <v/>
      </c>
      <c r="AF1574" s="57">
        <f t="shared" si="908"/>
        <v>0</v>
      </c>
      <c r="AG1574" s="59">
        <f t="shared" si="909"/>
        <v>0</v>
      </c>
      <c r="AH1574" s="15"/>
      <c r="AI1574" s="15"/>
      <c r="AJ1574" s="15"/>
      <c r="AK1574" s="15"/>
      <c r="AL1574" s="15"/>
      <c r="AM1574" s="15"/>
      <c r="AN1574" s="15"/>
      <c r="AO1574" s="15"/>
      <c r="AP1574" s="15"/>
      <c r="AQ1574" s="15"/>
      <c r="AR1574" s="15"/>
      <c r="AS1574" s="15"/>
      <c r="AT1574" s="15"/>
      <c r="AU1574" s="15"/>
    </row>
    <row r="1575" ht="24.0" customHeight="1">
      <c r="A1575" s="45">
        <v>2999.0</v>
      </c>
      <c r="B1575" s="57"/>
      <c r="C1575" s="57"/>
      <c r="D1575" s="88" t="str">
        <f t="array" ref="D1575">IFERROR(
  LOOKUP(2, 1/((TRIM(IMS!$E$8:$E$2574)=TRIM(IMS!$E1575))*(IMS!$C$8:$C$2574&lt;IMS!$C1575)),
         IMS!$C$8:$C$2574),
"")</f>
        <v/>
      </c>
      <c r="E1575" s="57"/>
      <c r="F1575" s="57"/>
      <c r="G1575" s="77" t="str">
        <f t="shared" si="901"/>
        <v/>
      </c>
      <c r="H1575" s="78" t="str">
        <f t="shared" si="902"/>
        <v/>
      </c>
      <c r="I1575" s="79"/>
      <c r="J1575" s="80" t="str">
        <f t="shared" si="903"/>
        <v>#NAME?</v>
      </c>
      <c r="K1575" s="58"/>
      <c r="L1575" s="58"/>
      <c r="M1575" s="57"/>
      <c r="N1575" s="57"/>
      <c r="O1575" s="58"/>
      <c r="P1575" s="82"/>
      <c r="Q1575" s="81"/>
      <c r="R1575" s="81"/>
      <c r="S1575" s="57"/>
      <c r="T1575" s="82"/>
      <c r="U1575" s="82"/>
      <c r="V1575" s="57"/>
      <c r="W1575" s="57"/>
      <c r="X1575" s="57" t="str">
        <f t="shared" si="917"/>
        <v/>
      </c>
      <c r="Y1575" s="58" t="str">
        <f t="shared" ref="Y1575:AC1575" si="1415">TRIM(SUBSTITUTE(SUBSTITUTE(OFFSET($Q1575,0,COLUMN()-COLUMN($AL$1)),CHAR(160)," "),_xludf.UNICHAR(8239)," "))</f>
        <v>#NAME?</v>
      </c>
      <c r="Z1575" s="58" t="str">
        <f t="shared" si="1415"/>
        <v>#NAME?</v>
      </c>
      <c r="AA1575" s="58" t="str">
        <f t="shared" si="1415"/>
        <v>#NAME?</v>
      </c>
      <c r="AB1575" s="58" t="str">
        <f t="shared" si="1415"/>
        <v>#NAME?</v>
      </c>
      <c r="AC1575" s="58" t="str">
        <f t="shared" si="1415"/>
        <v>#NAME?</v>
      </c>
      <c r="AD1575" s="57">
        <f t="shared" si="906"/>
        <v>0</v>
      </c>
      <c r="AE1575" s="57" t="str">
        <f t="shared" si="907"/>
        <v/>
      </c>
      <c r="AF1575" s="57">
        <f t="shared" si="908"/>
        <v>0</v>
      </c>
      <c r="AG1575" s="59">
        <f t="shared" si="909"/>
        <v>0</v>
      </c>
      <c r="AH1575" s="15"/>
      <c r="AI1575" s="15"/>
      <c r="AJ1575" s="15"/>
      <c r="AK1575" s="15"/>
      <c r="AL1575" s="15"/>
      <c r="AM1575" s="15"/>
      <c r="AN1575" s="15"/>
      <c r="AO1575" s="15"/>
      <c r="AP1575" s="15"/>
      <c r="AQ1575" s="15"/>
      <c r="AR1575" s="15"/>
      <c r="AS1575" s="15"/>
      <c r="AT1575" s="15"/>
      <c r="AU1575" s="15"/>
    </row>
    <row r="1576" ht="24.0" customHeight="1">
      <c r="A1576" s="45">
        <v>3000.0</v>
      </c>
      <c r="B1576" s="57"/>
      <c r="C1576" s="57"/>
      <c r="D1576" s="88" t="str">
        <f t="array" ref="D1576">IFERROR(
  LOOKUP(2, 1/((TRIM(IMS!$E$8:$E$2574)=TRIM(IMS!$E1576))*(IMS!$C$8:$C$2574&lt;IMS!$C1576)),
         IMS!$C$8:$C$2574),
"")</f>
        <v/>
      </c>
      <c r="E1576" s="57"/>
      <c r="F1576" s="57"/>
      <c r="G1576" s="77" t="str">
        <f t="shared" si="901"/>
        <v/>
      </c>
      <c r="H1576" s="78" t="str">
        <f t="shared" si="902"/>
        <v/>
      </c>
      <c r="I1576" s="79"/>
      <c r="J1576" s="80" t="str">
        <f t="shared" si="903"/>
        <v>#NAME?</v>
      </c>
      <c r="K1576" s="58"/>
      <c r="L1576" s="58"/>
      <c r="M1576" s="57"/>
      <c r="N1576" s="57"/>
      <c r="O1576" s="58"/>
      <c r="P1576" s="82"/>
      <c r="Q1576" s="81"/>
      <c r="R1576" s="81"/>
      <c r="S1576" s="57"/>
      <c r="T1576" s="82"/>
      <c r="U1576" s="82"/>
      <c r="V1576" s="57"/>
      <c r="W1576" s="57"/>
      <c r="X1576" s="57" t="str">
        <f t="shared" si="917"/>
        <v/>
      </c>
      <c r="Y1576" s="58" t="str">
        <f t="shared" ref="Y1576:AC1576" si="1416">TRIM(SUBSTITUTE(SUBSTITUTE(OFFSET($Q1576,0,COLUMN()-COLUMN($AL$1)),CHAR(160)," "),_xludf.UNICHAR(8239)," "))</f>
        <v>#NAME?</v>
      </c>
      <c r="Z1576" s="58" t="str">
        <f t="shared" si="1416"/>
        <v>#NAME?</v>
      </c>
      <c r="AA1576" s="58" t="str">
        <f t="shared" si="1416"/>
        <v>#NAME?</v>
      </c>
      <c r="AB1576" s="58" t="str">
        <f t="shared" si="1416"/>
        <v>#NAME?</v>
      </c>
      <c r="AC1576" s="58" t="str">
        <f t="shared" si="1416"/>
        <v>#NAME?</v>
      </c>
      <c r="AD1576" s="57">
        <f t="shared" si="906"/>
        <v>0</v>
      </c>
      <c r="AE1576" s="57" t="str">
        <f t="shared" si="907"/>
        <v/>
      </c>
      <c r="AF1576" s="57">
        <f t="shared" si="908"/>
        <v>0</v>
      </c>
      <c r="AG1576" s="59">
        <f t="shared" si="909"/>
        <v>0</v>
      </c>
      <c r="AH1576" s="15"/>
      <c r="AI1576" s="15"/>
      <c r="AJ1576" s="15"/>
      <c r="AK1576" s="15"/>
      <c r="AL1576" s="15"/>
      <c r="AM1576" s="15"/>
      <c r="AN1576" s="15"/>
      <c r="AO1576" s="15"/>
      <c r="AP1576" s="15"/>
      <c r="AQ1576" s="15"/>
      <c r="AR1576" s="15"/>
      <c r="AS1576" s="15"/>
      <c r="AT1576" s="15"/>
      <c r="AU1576" s="15"/>
    </row>
    <row r="1577" ht="24.0" customHeight="1">
      <c r="A1577" s="45">
        <v>3001.0</v>
      </c>
      <c r="B1577" s="57"/>
      <c r="C1577" s="57"/>
      <c r="D1577" s="88" t="str">
        <f t="array" ref="D1577">IFERROR(
  LOOKUP(2, 1/((TRIM(IMS!$E$8:$E$2574)=TRIM(IMS!$E1577))*(IMS!$C$8:$C$2574&lt;IMS!$C1577)),
         IMS!$C$8:$C$2574),
"")</f>
        <v/>
      </c>
      <c r="E1577" s="57"/>
      <c r="F1577" s="57"/>
      <c r="G1577" s="77" t="str">
        <f t="shared" si="901"/>
        <v/>
      </c>
      <c r="H1577" s="78" t="str">
        <f t="shared" si="902"/>
        <v/>
      </c>
      <c r="I1577" s="79"/>
      <c r="J1577" s="80" t="str">
        <f t="shared" si="903"/>
        <v>#NAME?</v>
      </c>
      <c r="K1577" s="58"/>
      <c r="L1577" s="58"/>
      <c r="M1577" s="57"/>
      <c r="N1577" s="57"/>
      <c r="O1577" s="58"/>
      <c r="P1577" s="82"/>
      <c r="Q1577" s="81"/>
      <c r="R1577" s="81"/>
      <c r="S1577" s="57"/>
      <c r="T1577" s="82"/>
      <c r="U1577" s="82"/>
      <c r="V1577" s="57"/>
      <c r="W1577" s="57"/>
      <c r="X1577" s="57" t="str">
        <f t="shared" si="917"/>
        <v/>
      </c>
      <c r="Y1577" s="58" t="str">
        <f t="shared" ref="Y1577:AC1577" si="1417">TRIM(SUBSTITUTE(SUBSTITUTE(OFFSET($Q1577,0,COLUMN()-COLUMN($AL$1)),CHAR(160)," "),_xludf.UNICHAR(8239)," "))</f>
        <v>#NAME?</v>
      </c>
      <c r="Z1577" s="58" t="str">
        <f t="shared" si="1417"/>
        <v>#NAME?</v>
      </c>
      <c r="AA1577" s="58" t="str">
        <f t="shared" si="1417"/>
        <v>#NAME?</v>
      </c>
      <c r="AB1577" s="58" t="str">
        <f t="shared" si="1417"/>
        <v>#NAME?</v>
      </c>
      <c r="AC1577" s="58" t="str">
        <f t="shared" si="1417"/>
        <v>#NAME?</v>
      </c>
      <c r="AD1577" s="57">
        <f t="shared" si="906"/>
        <v>0</v>
      </c>
      <c r="AE1577" s="57" t="str">
        <f t="shared" si="907"/>
        <v/>
      </c>
      <c r="AF1577" s="57">
        <f t="shared" si="908"/>
        <v>0</v>
      </c>
      <c r="AG1577" s="59">
        <f t="shared" si="909"/>
        <v>0</v>
      </c>
      <c r="AH1577" s="15"/>
      <c r="AI1577" s="15"/>
      <c r="AJ1577" s="15"/>
      <c r="AK1577" s="15"/>
      <c r="AL1577" s="15"/>
      <c r="AM1577" s="15"/>
      <c r="AN1577" s="15"/>
      <c r="AO1577" s="15"/>
      <c r="AP1577" s="15"/>
      <c r="AQ1577" s="15"/>
      <c r="AR1577" s="15"/>
      <c r="AS1577" s="15"/>
      <c r="AT1577" s="15"/>
      <c r="AU1577" s="15"/>
    </row>
    <row r="1578" ht="24.0" customHeight="1">
      <c r="A1578" s="45">
        <v>3002.0</v>
      </c>
      <c r="B1578" s="57"/>
      <c r="C1578" s="57"/>
      <c r="D1578" s="88" t="str">
        <f t="array" ref="D1578">IFERROR(
  LOOKUP(2, 1/((TRIM(IMS!$E$8:$E$2574)=TRIM(IMS!$E1578))*(IMS!$C$8:$C$2574&lt;IMS!$C1578)),
         IMS!$C$8:$C$2574),
"")</f>
        <v/>
      </c>
      <c r="E1578" s="57"/>
      <c r="F1578" s="57"/>
      <c r="G1578" s="77" t="str">
        <f t="shared" si="901"/>
        <v/>
      </c>
      <c r="H1578" s="78" t="str">
        <f t="shared" si="902"/>
        <v/>
      </c>
      <c r="I1578" s="79"/>
      <c r="J1578" s="80" t="str">
        <f t="shared" si="903"/>
        <v>#NAME?</v>
      </c>
      <c r="K1578" s="58"/>
      <c r="L1578" s="58"/>
      <c r="M1578" s="57"/>
      <c r="N1578" s="57"/>
      <c r="O1578" s="58"/>
      <c r="P1578" s="82"/>
      <c r="Q1578" s="81"/>
      <c r="R1578" s="81"/>
      <c r="S1578" s="57"/>
      <c r="T1578" s="82"/>
      <c r="U1578" s="82"/>
      <c r="V1578" s="57"/>
      <c r="W1578" s="57"/>
      <c r="X1578" s="57" t="str">
        <f t="shared" si="917"/>
        <v/>
      </c>
      <c r="Y1578" s="58" t="str">
        <f t="shared" ref="Y1578:AC1578" si="1418">TRIM(SUBSTITUTE(SUBSTITUTE(OFFSET($Q1578,0,COLUMN()-COLUMN($AL$1)),CHAR(160)," "),_xludf.UNICHAR(8239)," "))</f>
        <v>#NAME?</v>
      </c>
      <c r="Z1578" s="58" t="str">
        <f t="shared" si="1418"/>
        <v>#NAME?</v>
      </c>
      <c r="AA1578" s="58" t="str">
        <f t="shared" si="1418"/>
        <v>#NAME?</v>
      </c>
      <c r="AB1578" s="58" t="str">
        <f t="shared" si="1418"/>
        <v>#NAME?</v>
      </c>
      <c r="AC1578" s="58" t="str">
        <f t="shared" si="1418"/>
        <v>#NAME?</v>
      </c>
      <c r="AD1578" s="57">
        <f t="shared" si="906"/>
        <v>0</v>
      </c>
      <c r="AE1578" s="57" t="str">
        <f t="shared" si="907"/>
        <v/>
      </c>
      <c r="AF1578" s="57">
        <f t="shared" si="908"/>
        <v>0</v>
      </c>
      <c r="AG1578" s="59">
        <f t="shared" si="909"/>
        <v>0</v>
      </c>
      <c r="AH1578" s="15"/>
      <c r="AI1578" s="15"/>
      <c r="AJ1578" s="15"/>
      <c r="AK1578" s="15"/>
      <c r="AL1578" s="15"/>
      <c r="AM1578" s="15"/>
      <c r="AN1578" s="15"/>
      <c r="AO1578" s="15"/>
      <c r="AP1578" s="15"/>
      <c r="AQ1578" s="15"/>
      <c r="AR1578" s="15"/>
      <c r="AS1578" s="15"/>
      <c r="AT1578" s="15"/>
      <c r="AU1578" s="15"/>
    </row>
    <row r="1579" ht="24.0" customHeight="1">
      <c r="A1579" s="45">
        <v>3003.0</v>
      </c>
      <c r="B1579" s="57"/>
      <c r="C1579" s="57"/>
      <c r="D1579" s="88" t="str">
        <f t="array" ref="D1579">IFERROR(
  LOOKUP(2, 1/((TRIM(IMS!$E$8:$E$2574)=TRIM(IMS!$E1579))*(IMS!$C$8:$C$2574&lt;IMS!$C1579)),
         IMS!$C$8:$C$2574),
"")</f>
        <v/>
      </c>
      <c r="E1579" s="57"/>
      <c r="F1579" s="57"/>
      <c r="G1579" s="77" t="str">
        <f t="shared" si="901"/>
        <v/>
      </c>
      <c r="H1579" s="78" t="str">
        <f t="shared" si="902"/>
        <v/>
      </c>
      <c r="I1579" s="79"/>
      <c r="J1579" s="80" t="str">
        <f t="shared" si="903"/>
        <v>#NAME?</v>
      </c>
      <c r="K1579" s="58"/>
      <c r="L1579" s="58"/>
      <c r="M1579" s="57"/>
      <c r="N1579" s="57"/>
      <c r="O1579" s="58"/>
      <c r="P1579" s="82"/>
      <c r="Q1579" s="81"/>
      <c r="R1579" s="81"/>
      <c r="S1579" s="57"/>
      <c r="T1579" s="82"/>
      <c r="U1579" s="82"/>
      <c r="V1579" s="57"/>
      <c r="W1579" s="57"/>
      <c r="X1579" s="57" t="str">
        <f t="shared" si="917"/>
        <v/>
      </c>
      <c r="Y1579" s="58" t="str">
        <f t="shared" ref="Y1579:AC1579" si="1419">TRIM(SUBSTITUTE(SUBSTITUTE(OFFSET($Q1579,0,COLUMN()-COLUMN($AL$1)),CHAR(160)," "),_xludf.UNICHAR(8239)," "))</f>
        <v>#NAME?</v>
      </c>
      <c r="Z1579" s="58" t="str">
        <f t="shared" si="1419"/>
        <v>#NAME?</v>
      </c>
      <c r="AA1579" s="58" t="str">
        <f t="shared" si="1419"/>
        <v>#NAME?</v>
      </c>
      <c r="AB1579" s="58" t="str">
        <f t="shared" si="1419"/>
        <v>#NAME?</v>
      </c>
      <c r="AC1579" s="58" t="str">
        <f t="shared" si="1419"/>
        <v>#NAME?</v>
      </c>
      <c r="AD1579" s="57">
        <f t="shared" si="906"/>
        <v>0</v>
      </c>
      <c r="AE1579" s="57" t="str">
        <f t="shared" si="907"/>
        <v/>
      </c>
      <c r="AF1579" s="57">
        <f t="shared" si="908"/>
        <v>0</v>
      </c>
      <c r="AG1579" s="59">
        <f t="shared" si="909"/>
        <v>0</v>
      </c>
      <c r="AH1579" s="15"/>
      <c r="AI1579" s="15"/>
      <c r="AJ1579" s="15"/>
      <c r="AK1579" s="15"/>
      <c r="AL1579" s="15"/>
      <c r="AM1579" s="15"/>
      <c r="AN1579" s="15"/>
      <c r="AO1579" s="15"/>
      <c r="AP1579" s="15"/>
      <c r="AQ1579" s="15"/>
      <c r="AR1579" s="15"/>
      <c r="AS1579" s="15"/>
      <c r="AT1579" s="15"/>
      <c r="AU1579" s="15"/>
    </row>
    <row r="1580" ht="24.0" customHeight="1">
      <c r="A1580" s="45">
        <v>3004.0</v>
      </c>
      <c r="B1580" s="57"/>
      <c r="C1580" s="57"/>
      <c r="D1580" s="88" t="str">
        <f t="array" ref="D1580">IFERROR(
  LOOKUP(2, 1/((TRIM(IMS!$E$8:$E$2574)=TRIM(IMS!$E1580))*(IMS!$C$8:$C$2574&lt;IMS!$C1580)),
         IMS!$C$8:$C$2574),
"")</f>
        <v/>
      </c>
      <c r="E1580" s="57"/>
      <c r="F1580" s="57"/>
      <c r="G1580" s="77" t="str">
        <f t="shared" si="901"/>
        <v/>
      </c>
      <c r="H1580" s="78" t="str">
        <f t="shared" si="902"/>
        <v/>
      </c>
      <c r="I1580" s="79"/>
      <c r="J1580" s="80" t="str">
        <f t="shared" si="903"/>
        <v>#NAME?</v>
      </c>
      <c r="K1580" s="58"/>
      <c r="L1580" s="58"/>
      <c r="M1580" s="57"/>
      <c r="N1580" s="57"/>
      <c r="O1580" s="58"/>
      <c r="P1580" s="82"/>
      <c r="Q1580" s="81"/>
      <c r="R1580" s="81"/>
      <c r="S1580" s="57"/>
      <c r="T1580" s="82"/>
      <c r="U1580" s="82"/>
      <c r="V1580" s="57"/>
      <c r="W1580" s="57"/>
      <c r="X1580" s="57" t="str">
        <f t="shared" si="917"/>
        <v/>
      </c>
      <c r="Y1580" s="58" t="str">
        <f t="shared" ref="Y1580:AC1580" si="1420">TRIM(SUBSTITUTE(SUBSTITUTE(OFFSET($Q1580,0,COLUMN()-COLUMN($AL$1)),CHAR(160)," "),_xludf.UNICHAR(8239)," "))</f>
        <v>#NAME?</v>
      </c>
      <c r="Z1580" s="58" t="str">
        <f t="shared" si="1420"/>
        <v>#NAME?</v>
      </c>
      <c r="AA1580" s="58" t="str">
        <f t="shared" si="1420"/>
        <v>#NAME?</v>
      </c>
      <c r="AB1580" s="58" t="str">
        <f t="shared" si="1420"/>
        <v>#NAME?</v>
      </c>
      <c r="AC1580" s="58" t="str">
        <f t="shared" si="1420"/>
        <v>#NAME?</v>
      </c>
      <c r="AD1580" s="57">
        <f t="shared" si="906"/>
        <v>0</v>
      </c>
      <c r="AE1580" s="57" t="str">
        <f t="shared" si="907"/>
        <v/>
      </c>
      <c r="AF1580" s="57">
        <f t="shared" si="908"/>
        <v>0</v>
      </c>
      <c r="AG1580" s="59">
        <f t="shared" si="909"/>
        <v>0</v>
      </c>
      <c r="AH1580" s="15"/>
      <c r="AI1580" s="15"/>
      <c r="AJ1580" s="15"/>
      <c r="AK1580" s="15"/>
      <c r="AL1580" s="15"/>
      <c r="AM1580" s="15"/>
      <c r="AN1580" s="15"/>
      <c r="AO1580" s="15"/>
      <c r="AP1580" s="15"/>
      <c r="AQ1580" s="15"/>
      <c r="AR1580" s="15"/>
      <c r="AS1580" s="15"/>
      <c r="AT1580" s="15"/>
      <c r="AU1580" s="15"/>
    </row>
    <row r="1581" ht="24.0" customHeight="1">
      <c r="A1581" s="45">
        <v>3005.0</v>
      </c>
      <c r="B1581" s="57"/>
      <c r="C1581" s="57"/>
      <c r="D1581" s="88" t="str">
        <f t="array" ref="D1581">IFERROR(
  LOOKUP(2, 1/((TRIM(IMS!$E$8:$E$2574)=TRIM(IMS!$E1581))*(IMS!$C$8:$C$2574&lt;IMS!$C1581)),
         IMS!$C$8:$C$2574),
"")</f>
        <v/>
      </c>
      <c r="E1581" s="57"/>
      <c r="F1581" s="57"/>
      <c r="G1581" s="77" t="str">
        <f t="shared" si="901"/>
        <v/>
      </c>
      <c r="H1581" s="78" t="str">
        <f t="shared" si="902"/>
        <v/>
      </c>
      <c r="I1581" s="79"/>
      <c r="J1581" s="80" t="str">
        <f t="shared" si="903"/>
        <v>#NAME?</v>
      </c>
      <c r="K1581" s="58"/>
      <c r="L1581" s="58"/>
      <c r="M1581" s="57"/>
      <c r="N1581" s="57"/>
      <c r="O1581" s="58"/>
      <c r="P1581" s="82"/>
      <c r="Q1581" s="81"/>
      <c r="R1581" s="81"/>
      <c r="S1581" s="57"/>
      <c r="T1581" s="82"/>
      <c r="U1581" s="82"/>
      <c r="V1581" s="57"/>
      <c r="W1581" s="57"/>
      <c r="X1581" s="57" t="str">
        <f t="shared" si="917"/>
        <v/>
      </c>
      <c r="Y1581" s="58" t="str">
        <f t="shared" ref="Y1581:AC1581" si="1421">TRIM(SUBSTITUTE(SUBSTITUTE(OFFSET($Q1581,0,COLUMN()-COLUMN($AL$1)),CHAR(160)," "),_xludf.UNICHAR(8239)," "))</f>
        <v>#NAME?</v>
      </c>
      <c r="Z1581" s="58" t="str">
        <f t="shared" si="1421"/>
        <v>#NAME?</v>
      </c>
      <c r="AA1581" s="58" t="str">
        <f t="shared" si="1421"/>
        <v>#NAME?</v>
      </c>
      <c r="AB1581" s="58" t="str">
        <f t="shared" si="1421"/>
        <v>#NAME?</v>
      </c>
      <c r="AC1581" s="58" t="str">
        <f t="shared" si="1421"/>
        <v>#NAME?</v>
      </c>
      <c r="AD1581" s="57">
        <f t="shared" si="906"/>
        <v>0</v>
      </c>
      <c r="AE1581" s="57" t="str">
        <f t="shared" si="907"/>
        <v/>
      </c>
      <c r="AF1581" s="57">
        <f t="shared" si="908"/>
        <v>0</v>
      </c>
      <c r="AG1581" s="59">
        <f t="shared" si="909"/>
        <v>0</v>
      </c>
      <c r="AH1581" s="15"/>
      <c r="AI1581" s="15"/>
      <c r="AJ1581" s="15"/>
      <c r="AK1581" s="15"/>
      <c r="AL1581" s="15"/>
      <c r="AM1581" s="15"/>
      <c r="AN1581" s="15"/>
      <c r="AO1581" s="15"/>
      <c r="AP1581" s="15"/>
      <c r="AQ1581" s="15"/>
      <c r="AR1581" s="15"/>
      <c r="AS1581" s="15"/>
      <c r="AT1581" s="15"/>
      <c r="AU1581" s="15"/>
    </row>
    <row r="1582" ht="24.0" customHeight="1">
      <c r="A1582" s="45">
        <v>3006.0</v>
      </c>
      <c r="B1582" s="57"/>
      <c r="C1582" s="57"/>
      <c r="D1582" s="88" t="str">
        <f t="array" ref="D1582">IFERROR(
  LOOKUP(2, 1/((TRIM(IMS!$E$8:$E$2574)=TRIM(IMS!$E1582))*(IMS!$C$8:$C$2574&lt;IMS!$C1582)),
         IMS!$C$8:$C$2574),
"")</f>
        <v/>
      </c>
      <c r="E1582" s="57"/>
      <c r="F1582" s="57"/>
      <c r="G1582" s="77" t="str">
        <f t="shared" si="901"/>
        <v/>
      </c>
      <c r="H1582" s="78" t="str">
        <f t="shared" si="902"/>
        <v/>
      </c>
      <c r="I1582" s="79"/>
      <c r="J1582" s="80" t="str">
        <f t="shared" si="903"/>
        <v>#NAME?</v>
      </c>
      <c r="K1582" s="58"/>
      <c r="L1582" s="58"/>
      <c r="M1582" s="57"/>
      <c r="N1582" s="57"/>
      <c r="O1582" s="58"/>
      <c r="P1582" s="82"/>
      <c r="Q1582" s="81"/>
      <c r="R1582" s="81"/>
      <c r="S1582" s="57"/>
      <c r="T1582" s="82"/>
      <c r="U1582" s="82"/>
      <c r="V1582" s="57"/>
      <c r="W1582" s="57"/>
      <c r="X1582" s="57" t="str">
        <f t="shared" si="917"/>
        <v/>
      </c>
      <c r="Y1582" s="58" t="str">
        <f t="shared" ref="Y1582:AC1582" si="1422">TRIM(SUBSTITUTE(SUBSTITUTE(OFFSET($Q1582,0,COLUMN()-COLUMN($AL$1)),CHAR(160)," "),_xludf.UNICHAR(8239)," "))</f>
        <v>#NAME?</v>
      </c>
      <c r="Z1582" s="58" t="str">
        <f t="shared" si="1422"/>
        <v>#NAME?</v>
      </c>
      <c r="AA1582" s="58" t="str">
        <f t="shared" si="1422"/>
        <v>#NAME?</v>
      </c>
      <c r="AB1582" s="58" t="str">
        <f t="shared" si="1422"/>
        <v>#NAME?</v>
      </c>
      <c r="AC1582" s="58" t="str">
        <f t="shared" si="1422"/>
        <v>#NAME?</v>
      </c>
      <c r="AD1582" s="57">
        <f t="shared" si="906"/>
        <v>0</v>
      </c>
      <c r="AE1582" s="57" t="str">
        <f t="shared" si="907"/>
        <v/>
      </c>
      <c r="AF1582" s="57">
        <f t="shared" si="908"/>
        <v>0</v>
      </c>
      <c r="AG1582" s="59">
        <f t="shared" si="909"/>
        <v>0</v>
      </c>
      <c r="AH1582" s="15"/>
      <c r="AI1582" s="15"/>
      <c r="AJ1582" s="15"/>
      <c r="AK1582" s="15"/>
      <c r="AL1582" s="15"/>
      <c r="AM1582" s="15"/>
      <c r="AN1582" s="15"/>
      <c r="AO1582" s="15"/>
      <c r="AP1582" s="15"/>
      <c r="AQ1582" s="15"/>
      <c r="AR1582" s="15"/>
      <c r="AS1582" s="15"/>
      <c r="AT1582" s="15"/>
      <c r="AU1582" s="15"/>
    </row>
    <row r="1583" ht="24.0" customHeight="1">
      <c r="A1583" s="45">
        <v>3007.0</v>
      </c>
      <c r="B1583" s="57"/>
      <c r="C1583" s="57"/>
      <c r="D1583" s="88" t="str">
        <f t="array" ref="D1583">IFERROR(
  LOOKUP(2, 1/((TRIM(IMS!$E$8:$E$2574)=TRIM(IMS!$E1583))*(IMS!$C$8:$C$2574&lt;IMS!$C1583)),
         IMS!$C$8:$C$2574),
"")</f>
        <v/>
      </c>
      <c r="E1583" s="57"/>
      <c r="F1583" s="57"/>
      <c r="G1583" s="77" t="str">
        <f t="shared" si="901"/>
        <v/>
      </c>
      <c r="H1583" s="78" t="str">
        <f t="shared" si="902"/>
        <v/>
      </c>
      <c r="I1583" s="79"/>
      <c r="J1583" s="80" t="str">
        <f t="shared" si="903"/>
        <v>#NAME?</v>
      </c>
      <c r="K1583" s="58"/>
      <c r="L1583" s="58"/>
      <c r="M1583" s="57"/>
      <c r="N1583" s="57"/>
      <c r="O1583" s="58"/>
      <c r="P1583" s="82"/>
      <c r="Q1583" s="81"/>
      <c r="R1583" s="81"/>
      <c r="S1583" s="57"/>
      <c r="T1583" s="82"/>
      <c r="U1583" s="82"/>
      <c r="V1583" s="57"/>
      <c r="W1583" s="57"/>
      <c r="X1583" s="57" t="str">
        <f t="shared" si="917"/>
        <v/>
      </c>
      <c r="Y1583" s="58" t="str">
        <f t="shared" ref="Y1583:AC1583" si="1423">TRIM(SUBSTITUTE(SUBSTITUTE(OFFSET($Q1583,0,COLUMN()-COLUMN($AL$1)),CHAR(160)," "),_xludf.UNICHAR(8239)," "))</f>
        <v>#NAME?</v>
      </c>
      <c r="Z1583" s="58" t="str">
        <f t="shared" si="1423"/>
        <v>#NAME?</v>
      </c>
      <c r="AA1583" s="58" t="str">
        <f t="shared" si="1423"/>
        <v>#NAME?</v>
      </c>
      <c r="AB1583" s="58" t="str">
        <f t="shared" si="1423"/>
        <v>#NAME?</v>
      </c>
      <c r="AC1583" s="58" t="str">
        <f t="shared" si="1423"/>
        <v>#NAME?</v>
      </c>
      <c r="AD1583" s="57">
        <f t="shared" si="906"/>
        <v>0</v>
      </c>
      <c r="AE1583" s="57" t="str">
        <f t="shared" si="907"/>
        <v/>
      </c>
      <c r="AF1583" s="57">
        <f t="shared" si="908"/>
        <v>0</v>
      </c>
      <c r="AG1583" s="59">
        <f t="shared" si="909"/>
        <v>0</v>
      </c>
      <c r="AH1583" s="15"/>
      <c r="AI1583" s="15"/>
      <c r="AJ1583" s="15"/>
      <c r="AK1583" s="15"/>
      <c r="AL1583" s="15"/>
      <c r="AM1583" s="15"/>
      <c r="AN1583" s="15"/>
      <c r="AO1583" s="15"/>
      <c r="AP1583" s="15"/>
      <c r="AQ1583" s="15"/>
      <c r="AR1583" s="15"/>
      <c r="AS1583" s="15"/>
      <c r="AT1583" s="15"/>
      <c r="AU1583" s="15"/>
    </row>
    <row r="1584" ht="24.0" customHeight="1">
      <c r="A1584" s="45">
        <v>3008.0</v>
      </c>
      <c r="B1584" s="57"/>
      <c r="C1584" s="57"/>
      <c r="D1584" s="88" t="str">
        <f t="array" ref="D1584">IFERROR(
  LOOKUP(2, 1/((TRIM(IMS!$E$8:$E$2574)=TRIM(IMS!$E1584))*(IMS!$C$8:$C$2574&lt;IMS!$C1584)),
         IMS!$C$8:$C$2574),
"")</f>
        <v/>
      </c>
      <c r="E1584" s="57"/>
      <c r="F1584" s="57"/>
      <c r="G1584" s="77" t="str">
        <f t="shared" si="901"/>
        <v/>
      </c>
      <c r="H1584" s="78" t="str">
        <f t="shared" si="902"/>
        <v/>
      </c>
      <c r="I1584" s="79"/>
      <c r="J1584" s="80" t="str">
        <f t="shared" si="903"/>
        <v>#NAME?</v>
      </c>
      <c r="K1584" s="58"/>
      <c r="L1584" s="58"/>
      <c r="M1584" s="57"/>
      <c r="N1584" s="57"/>
      <c r="O1584" s="58"/>
      <c r="P1584" s="82"/>
      <c r="Q1584" s="81"/>
      <c r="R1584" s="81"/>
      <c r="S1584" s="57"/>
      <c r="T1584" s="82"/>
      <c r="U1584" s="82"/>
      <c r="V1584" s="57"/>
      <c r="W1584" s="57"/>
      <c r="X1584" s="57" t="str">
        <f t="shared" si="917"/>
        <v/>
      </c>
      <c r="Y1584" s="58" t="str">
        <f t="shared" ref="Y1584:AC1584" si="1424">TRIM(SUBSTITUTE(SUBSTITUTE(OFFSET($Q1584,0,COLUMN()-COLUMN($AL$1)),CHAR(160)," "),_xludf.UNICHAR(8239)," "))</f>
        <v>#NAME?</v>
      </c>
      <c r="Z1584" s="58" t="str">
        <f t="shared" si="1424"/>
        <v>#NAME?</v>
      </c>
      <c r="AA1584" s="58" t="str">
        <f t="shared" si="1424"/>
        <v>#NAME?</v>
      </c>
      <c r="AB1584" s="58" t="str">
        <f t="shared" si="1424"/>
        <v>#NAME?</v>
      </c>
      <c r="AC1584" s="58" t="str">
        <f t="shared" si="1424"/>
        <v>#NAME?</v>
      </c>
      <c r="AD1584" s="57">
        <f t="shared" si="906"/>
        <v>0</v>
      </c>
      <c r="AE1584" s="57" t="str">
        <f t="shared" si="907"/>
        <v/>
      </c>
      <c r="AF1584" s="57">
        <f t="shared" si="908"/>
        <v>0</v>
      </c>
      <c r="AG1584" s="59">
        <f t="shared" si="909"/>
        <v>0</v>
      </c>
      <c r="AH1584" s="15"/>
      <c r="AI1584" s="15"/>
      <c r="AJ1584" s="15"/>
      <c r="AK1584" s="15"/>
      <c r="AL1584" s="15"/>
      <c r="AM1584" s="15"/>
      <c r="AN1584" s="15"/>
      <c r="AO1584" s="15"/>
      <c r="AP1584" s="15"/>
      <c r="AQ1584" s="15"/>
      <c r="AR1584" s="15"/>
      <c r="AS1584" s="15"/>
      <c r="AT1584" s="15"/>
      <c r="AU1584" s="15"/>
    </row>
    <row r="1585" ht="24.0" customHeight="1">
      <c r="A1585" s="45">
        <v>3009.0</v>
      </c>
      <c r="B1585" s="57"/>
      <c r="C1585" s="57"/>
      <c r="D1585" s="88" t="str">
        <f t="array" ref="D1585">IFERROR(
  LOOKUP(2, 1/((TRIM(IMS!$E$8:$E$2574)=TRIM(IMS!$E1585))*(IMS!$C$8:$C$2574&lt;IMS!$C1585)),
         IMS!$C$8:$C$2574),
"")</f>
        <v/>
      </c>
      <c r="E1585" s="57"/>
      <c r="F1585" s="57"/>
      <c r="G1585" s="77" t="str">
        <f t="shared" si="901"/>
        <v/>
      </c>
      <c r="H1585" s="78" t="str">
        <f t="shared" si="902"/>
        <v/>
      </c>
      <c r="I1585" s="79"/>
      <c r="J1585" s="80" t="str">
        <f t="shared" si="903"/>
        <v>#NAME?</v>
      </c>
      <c r="K1585" s="58"/>
      <c r="L1585" s="58"/>
      <c r="M1585" s="57"/>
      <c r="N1585" s="57"/>
      <c r="O1585" s="58"/>
      <c r="P1585" s="82"/>
      <c r="Q1585" s="81"/>
      <c r="R1585" s="81"/>
      <c r="S1585" s="57"/>
      <c r="T1585" s="82"/>
      <c r="U1585" s="82"/>
      <c r="V1585" s="57"/>
      <c r="W1585" s="57"/>
      <c r="X1585" s="57" t="str">
        <f t="shared" si="917"/>
        <v/>
      </c>
      <c r="Y1585" s="58" t="str">
        <f t="shared" ref="Y1585:AC1585" si="1425">TRIM(SUBSTITUTE(SUBSTITUTE(OFFSET($Q1585,0,COLUMN()-COLUMN($AL$1)),CHAR(160)," "),_xludf.UNICHAR(8239)," "))</f>
        <v>#NAME?</v>
      </c>
      <c r="Z1585" s="58" t="str">
        <f t="shared" si="1425"/>
        <v>#NAME?</v>
      </c>
      <c r="AA1585" s="58" t="str">
        <f t="shared" si="1425"/>
        <v>#NAME?</v>
      </c>
      <c r="AB1585" s="58" t="str">
        <f t="shared" si="1425"/>
        <v>#NAME?</v>
      </c>
      <c r="AC1585" s="58" t="str">
        <f t="shared" si="1425"/>
        <v>#NAME?</v>
      </c>
      <c r="AD1585" s="57">
        <f t="shared" si="906"/>
        <v>0</v>
      </c>
      <c r="AE1585" s="57" t="str">
        <f t="shared" si="907"/>
        <v/>
      </c>
      <c r="AF1585" s="57">
        <f t="shared" si="908"/>
        <v>0</v>
      </c>
      <c r="AG1585" s="59">
        <f t="shared" si="909"/>
        <v>0</v>
      </c>
      <c r="AH1585" s="15"/>
      <c r="AI1585" s="15"/>
      <c r="AJ1585" s="15"/>
      <c r="AK1585" s="15"/>
      <c r="AL1585" s="15"/>
      <c r="AM1585" s="15"/>
      <c r="AN1585" s="15"/>
      <c r="AO1585" s="15"/>
      <c r="AP1585" s="15"/>
      <c r="AQ1585" s="15"/>
      <c r="AR1585" s="15"/>
      <c r="AS1585" s="15"/>
      <c r="AT1585" s="15"/>
      <c r="AU1585" s="15"/>
    </row>
    <row r="1586" ht="24.0" customHeight="1">
      <c r="A1586" s="45">
        <v>3010.0</v>
      </c>
      <c r="B1586" s="57"/>
      <c r="C1586" s="57"/>
      <c r="D1586" s="88" t="str">
        <f t="array" ref="D1586">IFERROR(
  LOOKUP(2, 1/((TRIM(IMS!$E$8:$E$2574)=TRIM(IMS!$E1586))*(IMS!$C$8:$C$2574&lt;IMS!$C1586)),
         IMS!$C$8:$C$2574),
"")</f>
        <v/>
      </c>
      <c r="E1586" s="57"/>
      <c r="F1586" s="57"/>
      <c r="G1586" s="77" t="str">
        <f t="shared" si="901"/>
        <v/>
      </c>
      <c r="H1586" s="78" t="str">
        <f t="shared" si="902"/>
        <v/>
      </c>
      <c r="I1586" s="79"/>
      <c r="J1586" s="80" t="str">
        <f t="shared" si="903"/>
        <v>#NAME?</v>
      </c>
      <c r="K1586" s="58"/>
      <c r="L1586" s="58"/>
      <c r="M1586" s="57"/>
      <c r="N1586" s="57"/>
      <c r="O1586" s="58"/>
      <c r="P1586" s="82"/>
      <c r="Q1586" s="81"/>
      <c r="R1586" s="81"/>
      <c r="S1586" s="57"/>
      <c r="T1586" s="82"/>
      <c r="U1586" s="82"/>
      <c r="V1586" s="57"/>
      <c r="W1586" s="57"/>
      <c r="X1586" s="57" t="str">
        <f t="shared" si="917"/>
        <v/>
      </c>
      <c r="Y1586" s="58" t="str">
        <f t="shared" ref="Y1586:AC1586" si="1426">TRIM(SUBSTITUTE(SUBSTITUTE(OFFSET($Q1586,0,COLUMN()-COLUMN($AL$1)),CHAR(160)," "),_xludf.UNICHAR(8239)," "))</f>
        <v>#NAME?</v>
      </c>
      <c r="Z1586" s="58" t="str">
        <f t="shared" si="1426"/>
        <v>#NAME?</v>
      </c>
      <c r="AA1586" s="58" t="str">
        <f t="shared" si="1426"/>
        <v>#NAME?</v>
      </c>
      <c r="AB1586" s="58" t="str">
        <f t="shared" si="1426"/>
        <v>#NAME?</v>
      </c>
      <c r="AC1586" s="58" t="str">
        <f t="shared" si="1426"/>
        <v>#NAME?</v>
      </c>
      <c r="AD1586" s="57">
        <f t="shared" si="906"/>
        <v>0</v>
      </c>
      <c r="AE1586" s="57" t="str">
        <f t="shared" si="907"/>
        <v/>
      </c>
      <c r="AF1586" s="57">
        <f t="shared" si="908"/>
        <v>0</v>
      </c>
      <c r="AG1586" s="59">
        <f t="shared" si="909"/>
        <v>0</v>
      </c>
      <c r="AH1586" s="15"/>
      <c r="AI1586" s="15"/>
      <c r="AJ1586" s="15"/>
      <c r="AK1586" s="15"/>
      <c r="AL1586" s="15"/>
      <c r="AM1586" s="15"/>
      <c r="AN1586" s="15"/>
      <c r="AO1586" s="15"/>
      <c r="AP1586" s="15"/>
      <c r="AQ1586" s="15"/>
      <c r="AR1586" s="15"/>
      <c r="AS1586" s="15"/>
      <c r="AT1586" s="15"/>
      <c r="AU1586" s="15"/>
    </row>
    <row r="1587" ht="24.0" customHeight="1">
      <c r="A1587" s="45">
        <v>3011.0</v>
      </c>
      <c r="B1587" s="57"/>
      <c r="C1587" s="57"/>
      <c r="D1587" s="88" t="str">
        <f t="array" ref="D1587">IFERROR(
  LOOKUP(2, 1/((TRIM(IMS!$E$8:$E$2574)=TRIM(IMS!$E1587))*(IMS!$C$8:$C$2574&lt;IMS!$C1587)),
         IMS!$C$8:$C$2574),
"")</f>
        <v/>
      </c>
      <c r="E1587" s="57"/>
      <c r="F1587" s="57"/>
      <c r="G1587" s="77" t="str">
        <f t="shared" si="901"/>
        <v/>
      </c>
      <c r="H1587" s="78" t="str">
        <f t="shared" si="902"/>
        <v/>
      </c>
      <c r="I1587" s="79"/>
      <c r="J1587" s="80" t="str">
        <f t="shared" si="903"/>
        <v>#NAME?</v>
      </c>
      <c r="K1587" s="58"/>
      <c r="L1587" s="58"/>
      <c r="M1587" s="57"/>
      <c r="N1587" s="57"/>
      <c r="O1587" s="58"/>
      <c r="P1587" s="82"/>
      <c r="Q1587" s="81"/>
      <c r="R1587" s="81"/>
      <c r="S1587" s="57"/>
      <c r="T1587" s="82"/>
      <c r="U1587" s="82"/>
      <c r="V1587" s="57"/>
      <c r="W1587" s="57"/>
      <c r="X1587" s="57" t="str">
        <f t="shared" si="917"/>
        <v/>
      </c>
      <c r="Y1587" s="58" t="str">
        <f t="shared" ref="Y1587:AC1587" si="1427">TRIM(SUBSTITUTE(SUBSTITUTE(OFFSET($Q1587,0,COLUMN()-COLUMN($AL$1)),CHAR(160)," "),_xludf.UNICHAR(8239)," "))</f>
        <v>#NAME?</v>
      </c>
      <c r="Z1587" s="58" t="str">
        <f t="shared" si="1427"/>
        <v>#NAME?</v>
      </c>
      <c r="AA1587" s="58" t="str">
        <f t="shared" si="1427"/>
        <v>#NAME?</v>
      </c>
      <c r="AB1587" s="58" t="str">
        <f t="shared" si="1427"/>
        <v>#NAME?</v>
      </c>
      <c r="AC1587" s="58" t="str">
        <f t="shared" si="1427"/>
        <v>#NAME?</v>
      </c>
      <c r="AD1587" s="57">
        <f t="shared" si="906"/>
        <v>0</v>
      </c>
      <c r="AE1587" s="57" t="str">
        <f t="shared" si="907"/>
        <v/>
      </c>
      <c r="AF1587" s="57">
        <f t="shared" si="908"/>
        <v>0</v>
      </c>
      <c r="AG1587" s="59">
        <f t="shared" si="909"/>
        <v>0</v>
      </c>
      <c r="AH1587" s="15"/>
      <c r="AI1587" s="15"/>
      <c r="AJ1587" s="15"/>
      <c r="AK1587" s="15"/>
      <c r="AL1587" s="15"/>
      <c r="AM1587" s="15"/>
      <c r="AN1587" s="15"/>
      <c r="AO1587" s="15"/>
      <c r="AP1587" s="15"/>
      <c r="AQ1587" s="15"/>
      <c r="AR1587" s="15"/>
      <c r="AS1587" s="15"/>
      <c r="AT1587" s="15"/>
      <c r="AU1587" s="15"/>
    </row>
    <row r="1588" ht="24.0" customHeight="1">
      <c r="A1588" s="45">
        <v>3012.0</v>
      </c>
      <c r="B1588" s="57"/>
      <c r="C1588" s="57"/>
      <c r="D1588" s="88" t="str">
        <f t="array" ref="D1588">IFERROR(
  LOOKUP(2, 1/((TRIM(IMS!$E$8:$E$2574)=TRIM(IMS!$E1588))*(IMS!$C$8:$C$2574&lt;IMS!$C1588)),
         IMS!$C$8:$C$2574),
"")</f>
        <v/>
      </c>
      <c r="E1588" s="57"/>
      <c r="F1588" s="57"/>
      <c r="G1588" s="77" t="str">
        <f t="shared" si="901"/>
        <v/>
      </c>
      <c r="H1588" s="78" t="str">
        <f t="shared" si="902"/>
        <v/>
      </c>
      <c r="I1588" s="79"/>
      <c r="J1588" s="80" t="str">
        <f t="shared" si="903"/>
        <v>#NAME?</v>
      </c>
      <c r="K1588" s="58"/>
      <c r="L1588" s="58"/>
      <c r="M1588" s="57"/>
      <c r="N1588" s="57"/>
      <c r="O1588" s="58"/>
      <c r="P1588" s="82"/>
      <c r="Q1588" s="81"/>
      <c r="R1588" s="81"/>
      <c r="S1588" s="57"/>
      <c r="T1588" s="82"/>
      <c r="U1588" s="82"/>
      <c r="V1588" s="57"/>
      <c r="W1588" s="57"/>
      <c r="X1588" s="57" t="str">
        <f t="shared" si="917"/>
        <v/>
      </c>
      <c r="Y1588" s="58" t="str">
        <f t="shared" ref="Y1588:AC1588" si="1428">TRIM(SUBSTITUTE(SUBSTITUTE(OFFSET($Q1588,0,COLUMN()-COLUMN($AL$1)),CHAR(160)," "),_xludf.UNICHAR(8239)," "))</f>
        <v>#NAME?</v>
      </c>
      <c r="Z1588" s="58" t="str">
        <f t="shared" si="1428"/>
        <v>#NAME?</v>
      </c>
      <c r="AA1588" s="58" t="str">
        <f t="shared" si="1428"/>
        <v>#NAME?</v>
      </c>
      <c r="AB1588" s="58" t="str">
        <f t="shared" si="1428"/>
        <v>#NAME?</v>
      </c>
      <c r="AC1588" s="58" t="str">
        <f t="shared" si="1428"/>
        <v>#NAME?</v>
      </c>
      <c r="AD1588" s="57">
        <f t="shared" si="906"/>
        <v>0</v>
      </c>
      <c r="AE1588" s="57" t="str">
        <f t="shared" si="907"/>
        <v/>
      </c>
      <c r="AF1588" s="57">
        <f t="shared" si="908"/>
        <v>0</v>
      </c>
      <c r="AG1588" s="59">
        <f t="shared" si="909"/>
        <v>0</v>
      </c>
      <c r="AH1588" s="15"/>
      <c r="AI1588" s="15"/>
      <c r="AJ1588" s="15"/>
      <c r="AK1588" s="15"/>
      <c r="AL1588" s="15"/>
      <c r="AM1588" s="15"/>
      <c r="AN1588" s="15"/>
      <c r="AO1588" s="15"/>
      <c r="AP1588" s="15"/>
      <c r="AQ1588" s="15"/>
      <c r="AR1588" s="15"/>
      <c r="AS1588" s="15"/>
      <c r="AT1588" s="15"/>
      <c r="AU1588" s="15"/>
    </row>
    <row r="1589" ht="24.0" customHeight="1">
      <c r="A1589" s="45">
        <v>3013.0</v>
      </c>
      <c r="B1589" s="57"/>
      <c r="C1589" s="57"/>
      <c r="D1589" s="88" t="str">
        <f t="array" ref="D1589">IFERROR(
  LOOKUP(2, 1/((TRIM(IMS!$E$8:$E$2574)=TRIM(IMS!$E1589))*(IMS!$C$8:$C$2574&lt;IMS!$C1589)),
         IMS!$C$8:$C$2574),
"")</f>
        <v/>
      </c>
      <c r="E1589" s="57"/>
      <c r="F1589" s="57"/>
      <c r="G1589" s="77" t="str">
        <f t="shared" si="901"/>
        <v/>
      </c>
      <c r="H1589" s="78" t="str">
        <f t="shared" si="902"/>
        <v/>
      </c>
      <c r="I1589" s="79"/>
      <c r="J1589" s="80" t="str">
        <f t="shared" si="903"/>
        <v>#NAME?</v>
      </c>
      <c r="K1589" s="58"/>
      <c r="L1589" s="58"/>
      <c r="M1589" s="57"/>
      <c r="N1589" s="57"/>
      <c r="O1589" s="58"/>
      <c r="P1589" s="82"/>
      <c r="Q1589" s="81"/>
      <c r="R1589" s="81"/>
      <c r="S1589" s="57"/>
      <c r="T1589" s="82"/>
      <c r="U1589" s="82"/>
      <c r="V1589" s="57"/>
      <c r="W1589" s="57"/>
      <c r="X1589" s="57" t="str">
        <f t="shared" si="917"/>
        <v/>
      </c>
      <c r="Y1589" s="58" t="str">
        <f t="shared" ref="Y1589:AC1589" si="1429">TRIM(SUBSTITUTE(SUBSTITUTE(OFFSET($Q1589,0,COLUMN()-COLUMN($AL$1)),CHAR(160)," "),_xludf.UNICHAR(8239)," "))</f>
        <v>#NAME?</v>
      </c>
      <c r="Z1589" s="58" t="str">
        <f t="shared" si="1429"/>
        <v>#NAME?</v>
      </c>
      <c r="AA1589" s="58" t="str">
        <f t="shared" si="1429"/>
        <v>#NAME?</v>
      </c>
      <c r="AB1589" s="58" t="str">
        <f t="shared" si="1429"/>
        <v>#NAME?</v>
      </c>
      <c r="AC1589" s="58" t="str">
        <f t="shared" si="1429"/>
        <v>#NAME?</v>
      </c>
      <c r="AD1589" s="57">
        <f t="shared" si="906"/>
        <v>0</v>
      </c>
      <c r="AE1589" s="57" t="str">
        <f t="shared" si="907"/>
        <v/>
      </c>
      <c r="AF1589" s="57">
        <f t="shared" si="908"/>
        <v>0</v>
      </c>
      <c r="AG1589" s="59">
        <f t="shared" si="909"/>
        <v>0</v>
      </c>
      <c r="AH1589" s="15"/>
      <c r="AI1589" s="15"/>
      <c r="AJ1589" s="15"/>
      <c r="AK1589" s="15"/>
      <c r="AL1589" s="15"/>
      <c r="AM1589" s="15"/>
      <c r="AN1589" s="15"/>
      <c r="AO1589" s="15"/>
      <c r="AP1589" s="15"/>
      <c r="AQ1589" s="15"/>
      <c r="AR1589" s="15"/>
      <c r="AS1589" s="15"/>
      <c r="AT1589" s="15"/>
      <c r="AU1589" s="15"/>
    </row>
    <row r="1590" ht="24.0" customHeight="1">
      <c r="A1590" s="45">
        <v>3014.0</v>
      </c>
      <c r="B1590" s="57"/>
      <c r="C1590" s="57"/>
      <c r="D1590" s="88" t="str">
        <f t="array" ref="D1590">IFERROR(
  LOOKUP(2, 1/((TRIM(IMS!$E$8:$E$2574)=TRIM(IMS!$E1590))*(IMS!$C$8:$C$2574&lt;IMS!$C1590)),
         IMS!$C$8:$C$2574),
"")</f>
        <v/>
      </c>
      <c r="E1590" s="57"/>
      <c r="F1590" s="57"/>
      <c r="G1590" s="77" t="str">
        <f t="shared" si="901"/>
        <v/>
      </c>
      <c r="H1590" s="78" t="str">
        <f t="shared" si="902"/>
        <v/>
      </c>
      <c r="I1590" s="79"/>
      <c r="J1590" s="80" t="str">
        <f t="shared" si="903"/>
        <v>#NAME?</v>
      </c>
      <c r="K1590" s="58"/>
      <c r="L1590" s="58"/>
      <c r="M1590" s="57"/>
      <c r="N1590" s="57"/>
      <c r="O1590" s="58"/>
      <c r="P1590" s="82"/>
      <c r="Q1590" s="81"/>
      <c r="R1590" s="81"/>
      <c r="S1590" s="57"/>
      <c r="T1590" s="82"/>
      <c r="U1590" s="82"/>
      <c r="V1590" s="57"/>
      <c r="W1590" s="57"/>
      <c r="X1590" s="57" t="str">
        <f t="shared" si="917"/>
        <v/>
      </c>
      <c r="Y1590" s="58" t="str">
        <f t="shared" ref="Y1590:AC1590" si="1430">TRIM(SUBSTITUTE(SUBSTITUTE(OFFSET($Q1590,0,COLUMN()-COLUMN($AL$1)),CHAR(160)," "),_xludf.UNICHAR(8239)," "))</f>
        <v>#NAME?</v>
      </c>
      <c r="Z1590" s="58" t="str">
        <f t="shared" si="1430"/>
        <v>#NAME?</v>
      </c>
      <c r="AA1590" s="58" t="str">
        <f t="shared" si="1430"/>
        <v>#NAME?</v>
      </c>
      <c r="AB1590" s="58" t="str">
        <f t="shared" si="1430"/>
        <v>#NAME?</v>
      </c>
      <c r="AC1590" s="58" t="str">
        <f t="shared" si="1430"/>
        <v>#NAME?</v>
      </c>
      <c r="AD1590" s="57">
        <f t="shared" si="906"/>
        <v>0</v>
      </c>
      <c r="AE1590" s="57" t="str">
        <f t="shared" si="907"/>
        <v/>
      </c>
      <c r="AF1590" s="57">
        <f t="shared" si="908"/>
        <v>0</v>
      </c>
      <c r="AG1590" s="59">
        <f t="shared" si="909"/>
        <v>0</v>
      </c>
      <c r="AH1590" s="15"/>
      <c r="AI1590" s="15"/>
      <c r="AJ1590" s="15"/>
      <c r="AK1590" s="15"/>
      <c r="AL1590" s="15"/>
      <c r="AM1590" s="15"/>
      <c r="AN1590" s="15"/>
      <c r="AO1590" s="15"/>
      <c r="AP1590" s="15"/>
      <c r="AQ1590" s="15"/>
      <c r="AR1590" s="15"/>
      <c r="AS1590" s="15"/>
      <c r="AT1590" s="15"/>
      <c r="AU1590" s="15"/>
    </row>
    <row r="1591" ht="24.0" customHeight="1">
      <c r="A1591" s="45">
        <v>3015.0</v>
      </c>
      <c r="B1591" s="57"/>
      <c r="C1591" s="57"/>
      <c r="D1591" s="88" t="str">
        <f t="array" ref="D1591">IFERROR(
  LOOKUP(2, 1/((TRIM(IMS!$E$8:$E$2574)=TRIM(IMS!$E1591))*(IMS!$C$8:$C$2574&lt;IMS!$C1591)),
         IMS!$C$8:$C$2574),
"")</f>
        <v/>
      </c>
      <c r="E1591" s="57"/>
      <c r="F1591" s="57"/>
      <c r="G1591" s="77" t="str">
        <f t="shared" si="901"/>
        <v/>
      </c>
      <c r="H1591" s="78" t="str">
        <f t="shared" si="902"/>
        <v/>
      </c>
      <c r="I1591" s="79"/>
      <c r="J1591" s="80" t="str">
        <f t="shared" si="903"/>
        <v>#NAME?</v>
      </c>
      <c r="K1591" s="58"/>
      <c r="L1591" s="58"/>
      <c r="M1591" s="57"/>
      <c r="N1591" s="57"/>
      <c r="O1591" s="58"/>
      <c r="P1591" s="82"/>
      <c r="Q1591" s="81"/>
      <c r="R1591" s="81"/>
      <c r="S1591" s="57"/>
      <c r="T1591" s="82"/>
      <c r="U1591" s="82"/>
      <c r="V1591" s="57"/>
      <c r="W1591" s="57"/>
      <c r="X1591" s="57" t="str">
        <f t="shared" si="917"/>
        <v/>
      </c>
      <c r="Y1591" s="58" t="str">
        <f t="shared" ref="Y1591:AC1591" si="1431">TRIM(SUBSTITUTE(SUBSTITUTE(OFFSET($Q1591,0,COLUMN()-COLUMN($AL$1)),CHAR(160)," "),_xludf.UNICHAR(8239)," "))</f>
        <v>#NAME?</v>
      </c>
      <c r="Z1591" s="58" t="str">
        <f t="shared" si="1431"/>
        <v>#NAME?</v>
      </c>
      <c r="AA1591" s="58" t="str">
        <f t="shared" si="1431"/>
        <v>#NAME?</v>
      </c>
      <c r="AB1591" s="58" t="str">
        <f t="shared" si="1431"/>
        <v>#NAME?</v>
      </c>
      <c r="AC1591" s="58" t="str">
        <f t="shared" si="1431"/>
        <v>#NAME?</v>
      </c>
      <c r="AD1591" s="57">
        <f t="shared" si="906"/>
        <v>0</v>
      </c>
      <c r="AE1591" s="57" t="str">
        <f t="shared" si="907"/>
        <v/>
      </c>
      <c r="AF1591" s="57">
        <f t="shared" si="908"/>
        <v>0</v>
      </c>
      <c r="AG1591" s="59">
        <f t="shared" si="909"/>
        <v>0</v>
      </c>
      <c r="AH1591" s="15"/>
      <c r="AI1591" s="15"/>
      <c r="AJ1591" s="15"/>
      <c r="AK1591" s="15"/>
      <c r="AL1591" s="15"/>
      <c r="AM1591" s="15"/>
      <c r="AN1591" s="15"/>
      <c r="AO1591" s="15"/>
      <c r="AP1591" s="15"/>
      <c r="AQ1591" s="15"/>
      <c r="AR1591" s="15"/>
      <c r="AS1591" s="15"/>
      <c r="AT1591" s="15"/>
      <c r="AU1591" s="15"/>
    </row>
    <row r="1592" ht="24.0" customHeight="1">
      <c r="A1592" s="45">
        <v>3016.0</v>
      </c>
      <c r="B1592" s="57"/>
      <c r="C1592" s="57"/>
      <c r="D1592" s="88" t="str">
        <f t="array" ref="D1592">IFERROR(
  LOOKUP(2, 1/((TRIM(IMS!$E$8:$E$2574)=TRIM(IMS!$E1592))*(IMS!$C$8:$C$2574&lt;IMS!$C1592)),
         IMS!$C$8:$C$2574),
"")</f>
        <v/>
      </c>
      <c r="E1592" s="57"/>
      <c r="F1592" s="57"/>
      <c r="G1592" s="77" t="str">
        <f t="shared" si="901"/>
        <v/>
      </c>
      <c r="H1592" s="78" t="str">
        <f t="shared" si="902"/>
        <v/>
      </c>
      <c r="I1592" s="79"/>
      <c r="J1592" s="80" t="str">
        <f t="shared" si="903"/>
        <v>#NAME?</v>
      </c>
      <c r="K1592" s="58"/>
      <c r="L1592" s="58"/>
      <c r="M1592" s="57"/>
      <c r="N1592" s="57"/>
      <c r="O1592" s="58"/>
      <c r="P1592" s="82"/>
      <c r="Q1592" s="81"/>
      <c r="R1592" s="81"/>
      <c r="S1592" s="57"/>
      <c r="T1592" s="82"/>
      <c r="U1592" s="82"/>
      <c r="V1592" s="57"/>
      <c r="W1592" s="57"/>
      <c r="X1592" s="57" t="str">
        <f t="shared" si="917"/>
        <v/>
      </c>
      <c r="Y1592" s="58" t="str">
        <f t="shared" ref="Y1592:AC1592" si="1432">TRIM(SUBSTITUTE(SUBSTITUTE(OFFSET($Q1592,0,COLUMN()-COLUMN($AL$1)),CHAR(160)," "),_xludf.UNICHAR(8239)," "))</f>
        <v>#NAME?</v>
      </c>
      <c r="Z1592" s="58" t="str">
        <f t="shared" si="1432"/>
        <v>#NAME?</v>
      </c>
      <c r="AA1592" s="58" t="str">
        <f t="shared" si="1432"/>
        <v>#NAME?</v>
      </c>
      <c r="AB1592" s="58" t="str">
        <f t="shared" si="1432"/>
        <v>#NAME?</v>
      </c>
      <c r="AC1592" s="58" t="str">
        <f t="shared" si="1432"/>
        <v>#NAME?</v>
      </c>
      <c r="AD1592" s="57">
        <f t="shared" si="906"/>
        <v>0</v>
      </c>
      <c r="AE1592" s="57" t="str">
        <f t="shared" si="907"/>
        <v/>
      </c>
      <c r="AF1592" s="57">
        <f t="shared" si="908"/>
        <v>0</v>
      </c>
      <c r="AG1592" s="59">
        <f t="shared" si="909"/>
        <v>0</v>
      </c>
      <c r="AH1592" s="15"/>
      <c r="AI1592" s="15"/>
      <c r="AJ1592" s="15"/>
      <c r="AK1592" s="15"/>
      <c r="AL1592" s="15"/>
      <c r="AM1592" s="15"/>
      <c r="AN1592" s="15"/>
      <c r="AO1592" s="15"/>
      <c r="AP1592" s="15"/>
      <c r="AQ1592" s="15"/>
      <c r="AR1592" s="15"/>
      <c r="AS1592" s="15"/>
      <c r="AT1592" s="15"/>
      <c r="AU1592" s="15"/>
    </row>
    <row r="1593" ht="24.0" customHeight="1">
      <c r="A1593" s="45">
        <v>3017.0</v>
      </c>
      <c r="B1593" s="57"/>
      <c r="C1593" s="57"/>
      <c r="D1593" s="88" t="str">
        <f t="array" ref="D1593">IFERROR(
  LOOKUP(2, 1/((TRIM(IMS!$E$8:$E$2574)=TRIM(IMS!$E1593))*(IMS!$C$8:$C$2574&lt;IMS!$C1593)),
         IMS!$C$8:$C$2574),
"")</f>
        <v/>
      </c>
      <c r="E1593" s="57"/>
      <c r="F1593" s="57"/>
      <c r="G1593" s="77" t="str">
        <f t="shared" si="901"/>
        <v/>
      </c>
      <c r="H1593" s="78" t="str">
        <f t="shared" si="902"/>
        <v/>
      </c>
      <c r="I1593" s="79"/>
      <c r="J1593" s="80" t="str">
        <f t="shared" si="903"/>
        <v>#NAME?</v>
      </c>
      <c r="K1593" s="58"/>
      <c r="L1593" s="58"/>
      <c r="M1593" s="57"/>
      <c r="N1593" s="57"/>
      <c r="O1593" s="58"/>
      <c r="P1593" s="82"/>
      <c r="Q1593" s="81"/>
      <c r="R1593" s="81"/>
      <c r="S1593" s="57"/>
      <c r="T1593" s="82"/>
      <c r="U1593" s="82"/>
      <c r="V1593" s="57"/>
      <c r="W1593" s="57"/>
      <c r="X1593" s="57" t="str">
        <f t="shared" si="917"/>
        <v/>
      </c>
      <c r="Y1593" s="58" t="str">
        <f t="shared" ref="Y1593:AC1593" si="1433">TRIM(SUBSTITUTE(SUBSTITUTE(OFFSET($Q1593,0,COLUMN()-COLUMN($AL$1)),CHAR(160)," "),_xludf.UNICHAR(8239)," "))</f>
        <v>#NAME?</v>
      </c>
      <c r="Z1593" s="58" t="str">
        <f t="shared" si="1433"/>
        <v>#NAME?</v>
      </c>
      <c r="AA1593" s="58" t="str">
        <f t="shared" si="1433"/>
        <v>#NAME?</v>
      </c>
      <c r="AB1593" s="58" t="str">
        <f t="shared" si="1433"/>
        <v>#NAME?</v>
      </c>
      <c r="AC1593" s="58" t="str">
        <f t="shared" si="1433"/>
        <v>#NAME?</v>
      </c>
      <c r="AD1593" s="57">
        <f t="shared" si="906"/>
        <v>0</v>
      </c>
      <c r="AE1593" s="57" t="str">
        <f t="shared" si="907"/>
        <v/>
      </c>
      <c r="AF1593" s="57">
        <f t="shared" si="908"/>
        <v>0</v>
      </c>
      <c r="AG1593" s="59">
        <f t="shared" si="909"/>
        <v>0</v>
      </c>
      <c r="AH1593" s="15"/>
      <c r="AI1593" s="15"/>
      <c r="AJ1593" s="15"/>
      <c r="AK1593" s="15"/>
      <c r="AL1593" s="15"/>
      <c r="AM1593" s="15"/>
      <c r="AN1593" s="15"/>
      <c r="AO1593" s="15"/>
      <c r="AP1593" s="15"/>
      <c r="AQ1593" s="15"/>
      <c r="AR1593" s="15"/>
      <c r="AS1593" s="15"/>
      <c r="AT1593" s="15"/>
      <c r="AU1593" s="15"/>
    </row>
    <row r="1594" ht="24.0" customHeight="1">
      <c r="A1594" s="45">
        <v>3018.0</v>
      </c>
      <c r="B1594" s="57"/>
      <c r="C1594" s="57"/>
      <c r="D1594" s="88" t="str">
        <f t="array" ref="D1594">IFERROR(
  LOOKUP(2, 1/((TRIM(IMS!$E$8:$E$2574)=TRIM(IMS!$E1594))*(IMS!$C$8:$C$2574&lt;IMS!$C1594)),
         IMS!$C$8:$C$2574),
"")</f>
        <v/>
      </c>
      <c r="E1594" s="57"/>
      <c r="F1594" s="57"/>
      <c r="G1594" s="77" t="str">
        <f t="shared" si="901"/>
        <v/>
      </c>
      <c r="H1594" s="78" t="str">
        <f t="shared" si="902"/>
        <v/>
      </c>
      <c r="I1594" s="79"/>
      <c r="J1594" s="80" t="str">
        <f t="shared" si="903"/>
        <v>#NAME?</v>
      </c>
      <c r="K1594" s="58"/>
      <c r="L1594" s="58"/>
      <c r="M1594" s="57"/>
      <c r="N1594" s="57"/>
      <c r="O1594" s="58"/>
      <c r="P1594" s="82"/>
      <c r="Q1594" s="81"/>
      <c r="R1594" s="81"/>
      <c r="S1594" s="57"/>
      <c r="T1594" s="82"/>
      <c r="U1594" s="82"/>
      <c r="V1594" s="57"/>
      <c r="W1594" s="57"/>
      <c r="X1594" s="57" t="str">
        <f t="shared" si="917"/>
        <v/>
      </c>
      <c r="Y1594" s="58" t="str">
        <f t="shared" ref="Y1594:AC1594" si="1434">TRIM(SUBSTITUTE(SUBSTITUTE(OFFSET($Q1594,0,COLUMN()-COLUMN($AL$1)),CHAR(160)," "),_xludf.UNICHAR(8239)," "))</f>
        <v>#NAME?</v>
      </c>
      <c r="Z1594" s="58" t="str">
        <f t="shared" si="1434"/>
        <v>#NAME?</v>
      </c>
      <c r="AA1594" s="58" t="str">
        <f t="shared" si="1434"/>
        <v>#NAME?</v>
      </c>
      <c r="AB1594" s="58" t="str">
        <f t="shared" si="1434"/>
        <v>#NAME?</v>
      </c>
      <c r="AC1594" s="58" t="str">
        <f t="shared" si="1434"/>
        <v>#NAME?</v>
      </c>
      <c r="AD1594" s="57">
        <f t="shared" si="906"/>
        <v>0</v>
      </c>
      <c r="AE1594" s="57" t="str">
        <f t="shared" si="907"/>
        <v/>
      </c>
      <c r="AF1594" s="57">
        <f t="shared" si="908"/>
        <v>0</v>
      </c>
      <c r="AG1594" s="59">
        <f t="shared" si="909"/>
        <v>0</v>
      </c>
      <c r="AH1594" s="15"/>
      <c r="AI1594" s="15"/>
      <c r="AJ1594" s="15"/>
      <c r="AK1594" s="15"/>
      <c r="AL1594" s="15"/>
      <c r="AM1594" s="15"/>
      <c r="AN1594" s="15"/>
      <c r="AO1594" s="15"/>
      <c r="AP1594" s="15"/>
      <c r="AQ1594" s="15"/>
      <c r="AR1594" s="15"/>
      <c r="AS1594" s="15"/>
      <c r="AT1594" s="15"/>
      <c r="AU1594" s="15"/>
    </row>
    <row r="1595" ht="24.0" customHeight="1">
      <c r="A1595" s="45">
        <v>3019.0</v>
      </c>
      <c r="B1595" s="57"/>
      <c r="C1595" s="57"/>
      <c r="D1595" s="88" t="str">
        <f t="array" ref="D1595">IFERROR(
  LOOKUP(2, 1/((TRIM(IMS!$E$8:$E$2574)=TRIM(IMS!$E1595))*(IMS!$C$8:$C$2574&lt;IMS!$C1595)),
         IMS!$C$8:$C$2574),
"")</f>
        <v/>
      </c>
      <c r="E1595" s="57"/>
      <c r="F1595" s="57"/>
      <c r="G1595" s="77" t="str">
        <f t="shared" si="901"/>
        <v/>
      </c>
      <c r="H1595" s="78" t="str">
        <f t="shared" si="902"/>
        <v/>
      </c>
      <c r="I1595" s="79"/>
      <c r="J1595" s="80" t="str">
        <f t="shared" si="903"/>
        <v>#NAME?</v>
      </c>
      <c r="K1595" s="58"/>
      <c r="L1595" s="58"/>
      <c r="M1595" s="57"/>
      <c r="N1595" s="57"/>
      <c r="O1595" s="58"/>
      <c r="P1595" s="82"/>
      <c r="Q1595" s="81"/>
      <c r="R1595" s="81"/>
      <c r="S1595" s="57"/>
      <c r="T1595" s="82"/>
      <c r="U1595" s="82"/>
      <c r="V1595" s="57"/>
      <c r="W1595" s="57"/>
      <c r="X1595" s="57" t="str">
        <f t="shared" si="917"/>
        <v/>
      </c>
      <c r="Y1595" s="58" t="str">
        <f t="shared" ref="Y1595:AC1595" si="1435">TRIM(SUBSTITUTE(SUBSTITUTE(OFFSET($Q1595,0,COLUMN()-COLUMN($AL$1)),CHAR(160)," "),_xludf.UNICHAR(8239)," "))</f>
        <v>#NAME?</v>
      </c>
      <c r="Z1595" s="58" t="str">
        <f t="shared" si="1435"/>
        <v>#NAME?</v>
      </c>
      <c r="AA1595" s="58" t="str">
        <f t="shared" si="1435"/>
        <v>#NAME?</v>
      </c>
      <c r="AB1595" s="58" t="str">
        <f t="shared" si="1435"/>
        <v>#NAME?</v>
      </c>
      <c r="AC1595" s="58" t="str">
        <f t="shared" si="1435"/>
        <v>#NAME?</v>
      </c>
      <c r="AD1595" s="57">
        <f t="shared" si="906"/>
        <v>0</v>
      </c>
      <c r="AE1595" s="57" t="str">
        <f t="shared" si="907"/>
        <v/>
      </c>
      <c r="AF1595" s="57">
        <f t="shared" si="908"/>
        <v>0</v>
      </c>
      <c r="AG1595" s="59">
        <f t="shared" si="909"/>
        <v>0</v>
      </c>
      <c r="AH1595" s="15"/>
      <c r="AI1595" s="15"/>
      <c r="AJ1595" s="15"/>
      <c r="AK1595" s="15"/>
      <c r="AL1595" s="15"/>
      <c r="AM1595" s="15"/>
      <c r="AN1595" s="15"/>
      <c r="AO1595" s="15"/>
      <c r="AP1595" s="15"/>
      <c r="AQ1595" s="15"/>
      <c r="AR1595" s="15"/>
      <c r="AS1595" s="15"/>
      <c r="AT1595" s="15"/>
      <c r="AU1595" s="15"/>
    </row>
    <row r="1596" ht="24.0" customHeight="1">
      <c r="A1596" s="45">
        <v>3020.0</v>
      </c>
      <c r="B1596" s="57"/>
      <c r="C1596" s="57"/>
      <c r="D1596" s="88" t="str">
        <f t="array" ref="D1596">IFERROR(
  LOOKUP(2, 1/((TRIM(IMS!$E$8:$E$2574)=TRIM(IMS!$E1596))*(IMS!$C$8:$C$2574&lt;IMS!$C1596)),
         IMS!$C$8:$C$2574),
"")</f>
        <v/>
      </c>
      <c r="E1596" s="57"/>
      <c r="F1596" s="57"/>
      <c r="G1596" s="77" t="str">
        <f t="shared" si="901"/>
        <v/>
      </c>
      <c r="H1596" s="78" t="str">
        <f t="shared" si="902"/>
        <v/>
      </c>
      <c r="I1596" s="79"/>
      <c r="J1596" s="80" t="str">
        <f t="shared" si="903"/>
        <v>#NAME?</v>
      </c>
      <c r="K1596" s="58"/>
      <c r="L1596" s="58"/>
      <c r="M1596" s="57"/>
      <c r="N1596" s="57"/>
      <c r="O1596" s="58"/>
      <c r="P1596" s="82"/>
      <c r="Q1596" s="81"/>
      <c r="R1596" s="81"/>
      <c r="S1596" s="57"/>
      <c r="T1596" s="82"/>
      <c r="U1596" s="82"/>
      <c r="V1596" s="57"/>
      <c r="W1596" s="57"/>
      <c r="X1596" s="57" t="str">
        <f t="shared" si="917"/>
        <v/>
      </c>
      <c r="Y1596" s="58" t="str">
        <f t="shared" ref="Y1596:AC1596" si="1436">TRIM(SUBSTITUTE(SUBSTITUTE(OFFSET($Q1596,0,COLUMN()-COLUMN($AL$1)),CHAR(160)," "),_xludf.UNICHAR(8239)," "))</f>
        <v>#NAME?</v>
      </c>
      <c r="Z1596" s="58" t="str">
        <f t="shared" si="1436"/>
        <v>#NAME?</v>
      </c>
      <c r="AA1596" s="58" t="str">
        <f t="shared" si="1436"/>
        <v>#NAME?</v>
      </c>
      <c r="AB1596" s="58" t="str">
        <f t="shared" si="1436"/>
        <v>#NAME?</v>
      </c>
      <c r="AC1596" s="58" t="str">
        <f t="shared" si="1436"/>
        <v>#NAME?</v>
      </c>
      <c r="AD1596" s="57">
        <f t="shared" si="906"/>
        <v>0</v>
      </c>
      <c r="AE1596" s="57" t="str">
        <f t="shared" si="907"/>
        <v/>
      </c>
      <c r="AF1596" s="57">
        <f t="shared" si="908"/>
        <v>0</v>
      </c>
      <c r="AG1596" s="59">
        <f t="shared" si="909"/>
        <v>0</v>
      </c>
      <c r="AH1596" s="15"/>
      <c r="AI1596" s="15"/>
      <c r="AJ1596" s="15"/>
      <c r="AK1596" s="15"/>
      <c r="AL1596" s="15"/>
      <c r="AM1596" s="15"/>
      <c r="AN1596" s="15"/>
      <c r="AO1596" s="15"/>
      <c r="AP1596" s="15"/>
      <c r="AQ1596" s="15"/>
      <c r="AR1596" s="15"/>
      <c r="AS1596" s="15"/>
      <c r="AT1596" s="15"/>
      <c r="AU1596" s="15"/>
    </row>
    <row r="1597" ht="24.0" customHeight="1">
      <c r="A1597" s="45">
        <v>3021.0</v>
      </c>
      <c r="B1597" s="57"/>
      <c r="C1597" s="57"/>
      <c r="D1597" s="88" t="str">
        <f t="array" ref="D1597">IFERROR(
  LOOKUP(2, 1/((TRIM(IMS!$E$8:$E$2574)=TRIM(IMS!$E1597))*(IMS!$C$8:$C$2574&lt;IMS!$C1597)),
         IMS!$C$8:$C$2574),
"")</f>
        <v/>
      </c>
      <c r="E1597" s="57"/>
      <c r="F1597" s="57"/>
      <c r="G1597" s="77" t="str">
        <f t="shared" si="901"/>
        <v/>
      </c>
      <c r="H1597" s="78" t="str">
        <f t="shared" si="902"/>
        <v/>
      </c>
      <c r="I1597" s="79"/>
      <c r="J1597" s="80" t="str">
        <f t="shared" si="903"/>
        <v>#NAME?</v>
      </c>
      <c r="K1597" s="58"/>
      <c r="L1597" s="58"/>
      <c r="M1597" s="57"/>
      <c r="N1597" s="57"/>
      <c r="O1597" s="58"/>
      <c r="P1597" s="82"/>
      <c r="Q1597" s="81"/>
      <c r="R1597" s="81"/>
      <c r="S1597" s="57"/>
      <c r="T1597" s="82"/>
      <c r="U1597" s="82"/>
      <c r="V1597" s="57"/>
      <c r="W1597" s="57"/>
      <c r="X1597" s="57" t="str">
        <f t="shared" si="917"/>
        <v/>
      </c>
      <c r="Y1597" s="58" t="str">
        <f t="shared" ref="Y1597:AC1597" si="1437">TRIM(SUBSTITUTE(SUBSTITUTE(OFFSET($Q1597,0,COLUMN()-COLUMN($AL$1)),CHAR(160)," "),_xludf.UNICHAR(8239)," "))</f>
        <v>#NAME?</v>
      </c>
      <c r="Z1597" s="58" t="str">
        <f t="shared" si="1437"/>
        <v>#NAME?</v>
      </c>
      <c r="AA1597" s="58" t="str">
        <f t="shared" si="1437"/>
        <v>#NAME?</v>
      </c>
      <c r="AB1597" s="58" t="str">
        <f t="shared" si="1437"/>
        <v>#NAME?</v>
      </c>
      <c r="AC1597" s="58" t="str">
        <f t="shared" si="1437"/>
        <v>#NAME?</v>
      </c>
      <c r="AD1597" s="57">
        <f t="shared" si="906"/>
        <v>0</v>
      </c>
      <c r="AE1597" s="57" t="str">
        <f t="shared" si="907"/>
        <v/>
      </c>
      <c r="AF1597" s="57">
        <f t="shared" si="908"/>
        <v>0</v>
      </c>
      <c r="AG1597" s="59">
        <f t="shared" si="909"/>
        <v>0</v>
      </c>
      <c r="AH1597" s="15"/>
      <c r="AI1597" s="15"/>
      <c r="AJ1597" s="15"/>
      <c r="AK1597" s="15"/>
      <c r="AL1597" s="15"/>
      <c r="AM1597" s="15"/>
      <c r="AN1597" s="15"/>
      <c r="AO1597" s="15"/>
      <c r="AP1597" s="15"/>
      <c r="AQ1597" s="15"/>
      <c r="AR1597" s="15"/>
      <c r="AS1597" s="15"/>
      <c r="AT1597" s="15"/>
      <c r="AU1597" s="15"/>
    </row>
    <row r="1598" ht="24.0" customHeight="1">
      <c r="A1598" s="45">
        <v>3022.0</v>
      </c>
      <c r="B1598" s="57"/>
      <c r="C1598" s="57"/>
      <c r="D1598" s="88" t="str">
        <f t="array" ref="D1598">IFERROR(
  LOOKUP(2, 1/((TRIM(IMS!$E$8:$E$2574)=TRIM(IMS!$E1598))*(IMS!$C$8:$C$2574&lt;IMS!$C1598)),
         IMS!$C$8:$C$2574),
"")</f>
        <v/>
      </c>
      <c r="E1598" s="57"/>
      <c r="F1598" s="57"/>
      <c r="G1598" s="77" t="str">
        <f t="shared" si="901"/>
        <v/>
      </c>
      <c r="H1598" s="78" t="str">
        <f t="shared" si="902"/>
        <v/>
      </c>
      <c r="I1598" s="79"/>
      <c r="J1598" s="80" t="str">
        <f t="shared" si="903"/>
        <v>#NAME?</v>
      </c>
      <c r="K1598" s="58"/>
      <c r="L1598" s="58"/>
      <c r="M1598" s="57"/>
      <c r="N1598" s="57"/>
      <c r="O1598" s="58"/>
      <c r="P1598" s="82"/>
      <c r="Q1598" s="81"/>
      <c r="R1598" s="81"/>
      <c r="S1598" s="57"/>
      <c r="T1598" s="82"/>
      <c r="U1598" s="82"/>
      <c r="V1598" s="57"/>
      <c r="W1598" s="57"/>
      <c r="X1598" s="57" t="str">
        <f t="shared" si="917"/>
        <v/>
      </c>
      <c r="Y1598" s="58" t="str">
        <f t="shared" ref="Y1598:AC1598" si="1438">TRIM(SUBSTITUTE(SUBSTITUTE(OFFSET($Q1598,0,COLUMN()-COLUMN($AL$1)),CHAR(160)," "),_xludf.UNICHAR(8239)," "))</f>
        <v>#NAME?</v>
      </c>
      <c r="Z1598" s="58" t="str">
        <f t="shared" si="1438"/>
        <v>#NAME?</v>
      </c>
      <c r="AA1598" s="58" t="str">
        <f t="shared" si="1438"/>
        <v>#NAME?</v>
      </c>
      <c r="AB1598" s="58" t="str">
        <f t="shared" si="1438"/>
        <v>#NAME?</v>
      </c>
      <c r="AC1598" s="58" t="str">
        <f t="shared" si="1438"/>
        <v>#NAME?</v>
      </c>
      <c r="AD1598" s="57">
        <f t="shared" si="906"/>
        <v>0</v>
      </c>
      <c r="AE1598" s="57" t="str">
        <f t="shared" si="907"/>
        <v/>
      </c>
      <c r="AF1598" s="57">
        <f t="shared" si="908"/>
        <v>0</v>
      </c>
      <c r="AG1598" s="59">
        <f t="shared" si="909"/>
        <v>0</v>
      </c>
      <c r="AH1598" s="15"/>
      <c r="AI1598" s="15"/>
      <c r="AJ1598" s="15"/>
      <c r="AK1598" s="15"/>
      <c r="AL1598" s="15"/>
      <c r="AM1598" s="15"/>
      <c r="AN1598" s="15"/>
      <c r="AO1598" s="15"/>
      <c r="AP1598" s="15"/>
      <c r="AQ1598" s="15"/>
      <c r="AR1598" s="15"/>
      <c r="AS1598" s="15"/>
      <c r="AT1598" s="15"/>
      <c r="AU1598" s="15"/>
    </row>
    <row r="1599" ht="24.0" customHeight="1">
      <c r="A1599" s="45">
        <v>3023.0</v>
      </c>
      <c r="B1599" s="57"/>
      <c r="C1599" s="57"/>
      <c r="D1599" s="88" t="str">
        <f t="array" ref="D1599">IFERROR(
  LOOKUP(2, 1/((TRIM(IMS!$E$8:$E$2574)=TRIM(IMS!$E1599))*(IMS!$C$8:$C$2574&lt;IMS!$C1599)),
         IMS!$C$8:$C$2574),
"")</f>
        <v/>
      </c>
      <c r="E1599" s="57"/>
      <c r="F1599" s="57"/>
      <c r="G1599" s="77" t="str">
        <f t="shared" si="901"/>
        <v/>
      </c>
      <c r="H1599" s="78" t="str">
        <f t="shared" si="902"/>
        <v/>
      </c>
      <c r="I1599" s="79"/>
      <c r="J1599" s="80" t="str">
        <f t="shared" si="903"/>
        <v>#NAME?</v>
      </c>
      <c r="K1599" s="58"/>
      <c r="L1599" s="58"/>
      <c r="M1599" s="57"/>
      <c r="N1599" s="57"/>
      <c r="O1599" s="58"/>
      <c r="P1599" s="82"/>
      <c r="Q1599" s="81"/>
      <c r="R1599" s="81"/>
      <c r="S1599" s="57"/>
      <c r="T1599" s="82"/>
      <c r="U1599" s="82"/>
      <c r="V1599" s="57"/>
      <c r="W1599" s="57"/>
      <c r="X1599" s="57" t="str">
        <f t="shared" si="917"/>
        <v/>
      </c>
      <c r="Y1599" s="58" t="str">
        <f t="shared" ref="Y1599:AC1599" si="1439">TRIM(SUBSTITUTE(SUBSTITUTE(OFFSET($Q1599,0,COLUMN()-COLUMN($AL$1)),CHAR(160)," "),_xludf.UNICHAR(8239)," "))</f>
        <v>#NAME?</v>
      </c>
      <c r="Z1599" s="58" t="str">
        <f t="shared" si="1439"/>
        <v>#NAME?</v>
      </c>
      <c r="AA1599" s="58" t="str">
        <f t="shared" si="1439"/>
        <v>#NAME?</v>
      </c>
      <c r="AB1599" s="58" t="str">
        <f t="shared" si="1439"/>
        <v>#NAME?</v>
      </c>
      <c r="AC1599" s="58" t="str">
        <f t="shared" si="1439"/>
        <v>#NAME?</v>
      </c>
      <c r="AD1599" s="57">
        <f t="shared" si="906"/>
        <v>0</v>
      </c>
      <c r="AE1599" s="57" t="str">
        <f t="shared" si="907"/>
        <v/>
      </c>
      <c r="AF1599" s="57">
        <f t="shared" si="908"/>
        <v>0</v>
      </c>
      <c r="AG1599" s="59">
        <f t="shared" si="909"/>
        <v>0</v>
      </c>
      <c r="AH1599" s="15"/>
      <c r="AI1599" s="15"/>
      <c r="AJ1599" s="15"/>
      <c r="AK1599" s="15"/>
      <c r="AL1599" s="15"/>
      <c r="AM1599" s="15"/>
      <c r="AN1599" s="15"/>
      <c r="AO1599" s="15"/>
      <c r="AP1599" s="15"/>
      <c r="AQ1599" s="15"/>
      <c r="AR1599" s="15"/>
      <c r="AS1599" s="15"/>
      <c r="AT1599" s="15"/>
      <c r="AU1599" s="15"/>
    </row>
    <row r="1600" ht="24.0" customHeight="1">
      <c r="A1600" s="45">
        <v>3024.0</v>
      </c>
      <c r="B1600" s="57"/>
      <c r="C1600" s="57"/>
      <c r="D1600" s="88" t="str">
        <f t="array" ref="D1600">IFERROR(
  LOOKUP(2, 1/((TRIM(IMS!$E$8:$E$2574)=TRIM(IMS!$E1600))*(IMS!$C$8:$C$2574&lt;IMS!$C1600)),
         IMS!$C$8:$C$2574),
"")</f>
        <v/>
      </c>
      <c r="E1600" s="57"/>
      <c r="F1600" s="57"/>
      <c r="G1600" s="77" t="str">
        <f t="shared" si="901"/>
        <v/>
      </c>
      <c r="H1600" s="78" t="str">
        <f t="shared" si="902"/>
        <v/>
      </c>
      <c r="I1600" s="79"/>
      <c r="J1600" s="80" t="str">
        <f t="shared" si="903"/>
        <v>#NAME?</v>
      </c>
      <c r="K1600" s="58"/>
      <c r="L1600" s="58"/>
      <c r="M1600" s="57"/>
      <c r="N1600" s="57"/>
      <c r="O1600" s="58"/>
      <c r="P1600" s="82"/>
      <c r="Q1600" s="81"/>
      <c r="R1600" s="81"/>
      <c r="S1600" s="57"/>
      <c r="T1600" s="82"/>
      <c r="U1600" s="82"/>
      <c r="V1600" s="57"/>
      <c r="W1600" s="57"/>
      <c r="X1600" s="57" t="str">
        <f t="shared" si="917"/>
        <v/>
      </c>
      <c r="Y1600" s="58" t="str">
        <f t="shared" ref="Y1600:AC1600" si="1440">TRIM(SUBSTITUTE(SUBSTITUTE(OFFSET($Q1600,0,COLUMN()-COLUMN($AL$1)),CHAR(160)," "),_xludf.UNICHAR(8239)," "))</f>
        <v>#NAME?</v>
      </c>
      <c r="Z1600" s="58" t="str">
        <f t="shared" si="1440"/>
        <v>#NAME?</v>
      </c>
      <c r="AA1600" s="58" t="str">
        <f t="shared" si="1440"/>
        <v>#NAME?</v>
      </c>
      <c r="AB1600" s="58" t="str">
        <f t="shared" si="1440"/>
        <v>#NAME?</v>
      </c>
      <c r="AC1600" s="58" t="str">
        <f t="shared" si="1440"/>
        <v>#NAME?</v>
      </c>
      <c r="AD1600" s="57">
        <f t="shared" si="906"/>
        <v>0</v>
      </c>
      <c r="AE1600" s="57" t="str">
        <f t="shared" si="907"/>
        <v/>
      </c>
      <c r="AF1600" s="57">
        <f t="shared" si="908"/>
        <v>0</v>
      </c>
      <c r="AG1600" s="59">
        <f t="shared" si="909"/>
        <v>0</v>
      </c>
      <c r="AH1600" s="15"/>
      <c r="AI1600" s="15"/>
      <c r="AJ1600" s="15"/>
      <c r="AK1600" s="15"/>
      <c r="AL1600" s="15"/>
      <c r="AM1600" s="15"/>
      <c r="AN1600" s="15"/>
      <c r="AO1600" s="15"/>
      <c r="AP1600" s="15"/>
      <c r="AQ1600" s="15"/>
      <c r="AR1600" s="15"/>
      <c r="AS1600" s="15"/>
      <c r="AT1600" s="15"/>
      <c r="AU1600" s="15"/>
    </row>
    <row r="1601" ht="24.0" customHeight="1">
      <c r="A1601" s="45">
        <v>3025.0</v>
      </c>
      <c r="B1601" s="57"/>
      <c r="C1601" s="57"/>
      <c r="D1601" s="88" t="str">
        <f t="array" ref="D1601">IFERROR(
  LOOKUP(2, 1/((TRIM(IMS!$E$8:$E$2574)=TRIM(IMS!$E1601))*(IMS!$C$8:$C$2574&lt;IMS!$C1601)),
         IMS!$C$8:$C$2574),
"")</f>
        <v/>
      </c>
      <c r="E1601" s="57"/>
      <c r="F1601" s="57"/>
      <c r="G1601" s="77" t="str">
        <f t="shared" si="901"/>
        <v/>
      </c>
      <c r="H1601" s="78" t="str">
        <f t="shared" si="902"/>
        <v/>
      </c>
      <c r="I1601" s="79"/>
      <c r="J1601" s="80" t="str">
        <f t="shared" si="903"/>
        <v>#NAME?</v>
      </c>
      <c r="K1601" s="58"/>
      <c r="L1601" s="58"/>
      <c r="M1601" s="57"/>
      <c r="N1601" s="57"/>
      <c r="O1601" s="58"/>
      <c r="P1601" s="82"/>
      <c r="Q1601" s="81"/>
      <c r="R1601" s="81"/>
      <c r="S1601" s="57"/>
      <c r="T1601" s="82"/>
      <c r="U1601" s="82"/>
      <c r="V1601" s="57"/>
      <c r="W1601" s="57"/>
      <c r="X1601" s="57" t="str">
        <f t="shared" si="917"/>
        <v/>
      </c>
      <c r="Y1601" s="58" t="str">
        <f t="shared" ref="Y1601:AC1601" si="1441">TRIM(SUBSTITUTE(SUBSTITUTE(OFFSET($Q1601,0,COLUMN()-COLUMN($AL$1)),CHAR(160)," "),_xludf.UNICHAR(8239)," "))</f>
        <v>#NAME?</v>
      </c>
      <c r="Z1601" s="58" t="str">
        <f t="shared" si="1441"/>
        <v>#NAME?</v>
      </c>
      <c r="AA1601" s="58" t="str">
        <f t="shared" si="1441"/>
        <v>#NAME?</v>
      </c>
      <c r="AB1601" s="58" t="str">
        <f t="shared" si="1441"/>
        <v>#NAME?</v>
      </c>
      <c r="AC1601" s="58" t="str">
        <f t="shared" si="1441"/>
        <v>#NAME?</v>
      </c>
      <c r="AD1601" s="57">
        <f t="shared" si="906"/>
        <v>0</v>
      </c>
      <c r="AE1601" s="57" t="str">
        <f t="shared" si="907"/>
        <v/>
      </c>
      <c r="AF1601" s="57">
        <f t="shared" si="908"/>
        <v>0</v>
      </c>
      <c r="AG1601" s="59">
        <f t="shared" si="909"/>
        <v>0</v>
      </c>
      <c r="AH1601" s="15"/>
      <c r="AI1601" s="15"/>
      <c r="AJ1601" s="15"/>
      <c r="AK1601" s="15"/>
      <c r="AL1601" s="15"/>
      <c r="AM1601" s="15"/>
      <c r="AN1601" s="15"/>
      <c r="AO1601" s="15"/>
      <c r="AP1601" s="15"/>
      <c r="AQ1601" s="15"/>
      <c r="AR1601" s="15"/>
      <c r="AS1601" s="15"/>
      <c r="AT1601" s="15"/>
      <c r="AU1601" s="15"/>
    </row>
    <row r="1602" ht="24.0" customHeight="1">
      <c r="A1602" s="45">
        <v>3026.0</v>
      </c>
      <c r="B1602" s="57"/>
      <c r="C1602" s="57"/>
      <c r="D1602" s="88" t="str">
        <f t="array" ref="D1602">IFERROR(
  LOOKUP(2, 1/((TRIM(IMS!$E$8:$E$2574)=TRIM(IMS!$E1602))*(IMS!$C$8:$C$2574&lt;IMS!$C1602)),
         IMS!$C$8:$C$2574),
"")</f>
        <v/>
      </c>
      <c r="E1602" s="57"/>
      <c r="F1602" s="57"/>
      <c r="G1602" s="77" t="str">
        <f t="shared" si="901"/>
        <v/>
      </c>
      <c r="H1602" s="78" t="str">
        <f t="shared" si="902"/>
        <v/>
      </c>
      <c r="I1602" s="79"/>
      <c r="J1602" s="80" t="str">
        <f t="shared" si="903"/>
        <v>#NAME?</v>
      </c>
      <c r="K1602" s="58"/>
      <c r="L1602" s="58"/>
      <c r="M1602" s="57"/>
      <c r="N1602" s="57"/>
      <c r="O1602" s="58"/>
      <c r="P1602" s="82"/>
      <c r="Q1602" s="81"/>
      <c r="R1602" s="81"/>
      <c r="S1602" s="57"/>
      <c r="T1602" s="82"/>
      <c r="U1602" s="82"/>
      <c r="V1602" s="57"/>
      <c r="W1602" s="57"/>
      <c r="X1602" s="57" t="str">
        <f t="shared" si="917"/>
        <v/>
      </c>
      <c r="Y1602" s="58" t="str">
        <f t="shared" ref="Y1602:AC1602" si="1442">TRIM(SUBSTITUTE(SUBSTITUTE(OFFSET($Q1602,0,COLUMN()-COLUMN($AL$1)),CHAR(160)," "),_xludf.UNICHAR(8239)," "))</f>
        <v>#NAME?</v>
      </c>
      <c r="Z1602" s="58" t="str">
        <f t="shared" si="1442"/>
        <v>#NAME?</v>
      </c>
      <c r="AA1602" s="58" t="str">
        <f t="shared" si="1442"/>
        <v>#NAME?</v>
      </c>
      <c r="AB1602" s="58" t="str">
        <f t="shared" si="1442"/>
        <v>#NAME?</v>
      </c>
      <c r="AC1602" s="58" t="str">
        <f t="shared" si="1442"/>
        <v>#NAME?</v>
      </c>
      <c r="AD1602" s="57">
        <f t="shared" si="906"/>
        <v>0</v>
      </c>
      <c r="AE1602" s="57" t="str">
        <f t="shared" si="907"/>
        <v/>
      </c>
      <c r="AF1602" s="57">
        <f t="shared" si="908"/>
        <v>0</v>
      </c>
      <c r="AG1602" s="59">
        <f t="shared" si="909"/>
        <v>0</v>
      </c>
      <c r="AH1602" s="15"/>
      <c r="AI1602" s="15"/>
      <c r="AJ1602" s="15"/>
      <c r="AK1602" s="15"/>
      <c r="AL1602" s="15"/>
      <c r="AM1602" s="15"/>
      <c r="AN1602" s="15"/>
      <c r="AO1602" s="15"/>
      <c r="AP1602" s="15"/>
      <c r="AQ1602" s="15"/>
      <c r="AR1602" s="15"/>
      <c r="AS1602" s="15"/>
      <c r="AT1602" s="15"/>
      <c r="AU1602" s="15"/>
    </row>
    <row r="1603" ht="24.0" customHeight="1">
      <c r="A1603" s="45">
        <v>3027.0</v>
      </c>
      <c r="B1603" s="57"/>
      <c r="C1603" s="57"/>
      <c r="D1603" s="88" t="str">
        <f t="array" ref="D1603">IFERROR(
  LOOKUP(2, 1/((TRIM(IMS!$E$8:$E$2574)=TRIM(IMS!$E1603))*(IMS!$C$8:$C$2574&lt;IMS!$C1603)),
         IMS!$C$8:$C$2574),
"")</f>
        <v/>
      </c>
      <c r="E1603" s="57"/>
      <c r="F1603" s="57"/>
      <c r="G1603" s="77" t="str">
        <f t="shared" si="901"/>
        <v/>
      </c>
      <c r="H1603" s="78" t="str">
        <f t="shared" si="902"/>
        <v/>
      </c>
      <c r="I1603" s="79"/>
      <c r="J1603" s="80" t="str">
        <f t="shared" si="903"/>
        <v>#NAME?</v>
      </c>
      <c r="K1603" s="58"/>
      <c r="L1603" s="58"/>
      <c r="M1603" s="57"/>
      <c r="N1603" s="57"/>
      <c r="O1603" s="58"/>
      <c r="P1603" s="82"/>
      <c r="Q1603" s="81"/>
      <c r="R1603" s="81"/>
      <c r="S1603" s="57"/>
      <c r="T1603" s="82"/>
      <c r="U1603" s="82"/>
      <c r="V1603" s="57"/>
      <c r="W1603" s="57"/>
      <c r="X1603" s="57" t="str">
        <f t="shared" si="917"/>
        <v/>
      </c>
      <c r="Y1603" s="58" t="str">
        <f t="shared" ref="Y1603:AC1603" si="1443">TRIM(SUBSTITUTE(SUBSTITUTE(OFFSET($Q1603,0,COLUMN()-COLUMN($AL$1)),CHAR(160)," "),_xludf.UNICHAR(8239)," "))</f>
        <v>#NAME?</v>
      </c>
      <c r="Z1603" s="58" t="str">
        <f t="shared" si="1443"/>
        <v>#NAME?</v>
      </c>
      <c r="AA1603" s="58" t="str">
        <f t="shared" si="1443"/>
        <v>#NAME?</v>
      </c>
      <c r="AB1603" s="58" t="str">
        <f t="shared" si="1443"/>
        <v>#NAME?</v>
      </c>
      <c r="AC1603" s="58" t="str">
        <f t="shared" si="1443"/>
        <v>#NAME?</v>
      </c>
      <c r="AD1603" s="57">
        <f t="shared" si="906"/>
        <v>0</v>
      </c>
      <c r="AE1603" s="57" t="str">
        <f t="shared" si="907"/>
        <v/>
      </c>
      <c r="AF1603" s="57">
        <f t="shared" si="908"/>
        <v>0</v>
      </c>
      <c r="AG1603" s="59">
        <f t="shared" si="909"/>
        <v>0</v>
      </c>
      <c r="AH1603" s="15"/>
      <c r="AI1603" s="15"/>
      <c r="AJ1603" s="15"/>
      <c r="AK1603" s="15"/>
      <c r="AL1603" s="15"/>
      <c r="AM1603" s="15"/>
      <c r="AN1603" s="15"/>
      <c r="AO1603" s="15"/>
      <c r="AP1603" s="15"/>
      <c r="AQ1603" s="15"/>
      <c r="AR1603" s="15"/>
      <c r="AS1603" s="15"/>
      <c r="AT1603" s="15"/>
      <c r="AU1603" s="15"/>
    </row>
    <row r="1604" ht="24.0" customHeight="1">
      <c r="A1604" s="45">
        <v>3028.0</v>
      </c>
      <c r="B1604" s="57"/>
      <c r="C1604" s="57"/>
      <c r="D1604" s="88" t="str">
        <f t="array" ref="D1604">IFERROR(
  LOOKUP(2, 1/((TRIM(IMS!$E$8:$E$2574)=TRIM(IMS!$E1604))*(IMS!$C$8:$C$2574&lt;IMS!$C1604)),
         IMS!$C$8:$C$2574),
"")</f>
        <v/>
      </c>
      <c r="E1604" s="57"/>
      <c r="F1604" s="57"/>
      <c r="G1604" s="77" t="str">
        <f t="shared" si="901"/>
        <v/>
      </c>
      <c r="H1604" s="78" t="str">
        <f t="shared" si="902"/>
        <v/>
      </c>
      <c r="I1604" s="79"/>
      <c r="J1604" s="80" t="str">
        <f t="shared" si="903"/>
        <v>#NAME?</v>
      </c>
      <c r="K1604" s="58"/>
      <c r="L1604" s="58"/>
      <c r="M1604" s="57"/>
      <c r="N1604" s="57"/>
      <c r="O1604" s="58"/>
      <c r="P1604" s="82"/>
      <c r="Q1604" s="81"/>
      <c r="R1604" s="81"/>
      <c r="S1604" s="57"/>
      <c r="T1604" s="82"/>
      <c r="U1604" s="82"/>
      <c r="V1604" s="57"/>
      <c r="W1604" s="57"/>
      <c r="X1604" s="57" t="str">
        <f t="shared" si="917"/>
        <v/>
      </c>
      <c r="Y1604" s="58" t="str">
        <f t="shared" ref="Y1604:AC1604" si="1444">TRIM(SUBSTITUTE(SUBSTITUTE(OFFSET($Q1604,0,COLUMN()-COLUMN($AL$1)),CHAR(160)," "),_xludf.UNICHAR(8239)," "))</f>
        <v>#NAME?</v>
      </c>
      <c r="Z1604" s="58" t="str">
        <f t="shared" si="1444"/>
        <v>#NAME?</v>
      </c>
      <c r="AA1604" s="58" t="str">
        <f t="shared" si="1444"/>
        <v>#NAME?</v>
      </c>
      <c r="AB1604" s="58" t="str">
        <f t="shared" si="1444"/>
        <v>#NAME?</v>
      </c>
      <c r="AC1604" s="58" t="str">
        <f t="shared" si="1444"/>
        <v>#NAME?</v>
      </c>
      <c r="AD1604" s="57">
        <f t="shared" si="906"/>
        <v>0</v>
      </c>
      <c r="AE1604" s="57" t="str">
        <f t="shared" si="907"/>
        <v/>
      </c>
      <c r="AF1604" s="57">
        <f t="shared" si="908"/>
        <v>0</v>
      </c>
      <c r="AG1604" s="59">
        <f t="shared" si="909"/>
        <v>0</v>
      </c>
      <c r="AH1604" s="15"/>
      <c r="AI1604" s="15"/>
      <c r="AJ1604" s="15"/>
      <c r="AK1604" s="15"/>
      <c r="AL1604" s="15"/>
      <c r="AM1604" s="15"/>
      <c r="AN1604" s="15"/>
      <c r="AO1604" s="15"/>
      <c r="AP1604" s="15"/>
      <c r="AQ1604" s="15"/>
      <c r="AR1604" s="15"/>
      <c r="AS1604" s="15"/>
      <c r="AT1604" s="15"/>
      <c r="AU1604" s="15"/>
    </row>
    <row r="1605" ht="24.0" customHeight="1">
      <c r="A1605" s="45">
        <v>3029.0</v>
      </c>
      <c r="B1605" s="57"/>
      <c r="C1605" s="57"/>
      <c r="D1605" s="88" t="str">
        <f t="array" ref="D1605">IFERROR(
  LOOKUP(2, 1/((TRIM(IMS!$E$8:$E$2574)=TRIM(IMS!$E1605))*(IMS!$C$8:$C$2574&lt;IMS!$C1605)),
         IMS!$C$8:$C$2574),
"")</f>
        <v/>
      </c>
      <c r="E1605" s="57"/>
      <c r="F1605" s="57"/>
      <c r="G1605" s="77" t="str">
        <f t="shared" si="901"/>
        <v/>
      </c>
      <c r="H1605" s="78" t="str">
        <f t="shared" si="902"/>
        <v/>
      </c>
      <c r="I1605" s="79"/>
      <c r="J1605" s="80" t="str">
        <f t="shared" si="903"/>
        <v>#NAME?</v>
      </c>
      <c r="K1605" s="58"/>
      <c r="L1605" s="58"/>
      <c r="M1605" s="57"/>
      <c r="N1605" s="57"/>
      <c r="O1605" s="58"/>
      <c r="P1605" s="82"/>
      <c r="Q1605" s="81"/>
      <c r="R1605" s="81"/>
      <c r="S1605" s="57"/>
      <c r="T1605" s="82"/>
      <c r="U1605" s="82"/>
      <c r="V1605" s="57"/>
      <c r="W1605" s="57"/>
      <c r="X1605" s="57" t="str">
        <f t="shared" si="917"/>
        <v/>
      </c>
      <c r="Y1605" s="58" t="str">
        <f t="shared" ref="Y1605:AC1605" si="1445">TRIM(SUBSTITUTE(SUBSTITUTE(OFFSET($Q1605,0,COLUMN()-COLUMN($AL$1)),CHAR(160)," "),_xludf.UNICHAR(8239)," "))</f>
        <v>#NAME?</v>
      </c>
      <c r="Z1605" s="58" t="str">
        <f t="shared" si="1445"/>
        <v>#NAME?</v>
      </c>
      <c r="AA1605" s="58" t="str">
        <f t="shared" si="1445"/>
        <v>#NAME?</v>
      </c>
      <c r="AB1605" s="58" t="str">
        <f t="shared" si="1445"/>
        <v>#NAME?</v>
      </c>
      <c r="AC1605" s="58" t="str">
        <f t="shared" si="1445"/>
        <v>#NAME?</v>
      </c>
      <c r="AD1605" s="57">
        <f t="shared" si="906"/>
        <v>0</v>
      </c>
      <c r="AE1605" s="57" t="str">
        <f t="shared" si="907"/>
        <v/>
      </c>
      <c r="AF1605" s="57">
        <f t="shared" si="908"/>
        <v>0</v>
      </c>
      <c r="AG1605" s="59">
        <f t="shared" si="909"/>
        <v>0</v>
      </c>
      <c r="AH1605" s="15"/>
      <c r="AI1605" s="15"/>
      <c r="AJ1605" s="15"/>
      <c r="AK1605" s="15"/>
      <c r="AL1605" s="15"/>
      <c r="AM1605" s="15"/>
      <c r="AN1605" s="15"/>
      <c r="AO1605" s="15"/>
      <c r="AP1605" s="15"/>
      <c r="AQ1605" s="15"/>
      <c r="AR1605" s="15"/>
      <c r="AS1605" s="15"/>
      <c r="AT1605" s="15"/>
      <c r="AU1605" s="15"/>
    </row>
    <row r="1606" ht="24.0" customHeight="1">
      <c r="A1606" s="45">
        <v>3030.0</v>
      </c>
      <c r="B1606" s="57"/>
      <c r="C1606" s="57"/>
      <c r="D1606" s="88" t="str">
        <f t="array" ref="D1606">IFERROR(
  LOOKUP(2, 1/((TRIM(IMS!$E$8:$E$2574)=TRIM(IMS!$E1606))*(IMS!$C$8:$C$2574&lt;IMS!$C1606)),
         IMS!$C$8:$C$2574),
"")</f>
        <v/>
      </c>
      <c r="E1606" s="57"/>
      <c r="F1606" s="57"/>
      <c r="G1606" s="77" t="str">
        <f t="shared" si="901"/>
        <v/>
      </c>
      <c r="H1606" s="78" t="str">
        <f t="shared" si="902"/>
        <v/>
      </c>
      <c r="I1606" s="79"/>
      <c r="J1606" s="80" t="str">
        <f t="shared" si="903"/>
        <v>#NAME?</v>
      </c>
      <c r="K1606" s="58"/>
      <c r="L1606" s="58"/>
      <c r="M1606" s="57"/>
      <c r="N1606" s="57"/>
      <c r="O1606" s="58"/>
      <c r="P1606" s="82"/>
      <c r="Q1606" s="81"/>
      <c r="R1606" s="81"/>
      <c r="S1606" s="57"/>
      <c r="T1606" s="82"/>
      <c r="U1606" s="82"/>
      <c r="V1606" s="57"/>
      <c r="W1606" s="57"/>
      <c r="X1606" s="57" t="str">
        <f t="shared" si="917"/>
        <v/>
      </c>
      <c r="Y1606" s="58" t="str">
        <f t="shared" ref="Y1606:AC1606" si="1446">TRIM(SUBSTITUTE(SUBSTITUTE(OFFSET($Q1606,0,COLUMN()-COLUMN($AL$1)),CHAR(160)," "),_xludf.UNICHAR(8239)," "))</f>
        <v>#NAME?</v>
      </c>
      <c r="Z1606" s="58" t="str">
        <f t="shared" si="1446"/>
        <v>#NAME?</v>
      </c>
      <c r="AA1606" s="58" t="str">
        <f t="shared" si="1446"/>
        <v>#NAME?</v>
      </c>
      <c r="AB1606" s="58" t="str">
        <f t="shared" si="1446"/>
        <v>#NAME?</v>
      </c>
      <c r="AC1606" s="58" t="str">
        <f t="shared" si="1446"/>
        <v>#NAME?</v>
      </c>
      <c r="AD1606" s="57">
        <f t="shared" si="906"/>
        <v>0</v>
      </c>
      <c r="AE1606" s="57" t="str">
        <f t="shared" si="907"/>
        <v/>
      </c>
      <c r="AF1606" s="57">
        <f t="shared" si="908"/>
        <v>0</v>
      </c>
      <c r="AG1606" s="59">
        <f t="shared" si="909"/>
        <v>0</v>
      </c>
      <c r="AH1606" s="15"/>
      <c r="AI1606" s="15"/>
      <c r="AJ1606" s="15"/>
      <c r="AK1606" s="15"/>
      <c r="AL1606" s="15"/>
      <c r="AM1606" s="15"/>
      <c r="AN1606" s="15"/>
      <c r="AO1606" s="15"/>
      <c r="AP1606" s="15"/>
      <c r="AQ1606" s="15"/>
      <c r="AR1606" s="15"/>
      <c r="AS1606" s="15"/>
      <c r="AT1606" s="15"/>
      <c r="AU1606" s="15"/>
    </row>
    <row r="1607" ht="24.0" customHeight="1">
      <c r="A1607" s="45">
        <v>3031.0</v>
      </c>
      <c r="B1607" s="57"/>
      <c r="C1607" s="57"/>
      <c r="D1607" s="88" t="str">
        <f t="array" ref="D1607">IFERROR(
  LOOKUP(2, 1/((TRIM(IMS!$E$8:$E$2574)=TRIM(IMS!$E1607))*(IMS!$C$8:$C$2574&lt;IMS!$C1607)),
         IMS!$C$8:$C$2574),
"")</f>
        <v/>
      </c>
      <c r="E1607" s="57"/>
      <c r="F1607" s="57"/>
      <c r="G1607" s="77" t="str">
        <f t="shared" si="901"/>
        <v/>
      </c>
      <c r="H1607" s="78" t="str">
        <f t="shared" si="902"/>
        <v/>
      </c>
      <c r="I1607" s="79"/>
      <c r="J1607" s="80" t="str">
        <f t="shared" si="903"/>
        <v>#NAME?</v>
      </c>
      <c r="K1607" s="58"/>
      <c r="L1607" s="58"/>
      <c r="M1607" s="57"/>
      <c r="N1607" s="57"/>
      <c r="O1607" s="58"/>
      <c r="P1607" s="82"/>
      <c r="Q1607" s="81"/>
      <c r="R1607" s="81"/>
      <c r="S1607" s="57"/>
      <c r="T1607" s="82"/>
      <c r="U1607" s="82"/>
      <c r="V1607" s="57"/>
      <c r="W1607" s="57"/>
      <c r="X1607" s="57" t="str">
        <f t="shared" si="917"/>
        <v/>
      </c>
      <c r="Y1607" s="58" t="str">
        <f t="shared" ref="Y1607:AC1607" si="1447">TRIM(SUBSTITUTE(SUBSTITUTE(OFFSET($Q1607,0,COLUMN()-COLUMN($AL$1)),CHAR(160)," "),_xludf.UNICHAR(8239)," "))</f>
        <v>#NAME?</v>
      </c>
      <c r="Z1607" s="58" t="str">
        <f t="shared" si="1447"/>
        <v>#NAME?</v>
      </c>
      <c r="AA1607" s="58" t="str">
        <f t="shared" si="1447"/>
        <v>#NAME?</v>
      </c>
      <c r="AB1607" s="58" t="str">
        <f t="shared" si="1447"/>
        <v>#NAME?</v>
      </c>
      <c r="AC1607" s="58" t="str">
        <f t="shared" si="1447"/>
        <v>#NAME?</v>
      </c>
      <c r="AD1607" s="57">
        <f t="shared" si="906"/>
        <v>0</v>
      </c>
      <c r="AE1607" s="57" t="str">
        <f t="shared" si="907"/>
        <v/>
      </c>
      <c r="AF1607" s="57">
        <f t="shared" si="908"/>
        <v>0</v>
      </c>
      <c r="AG1607" s="59">
        <f t="shared" si="909"/>
        <v>0</v>
      </c>
      <c r="AH1607" s="15"/>
      <c r="AI1607" s="15"/>
      <c r="AJ1607" s="15"/>
      <c r="AK1607" s="15"/>
      <c r="AL1607" s="15"/>
      <c r="AM1607" s="15"/>
      <c r="AN1607" s="15"/>
      <c r="AO1607" s="15"/>
      <c r="AP1607" s="15"/>
      <c r="AQ1607" s="15"/>
      <c r="AR1607" s="15"/>
      <c r="AS1607" s="15"/>
      <c r="AT1607" s="15"/>
      <c r="AU1607" s="15"/>
    </row>
    <row r="1608" ht="24.0" customHeight="1">
      <c r="A1608" s="45">
        <v>3032.0</v>
      </c>
      <c r="B1608" s="57"/>
      <c r="C1608" s="57"/>
      <c r="D1608" s="88" t="str">
        <f t="array" ref="D1608">IFERROR(
  LOOKUP(2, 1/((TRIM(IMS!$E$8:$E$2574)=TRIM(IMS!$E1608))*(IMS!$C$8:$C$2574&lt;IMS!$C1608)),
         IMS!$C$8:$C$2574),
"")</f>
        <v/>
      </c>
      <c r="E1608" s="57"/>
      <c r="F1608" s="57"/>
      <c r="G1608" s="77" t="str">
        <f t="shared" si="901"/>
        <v/>
      </c>
      <c r="H1608" s="78" t="str">
        <f t="shared" si="902"/>
        <v/>
      </c>
      <c r="I1608" s="79"/>
      <c r="J1608" s="80" t="str">
        <f t="shared" si="903"/>
        <v>#NAME?</v>
      </c>
      <c r="K1608" s="58"/>
      <c r="L1608" s="58"/>
      <c r="M1608" s="57"/>
      <c r="N1608" s="57"/>
      <c r="O1608" s="58"/>
      <c r="P1608" s="82"/>
      <c r="Q1608" s="81"/>
      <c r="R1608" s="81"/>
      <c r="S1608" s="57"/>
      <c r="T1608" s="82"/>
      <c r="U1608" s="82"/>
      <c r="V1608" s="57"/>
      <c r="W1608" s="57"/>
      <c r="X1608" s="57" t="str">
        <f t="shared" si="917"/>
        <v/>
      </c>
      <c r="Y1608" s="58" t="str">
        <f t="shared" ref="Y1608:AC1608" si="1448">TRIM(SUBSTITUTE(SUBSTITUTE(OFFSET($Q1608,0,COLUMN()-COLUMN($AL$1)),CHAR(160)," "),_xludf.UNICHAR(8239)," "))</f>
        <v>#NAME?</v>
      </c>
      <c r="Z1608" s="58" t="str">
        <f t="shared" si="1448"/>
        <v>#NAME?</v>
      </c>
      <c r="AA1608" s="58" t="str">
        <f t="shared" si="1448"/>
        <v>#NAME?</v>
      </c>
      <c r="AB1608" s="58" t="str">
        <f t="shared" si="1448"/>
        <v>#NAME?</v>
      </c>
      <c r="AC1608" s="58" t="str">
        <f t="shared" si="1448"/>
        <v>#NAME?</v>
      </c>
      <c r="AD1608" s="57">
        <f t="shared" si="906"/>
        <v>0</v>
      </c>
      <c r="AE1608" s="57" t="str">
        <f t="shared" si="907"/>
        <v/>
      </c>
      <c r="AF1608" s="57">
        <f t="shared" si="908"/>
        <v>0</v>
      </c>
      <c r="AG1608" s="59">
        <f t="shared" si="909"/>
        <v>0</v>
      </c>
      <c r="AH1608" s="15"/>
      <c r="AI1608" s="15"/>
      <c r="AJ1608" s="15"/>
      <c r="AK1608" s="15"/>
      <c r="AL1608" s="15"/>
      <c r="AM1608" s="15"/>
      <c r="AN1608" s="15"/>
      <c r="AO1608" s="15"/>
      <c r="AP1608" s="15"/>
      <c r="AQ1608" s="15"/>
      <c r="AR1608" s="15"/>
      <c r="AS1608" s="15"/>
      <c r="AT1608" s="15"/>
      <c r="AU1608" s="15"/>
    </row>
    <row r="1609" ht="24.0" customHeight="1">
      <c r="A1609" s="45">
        <v>3033.0</v>
      </c>
      <c r="B1609" s="57"/>
      <c r="C1609" s="57"/>
      <c r="D1609" s="88" t="str">
        <f t="array" ref="D1609">IFERROR(
  LOOKUP(2, 1/((TRIM(IMS!$E$8:$E$2574)=TRIM(IMS!$E1609))*(IMS!$C$8:$C$2574&lt;IMS!$C1609)),
         IMS!$C$8:$C$2574),
"")</f>
        <v/>
      </c>
      <c r="E1609" s="57"/>
      <c r="F1609" s="57"/>
      <c r="G1609" s="77" t="str">
        <f t="shared" si="901"/>
        <v/>
      </c>
      <c r="H1609" s="78" t="str">
        <f t="shared" si="902"/>
        <v/>
      </c>
      <c r="I1609" s="79"/>
      <c r="J1609" s="80" t="str">
        <f t="shared" si="903"/>
        <v>#NAME?</v>
      </c>
      <c r="K1609" s="58"/>
      <c r="L1609" s="58"/>
      <c r="M1609" s="57"/>
      <c r="N1609" s="57"/>
      <c r="O1609" s="58"/>
      <c r="P1609" s="82"/>
      <c r="Q1609" s="81"/>
      <c r="R1609" s="81"/>
      <c r="S1609" s="57"/>
      <c r="T1609" s="82"/>
      <c r="U1609" s="82"/>
      <c r="V1609" s="57"/>
      <c r="W1609" s="57"/>
      <c r="X1609" s="57" t="str">
        <f t="shared" si="917"/>
        <v/>
      </c>
      <c r="Y1609" s="58" t="str">
        <f t="shared" ref="Y1609:AC1609" si="1449">TRIM(SUBSTITUTE(SUBSTITUTE(OFFSET($Q1609,0,COLUMN()-COLUMN($AL$1)),CHAR(160)," "),_xludf.UNICHAR(8239)," "))</f>
        <v>#NAME?</v>
      </c>
      <c r="Z1609" s="58" t="str">
        <f t="shared" si="1449"/>
        <v>#NAME?</v>
      </c>
      <c r="AA1609" s="58" t="str">
        <f t="shared" si="1449"/>
        <v>#NAME?</v>
      </c>
      <c r="AB1609" s="58" t="str">
        <f t="shared" si="1449"/>
        <v>#NAME?</v>
      </c>
      <c r="AC1609" s="58" t="str">
        <f t="shared" si="1449"/>
        <v>#NAME?</v>
      </c>
      <c r="AD1609" s="57">
        <f t="shared" si="906"/>
        <v>0</v>
      </c>
      <c r="AE1609" s="57" t="str">
        <f t="shared" si="907"/>
        <v/>
      </c>
      <c r="AF1609" s="57">
        <f t="shared" si="908"/>
        <v>0</v>
      </c>
      <c r="AG1609" s="59">
        <f t="shared" si="909"/>
        <v>0</v>
      </c>
      <c r="AH1609" s="15"/>
      <c r="AI1609" s="15"/>
      <c r="AJ1609" s="15"/>
      <c r="AK1609" s="15"/>
      <c r="AL1609" s="15"/>
      <c r="AM1609" s="15"/>
      <c r="AN1609" s="15"/>
      <c r="AO1609" s="15"/>
      <c r="AP1609" s="15"/>
      <c r="AQ1609" s="15"/>
      <c r="AR1609" s="15"/>
      <c r="AS1609" s="15"/>
      <c r="AT1609" s="15"/>
      <c r="AU1609" s="15"/>
    </row>
    <row r="1610" ht="24.0" customHeight="1">
      <c r="A1610" s="45">
        <v>3034.0</v>
      </c>
      <c r="B1610" s="57"/>
      <c r="C1610" s="57"/>
      <c r="D1610" s="88" t="str">
        <f t="array" ref="D1610">IFERROR(
  LOOKUP(2, 1/((TRIM(IMS!$E$8:$E$2574)=TRIM(IMS!$E1610))*(IMS!$C$8:$C$2574&lt;IMS!$C1610)),
         IMS!$C$8:$C$2574),
"")</f>
        <v/>
      </c>
      <c r="E1610" s="57"/>
      <c r="F1610" s="57"/>
      <c r="G1610" s="77" t="str">
        <f t="shared" si="901"/>
        <v/>
      </c>
      <c r="H1610" s="78" t="str">
        <f t="shared" si="902"/>
        <v/>
      </c>
      <c r="I1610" s="79"/>
      <c r="J1610" s="80" t="str">
        <f t="shared" si="903"/>
        <v>#NAME?</v>
      </c>
      <c r="K1610" s="58"/>
      <c r="L1610" s="58"/>
      <c r="M1610" s="57"/>
      <c r="N1610" s="57"/>
      <c r="O1610" s="58"/>
      <c r="P1610" s="82"/>
      <c r="Q1610" s="81"/>
      <c r="R1610" s="81"/>
      <c r="S1610" s="57"/>
      <c r="T1610" s="82"/>
      <c r="U1610" s="82"/>
      <c r="V1610" s="57"/>
      <c r="W1610" s="57"/>
      <c r="X1610" s="57" t="str">
        <f t="shared" si="917"/>
        <v/>
      </c>
      <c r="Y1610" s="58" t="str">
        <f t="shared" ref="Y1610:AC1610" si="1450">TRIM(SUBSTITUTE(SUBSTITUTE(OFFSET($Q1610,0,COLUMN()-COLUMN($AL$1)),CHAR(160)," "),_xludf.UNICHAR(8239)," "))</f>
        <v>#NAME?</v>
      </c>
      <c r="Z1610" s="58" t="str">
        <f t="shared" si="1450"/>
        <v>#NAME?</v>
      </c>
      <c r="AA1610" s="58" t="str">
        <f t="shared" si="1450"/>
        <v>#NAME?</v>
      </c>
      <c r="AB1610" s="58" t="str">
        <f t="shared" si="1450"/>
        <v>#NAME?</v>
      </c>
      <c r="AC1610" s="58" t="str">
        <f t="shared" si="1450"/>
        <v>#NAME?</v>
      </c>
      <c r="AD1610" s="57">
        <f t="shared" si="906"/>
        <v>0</v>
      </c>
      <c r="AE1610" s="57" t="str">
        <f t="shared" si="907"/>
        <v/>
      </c>
      <c r="AF1610" s="57">
        <f t="shared" si="908"/>
        <v>0</v>
      </c>
      <c r="AG1610" s="59">
        <f t="shared" si="909"/>
        <v>0</v>
      </c>
      <c r="AH1610" s="15"/>
      <c r="AI1610" s="15"/>
      <c r="AJ1610" s="15"/>
      <c r="AK1610" s="15"/>
      <c r="AL1610" s="15"/>
      <c r="AM1610" s="15"/>
      <c r="AN1610" s="15"/>
      <c r="AO1610" s="15"/>
      <c r="AP1610" s="15"/>
      <c r="AQ1610" s="15"/>
      <c r="AR1610" s="15"/>
      <c r="AS1610" s="15"/>
      <c r="AT1610" s="15"/>
      <c r="AU1610" s="15"/>
    </row>
    <row r="1611" ht="24.0" customHeight="1">
      <c r="A1611" s="45">
        <v>3035.0</v>
      </c>
      <c r="B1611" s="57"/>
      <c r="C1611" s="57"/>
      <c r="D1611" s="88" t="str">
        <f t="array" ref="D1611">IFERROR(
  LOOKUP(2, 1/((TRIM(IMS!$E$8:$E$2574)=TRIM(IMS!$E1611))*(IMS!$C$8:$C$2574&lt;IMS!$C1611)),
         IMS!$C$8:$C$2574),
"")</f>
        <v/>
      </c>
      <c r="E1611" s="57"/>
      <c r="F1611" s="57"/>
      <c r="G1611" s="77" t="str">
        <f t="shared" si="901"/>
        <v/>
      </c>
      <c r="H1611" s="78" t="str">
        <f t="shared" si="902"/>
        <v/>
      </c>
      <c r="I1611" s="79"/>
      <c r="J1611" s="80" t="str">
        <f t="shared" si="903"/>
        <v>#NAME?</v>
      </c>
      <c r="K1611" s="58"/>
      <c r="L1611" s="58"/>
      <c r="M1611" s="57"/>
      <c r="N1611" s="57"/>
      <c r="O1611" s="58"/>
      <c r="P1611" s="82"/>
      <c r="Q1611" s="81"/>
      <c r="R1611" s="81"/>
      <c r="S1611" s="57"/>
      <c r="T1611" s="82"/>
      <c r="U1611" s="82"/>
      <c r="V1611" s="57"/>
      <c r="W1611" s="57"/>
      <c r="X1611" s="57" t="str">
        <f t="shared" si="917"/>
        <v/>
      </c>
      <c r="Y1611" s="58" t="str">
        <f t="shared" ref="Y1611:AC1611" si="1451">TRIM(SUBSTITUTE(SUBSTITUTE(OFFSET($Q1611,0,COLUMN()-COLUMN($AL$1)),CHAR(160)," "),_xludf.UNICHAR(8239)," "))</f>
        <v>#NAME?</v>
      </c>
      <c r="Z1611" s="58" t="str">
        <f t="shared" si="1451"/>
        <v>#NAME?</v>
      </c>
      <c r="AA1611" s="58" t="str">
        <f t="shared" si="1451"/>
        <v>#NAME?</v>
      </c>
      <c r="AB1611" s="58" t="str">
        <f t="shared" si="1451"/>
        <v>#NAME?</v>
      </c>
      <c r="AC1611" s="58" t="str">
        <f t="shared" si="1451"/>
        <v>#NAME?</v>
      </c>
      <c r="AD1611" s="57">
        <f t="shared" si="906"/>
        <v>0</v>
      </c>
      <c r="AE1611" s="57" t="str">
        <f t="shared" si="907"/>
        <v/>
      </c>
      <c r="AF1611" s="57">
        <f t="shared" si="908"/>
        <v>0</v>
      </c>
      <c r="AG1611" s="59">
        <f t="shared" si="909"/>
        <v>0</v>
      </c>
      <c r="AH1611" s="15"/>
      <c r="AI1611" s="15"/>
      <c r="AJ1611" s="15"/>
      <c r="AK1611" s="15"/>
      <c r="AL1611" s="15"/>
      <c r="AM1611" s="15"/>
      <c r="AN1611" s="15"/>
      <c r="AO1611" s="15"/>
      <c r="AP1611" s="15"/>
      <c r="AQ1611" s="15"/>
      <c r="AR1611" s="15"/>
      <c r="AS1611" s="15"/>
      <c r="AT1611" s="15"/>
      <c r="AU1611" s="15"/>
    </row>
    <row r="1612" ht="24.0" customHeight="1">
      <c r="A1612" s="45">
        <v>3036.0</v>
      </c>
      <c r="B1612" s="57"/>
      <c r="C1612" s="57"/>
      <c r="D1612" s="88" t="str">
        <f t="array" ref="D1612">IFERROR(
  LOOKUP(2, 1/((TRIM(IMS!$E$8:$E$2574)=TRIM(IMS!$E1612))*(IMS!$C$8:$C$2574&lt;IMS!$C1612)),
         IMS!$C$8:$C$2574),
"")</f>
        <v/>
      </c>
      <c r="E1612" s="57"/>
      <c r="F1612" s="57"/>
      <c r="G1612" s="77" t="str">
        <f t="shared" si="901"/>
        <v/>
      </c>
      <c r="H1612" s="78" t="str">
        <f t="shared" si="902"/>
        <v/>
      </c>
      <c r="I1612" s="79"/>
      <c r="J1612" s="80" t="str">
        <f t="shared" si="903"/>
        <v>#NAME?</v>
      </c>
      <c r="K1612" s="58"/>
      <c r="L1612" s="58"/>
      <c r="M1612" s="57"/>
      <c r="N1612" s="57"/>
      <c r="O1612" s="58"/>
      <c r="P1612" s="82"/>
      <c r="Q1612" s="81"/>
      <c r="R1612" s="81"/>
      <c r="S1612" s="57"/>
      <c r="T1612" s="82"/>
      <c r="U1612" s="82"/>
      <c r="V1612" s="57"/>
      <c r="W1612" s="57"/>
      <c r="X1612" s="57" t="str">
        <f t="shared" si="917"/>
        <v/>
      </c>
      <c r="Y1612" s="58" t="str">
        <f t="shared" ref="Y1612:AC1612" si="1452">TRIM(SUBSTITUTE(SUBSTITUTE(OFFSET($Q1612,0,COLUMN()-COLUMN($AL$1)),CHAR(160)," "),_xludf.UNICHAR(8239)," "))</f>
        <v>#NAME?</v>
      </c>
      <c r="Z1612" s="58" t="str">
        <f t="shared" si="1452"/>
        <v>#NAME?</v>
      </c>
      <c r="AA1612" s="58" t="str">
        <f t="shared" si="1452"/>
        <v>#NAME?</v>
      </c>
      <c r="AB1612" s="58" t="str">
        <f t="shared" si="1452"/>
        <v>#NAME?</v>
      </c>
      <c r="AC1612" s="58" t="str">
        <f t="shared" si="1452"/>
        <v>#NAME?</v>
      </c>
      <c r="AD1612" s="57">
        <f t="shared" si="906"/>
        <v>0</v>
      </c>
      <c r="AE1612" s="57" t="str">
        <f t="shared" si="907"/>
        <v/>
      </c>
      <c r="AF1612" s="57">
        <f t="shared" si="908"/>
        <v>0</v>
      </c>
      <c r="AG1612" s="59">
        <f t="shared" si="909"/>
        <v>0</v>
      </c>
      <c r="AH1612" s="15"/>
      <c r="AI1612" s="15"/>
      <c r="AJ1612" s="15"/>
      <c r="AK1612" s="15"/>
      <c r="AL1612" s="15"/>
      <c r="AM1612" s="15"/>
      <c r="AN1612" s="15"/>
      <c r="AO1612" s="15"/>
      <c r="AP1612" s="15"/>
      <c r="AQ1612" s="15"/>
      <c r="AR1612" s="15"/>
      <c r="AS1612" s="15"/>
      <c r="AT1612" s="15"/>
      <c r="AU1612" s="15"/>
    </row>
    <row r="1613" ht="24.0" customHeight="1">
      <c r="A1613" s="45">
        <v>3037.0</v>
      </c>
      <c r="B1613" s="57"/>
      <c r="C1613" s="57"/>
      <c r="D1613" s="88" t="str">
        <f t="array" ref="D1613">IFERROR(
  LOOKUP(2, 1/((TRIM(IMS!$E$8:$E$2574)=TRIM(IMS!$E1613))*(IMS!$C$8:$C$2574&lt;IMS!$C1613)),
         IMS!$C$8:$C$2574),
"")</f>
        <v/>
      </c>
      <c r="E1613" s="57"/>
      <c r="F1613" s="57"/>
      <c r="G1613" s="77" t="str">
        <f t="shared" si="901"/>
        <v/>
      </c>
      <c r="H1613" s="78" t="str">
        <f t="shared" si="902"/>
        <v/>
      </c>
      <c r="I1613" s="79"/>
      <c r="J1613" s="80" t="str">
        <f t="shared" si="903"/>
        <v>#NAME?</v>
      </c>
      <c r="K1613" s="58"/>
      <c r="L1613" s="58"/>
      <c r="M1613" s="57"/>
      <c r="N1613" s="57"/>
      <c r="O1613" s="58"/>
      <c r="P1613" s="82"/>
      <c r="Q1613" s="81"/>
      <c r="R1613" s="81"/>
      <c r="S1613" s="57"/>
      <c r="T1613" s="82"/>
      <c r="U1613" s="82"/>
      <c r="V1613" s="57"/>
      <c r="W1613" s="57"/>
      <c r="X1613" s="57" t="str">
        <f t="shared" si="917"/>
        <v/>
      </c>
      <c r="Y1613" s="58" t="str">
        <f t="shared" ref="Y1613:AC1613" si="1453">TRIM(SUBSTITUTE(SUBSTITUTE(OFFSET($Q1613,0,COLUMN()-COLUMN($AL$1)),CHAR(160)," "),_xludf.UNICHAR(8239)," "))</f>
        <v>#NAME?</v>
      </c>
      <c r="Z1613" s="58" t="str">
        <f t="shared" si="1453"/>
        <v>#NAME?</v>
      </c>
      <c r="AA1613" s="58" t="str">
        <f t="shared" si="1453"/>
        <v>#NAME?</v>
      </c>
      <c r="AB1613" s="58" t="str">
        <f t="shared" si="1453"/>
        <v>#NAME?</v>
      </c>
      <c r="AC1613" s="58" t="str">
        <f t="shared" si="1453"/>
        <v>#NAME?</v>
      </c>
      <c r="AD1613" s="57">
        <f t="shared" si="906"/>
        <v>0</v>
      </c>
      <c r="AE1613" s="57" t="str">
        <f t="shared" si="907"/>
        <v/>
      </c>
      <c r="AF1613" s="57">
        <f t="shared" si="908"/>
        <v>0</v>
      </c>
      <c r="AG1613" s="59">
        <f t="shared" si="909"/>
        <v>0</v>
      </c>
      <c r="AH1613" s="15"/>
      <c r="AI1613" s="15"/>
      <c r="AJ1613" s="15"/>
      <c r="AK1613" s="15"/>
      <c r="AL1613" s="15"/>
      <c r="AM1613" s="15"/>
      <c r="AN1613" s="15"/>
      <c r="AO1613" s="15"/>
      <c r="AP1613" s="15"/>
      <c r="AQ1613" s="15"/>
      <c r="AR1613" s="15"/>
      <c r="AS1613" s="15"/>
      <c r="AT1613" s="15"/>
      <c r="AU1613" s="15"/>
    </row>
    <row r="1614" ht="24.0" customHeight="1">
      <c r="A1614" s="45">
        <v>3038.0</v>
      </c>
      <c r="B1614" s="57"/>
      <c r="C1614" s="57"/>
      <c r="D1614" s="88" t="str">
        <f t="array" ref="D1614">IFERROR(
  LOOKUP(2, 1/((TRIM(IMS!$E$8:$E$2574)=TRIM(IMS!$E1614))*(IMS!$C$8:$C$2574&lt;IMS!$C1614)),
         IMS!$C$8:$C$2574),
"")</f>
        <v/>
      </c>
      <c r="E1614" s="57"/>
      <c r="F1614" s="57"/>
      <c r="G1614" s="77" t="str">
        <f t="shared" si="901"/>
        <v/>
      </c>
      <c r="H1614" s="78" t="str">
        <f t="shared" si="902"/>
        <v/>
      </c>
      <c r="I1614" s="79"/>
      <c r="J1614" s="80" t="str">
        <f t="shared" si="903"/>
        <v>#NAME?</v>
      </c>
      <c r="K1614" s="58"/>
      <c r="L1614" s="58"/>
      <c r="M1614" s="57"/>
      <c r="N1614" s="57"/>
      <c r="O1614" s="58"/>
      <c r="P1614" s="82"/>
      <c r="Q1614" s="81"/>
      <c r="R1614" s="81"/>
      <c r="S1614" s="57"/>
      <c r="T1614" s="82"/>
      <c r="U1614" s="82"/>
      <c r="V1614" s="57"/>
      <c r="W1614" s="57"/>
      <c r="X1614" s="57" t="str">
        <f t="shared" si="917"/>
        <v/>
      </c>
      <c r="Y1614" s="58" t="str">
        <f t="shared" ref="Y1614:AC1614" si="1454">TRIM(SUBSTITUTE(SUBSTITUTE(OFFSET($Q1614,0,COLUMN()-COLUMN($AL$1)),CHAR(160)," "),_xludf.UNICHAR(8239)," "))</f>
        <v>#NAME?</v>
      </c>
      <c r="Z1614" s="58" t="str">
        <f t="shared" si="1454"/>
        <v>#NAME?</v>
      </c>
      <c r="AA1614" s="58" t="str">
        <f t="shared" si="1454"/>
        <v>#NAME?</v>
      </c>
      <c r="AB1614" s="58" t="str">
        <f t="shared" si="1454"/>
        <v>#NAME?</v>
      </c>
      <c r="AC1614" s="58" t="str">
        <f t="shared" si="1454"/>
        <v>#NAME?</v>
      </c>
      <c r="AD1614" s="57">
        <f t="shared" si="906"/>
        <v>0</v>
      </c>
      <c r="AE1614" s="57" t="str">
        <f t="shared" si="907"/>
        <v/>
      </c>
      <c r="AF1614" s="57">
        <f t="shared" si="908"/>
        <v>0</v>
      </c>
      <c r="AG1614" s="59">
        <f t="shared" si="909"/>
        <v>0</v>
      </c>
      <c r="AH1614" s="15"/>
      <c r="AI1614" s="15"/>
      <c r="AJ1614" s="15"/>
      <c r="AK1614" s="15"/>
      <c r="AL1614" s="15"/>
      <c r="AM1614" s="15"/>
      <c r="AN1614" s="15"/>
      <c r="AO1614" s="15"/>
      <c r="AP1614" s="15"/>
      <c r="AQ1614" s="15"/>
      <c r="AR1614" s="15"/>
      <c r="AS1614" s="15"/>
      <c r="AT1614" s="15"/>
      <c r="AU1614" s="15"/>
    </row>
    <row r="1615" ht="24.0" customHeight="1">
      <c r="A1615" s="45">
        <v>3039.0</v>
      </c>
      <c r="B1615" s="57"/>
      <c r="C1615" s="57"/>
      <c r="D1615" s="88" t="str">
        <f t="array" ref="D1615">IFERROR(
  LOOKUP(2, 1/((TRIM(IMS!$E$8:$E$2574)=TRIM(IMS!$E1615))*(IMS!$C$8:$C$2574&lt;IMS!$C1615)),
         IMS!$C$8:$C$2574),
"")</f>
        <v/>
      </c>
      <c r="E1615" s="57"/>
      <c r="F1615" s="57"/>
      <c r="G1615" s="77" t="str">
        <f t="shared" si="901"/>
        <v/>
      </c>
      <c r="H1615" s="78" t="str">
        <f t="shared" si="902"/>
        <v/>
      </c>
      <c r="I1615" s="79"/>
      <c r="J1615" s="80" t="str">
        <f t="shared" si="903"/>
        <v>#NAME?</v>
      </c>
      <c r="K1615" s="58"/>
      <c r="L1615" s="58"/>
      <c r="M1615" s="57"/>
      <c r="N1615" s="57"/>
      <c r="O1615" s="58"/>
      <c r="P1615" s="82"/>
      <c r="Q1615" s="81"/>
      <c r="R1615" s="81"/>
      <c r="S1615" s="57"/>
      <c r="T1615" s="82"/>
      <c r="U1615" s="82"/>
      <c r="V1615" s="57"/>
      <c r="W1615" s="57"/>
      <c r="X1615" s="57" t="str">
        <f t="shared" si="917"/>
        <v/>
      </c>
      <c r="Y1615" s="58" t="str">
        <f t="shared" ref="Y1615:AC1615" si="1455">TRIM(SUBSTITUTE(SUBSTITUTE(OFFSET($Q1615,0,COLUMN()-COLUMN($AL$1)),CHAR(160)," "),_xludf.UNICHAR(8239)," "))</f>
        <v>#NAME?</v>
      </c>
      <c r="Z1615" s="58" t="str">
        <f t="shared" si="1455"/>
        <v>#NAME?</v>
      </c>
      <c r="AA1615" s="58" t="str">
        <f t="shared" si="1455"/>
        <v>#NAME?</v>
      </c>
      <c r="AB1615" s="58" t="str">
        <f t="shared" si="1455"/>
        <v>#NAME?</v>
      </c>
      <c r="AC1615" s="58" t="str">
        <f t="shared" si="1455"/>
        <v>#NAME?</v>
      </c>
      <c r="AD1615" s="57">
        <f t="shared" si="906"/>
        <v>0</v>
      </c>
      <c r="AE1615" s="57" t="str">
        <f t="shared" si="907"/>
        <v/>
      </c>
      <c r="AF1615" s="57">
        <f t="shared" si="908"/>
        <v>0</v>
      </c>
      <c r="AG1615" s="59">
        <f t="shared" si="909"/>
        <v>0</v>
      </c>
      <c r="AH1615" s="15"/>
      <c r="AI1615" s="15"/>
      <c r="AJ1615" s="15"/>
      <c r="AK1615" s="15"/>
      <c r="AL1615" s="15"/>
      <c r="AM1615" s="15"/>
      <c r="AN1615" s="15"/>
      <c r="AO1615" s="15"/>
      <c r="AP1615" s="15"/>
      <c r="AQ1615" s="15"/>
      <c r="AR1615" s="15"/>
      <c r="AS1615" s="15"/>
      <c r="AT1615" s="15"/>
      <c r="AU1615" s="15"/>
    </row>
    <row r="1616" ht="24.0" customHeight="1">
      <c r="A1616" s="45">
        <v>3040.0</v>
      </c>
      <c r="B1616" s="57"/>
      <c r="C1616" s="57"/>
      <c r="D1616" s="88" t="str">
        <f t="array" ref="D1616">IFERROR(
  LOOKUP(2, 1/((TRIM(IMS!$E$8:$E$2574)=TRIM(IMS!$E1616))*(IMS!$C$8:$C$2574&lt;IMS!$C1616)),
         IMS!$C$8:$C$2574),
"")</f>
        <v/>
      </c>
      <c r="E1616" s="57"/>
      <c r="F1616" s="57"/>
      <c r="G1616" s="77" t="str">
        <f t="shared" si="901"/>
        <v/>
      </c>
      <c r="H1616" s="78" t="str">
        <f t="shared" si="902"/>
        <v/>
      </c>
      <c r="I1616" s="79"/>
      <c r="J1616" s="80" t="str">
        <f t="shared" si="903"/>
        <v>#NAME?</v>
      </c>
      <c r="K1616" s="58"/>
      <c r="L1616" s="58"/>
      <c r="M1616" s="57"/>
      <c r="N1616" s="57"/>
      <c r="O1616" s="58"/>
      <c r="P1616" s="82"/>
      <c r="Q1616" s="81"/>
      <c r="R1616" s="81"/>
      <c r="S1616" s="57"/>
      <c r="T1616" s="82"/>
      <c r="U1616" s="82"/>
      <c r="V1616" s="57"/>
      <c r="W1616" s="57"/>
      <c r="X1616" s="57" t="str">
        <f t="shared" si="917"/>
        <v/>
      </c>
      <c r="Y1616" s="58" t="str">
        <f t="shared" ref="Y1616:AC1616" si="1456">TRIM(SUBSTITUTE(SUBSTITUTE(OFFSET($Q1616,0,COLUMN()-COLUMN($AL$1)),CHAR(160)," "),_xludf.UNICHAR(8239)," "))</f>
        <v>#NAME?</v>
      </c>
      <c r="Z1616" s="58" t="str">
        <f t="shared" si="1456"/>
        <v>#NAME?</v>
      </c>
      <c r="AA1616" s="58" t="str">
        <f t="shared" si="1456"/>
        <v>#NAME?</v>
      </c>
      <c r="AB1616" s="58" t="str">
        <f t="shared" si="1456"/>
        <v>#NAME?</v>
      </c>
      <c r="AC1616" s="58" t="str">
        <f t="shared" si="1456"/>
        <v>#NAME?</v>
      </c>
      <c r="AD1616" s="57">
        <f t="shared" si="906"/>
        <v>0</v>
      </c>
      <c r="AE1616" s="57" t="str">
        <f t="shared" si="907"/>
        <v/>
      </c>
      <c r="AF1616" s="57">
        <f t="shared" si="908"/>
        <v>0</v>
      </c>
      <c r="AG1616" s="59">
        <f t="shared" si="909"/>
        <v>0</v>
      </c>
      <c r="AH1616" s="15"/>
      <c r="AI1616" s="15"/>
      <c r="AJ1616" s="15"/>
      <c r="AK1616" s="15"/>
      <c r="AL1616" s="15"/>
      <c r="AM1616" s="15"/>
      <c r="AN1616" s="15"/>
      <c r="AO1616" s="15"/>
      <c r="AP1616" s="15"/>
      <c r="AQ1616" s="15"/>
      <c r="AR1616" s="15"/>
      <c r="AS1616" s="15"/>
      <c r="AT1616" s="15"/>
      <c r="AU1616" s="15"/>
    </row>
    <row r="1617" ht="24.0" customHeight="1">
      <c r="A1617" s="45">
        <v>3041.0</v>
      </c>
      <c r="B1617" s="57"/>
      <c r="C1617" s="57"/>
      <c r="D1617" s="88" t="str">
        <f t="array" ref="D1617">IFERROR(
  LOOKUP(2, 1/((TRIM(IMS!$E$8:$E$2574)=TRIM(IMS!$E1617))*(IMS!$C$8:$C$2574&lt;IMS!$C1617)),
         IMS!$C$8:$C$2574),
"")</f>
        <v/>
      </c>
      <c r="E1617" s="57"/>
      <c r="F1617" s="57"/>
      <c r="G1617" s="77" t="str">
        <f t="shared" si="901"/>
        <v/>
      </c>
      <c r="H1617" s="78" t="str">
        <f t="shared" si="902"/>
        <v/>
      </c>
      <c r="I1617" s="79"/>
      <c r="J1617" s="80" t="str">
        <f t="shared" si="903"/>
        <v>#NAME?</v>
      </c>
      <c r="K1617" s="58"/>
      <c r="L1617" s="58"/>
      <c r="M1617" s="57"/>
      <c r="N1617" s="57"/>
      <c r="O1617" s="58"/>
      <c r="P1617" s="82"/>
      <c r="Q1617" s="81"/>
      <c r="R1617" s="81"/>
      <c r="S1617" s="57"/>
      <c r="T1617" s="82"/>
      <c r="U1617" s="82"/>
      <c r="V1617" s="57"/>
      <c r="W1617" s="57"/>
      <c r="X1617" s="57" t="str">
        <f t="shared" si="917"/>
        <v/>
      </c>
      <c r="Y1617" s="58" t="str">
        <f t="shared" ref="Y1617:AC1617" si="1457">TRIM(SUBSTITUTE(SUBSTITUTE(OFFSET($Q1617,0,COLUMN()-COLUMN($AL$1)),CHAR(160)," "),_xludf.UNICHAR(8239)," "))</f>
        <v>#NAME?</v>
      </c>
      <c r="Z1617" s="58" t="str">
        <f t="shared" si="1457"/>
        <v>#NAME?</v>
      </c>
      <c r="AA1617" s="58" t="str">
        <f t="shared" si="1457"/>
        <v>#NAME?</v>
      </c>
      <c r="AB1617" s="58" t="str">
        <f t="shared" si="1457"/>
        <v>#NAME?</v>
      </c>
      <c r="AC1617" s="58" t="str">
        <f t="shared" si="1457"/>
        <v>#NAME?</v>
      </c>
      <c r="AD1617" s="57">
        <f t="shared" si="906"/>
        <v>0</v>
      </c>
      <c r="AE1617" s="57" t="str">
        <f t="shared" si="907"/>
        <v/>
      </c>
      <c r="AF1617" s="57">
        <f t="shared" si="908"/>
        <v>0</v>
      </c>
      <c r="AG1617" s="59">
        <f t="shared" si="909"/>
        <v>0</v>
      </c>
      <c r="AH1617" s="15"/>
      <c r="AI1617" s="15"/>
      <c r="AJ1617" s="15"/>
      <c r="AK1617" s="15"/>
      <c r="AL1617" s="15"/>
      <c r="AM1617" s="15"/>
      <c r="AN1617" s="15"/>
      <c r="AO1617" s="15"/>
      <c r="AP1617" s="15"/>
      <c r="AQ1617" s="15"/>
      <c r="AR1617" s="15"/>
      <c r="AS1617" s="15"/>
      <c r="AT1617" s="15"/>
      <c r="AU1617" s="15"/>
    </row>
    <row r="1618" ht="24.0" customHeight="1">
      <c r="A1618" s="45">
        <v>3042.0</v>
      </c>
      <c r="B1618" s="57"/>
      <c r="C1618" s="57"/>
      <c r="D1618" s="88" t="str">
        <f t="array" ref="D1618">IFERROR(
  LOOKUP(2, 1/((TRIM(IMS!$E$8:$E$2574)=TRIM(IMS!$E1618))*(IMS!$C$8:$C$2574&lt;IMS!$C1618)),
         IMS!$C$8:$C$2574),
"")</f>
        <v/>
      </c>
      <c r="E1618" s="57"/>
      <c r="F1618" s="57"/>
      <c r="G1618" s="77" t="str">
        <f t="shared" si="901"/>
        <v/>
      </c>
      <c r="H1618" s="78" t="str">
        <f t="shared" si="902"/>
        <v/>
      </c>
      <c r="I1618" s="79"/>
      <c r="J1618" s="80" t="str">
        <f t="shared" si="903"/>
        <v>#NAME?</v>
      </c>
      <c r="K1618" s="58"/>
      <c r="L1618" s="58"/>
      <c r="M1618" s="57"/>
      <c r="N1618" s="57"/>
      <c r="O1618" s="58"/>
      <c r="P1618" s="82"/>
      <c r="Q1618" s="81"/>
      <c r="R1618" s="81"/>
      <c r="S1618" s="57"/>
      <c r="T1618" s="82"/>
      <c r="U1618" s="82"/>
      <c r="V1618" s="57"/>
      <c r="W1618" s="57"/>
      <c r="X1618" s="57" t="str">
        <f t="shared" si="917"/>
        <v/>
      </c>
      <c r="Y1618" s="58" t="str">
        <f t="shared" ref="Y1618:AC1618" si="1458">TRIM(SUBSTITUTE(SUBSTITUTE(OFFSET($Q1618,0,COLUMN()-COLUMN($AL$1)),CHAR(160)," "),_xludf.UNICHAR(8239)," "))</f>
        <v>#NAME?</v>
      </c>
      <c r="Z1618" s="58" t="str">
        <f t="shared" si="1458"/>
        <v>#NAME?</v>
      </c>
      <c r="AA1618" s="58" t="str">
        <f t="shared" si="1458"/>
        <v>#NAME?</v>
      </c>
      <c r="AB1618" s="58" t="str">
        <f t="shared" si="1458"/>
        <v>#NAME?</v>
      </c>
      <c r="AC1618" s="58" t="str">
        <f t="shared" si="1458"/>
        <v>#NAME?</v>
      </c>
      <c r="AD1618" s="57">
        <f t="shared" si="906"/>
        <v>0</v>
      </c>
      <c r="AE1618" s="57" t="str">
        <f t="shared" si="907"/>
        <v/>
      </c>
      <c r="AF1618" s="57">
        <f t="shared" si="908"/>
        <v>0</v>
      </c>
      <c r="AG1618" s="59">
        <f t="shared" si="909"/>
        <v>0</v>
      </c>
      <c r="AH1618" s="15"/>
      <c r="AI1618" s="15"/>
      <c r="AJ1618" s="15"/>
      <c r="AK1618" s="15"/>
      <c r="AL1618" s="15"/>
      <c r="AM1618" s="15"/>
      <c r="AN1618" s="15"/>
      <c r="AO1618" s="15"/>
      <c r="AP1618" s="15"/>
      <c r="AQ1618" s="15"/>
      <c r="AR1618" s="15"/>
      <c r="AS1618" s="15"/>
      <c r="AT1618" s="15"/>
      <c r="AU1618" s="15"/>
    </row>
    <row r="1619" ht="24.0" customHeight="1">
      <c r="A1619" s="45">
        <v>3043.0</v>
      </c>
      <c r="B1619" s="57"/>
      <c r="C1619" s="57"/>
      <c r="D1619" s="88" t="str">
        <f t="array" ref="D1619">IFERROR(
  LOOKUP(2, 1/((TRIM(IMS!$E$8:$E$2574)=TRIM(IMS!$E1619))*(IMS!$C$8:$C$2574&lt;IMS!$C1619)),
         IMS!$C$8:$C$2574),
"")</f>
        <v/>
      </c>
      <c r="E1619" s="57"/>
      <c r="F1619" s="57"/>
      <c r="G1619" s="77" t="str">
        <f t="shared" si="901"/>
        <v/>
      </c>
      <c r="H1619" s="78" t="str">
        <f t="shared" si="902"/>
        <v/>
      </c>
      <c r="I1619" s="79"/>
      <c r="J1619" s="80" t="str">
        <f t="shared" si="903"/>
        <v>#NAME?</v>
      </c>
      <c r="K1619" s="58"/>
      <c r="L1619" s="58"/>
      <c r="M1619" s="57"/>
      <c r="N1619" s="57"/>
      <c r="O1619" s="58"/>
      <c r="P1619" s="82"/>
      <c r="Q1619" s="81"/>
      <c r="R1619" s="81"/>
      <c r="S1619" s="57"/>
      <c r="T1619" s="82"/>
      <c r="U1619" s="82"/>
      <c r="V1619" s="57"/>
      <c r="W1619" s="57"/>
      <c r="X1619" s="57" t="str">
        <f t="shared" si="917"/>
        <v/>
      </c>
      <c r="Y1619" s="58" t="str">
        <f t="shared" ref="Y1619:AC1619" si="1459">TRIM(SUBSTITUTE(SUBSTITUTE(OFFSET($Q1619,0,COLUMN()-COLUMN($AL$1)),CHAR(160)," "),_xludf.UNICHAR(8239)," "))</f>
        <v>#NAME?</v>
      </c>
      <c r="Z1619" s="58" t="str">
        <f t="shared" si="1459"/>
        <v>#NAME?</v>
      </c>
      <c r="AA1619" s="58" t="str">
        <f t="shared" si="1459"/>
        <v>#NAME?</v>
      </c>
      <c r="AB1619" s="58" t="str">
        <f t="shared" si="1459"/>
        <v>#NAME?</v>
      </c>
      <c r="AC1619" s="58" t="str">
        <f t="shared" si="1459"/>
        <v>#NAME?</v>
      </c>
      <c r="AD1619" s="57">
        <f t="shared" si="906"/>
        <v>0</v>
      </c>
      <c r="AE1619" s="57" t="str">
        <f t="shared" si="907"/>
        <v/>
      </c>
      <c r="AF1619" s="57">
        <f t="shared" si="908"/>
        <v>0</v>
      </c>
      <c r="AG1619" s="59">
        <f t="shared" si="909"/>
        <v>0</v>
      </c>
      <c r="AH1619" s="15"/>
      <c r="AI1619" s="15"/>
      <c r="AJ1619" s="15"/>
      <c r="AK1619" s="15"/>
      <c r="AL1619" s="15"/>
      <c r="AM1619" s="15"/>
      <c r="AN1619" s="15"/>
      <c r="AO1619" s="15"/>
      <c r="AP1619" s="15"/>
      <c r="AQ1619" s="15"/>
      <c r="AR1619" s="15"/>
      <c r="AS1619" s="15"/>
      <c r="AT1619" s="15"/>
      <c r="AU1619" s="15"/>
    </row>
    <row r="1620" ht="24.0" customHeight="1">
      <c r="A1620" s="45">
        <v>3044.0</v>
      </c>
      <c r="B1620" s="57"/>
      <c r="C1620" s="57"/>
      <c r="D1620" s="88" t="str">
        <f t="array" ref="D1620">IFERROR(
  LOOKUP(2, 1/((TRIM(IMS!$E$8:$E$2574)=TRIM(IMS!$E1620))*(IMS!$C$8:$C$2574&lt;IMS!$C1620)),
         IMS!$C$8:$C$2574),
"")</f>
        <v/>
      </c>
      <c r="E1620" s="57"/>
      <c r="F1620" s="57"/>
      <c r="G1620" s="77" t="str">
        <f t="shared" si="901"/>
        <v/>
      </c>
      <c r="H1620" s="78" t="str">
        <f t="shared" si="902"/>
        <v/>
      </c>
      <c r="I1620" s="79"/>
      <c r="J1620" s="80" t="str">
        <f t="shared" si="903"/>
        <v>#NAME?</v>
      </c>
      <c r="K1620" s="58"/>
      <c r="L1620" s="58"/>
      <c r="M1620" s="57"/>
      <c r="N1620" s="57"/>
      <c r="O1620" s="58"/>
      <c r="P1620" s="82"/>
      <c r="Q1620" s="81"/>
      <c r="R1620" s="81"/>
      <c r="S1620" s="57"/>
      <c r="T1620" s="82"/>
      <c r="U1620" s="82"/>
      <c r="V1620" s="57"/>
      <c r="W1620" s="57"/>
      <c r="X1620" s="57" t="str">
        <f t="shared" si="917"/>
        <v/>
      </c>
      <c r="Y1620" s="58" t="str">
        <f t="shared" ref="Y1620:AC1620" si="1460">TRIM(SUBSTITUTE(SUBSTITUTE(OFFSET($Q1620,0,COLUMN()-COLUMN($AL$1)),CHAR(160)," "),_xludf.UNICHAR(8239)," "))</f>
        <v>#NAME?</v>
      </c>
      <c r="Z1620" s="58" t="str">
        <f t="shared" si="1460"/>
        <v>#NAME?</v>
      </c>
      <c r="AA1620" s="58" t="str">
        <f t="shared" si="1460"/>
        <v>#NAME?</v>
      </c>
      <c r="AB1620" s="58" t="str">
        <f t="shared" si="1460"/>
        <v>#NAME?</v>
      </c>
      <c r="AC1620" s="58" t="str">
        <f t="shared" si="1460"/>
        <v>#NAME?</v>
      </c>
      <c r="AD1620" s="57">
        <f t="shared" si="906"/>
        <v>0</v>
      </c>
      <c r="AE1620" s="57" t="str">
        <f t="shared" si="907"/>
        <v/>
      </c>
      <c r="AF1620" s="57">
        <f t="shared" si="908"/>
        <v>0</v>
      </c>
      <c r="AG1620" s="59">
        <f t="shared" si="909"/>
        <v>0</v>
      </c>
      <c r="AH1620" s="15"/>
      <c r="AI1620" s="15"/>
      <c r="AJ1620" s="15"/>
      <c r="AK1620" s="15"/>
      <c r="AL1620" s="15"/>
      <c r="AM1620" s="15"/>
      <c r="AN1620" s="15"/>
      <c r="AO1620" s="15"/>
      <c r="AP1620" s="15"/>
      <c r="AQ1620" s="15"/>
      <c r="AR1620" s="15"/>
      <c r="AS1620" s="15"/>
      <c r="AT1620" s="15"/>
      <c r="AU1620" s="15"/>
    </row>
    <row r="1621" ht="24.0" customHeight="1">
      <c r="A1621" s="45">
        <v>3045.0</v>
      </c>
      <c r="B1621" s="57"/>
      <c r="C1621" s="57"/>
      <c r="D1621" s="88" t="str">
        <f t="array" ref="D1621">IFERROR(
  LOOKUP(2, 1/((TRIM(IMS!$E$8:$E$2574)=TRIM(IMS!$E1621))*(IMS!$C$8:$C$2574&lt;IMS!$C1621)),
         IMS!$C$8:$C$2574),
"")</f>
        <v/>
      </c>
      <c r="E1621" s="57"/>
      <c r="F1621" s="57"/>
      <c r="G1621" s="77" t="str">
        <f t="shared" si="901"/>
        <v/>
      </c>
      <c r="H1621" s="78" t="str">
        <f t="shared" si="902"/>
        <v/>
      </c>
      <c r="I1621" s="79"/>
      <c r="J1621" s="80" t="str">
        <f t="shared" si="903"/>
        <v>#NAME?</v>
      </c>
      <c r="K1621" s="58"/>
      <c r="L1621" s="58"/>
      <c r="M1621" s="57"/>
      <c r="N1621" s="57"/>
      <c r="O1621" s="58"/>
      <c r="P1621" s="82"/>
      <c r="Q1621" s="81"/>
      <c r="R1621" s="81"/>
      <c r="S1621" s="57"/>
      <c r="T1621" s="82"/>
      <c r="U1621" s="82"/>
      <c r="V1621" s="57"/>
      <c r="W1621" s="57"/>
      <c r="X1621" s="57" t="str">
        <f t="shared" si="917"/>
        <v/>
      </c>
      <c r="Y1621" s="58" t="str">
        <f t="shared" ref="Y1621:AC1621" si="1461">TRIM(SUBSTITUTE(SUBSTITUTE(OFFSET($Q1621,0,COLUMN()-COLUMN($AL$1)),CHAR(160)," "),_xludf.UNICHAR(8239)," "))</f>
        <v>#NAME?</v>
      </c>
      <c r="Z1621" s="58" t="str">
        <f t="shared" si="1461"/>
        <v>#NAME?</v>
      </c>
      <c r="AA1621" s="58" t="str">
        <f t="shared" si="1461"/>
        <v>#NAME?</v>
      </c>
      <c r="AB1621" s="58" t="str">
        <f t="shared" si="1461"/>
        <v>#NAME?</v>
      </c>
      <c r="AC1621" s="58" t="str">
        <f t="shared" si="1461"/>
        <v>#NAME?</v>
      </c>
      <c r="AD1621" s="57">
        <f t="shared" si="906"/>
        <v>0</v>
      </c>
      <c r="AE1621" s="57" t="str">
        <f t="shared" si="907"/>
        <v/>
      </c>
      <c r="AF1621" s="57">
        <f t="shared" si="908"/>
        <v>0</v>
      </c>
      <c r="AG1621" s="59">
        <f t="shared" si="909"/>
        <v>0</v>
      </c>
      <c r="AH1621" s="15"/>
      <c r="AI1621" s="15"/>
      <c r="AJ1621" s="15"/>
      <c r="AK1621" s="15"/>
      <c r="AL1621" s="15"/>
      <c r="AM1621" s="15"/>
      <c r="AN1621" s="15"/>
      <c r="AO1621" s="15"/>
      <c r="AP1621" s="15"/>
      <c r="AQ1621" s="15"/>
      <c r="AR1621" s="15"/>
      <c r="AS1621" s="15"/>
      <c r="AT1621" s="15"/>
      <c r="AU1621" s="15"/>
    </row>
    <row r="1622" ht="24.0" customHeight="1">
      <c r="A1622" s="45">
        <v>3046.0</v>
      </c>
      <c r="B1622" s="57"/>
      <c r="C1622" s="57"/>
      <c r="D1622" s="88" t="str">
        <f t="array" ref="D1622">IFERROR(
  LOOKUP(2, 1/((TRIM(IMS!$E$8:$E$2574)=TRIM(IMS!$E1622))*(IMS!$C$8:$C$2574&lt;IMS!$C1622)),
         IMS!$C$8:$C$2574),
"")</f>
        <v/>
      </c>
      <c r="E1622" s="57"/>
      <c r="F1622" s="57"/>
      <c r="G1622" s="77" t="str">
        <f t="shared" si="901"/>
        <v/>
      </c>
      <c r="H1622" s="78" t="str">
        <f t="shared" si="902"/>
        <v/>
      </c>
      <c r="I1622" s="79"/>
      <c r="J1622" s="80" t="str">
        <f t="shared" si="903"/>
        <v>#NAME?</v>
      </c>
      <c r="K1622" s="58"/>
      <c r="L1622" s="58"/>
      <c r="M1622" s="57"/>
      <c r="N1622" s="57"/>
      <c r="O1622" s="58"/>
      <c r="P1622" s="82"/>
      <c r="Q1622" s="81"/>
      <c r="R1622" s="81"/>
      <c r="S1622" s="57"/>
      <c r="T1622" s="82"/>
      <c r="U1622" s="82"/>
      <c r="V1622" s="57"/>
      <c r="W1622" s="57"/>
      <c r="X1622" s="57" t="str">
        <f t="shared" si="917"/>
        <v/>
      </c>
      <c r="Y1622" s="58" t="str">
        <f t="shared" ref="Y1622:AC1622" si="1462">TRIM(SUBSTITUTE(SUBSTITUTE(OFFSET($Q1622,0,COLUMN()-COLUMN($AL$1)),CHAR(160)," "),_xludf.UNICHAR(8239)," "))</f>
        <v>#NAME?</v>
      </c>
      <c r="Z1622" s="58" t="str">
        <f t="shared" si="1462"/>
        <v>#NAME?</v>
      </c>
      <c r="AA1622" s="58" t="str">
        <f t="shared" si="1462"/>
        <v>#NAME?</v>
      </c>
      <c r="AB1622" s="58" t="str">
        <f t="shared" si="1462"/>
        <v>#NAME?</v>
      </c>
      <c r="AC1622" s="58" t="str">
        <f t="shared" si="1462"/>
        <v>#NAME?</v>
      </c>
      <c r="AD1622" s="57">
        <f t="shared" si="906"/>
        <v>0</v>
      </c>
      <c r="AE1622" s="57" t="str">
        <f t="shared" si="907"/>
        <v/>
      </c>
      <c r="AF1622" s="57">
        <f t="shared" si="908"/>
        <v>0</v>
      </c>
      <c r="AG1622" s="59">
        <f t="shared" si="909"/>
        <v>0</v>
      </c>
      <c r="AH1622" s="15"/>
      <c r="AI1622" s="15"/>
      <c r="AJ1622" s="15"/>
      <c r="AK1622" s="15"/>
      <c r="AL1622" s="15"/>
      <c r="AM1622" s="15"/>
      <c r="AN1622" s="15"/>
      <c r="AO1622" s="15"/>
      <c r="AP1622" s="15"/>
      <c r="AQ1622" s="15"/>
      <c r="AR1622" s="15"/>
      <c r="AS1622" s="15"/>
      <c r="AT1622" s="15"/>
      <c r="AU1622" s="15"/>
    </row>
    <row r="1623" ht="24.0" customHeight="1">
      <c r="A1623" s="45">
        <v>3047.0</v>
      </c>
      <c r="B1623" s="57"/>
      <c r="C1623" s="57"/>
      <c r="D1623" s="88" t="str">
        <f t="array" ref="D1623">IFERROR(
  LOOKUP(2, 1/((TRIM(IMS!$E$8:$E$2574)=TRIM(IMS!$E1623))*(IMS!$C$8:$C$2574&lt;IMS!$C1623)),
         IMS!$C$8:$C$2574),
"")</f>
        <v/>
      </c>
      <c r="E1623" s="57"/>
      <c r="F1623" s="57"/>
      <c r="G1623" s="77" t="str">
        <f t="shared" si="901"/>
        <v/>
      </c>
      <c r="H1623" s="78" t="str">
        <f t="shared" si="902"/>
        <v/>
      </c>
      <c r="I1623" s="79"/>
      <c r="J1623" s="80" t="str">
        <f t="shared" si="903"/>
        <v>#NAME?</v>
      </c>
      <c r="K1623" s="58"/>
      <c r="L1623" s="58"/>
      <c r="M1623" s="57"/>
      <c r="N1623" s="57"/>
      <c r="O1623" s="58"/>
      <c r="P1623" s="82"/>
      <c r="Q1623" s="81"/>
      <c r="R1623" s="81"/>
      <c r="S1623" s="57"/>
      <c r="T1623" s="82"/>
      <c r="U1623" s="82"/>
      <c r="V1623" s="57"/>
      <c r="W1623" s="57"/>
      <c r="X1623" s="57" t="str">
        <f t="shared" si="917"/>
        <v/>
      </c>
      <c r="Y1623" s="58" t="str">
        <f t="shared" ref="Y1623:AC1623" si="1463">TRIM(SUBSTITUTE(SUBSTITUTE(OFFSET($Q1623,0,COLUMN()-COLUMN($AL$1)),CHAR(160)," "),_xludf.UNICHAR(8239)," "))</f>
        <v>#NAME?</v>
      </c>
      <c r="Z1623" s="58" t="str">
        <f t="shared" si="1463"/>
        <v>#NAME?</v>
      </c>
      <c r="AA1623" s="58" t="str">
        <f t="shared" si="1463"/>
        <v>#NAME?</v>
      </c>
      <c r="AB1623" s="58" t="str">
        <f t="shared" si="1463"/>
        <v>#NAME?</v>
      </c>
      <c r="AC1623" s="58" t="str">
        <f t="shared" si="1463"/>
        <v>#NAME?</v>
      </c>
      <c r="AD1623" s="57">
        <f t="shared" si="906"/>
        <v>0</v>
      </c>
      <c r="AE1623" s="57" t="str">
        <f t="shared" si="907"/>
        <v/>
      </c>
      <c r="AF1623" s="57">
        <f t="shared" si="908"/>
        <v>0</v>
      </c>
      <c r="AG1623" s="59">
        <f t="shared" si="909"/>
        <v>0</v>
      </c>
      <c r="AH1623" s="15"/>
      <c r="AI1623" s="15"/>
      <c r="AJ1623" s="15"/>
      <c r="AK1623" s="15"/>
      <c r="AL1623" s="15"/>
      <c r="AM1623" s="15"/>
      <c r="AN1623" s="15"/>
      <c r="AO1623" s="15"/>
      <c r="AP1623" s="15"/>
      <c r="AQ1623" s="15"/>
      <c r="AR1623" s="15"/>
      <c r="AS1623" s="15"/>
      <c r="AT1623" s="15"/>
      <c r="AU1623" s="15"/>
    </row>
    <row r="1624" ht="24.0" customHeight="1">
      <c r="A1624" s="45">
        <v>3048.0</v>
      </c>
      <c r="B1624" s="57"/>
      <c r="C1624" s="57"/>
      <c r="D1624" s="88" t="str">
        <f t="array" ref="D1624">IFERROR(
  LOOKUP(2, 1/((TRIM(IMS!$E$8:$E$2574)=TRIM(IMS!$E1624))*(IMS!$C$8:$C$2574&lt;IMS!$C1624)),
         IMS!$C$8:$C$2574),
"")</f>
        <v/>
      </c>
      <c r="E1624" s="57"/>
      <c r="F1624" s="57"/>
      <c r="G1624" s="77" t="str">
        <f t="shared" si="901"/>
        <v/>
      </c>
      <c r="H1624" s="78" t="str">
        <f t="shared" si="902"/>
        <v/>
      </c>
      <c r="I1624" s="79"/>
      <c r="J1624" s="80" t="str">
        <f t="shared" si="903"/>
        <v>#NAME?</v>
      </c>
      <c r="K1624" s="58"/>
      <c r="L1624" s="58"/>
      <c r="M1624" s="57"/>
      <c r="N1624" s="57"/>
      <c r="O1624" s="58"/>
      <c r="P1624" s="82"/>
      <c r="Q1624" s="81"/>
      <c r="R1624" s="81"/>
      <c r="S1624" s="57"/>
      <c r="T1624" s="82"/>
      <c r="U1624" s="82"/>
      <c r="V1624" s="57"/>
      <c r="W1624" s="57"/>
      <c r="X1624" s="57" t="str">
        <f t="shared" si="917"/>
        <v/>
      </c>
      <c r="Y1624" s="58" t="str">
        <f t="shared" ref="Y1624:AC1624" si="1464">TRIM(SUBSTITUTE(SUBSTITUTE(OFFSET($Q1624,0,COLUMN()-COLUMN($AL$1)),CHAR(160)," "),_xludf.UNICHAR(8239)," "))</f>
        <v>#NAME?</v>
      </c>
      <c r="Z1624" s="58" t="str">
        <f t="shared" si="1464"/>
        <v>#NAME?</v>
      </c>
      <c r="AA1624" s="58" t="str">
        <f t="shared" si="1464"/>
        <v>#NAME?</v>
      </c>
      <c r="AB1624" s="58" t="str">
        <f t="shared" si="1464"/>
        <v>#NAME?</v>
      </c>
      <c r="AC1624" s="58" t="str">
        <f t="shared" si="1464"/>
        <v>#NAME?</v>
      </c>
      <c r="AD1624" s="57">
        <f t="shared" si="906"/>
        <v>0</v>
      </c>
      <c r="AE1624" s="57" t="str">
        <f t="shared" si="907"/>
        <v/>
      </c>
      <c r="AF1624" s="57">
        <f t="shared" si="908"/>
        <v>0</v>
      </c>
      <c r="AG1624" s="59">
        <f t="shared" si="909"/>
        <v>0</v>
      </c>
      <c r="AH1624" s="15"/>
      <c r="AI1624" s="15"/>
      <c r="AJ1624" s="15"/>
      <c r="AK1624" s="15"/>
      <c r="AL1624" s="15"/>
      <c r="AM1624" s="15"/>
      <c r="AN1624" s="15"/>
      <c r="AO1624" s="15"/>
      <c r="AP1624" s="15"/>
      <c r="AQ1624" s="15"/>
      <c r="AR1624" s="15"/>
      <c r="AS1624" s="15"/>
      <c r="AT1624" s="15"/>
      <c r="AU1624" s="15"/>
    </row>
    <row r="1625" ht="24.0" customHeight="1">
      <c r="A1625" s="45">
        <v>3049.0</v>
      </c>
      <c r="B1625" s="57"/>
      <c r="C1625" s="57"/>
      <c r="D1625" s="88" t="str">
        <f t="array" ref="D1625">IFERROR(
  LOOKUP(2, 1/((TRIM(IMS!$E$8:$E$2574)=TRIM(IMS!$E1625))*(IMS!$C$8:$C$2574&lt;IMS!$C1625)),
         IMS!$C$8:$C$2574),
"")</f>
        <v/>
      </c>
      <c r="E1625" s="57"/>
      <c r="F1625" s="57"/>
      <c r="G1625" s="77" t="str">
        <f t="shared" si="901"/>
        <v/>
      </c>
      <c r="H1625" s="78" t="str">
        <f t="shared" si="902"/>
        <v/>
      </c>
      <c r="I1625" s="79"/>
      <c r="J1625" s="80" t="str">
        <f t="shared" si="903"/>
        <v>#NAME?</v>
      </c>
      <c r="K1625" s="58"/>
      <c r="L1625" s="58"/>
      <c r="M1625" s="57"/>
      <c r="N1625" s="57"/>
      <c r="O1625" s="58"/>
      <c r="P1625" s="82"/>
      <c r="Q1625" s="81"/>
      <c r="R1625" s="81"/>
      <c r="S1625" s="57"/>
      <c r="T1625" s="82"/>
      <c r="U1625" s="82"/>
      <c r="V1625" s="57"/>
      <c r="W1625" s="57"/>
      <c r="X1625" s="57" t="str">
        <f t="shared" si="917"/>
        <v/>
      </c>
      <c r="Y1625" s="58" t="str">
        <f t="shared" ref="Y1625:AC1625" si="1465">TRIM(SUBSTITUTE(SUBSTITUTE(OFFSET($Q1625,0,COLUMN()-COLUMN($AL$1)),CHAR(160)," "),_xludf.UNICHAR(8239)," "))</f>
        <v>#NAME?</v>
      </c>
      <c r="Z1625" s="58" t="str">
        <f t="shared" si="1465"/>
        <v>#NAME?</v>
      </c>
      <c r="AA1625" s="58" t="str">
        <f t="shared" si="1465"/>
        <v>#NAME?</v>
      </c>
      <c r="AB1625" s="58" t="str">
        <f t="shared" si="1465"/>
        <v>#NAME?</v>
      </c>
      <c r="AC1625" s="58" t="str">
        <f t="shared" si="1465"/>
        <v>#NAME?</v>
      </c>
      <c r="AD1625" s="57">
        <f t="shared" si="906"/>
        <v>0</v>
      </c>
      <c r="AE1625" s="57" t="str">
        <f t="shared" si="907"/>
        <v/>
      </c>
      <c r="AF1625" s="57">
        <f t="shared" si="908"/>
        <v>0</v>
      </c>
      <c r="AG1625" s="59">
        <f t="shared" si="909"/>
        <v>0</v>
      </c>
      <c r="AH1625" s="15"/>
      <c r="AI1625" s="15"/>
      <c r="AJ1625" s="15"/>
      <c r="AK1625" s="15"/>
      <c r="AL1625" s="15"/>
      <c r="AM1625" s="15"/>
      <c r="AN1625" s="15"/>
      <c r="AO1625" s="15"/>
      <c r="AP1625" s="15"/>
      <c r="AQ1625" s="15"/>
      <c r="AR1625" s="15"/>
      <c r="AS1625" s="15"/>
      <c r="AT1625" s="15"/>
      <c r="AU1625" s="15"/>
    </row>
    <row r="1626" ht="24.0" customHeight="1">
      <c r="A1626" s="45">
        <v>3050.0</v>
      </c>
      <c r="B1626" s="57"/>
      <c r="C1626" s="57"/>
      <c r="D1626" s="88" t="str">
        <f t="array" ref="D1626">IFERROR(
  LOOKUP(2, 1/((TRIM(IMS!$E$8:$E$2574)=TRIM(IMS!$E1626))*(IMS!$C$8:$C$2574&lt;IMS!$C1626)),
         IMS!$C$8:$C$2574),
"")</f>
        <v/>
      </c>
      <c r="E1626" s="57"/>
      <c r="F1626" s="57"/>
      <c r="G1626" s="77" t="str">
        <f t="shared" si="901"/>
        <v/>
      </c>
      <c r="H1626" s="78" t="str">
        <f t="shared" si="902"/>
        <v/>
      </c>
      <c r="I1626" s="79"/>
      <c r="J1626" s="80" t="str">
        <f t="shared" si="903"/>
        <v>#NAME?</v>
      </c>
      <c r="K1626" s="58"/>
      <c r="L1626" s="58"/>
      <c r="M1626" s="57"/>
      <c r="N1626" s="57"/>
      <c r="O1626" s="58"/>
      <c r="P1626" s="82"/>
      <c r="Q1626" s="81"/>
      <c r="R1626" s="81"/>
      <c r="S1626" s="57"/>
      <c r="T1626" s="82"/>
      <c r="U1626" s="82"/>
      <c r="V1626" s="57"/>
      <c r="W1626" s="57"/>
      <c r="X1626" s="57" t="str">
        <f t="shared" si="917"/>
        <v/>
      </c>
      <c r="Y1626" s="58" t="str">
        <f t="shared" ref="Y1626:AC1626" si="1466">TRIM(SUBSTITUTE(SUBSTITUTE(OFFSET($Q1626,0,COLUMN()-COLUMN($AL$1)),CHAR(160)," "),_xludf.UNICHAR(8239)," "))</f>
        <v>#NAME?</v>
      </c>
      <c r="Z1626" s="58" t="str">
        <f t="shared" si="1466"/>
        <v>#NAME?</v>
      </c>
      <c r="AA1626" s="58" t="str">
        <f t="shared" si="1466"/>
        <v>#NAME?</v>
      </c>
      <c r="AB1626" s="58" t="str">
        <f t="shared" si="1466"/>
        <v>#NAME?</v>
      </c>
      <c r="AC1626" s="58" t="str">
        <f t="shared" si="1466"/>
        <v>#NAME?</v>
      </c>
      <c r="AD1626" s="57">
        <f t="shared" si="906"/>
        <v>0</v>
      </c>
      <c r="AE1626" s="57" t="str">
        <f t="shared" si="907"/>
        <v/>
      </c>
      <c r="AF1626" s="57">
        <f t="shared" si="908"/>
        <v>0</v>
      </c>
      <c r="AG1626" s="59">
        <f t="shared" si="909"/>
        <v>0</v>
      </c>
      <c r="AH1626" s="15"/>
      <c r="AI1626" s="15"/>
      <c r="AJ1626" s="15"/>
      <c r="AK1626" s="15"/>
      <c r="AL1626" s="15"/>
      <c r="AM1626" s="15"/>
      <c r="AN1626" s="15"/>
      <c r="AO1626" s="15"/>
      <c r="AP1626" s="15"/>
      <c r="AQ1626" s="15"/>
      <c r="AR1626" s="15"/>
      <c r="AS1626" s="15"/>
      <c r="AT1626" s="15"/>
      <c r="AU1626" s="15"/>
    </row>
    <row r="1627" ht="24.0" customHeight="1">
      <c r="A1627" s="45">
        <v>3051.0</v>
      </c>
      <c r="B1627" s="57"/>
      <c r="C1627" s="57"/>
      <c r="D1627" s="88" t="str">
        <f t="array" ref="D1627">IFERROR(
  LOOKUP(2, 1/((TRIM(IMS!$E$8:$E$2574)=TRIM(IMS!$E1627))*(IMS!$C$8:$C$2574&lt;IMS!$C1627)),
         IMS!$C$8:$C$2574),
"")</f>
        <v/>
      </c>
      <c r="E1627" s="57"/>
      <c r="F1627" s="57"/>
      <c r="G1627" s="77" t="str">
        <f t="shared" si="901"/>
        <v/>
      </c>
      <c r="H1627" s="78" t="str">
        <f t="shared" si="902"/>
        <v/>
      </c>
      <c r="I1627" s="79"/>
      <c r="J1627" s="80" t="str">
        <f t="shared" si="903"/>
        <v>#NAME?</v>
      </c>
      <c r="K1627" s="58"/>
      <c r="L1627" s="58"/>
      <c r="M1627" s="57"/>
      <c r="N1627" s="57"/>
      <c r="O1627" s="58"/>
      <c r="P1627" s="82"/>
      <c r="Q1627" s="81"/>
      <c r="R1627" s="81"/>
      <c r="S1627" s="57"/>
      <c r="T1627" s="82"/>
      <c r="U1627" s="82"/>
      <c r="V1627" s="57"/>
      <c r="W1627" s="57"/>
      <c r="X1627" s="57" t="str">
        <f t="shared" si="917"/>
        <v/>
      </c>
      <c r="Y1627" s="58" t="str">
        <f t="shared" ref="Y1627:AC1627" si="1467">TRIM(SUBSTITUTE(SUBSTITUTE(OFFSET($Q1627,0,COLUMN()-COLUMN($AL$1)),CHAR(160)," "),_xludf.UNICHAR(8239)," "))</f>
        <v>#NAME?</v>
      </c>
      <c r="Z1627" s="58" t="str">
        <f t="shared" si="1467"/>
        <v>#NAME?</v>
      </c>
      <c r="AA1627" s="58" t="str">
        <f t="shared" si="1467"/>
        <v>#NAME?</v>
      </c>
      <c r="AB1627" s="58" t="str">
        <f t="shared" si="1467"/>
        <v>#NAME?</v>
      </c>
      <c r="AC1627" s="58" t="str">
        <f t="shared" si="1467"/>
        <v>#NAME?</v>
      </c>
      <c r="AD1627" s="57">
        <f t="shared" si="906"/>
        <v>0</v>
      </c>
      <c r="AE1627" s="57" t="str">
        <f t="shared" si="907"/>
        <v/>
      </c>
      <c r="AF1627" s="57">
        <f t="shared" si="908"/>
        <v>0</v>
      </c>
      <c r="AG1627" s="59">
        <f t="shared" si="909"/>
        <v>0</v>
      </c>
      <c r="AH1627" s="15"/>
      <c r="AI1627" s="15"/>
      <c r="AJ1627" s="15"/>
      <c r="AK1627" s="15"/>
      <c r="AL1627" s="15"/>
      <c r="AM1627" s="15"/>
      <c r="AN1627" s="15"/>
      <c r="AO1627" s="15"/>
      <c r="AP1627" s="15"/>
      <c r="AQ1627" s="15"/>
      <c r="AR1627" s="15"/>
      <c r="AS1627" s="15"/>
      <c r="AT1627" s="15"/>
      <c r="AU1627" s="15"/>
    </row>
    <row r="1628" ht="24.0" customHeight="1">
      <c r="A1628" s="45">
        <v>3052.0</v>
      </c>
      <c r="B1628" s="57"/>
      <c r="C1628" s="57"/>
      <c r="D1628" s="88" t="str">
        <f t="array" ref="D1628">IFERROR(
  LOOKUP(2, 1/((TRIM(IMS!$E$8:$E$2574)=TRIM(IMS!$E1628))*(IMS!$C$8:$C$2574&lt;IMS!$C1628)),
         IMS!$C$8:$C$2574),
"")</f>
        <v/>
      </c>
      <c r="E1628" s="57"/>
      <c r="F1628" s="57"/>
      <c r="G1628" s="77" t="str">
        <f t="shared" si="901"/>
        <v/>
      </c>
      <c r="H1628" s="78" t="str">
        <f t="shared" si="902"/>
        <v/>
      </c>
      <c r="I1628" s="79"/>
      <c r="J1628" s="80" t="str">
        <f t="shared" si="903"/>
        <v>#NAME?</v>
      </c>
      <c r="K1628" s="58"/>
      <c r="L1628" s="58"/>
      <c r="M1628" s="57"/>
      <c r="N1628" s="57"/>
      <c r="O1628" s="58"/>
      <c r="P1628" s="82"/>
      <c r="Q1628" s="81"/>
      <c r="R1628" s="81"/>
      <c r="S1628" s="57"/>
      <c r="T1628" s="82"/>
      <c r="U1628" s="82"/>
      <c r="V1628" s="57"/>
      <c r="W1628" s="57"/>
      <c r="X1628" s="57" t="str">
        <f t="shared" si="917"/>
        <v/>
      </c>
      <c r="Y1628" s="58" t="str">
        <f t="shared" ref="Y1628:AC1628" si="1468">TRIM(SUBSTITUTE(SUBSTITUTE(OFFSET($Q1628,0,COLUMN()-COLUMN($AL$1)),CHAR(160)," "),_xludf.UNICHAR(8239)," "))</f>
        <v>#NAME?</v>
      </c>
      <c r="Z1628" s="58" t="str">
        <f t="shared" si="1468"/>
        <v>#NAME?</v>
      </c>
      <c r="AA1628" s="58" t="str">
        <f t="shared" si="1468"/>
        <v>#NAME?</v>
      </c>
      <c r="AB1628" s="58" t="str">
        <f t="shared" si="1468"/>
        <v>#NAME?</v>
      </c>
      <c r="AC1628" s="58" t="str">
        <f t="shared" si="1468"/>
        <v>#NAME?</v>
      </c>
      <c r="AD1628" s="57">
        <f t="shared" si="906"/>
        <v>0</v>
      </c>
      <c r="AE1628" s="57" t="str">
        <f t="shared" si="907"/>
        <v/>
      </c>
      <c r="AF1628" s="57">
        <f t="shared" si="908"/>
        <v>0</v>
      </c>
      <c r="AG1628" s="59">
        <f t="shared" si="909"/>
        <v>0</v>
      </c>
      <c r="AH1628" s="15"/>
      <c r="AI1628" s="15"/>
      <c r="AJ1628" s="15"/>
      <c r="AK1628" s="15"/>
      <c r="AL1628" s="15"/>
      <c r="AM1628" s="15"/>
      <c r="AN1628" s="15"/>
      <c r="AO1628" s="15"/>
      <c r="AP1628" s="15"/>
      <c r="AQ1628" s="15"/>
      <c r="AR1628" s="15"/>
      <c r="AS1628" s="15"/>
      <c r="AT1628" s="15"/>
      <c r="AU1628" s="15"/>
    </row>
    <row r="1629" ht="24.0" customHeight="1">
      <c r="A1629" s="45">
        <v>3053.0</v>
      </c>
      <c r="B1629" s="57"/>
      <c r="C1629" s="57"/>
      <c r="D1629" s="88" t="str">
        <f t="array" ref="D1629">IFERROR(
  LOOKUP(2, 1/((TRIM(IMS!$E$8:$E$2574)=TRIM(IMS!$E1629))*(IMS!$C$8:$C$2574&lt;IMS!$C1629)),
         IMS!$C$8:$C$2574),
"")</f>
        <v/>
      </c>
      <c r="E1629" s="57"/>
      <c r="F1629" s="57"/>
      <c r="G1629" s="77" t="str">
        <f t="shared" si="901"/>
        <v/>
      </c>
      <c r="H1629" s="78" t="str">
        <f t="shared" si="902"/>
        <v/>
      </c>
      <c r="I1629" s="79"/>
      <c r="J1629" s="80" t="str">
        <f t="shared" si="903"/>
        <v>#NAME?</v>
      </c>
      <c r="K1629" s="58"/>
      <c r="L1629" s="58"/>
      <c r="M1629" s="57"/>
      <c r="N1629" s="57"/>
      <c r="O1629" s="58"/>
      <c r="P1629" s="82"/>
      <c r="Q1629" s="81"/>
      <c r="R1629" s="81"/>
      <c r="S1629" s="57"/>
      <c r="T1629" s="82"/>
      <c r="U1629" s="82"/>
      <c r="V1629" s="57"/>
      <c r="W1629" s="57"/>
      <c r="X1629" s="57" t="str">
        <f t="shared" si="917"/>
        <v/>
      </c>
      <c r="Y1629" s="58" t="str">
        <f t="shared" ref="Y1629:AC1629" si="1469">TRIM(SUBSTITUTE(SUBSTITUTE(OFFSET($Q1629,0,COLUMN()-COLUMN($AL$1)),CHAR(160)," "),_xludf.UNICHAR(8239)," "))</f>
        <v>#NAME?</v>
      </c>
      <c r="Z1629" s="58" t="str">
        <f t="shared" si="1469"/>
        <v>#NAME?</v>
      </c>
      <c r="AA1629" s="58" t="str">
        <f t="shared" si="1469"/>
        <v>#NAME?</v>
      </c>
      <c r="AB1629" s="58" t="str">
        <f t="shared" si="1469"/>
        <v>#NAME?</v>
      </c>
      <c r="AC1629" s="58" t="str">
        <f t="shared" si="1469"/>
        <v>#NAME?</v>
      </c>
      <c r="AD1629" s="57">
        <f t="shared" si="906"/>
        <v>0</v>
      </c>
      <c r="AE1629" s="57" t="str">
        <f t="shared" si="907"/>
        <v/>
      </c>
      <c r="AF1629" s="57">
        <f t="shared" si="908"/>
        <v>0</v>
      </c>
      <c r="AG1629" s="59">
        <f t="shared" si="909"/>
        <v>0</v>
      </c>
      <c r="AH1629" s="15"/>
      <c r="AI1629" s="15"/>
      <c r="AJ1629" s="15"/>
      <c r="AK1629" s="15"/>
      <c r="AL1629" s="15"/>
      <c r="AM1629" s="15"/>
      <c r="AN1629" s="15"/>
      <c r="AO1629" s="15"/>
      <c r="AP1629" s="15"/>
      <c r="AQ1629" s="15"/>
      <c r="AR1629" s="15"/>
      <c r="AS1629" s="15"/>
      <c r="AT1629" s="15"/>
      <c r="AU1629" s="15"/>
    </row>
    <row r="1630" ht="24.0" customHeight="1">
      <c r="A1630" s="45">
        <v>3054.0</v>
      </c>
      <c r="B1630" s="57"/>
      <c r="C1630" s="57"/>
      <c r="D1630" s="88" t="str">
        <f t="array" ref="D1630">IFERROR(
  LOOKUP(2, 1/((TRIM(IMS!$E$8:$E$2574)=TRIM(IMS!$E1630))*(IMS!$C$8:$C$2574&lt;IMS!$C1630)),
         IMS!$C$8:$C$2574),
"")</f>
        <v/>
      </c>
      <c r="E1630" s="57"/>
      <c r="F1630" s="57"/>
      <c r="G1630" s="77" t="str">
        <f t="shared" si="901"/>
        <v/>
      </c>
      <c r="H1630" s="78" t="str">
        <f t="shared" si="902"/>
        <v/>
      </c>
      <c r="I1630" s="79"/>
      <c r="J1630" s="80" t="str">
        <f t="shared" si="903"/>
        <v>#NAME?</v>
      </c>
      <c r="K1630" s="58"/>
      <c r="L1630" s="58"/>
      <c r="M1630" s="57"/>
      <c r="N1630" s="57"/>
      <c r="O1630" s="58"/>
      <c r="P1630" s="82"/>
      <c r="Q1630" s="81"/>
      <c r="R1630" s="81"/>
      <c r="S1630" s="57"/>
      <c r="T1630" s="82"/>
      <c r="U1630" s="82"/>
      <c r="V1630" s="57"/>
      <c r="W1630" s="57"/>
      <c r="X1630" s="57" t="str">
        <f t="shared" si="917"/>
        <v/>
      </c>
      <c r="Y1630" s="58" t="str">
        <f t="shared" ref="Y1630:AC1630" si="1470">TRIM(SUBSTITUTE(SUBSTITUTE(OFFSET($Q1630,0,COLUMN()-COLUMN($AL$1)),CHAR(160)," "),_xludf.UNICHAR(8239)," "))</f>
        <v>#NAME?</v>
      </c>
      <c r="Z1630" s="58" t="str">
        <f t="shared" si="1470"/>
        <v>#NAME?</v>
      </c>
      <c r="AA1630" s="58" t="str">
        <f t="shared" si="1470"/>
        <v>#NAME?</v>
      </c>
      <c r="AB1630" s="58" t="str">
        <f t="shared" si="1470"/>
        <v>#NAME?</v>
      </c>
      <c r="AC1630" s="58" t="str">
        <f t="shared" si="1470"/>
        <v>#NAME?</v>
      </c>
      <c r="AD1630" s="57">
        <f t="shared" si="906"/>
        <v>0</v>
      </c>
      <c r="AE1630" s="57" t="str">
        <f t="shared" si="907"/>
        <v/>
      </c>
      <c r="AF1630" s="57">
        <f t="shared" si="908"/>
        <v>0</v>
      </c>
      <c r="AG1630" s="59">
        <f t="shared" si="909"/>
        <v>0</v>
      </c>
      <c r="AH1630" s="15"/>
      <c r="AI1630" s="15"/>
      <c r="AJ1630" s="15"/>
      <c r="AK1630" s="15"/>
      <c r="AL1630" s="15"/>
      <c r="AM1630" s="15"/>
      <c r="AN1630" s="15"/>
      <c r="AO1630" s="15"/>
      <c r="AP1630" s="15"/>
      <c r="AQ1630" s="15"/>
      <c r="AR1630" s="15"/>
      <c r="AS1630" s="15"/>
      <c r="AT1630" s="15"/>
      <c r="AU1630" s="15"/>
    </row>
    <row r="1631" ht="24.0" customHeight="1">
      <c r="A1631" s="45">
        <v>3055.0</v>
      </c>
      <c r="B1631" s="57"/>
      <c r="C1631" s="57"/>
      <c r="D1631" s="88" t="str">
        <f t="array" ref="D1631">IFERROR(
  LOOKUP(2, 1/((TRIM(IMS!$E$8:$E$2574)=TRIM(IMS!$E1631))*(IMS!$C$8:$C$2574&lt;IMS!$C1631)),
         IMS!$C$8:$C$2574),
"")</f>
        <v/>
      </c>
      <c r="E1631" s="57"/>
      <c r="F1631" s="57"/>
      <c r="G1631" s="77" t="str">
        <f t="shared" si="901"/>
        <v/>
      </c>
      <c r="H1631" s="78" t="str">
        <f t="shared" si="902"/>
        <v/>
      </c>
      <c r="I1631" s="79"/>
      <c r="J1631" s="80" t="str">
        <f t="shared" si="903"/>
        <v>#NAME?</v>
      </c>
      <c r="K1631" s="58"/>
      <c r="L1631" s="58"/>
      <c r="M1631" s="57"/>
      <c r="N1631" s="57"/>
      <c r="O1631" s="58"/>
      <c r="P1631" s="82"/>
      <c r="Q1631" s="81"/>
      <c r="R1631" s="81"/>
      <c r="S1631" s="57"/>
      <c r="T1631" s="82"/>
      <c r="U1631" s="82"/>
      <c r="V1631" s="57"/>
      <c r="W1631" s="57"/>
      <c r="X1631" s="57" t="str">
        <f t="shared" si="917"/>
        <v/>
      </c>
      <c r="Y1631" s="58" t="str">
        <f t="shared" ref="Y1631:AC1631" si="1471">TRIM(SUBSTITUTE(SUBSTITUTE(OFFSET($Q1631,0,COLUMN()-COLUMN($AL$1)),CHAR(160)," "),_xludf.UNICHAR(8239)," "))</f>
        <v>#NAME?</v>
      </c>
      <c r="Z1631" s="58" t="str">
        <f t="shared" si="1471"/>
        <v>#NAME?</v>
      </c>
      <c r="AA1631" s="58" t="str">
        <f t="shared" si="1471"/>
        <v>#NAME?</v>
      </c>
      <c r="AB1631" s="58" t="str">
        <f t="shared" si="1471"/>
        <v>#NAME?</v>
      </c>
      <c r="AC1631" s="58" t="str">
        <f t="shared" si="1471"/>
        <v>#NAME?</v>
      </c>
      <c r="AD1631" s="57">
        <f t="shared" si="906"/>
        <v>0</v>
      </c>
      <c r="AE1631" s="57" t="str">
        <f t="shared" si="907"/>
        <v/>
      </c>
      <c r="AF1631" s="57">
        <f t="shared" si="908"/>
        <v>0</v>
      </c>
      <c r="AG1631" s="59">
        <f t="shared" si="909"/>
        <v>0</v>
      </c>
      <c r="AH1631" s="15"/>
      <c r="AI1631" s="15"/>
      <c r="AJ1631" s="15"/>
      <c r="AK1631" s="15"/>
      <c r="AL1631" s="15"/>
      <c r="AM1631" s="15"/>
      <c r="AN1631" s="15"/>
      <c r="AO1631" s="15"/>
      <c r="AP1631" s="15"/>
      <c r="AQ1631" s="15"/>
      <c r="AR1631" s="15"/>
      <c r="AS1631" s="15"/>
      <c r="AT1631" s="15"/>
      <c r="AU1631" s="15"/>
    </row>
    <row r="1632" ht="24.0" customHeight="1">
      <c r="A1632" s="45">
        <v>3056.0</v>
      </c>
      <c r="B1632" s="57"/>
      <c r="C1632" s="57"/>
      <c r="D1632" s="88" t="str">
        <f t="array" ref="D1632">IFERROR(
  LOOKUP(2, 1/((TRIM(IMS!$E$8:$E$2574)=TRIM(IMS!$E1632))*(IMS!$C$8:$C$2574&lt;IMS!$C1632)),
         IMS!$C$8:$C$2574),
"")</f>
        <v/>
      </c>
      <c r="E1632" s="57"/>
      <c r="F1632" s="57"/>
      <c r="G1632" s="77" t="str">
        <f t="shared" si="901"/>
        <v/>
      </c>
      <c r="H1632" s="78" t="str">
        <f t="shared" si="902"/>
        <v/>
      </c>
      <c r="I1632" s="79"/>
      <c r="J1632" s="80" t="str">
        <f t="shared" si="903"/>
        <v>#NAME?</v>
      </c>
      <c r="K1632" s="58"/>
      <c r="L1632" s="58"/>
      <c r="M1632" s="57"/>
      <c r="N1632" s="57"/>
      <c r="O1632" s="58"/>
      <c r="P1632" s="82"/>
      <c r="Q1632" s="81"/>
      <c r="R1632" s="81"/>
      <c r="S1632" s="57"/>
      <c r="T1632" s="82"/>
      <c r="U1632" s="82"/>
      <c r="V1632" s="57"/>
      <c r="W1632" s="57"/>
      <c r="X1632" s="57" t="str">
        <f t="shared" si="917"/>
        <v/>
      </c>
      <c r="Y1632" s="58" t="str">
        <f t="shared" ref="Y1632:AC1632" si="1472">TRIM(SUBSTITUTE(SUBSTITUTE(OFFSET($Q1632,0,COLUMN()-COLUMN($AL$1)),CHAR(160)," "),_xludf.UNICHAR(8239)," "))</f>
        <v>#NAME?</v>
      </c>
      <c r="Z1632" s="58" t="str">
        <f t="shared" si="1472"/>
        <v>#NAME?</v>
      </c>
      <c r="AA1632" s="58" t="str">
        <f t="shared" si="1472"/>
        <v>#NAME?</v>
      </c>
      <c r="AB1632" s="58" t="str">
        <f t="shared" si="1472"/>
        <v>#NAME?</v>
      </c>
      <c r="AC1632" s="58" t="str">
        <f t="shared" si="1472"/>
        <v>#NAME?</v>
      </c>
      <c r="AD1632" s="57">
        <f t="shared" si="906"/>
        <v>0</v>
      </c>
      <c r="AE1632" s="57" t="str">
        <f t="shared" si="907"/>
        <v/>
      </c>
      <c r="AF1632" s="57">
        <f t="shared" si="908"/>
        <v>0</v>
      </c>
      <c r="AG1632" s="59">
        <f t="shared" si="909"/>
        <v>0</v>
      </c>
      <c r="AH1632" s="15"/>
      <c r="AI1632" s="15"/>
      <c r="AJ1632" s="15"/>
      <c r="AK1632" s="15"/>
      <c r="AL1632" s="15"/>
      <c r="AM1632" s="15"/>
      <c r="AN1632" s="15"/>
      <c r="AO1632" s="15"/>
      <c r="AP1632" s="15"/>
      <c r="AQ1632" s="15"/>
      <c r="AR1632" s="15"/>
      <c r="AS1632" s="15"/>
      <c r="AT1632" s="15"/>
      <c r="AU1632" s="15"/>
    </row>
    <row r="1633" ht="24.0" customHeight="1">
      <c r="A1633" s="45">
        <v>3057.0</v>
      </c>
      <c r="B1633" s="57"/>
      <c r="C1633" s="57"/>
      <c r="D1633" s="88" t="str">
        <f t="array" ref="D1633">IFERROR(
  LOOKUP(2, 1/((TRIM(IMS!$E$8:$E$2574)=TRIM(IMS!$E1633))*(IMS!$C$8:$C$2574&lt;IMS!$C1633)),
         IMS!$C$8:$C$2574),
"")</f>
        <v/>
      </c>
      <c r="E1633" s="57"/>
      <c r="F1633" s="57"/>
      <c r="G1633" s="77" t="str">
        <f t="shared" si="901"/>
        <v/>
      </c>
      <c r="H1633" s="78" t="str">
        <f t="shared" si="902"/>
        <v/>
      </c>
      <c r="I1633" s="79"/>
      <c r="J1633" s="80" t="str">
        <f t="shared" si="903"/>
        <v>#NAME?</v>
      </c>
      <c r="K1633" s="58"/>
      <c r="L1633" s="58"/>
      <c r="M1633" s="57"/>
      <c r="N1633" s="57"/>
      <c r="O1633" s="58"/>
      <c r="P1633" s="82"/>
      <c r="Q1633" s="81"/>
      <c r="R1633" s="81"/>
      <c r="S1633" s="57"/>
      <c r="T1633" s="82"/>
      <c r="U1633" s="82"/>
      <c r="V1633" s="57"/>
      <c r="W1633" s="57"/>
      <c r="X1633" s="57" t="str">
        <f t="shared" si="917"/>
        <v/>
      </c>
      <c r="Y1633" s="58" t="str">
        <f t="shared" ref="Y1633:AC1633" si="1473">TRIM(SUBSTITUTE(SUBSTITUTE(OFFSET($Q1633,0,COLUMN()-COLUMN($AL$1)),CHAR(160)," "),_xludf.UNICHAR(8239)," "))</f>
        <v>#NAME?</v>
      </c>
      <c r="Z1633" s="58" t="str">
        <f t="shared" si="1473"/>
        <v>#NAME?</v>
      </c>
      <c r="AA1633" s="58" t="str">
        <f t="shared" si="1473"/>
        <v>#NAME?</v>
      </c>
      <c r="AB1633" s="58" t="str">
        <f t="shared" si="1473"/>
        <v>#NAME?</v>
      </c>
      <c r="AC1633" s="58" t="str">
        <f t="shared" si="1473"/>
        <v>#NAME?</v>
      </c>
      <c r="AD1633" s="57">
        <f t="shared" si="906"/>
        <v>0</v>
      </c>
      <c r="AE1633" s="57" t="str">
        <f t="shared" si="907"/>
        <v/>
      </c>
      <c r="AF1633" s="57">
        <f t="shared" si="908"/>
        <v>0</v>
      </c>
      <c r="AG1633" s="59">
        <f t="shared" si="909"/>
        <v>0</v>
      </c>
      <c r="AH1633" s="15"/>
      <c r="AI1633" s="15"/>
      <c r="AJ1633" s="15"/>
      <c r="AK1633" s="15"/>
      <c r="AL1633" s="15"/>
      <c r="AM1633" s="15"/>
      <c r="AN1633" s="15"/>
      <c r="AO1633" s="15"/>
      <c r="AP1633" s="15"/>
      <c r="AQ1633" s="15"/>
      <c r="AR1633" s="15"/>
      <c r="AS1633" s="15"/>
      <c r="AT1633" s="15"/>
      <c r="AU1633" s="15"/>
    </row>
    <row r="1634" ht="24.0" customHeight="1">
      <c r="A1634" s="45">
        <v>3058.0</v>
      </c>
      <c r="B1634" s="57"/>
      <c r="C1634" s="57"/>
      <c r="D1634" s="88" t="str">
        <f t="array" ref="D1634">IFERROR(
  LOOKUP(2, 1/((TRIM(IMS!$E$8:$E$2574)=TRIM(IMS!$E1634))*(IMS!$C$8:$C$2574&lt;IMS!$C1634)),
         IMS!$C$8:$C$2574),
"")</f>
        <v/>
      </c>
      <c r="E1634" s="57"/>
      <c r="F1634" s="57"/>
      <c r="G1634" s="77" t="str">
        <f t="shared" si="901"/>
        <v/>
      </c>
      <c r="H1634" s="78" t="str">
        <f t="shared" si="902"/>
        <v/>
      </c>
      <c r="I1634" s="79"/>
      <c r="J1634" s="80" t="str">
        <f t="shared" si="903"/>
        <v>#NAME?</v>
      </c>
      <c r="K1634" s="58"/>
      <c r="L1634" s="58"/>
      <c r="M1634" s="57"/>
      <c r="N1634" s="57"/>
      <c r="O1634" s="58"/>
      <c r="P1634" s="82"/>
      <c r="Q1634" s="81"/>
      <c r="R1634" s="81"/>
      <c r="S1634" s="57"/>
      <c r="T1634" s="82"/>
      <c r="U1634" s="82"/>
      <c r="V1634" s="57"/>
      <c r="W1634" s="57"/>
      <c r="X1634" s="57" t="str">
        <f t="shared" si="917"/>
        <v/>
      </c>
      <c r="Y1634" s="58" t="str">
        <f t="shared" ref="Y1634:AC1634" si="1474">TRIM(SUBSTITUTE(SUBSTITUTE(OFFSET($Q1634,0,COLUMN()-COLUMN($AL$1)),CHAR(160)," "),_xludf.UNICHAR(8239)," "))</f>
        <v>#NAME?</v>
      </c>
      <c r="Z1634" s="58" t="str">
        <f t="shared" si="1474"/>
        <v>#NAME?</v>
      </c>
      <c r="AA1634" s="58" t="str">
        <f t="shared" si="1474"/>
        <v>#NAME?</v>
      </c>
      <c r="AB1634" s="58" t="str">
        <f t="shared" si="1474"/>
        <v>#NAME?</v>
      </c>
      <c r="AC1634" s="58" t="str">
        <f t="shared" si="1474"/>
        <v>#NAME?</v>
      </c>
      <c r="AD1634" s="57">
        <f t="shared" si="906"/>
        <v>0</v>
      </c>
      <c r="AE1634" s="57" t="str">
        <f t="shared" si="907"/>
        <v/>
      </c>
      <c r="AF1634" s="57">
        <f t="shared" si="908"/>
        <v>0</v>
      </c>
      <c r="AG1634" s="59">
        <f t="shared" si="909"/>
        <v>0</v>
      </c>
      <c r="AH1634" s="15"/>
      <c r="AI1634" s="15"/>
      <c r="AJ1634" s="15"/>
      <c r="AK1634" s="15"/>
      <c r="AL1634" s="15"/>
      <c r="AM1634" s="15"/>
      <c r="AN1634" s="15"/>
      <c r="AO1634" s="15"/>
      <c r="AP1634" s="15"/>
      <c r="AQ1634" s="15"/>
      <c r="AR1634" s="15"/>
      <c r="AS1634" s="15"/>
      <c r="AT1634" s="15"/>
      <c r="AU1634" s="15"/>
    </row>
    <row r="1635" ht="24.0" customHeight="1">
      <c r="A1635" s="45">
        <v>3059.0</v>
      </c>
      <c r="B1635" s="57"/>
      <c r="C1635" s="57"/>
      <c r="D1635" s="88" t="str">
        <f t="array" ref="D1635">IFERROR(
  LOOKUP(2, 1/((TRIM(IMS!$E$8:$E$2574)=TRIM(IMS!$E1635))*(IMS!$C$8:$C$2574&lt;IMS!$C1635)),
         IMS!$C$8:$C$2574),
"")</f>
        <v/>
      </c>
      <c r="E1635" s="57"/>
      <c r="F1635" s="57"/>
      <c r="G1635" s="77" t="str">
        <f t="shared" si="901"/>
        <v/>
      </c>
      <c r="H1635" s="78" t="str">
        <f t="shared" si="902"/>
        <v/>
      </c>
      <c r="I1635" s="79"/>
      <c r="J1635" s="80" t="str">
        <f t="shared" si="903"/>
        <v>#NAME?</v>
      </c>
      <c r="K1635" s="58"/>
      <c r="L1635" s="58"/>
      <c r="M1635" s="57"/>
      <c r="N1635" s="57"/>
      <c r="O1635" s="58"/>
      <c r="P1635" s="82"/>
      <c r="Q1635" s="81"/>
      <c r="R1635" s="81"/>
      <c r="S1635" s="57"/>
      <c r="T1635" s="82"/>
      <c r="U1635" s="82"/>
      <c r="V1635" s="57"/>
      <c r="W1635" s="57"/>
      <c r="X1635" s="57" t="str">
        <f t="shared" si="917"/>
        <v/>
      </c>
      <c r="Y1635" s="58" t="str">
        <f t="shared" ref="Y1635:AC1635" si="1475">TRIM(SUBSTITUTE(SUBSTITUTE(OFFSET($Q1635,0,COLUMN()-COLUMN($AL$1)),CHAR(160)," "),_xludf.UNICHAR(8239)," "))</f>
        <v>#NAME?</v>
      </c>
      <c r="Z1635" s="58" t="str">
        <f t="shared" si="1475"/>
        <v>#NAME?</v>
      </c>
      <c r="AA1635" s="58" t="str">
        <f t="shared" si="1475"/>
        <v>#NAME?</v>
      </c>
      <c r="AB1635" s="58" t="str">
        <f t="shared" si="1475"/>
        <v>#NAME?</v>
      </c>
      <c r="AC1635" s="58" t="str">
        <f t="shared" si="1475"/>
        <v>#NAME?</v>
      </c>
      <c r="AD1635" s="57">
        <f t="shared" si="906"/>
        <v>0</v>
      </c>
      <c r="AE1635" s="57" t="str">
        <f t="shared" si="907"/>
        <v/>
      </c>
      <c r="AF1635" s="57">
        <f t="shared" si="908"/>
        <v>0</v>
      </c>
      <c r="AG1635" s="59">
        <f t="shared" si="909"/>
        <v>0</v>
      </c>
      <c r="AH1635" s="15"/>
      <c r="AI1635" s="15"/>
      <c r="AJ1635" s="15"/>
      <c r="AK1635" s="15"/>
      <c r="AL1635" s="15"/>
      <c r="AM1635" s="15"/>
      <c r="AN1635" s="15"/>
      <c r="AO1635" s="15"/>
      <c r="AP1635" s="15"/>
      <c r="AQ1635" s="15"/>
      <c r="AR1635" s="15"/>
      <c r="AS1635" s="15"/>
      <c r="AT1635" s="15"/>
      <c r="AU1635" s="15"/>
    </row>
    <row r="1636" ht="24.0" customHeight="1">
      <c r="A1636" s="45">
        <v>3060.0</v>
      </c>
      <c r="B1636" s="57"/>
      <c r="C1636" s="57"/>
      <c r="D1636" s="88" t="str">
        <f t="array" ref="D1636">IFERROR(
  LOOKUP(2, 1/((TRIM(IMS!$E$8:$E$2574)=TRIM(IMS!$E1636))*(IMS!$C$8:$C$2574&lt;IMS!$C1636)),
         IMS!$C$8:$C$2574),
"")</f>
        <v/>
      </c>
      <c r="E1636" s="57"/>
      <c r="F1636" s="57"/>
      <c r="G1636" s="77" t="str">
        <f t="shared" si="901"/>
        <v/>
      </c>
      <c r="H1636" s="78" t="str">
        <f t="shared" si="902"/>
        <v/>
      </c>
      <c r="I1636" s="79"/>
      <c r="J1636" s="80" t="str">
        <f t="shared" si="903"/>
        <v>#NAME?</v>
      </c>
      <c r="K1636" s="58"/>
      <c r="L1636" s="58"/>
      <c r="M1636" s="57"/>
      <c r="N1636" s="57"/>
      <c r="O1636" s="58"/>
      <c r="P1636" s="82"/>
      <c r="Q1636" s="81"/>
      <c r="R1636" s="81"/>
      <c r="S1636" s="57"/>
      <c r="T1636" s="82"/>
      <c r="U1636" s="82"/>
      <c r="V1636" s="57"/>
      <c r="W1636" s="57"/>
      <c r="X1636" s="57" t="str">
        <f t="shared" si="917"/>
        <v/>
      </c>
      <c r="Y1636" s="58" t="str">
        <f t="shared" ref="Y1636:AC1636" si="1476">TRIM(SUBSTITUTE(SUBSTITUTE(OFFSET($Q1636,0,COLUMN()-COLUMN($AL$1)),CHAR(160)," "),_xludf.UNICHAR(8239)," "))</f>
        <v>#NAME?</v>
      </c>
      <c r="Z1636" s="58" t="str">
        <f t="shared" si="1476"/>
        <v>#NAME?</v>
      </c>
      <c r="AA1636" s="58" t="str">
        <f t="shared" si="1476"/>
        <v>#NAME?</v>
      </c>
      <c r="AB1636" s="58" t="str">
        <f t="shared" si="1476"/>
        <v>#NAME?</v>
      </c>
      <c r="AC1636" s="58" t="str">
        <f t="shared" si="1476"/>
        <v>#NAME?</v>
      </c>
      <c r="AD1636" s="57">
        <f t="shared" si="906"/>
        <v>0</v>
      </c>
      <c r="AE1636" s="57" t="str">
        <f t="shared" si="907"/>
        <v/>
      </c>
      <c r="AF1636" s="57">
        <f t="shared" si="908"/>
        <v>0</v>
      </c>
      <c r="AG1636" s="59">
        <f t="shared" si="909"/>
        <v>0</v>
      </c>
      <c r="AH1636" s="15"/>
      <c r="AI1636" s="15"/>
      <c r="AJ1636" s="15"/>
      <c r="AK1636" s="15"/>
      <c r="AL1636" s="15"/>
      <c r="AM1636" s="15"/>
      <c r="AN1636" s="15"/>
      <c r="AO1636" s="15"/>
      <c r="AP1636" s="15"/>
      <c r="AQ1636" s="15"/>
      <c r="AR1636" s="15"/>
      <c r="AS1636" s="15"/>
      <c r="AT1636" s="15"/>
      <c r="AU1636" s="15"/>
    </row>
    <row r="1637" ht="24.0" customHeight="1">
      <c r="A1637" s="45">
        <v>3061.0</v>
      </c>
      <c r="B1637" s="57"/>
      <c r="C1637" s="57"/>
      <c r="D1637" s="88" t="str">
        <f t="array" ref="D1637">IFERROR(
  LOOKUP(2, 1/((TRIM(IMS!$E$8:$E$2574)=TRIM(IMS!$E1637))*(IMS!$C$8:$C$2574&lt;IMS!$C1637)),
         IMS!$C$8:$C$2574),
"")</f>
        <v/>
      </c>
      <c r="E1637" s="57"/>
      <c r="F1637" s="57"/>
      <c r="G1637" s="77" t="str">
        <f t="shared" si="901"/>
        <v/>
      </c>
      <c r="H1637" s="78" t="str">
        <f t="shared" si="902"/>
        <v/>
      </c>
      <c r="I1637" s="79"/>
      <c r="J1637" s="80" t="str">
        <f t="shared" si="903"/>
        <v>#NAME?</v>
      </c>
      <c r="K1637" s="58"/>
      <c r="L1637" s="58"/>
      <c r="M1637" s="57"/>
      <c r="N1637" s="57"/>
      <c r="O1637" s="58"/>
      <c r="P1637" s="82"/>
      <c r="Q1637" s="81"/>
      <c r="R1637" s="81"/>
      <c r="S1637" s="57"/>
      <c r="T1637" s="82"/>
      <c r="U1637" s="82"/>
      <c r="V1637" s="57"/>
      <c r="W1637" s="57"/>
      <c r="X1637" s="57" t="str">
        <f t="shared" si="917"/>
        <v/>
      </c>
      <c r="Y1637" s="58" t="str">
        <f t="shared" ref="Y1637:AC1637" si="1477">TRIM(SUBSTITUTE(SUBSTITUTE(OFFSET($Q1637,0,COLUMN()-COLUMN($AL$1)),CHAR(160)," "),_xludf.UNICHAR(8239)," "))</f>
        <v>#NAME?</v>
      </c>
      <c r="Z1637" s="58" t="str">
        <f t="shared" si="1477"/>
        <v>#NAME?</v>
      </c>
      <c r="AA1637" s="58" t="str">
        <f t="shared" si="1477"/>
        <v>#NAME?</v>
      </c>
      <c r="AB1637" s="58" t="str">
        <f t="shared" si="1477"/>
        <v>#NAME?</v>
      </c>
      <c r="AC1637" s="58" t="str">
        <f t="shared" si="1477"/>
        <v>#NAME?</v>
      </c>
      <c r="AD1637" s="57">
        <f t="shared" si="906"/>
        <v>0</v>
      </c>
      <c r="AE1637" s="57" t="str">
        <f t="shared" si="907"/>
        <v/>
      </c>
      <c r="AF1637" s="57">
        <f t="shared" si="908"/>
        <v>0</v>
      </c>
      <c r="AG1637" s="59">
        <f t="shared" si="909"/>
        <v>0</v>
      </c>
      <c r="AH1637" s="15"/>
      <c r="AI1637" s="15"/>
      <c r="AJ1637" s="15"/>
      <c r="AK1637" s="15"/>
      <c r="AL1637" s="15"/>
      <c r="AM1637" s="15"/>
      <c r="AN1637" s="15"/>
      <c r="AO1637" s="15"/>
      <c r="AP1637" s="15"/>
      <c r="AQ1637" s="15"/>
      <c r="AR1637" s="15"/>
      <c r="AS1637" s="15"/>
      <c r="AT1637" s="15"/>
      <c r="AU1637" s="15"/>
    </row>
    <row r="1638" ht="24.0" customHeight="1">
      <c r="A1638" s="45">
        <v>3062.0</v>
      </c>
      <c r="B1638" s="57"/>
      <c r="C1638" s="57"/>
      <c r="D1638" s="88" t="str">
        <f t="array" ref="D1638">IFERROR(
  LOOKUP(2, 1/((TRIM(IMS!$E$8:$E$2574)=TRIM(IMS!$E1638))*(IMS!$C$8:$C$2574&lt;IMS!$C1638)),
         IMS!$C$8:$C$2574),
"")</f>
        <v/>
      </c>
      <c r="E1638" s="57"/>
      <c r="F1638" s="57"/>
      <c r="G1638" s="77" t="str">
        <f t="shared" si="901"/>
        <v/>
      </c>
      <c r="H1638" s="78" t="str">
        <f t="shared" si="902"/>
        <v/>
      </c>
      <c r="I1638" s="79"/>
      <c r="J1638" s="80" t="str">
        <f t="shared" si="903"/>
        <v>#NAME?</v>
      </c>
      <c r="K1638" s="58"/>
      <c r="L1638" s="58"/>
      <c r="M1638" s="57"/>
      <c r="N1638" s="57"/>
      <c r="O1638" s="58"/>
      <c r="P1638" s="82"/>
      <c r="Q1638" s="81"/>
      <c r="R1638" s="81"/>
      <c r="S1638" s="57"/>
      <c r="T1638" s="82"/>
      <c r="U1638" s="82"/>
      <c r="V1638" s="57"/>
      <c r="W1638" s="57"/>
      <c r="X1638" s="57" t="str">
        <f t="shared" si="917"/>
        <v/>
      </c>
      <c r="Y1638" s="58" t="str">
        <f t="shared" ref="Y1638:AC1638" si="1478">TRIM(SUBSTITUTE(SUBSTITUTE(OFFSET($Q1638,0,COLUMN()-COLUMN($AL$1)),CHAR(160)," "),_xludf.UNICHAR(8239)," "))</f>
        <v>#NAME?</v>
      </c>
      <c r="Z1638" s="58" t="str">
        <f t="shared" si="1478"/>
        <v>#NAME?</v>
      </c>
      <c r="AA1638" s="58" t="str">
        <f t="shared" si="1478"/>
        <v>#NAME?</v>
      </c>
      <c r="AB1638" s="58" t="str">
        <f t="shared" si="1478"/>
        <v>#NAME?</v>
      </c>
      <c r="AC1638" s="58" t="str">
        <f t="shared" si="1478"/>
        <v>#NAME?</v>
      </c>
      <c r="AD1638" s="57">
        <f t="shared" si="906"/>
        <v>0</v>
      </c>
      <c r="AE1638" s="57" t="str">
        <f t="shared" si="907"/>
        <v/>
      </c>
      <c r="AF1638" s="57">
        <f t="shared" si="908"/>
        <v>0</v>
      </c>
      <c r="AG1638" s="59">
        <f t="shared" si="909"/>
        <v>0</v>
      </c>
      <c r="AH1638" s="15"/>
      <c r="AI1638" s="15"/>
      <c r="AJ1638" s="15"/>
      <c r="AK1638" s="15"/>
      <c r="AL1638" s="15"/>
      <c r="AM1638" s="15"/>
      <c r="AN1638" s="15"/>
      <c r="AO1638" s="15"/>
      <c r="AP1638" s="15"/>
      <c r="AQ1638" s="15"/>
      <c r="AR1638" s="15"/>
      <c r="AS1638" s="15"/>
      <c r="AT1638" s="15"/>
      <c r="AU1638" s="15"/>
    </row>
    <row r="1639" ht="24.0" customHeight="1">
      <c r="A1639" s="45">
        <v>3063.0</v>
      </c>
      <c r="B1639" s="57"/>
      <c r="C1639" s="57"/>
      <c r="D1639" s="88" t="str">
        <f t="array" ref="D1639">IFERROR(
  LOOKUP(2, 1/((TRIM(IMS!$E$8:$E$2574)=TRIM(IMS!$E1639))*(IMS!$C$8:$C$2574&lt;IMS!$C1639)),
         IMS!$C$8:$C$2574),
"")</f>
        <v/>
      </c>
      <c r="E1639" s="57"/>
      <c r="F1639" s="57"/>
      <c r="G1639" s="77" t="str">
        <f t="shared" si="901"/>
        <v/>
      </c>
      <c r="H1639" s="78" t="str">
        <f t="shared" si="902"/>
        <v/>
      </c>
      <c r="I1639" s="79"/>
      <c r="J1639" s="80" t="str">
        <f t="shared" si="903"/>
        <v>#NAME?</v>
      </c>
      <c r="K1639" s="58"/>
      <c r="L1639" s="58"/>
      <c r="M1639" s="57"/>
      <c r="N1639" s="57"/>
      <c r="O1639" s="58"/>
      <c r="P1639" s="82"/>
      <c r="Q1639" s="81"/>
      <c r="R1639" s="81"/>
      <c r="S1639" s="57"/>
      <c r="T1639" s="82"/>
      <c r="U1639" s="82"/>
      <c r="V1639" s="57"/>
      <c r="W1639" s="57"/>
      <c r="X1639" s="57" t="str">
        <f t="shared" si="917"/>
        <v/>
      </c>
      <c r="Y1639" s="58" t="str">
        <f t="shared" ref="Y1639:AC1639" si="1479">TRIM(SUBSTITUTE(SUBSTITUTE(OFFSET($Q1639,0,COLUMN()-COLUMN($AL$1)),CHAR(160)," "),_xludf.UNICHAR(8239)," "))</f>
        <v>#NAME?</v>
      </c>
      <c r="Z1639" s="58" t="str">
        <f t="shared" si="1479"/>
        <v>#NAME?</v>
      </c>
      <c r="AA1639" s="58" t="str">
        <f t="shared" si="1479"/>
        <v>#NAME?</v>
      </c>
      <c r="AB1639" s="58" t="str">
        <f t="shared" si="1479"/>
        <v>#NAME?</v>
      </c>
      <c r="AC1639" s="58" t="str">
        <f t="shared" si="1479"/>
        <v>#NAME?</v>
      </c>
      <c r="AD1639" s="57">
        <f t="shared" si="906"/>
        <v>0</v>
      </c>
      <c r="AE1639" s="57" t="str">
        <f t="shared" si="907"/>
        <v/>
      </c>
      <c r="AF1639" s="57">
        <f t="shared" si="908"/>
        <v>0</v>
      </c>
      <c r="AG1639" s="59">
        <f t="shared" si="909"/>
        <v>0</v>
      </c>
      <c r="AH1639" s="15"/>
      <c r="AI1639" s="15"/>
      <c r="AJ1639" s="15"/>
      <c r="AK1639" s="15"/>
      <c r="AL1639" s="15"/>
      <c r="AM1639" s="15"/>
      <c r="AN1639" s="15"/>
      <c r="AO1639" s="15"/>
      <c r="AP1639" s="15"/>
      <c r="AQ1639" s="15"/>
      <c r="AR1639" s="15"/>
      <c r="AS1639" s="15"/>
      <c r="AT1639" s="15"/>
      <c r="AU1639" s="15"/>
    </row>
    <row r="1640" ht="24.0" customHeight="1">
      <c r="A1640" s="45">
        <v>3064.0</v>
      </c>
      <c r="B1640" s="57"/>
      <c r="C1640" s="57"/>
      <c r="D1640" s="88" t="str">
        <f t="array" ref="D1640">IFERROR(
  LOOKUP(2, 1/((TRIM(IMS!$E$8:$E$2574)=TRIM(IMS!$E1640))*(IMS!$C$8:$C$2574&lt;IMS!$C1640)),
         IMS!$C$8:$C$2574),
"")</f>
        <v/>
      </c>
      <c r="E1640" s="57"/>
      <c r="F1640" s="57"/>
      <c r="G1640" s="77" t="str">
        <f t="shared" si="901"/>
        <v/>
      </c>
      <c r="H1640" s="78" t="str">
        <f t="shared" si="902"/>
        <v/>
      </c>
      <c r="I1640" s="79"/>
      <c r="J1640" s="80" t="str">
        <f t="shared" si="903"/>
        <v>#NAME?</v>
      </c>
      <c r="K1640" s="58"/>
      <c r="L1640" s="58"/>
      <c r="M1640" s="57"/>
      <c r="N1640" s="57"/>
      <c r="O1640" s="58"/>
      <c r="P1640" s="82"/>
      <c r="Q1640" s="81"/>
      <c r="R1640" s="81"/>
      <c r="S1640" s="57"/>
      <c r="T1640" s="82"/>
      <c r="U1640" s="82"/>
      <c r="V1640" s="57"/>
      <c r="W1640" s="57"/>
      <c r="X1640" s="57" t="str">
        <f t="shared" si="917"/>
        <v/>
      </c>
      <c r="Y1640" s="58" t="str">
        <f t="shared" ref="Y1640:AC1640" si="1480">TRIM(SUBSTITUTE(SUBSTITUTE(OFFSET($Q1640,0,COLUMN()-COLUMN($AL$1)),CHAR(160)," "),_xludf.UNICHAR(8239)," "))</f>
        <v>#NAME?</v>
      </c>
      <c r="Z1640" s="58" t="str">
        <f t="shared" si="1480"/>
        <v>#NAME?</v>
      </c>
      <c r="AA1640" s="58" t="str">
        <f t="shared" si="1480"/>
        <v>#NAME?</v>
      </c>
      <c r="AB1640" s="58" t="str">
        <f t="shared" si="1480"/>
        <v>#NAME?</v>
      </c>
      <c r="AC1640" s="58" t="str">
        <f t="shared" si="1480"/>
        <v>#NAME?</v>
      </c>
      <c r="AD1640" s="57">
        <f t="shared" si="906"/>
        <v>0</v>
      </c>
      <c r="AE1640" s="57" t="str">
        <f t="shared" si="907"/>
        <v/>
      </c>
      <c r="AF1640" s="57">
        <f t="shared" si="908"/>
        <v>0</v>
      </c>
      <c r="AG1640" s="59">
        <f t="shared" si="909"/>
        <v>0</v>
      </c>
      <c r="AH1640" s="15"/>
      <c r="AI1640" s="15"/>
      <c r="AJ1640" s="15"/>
      <c r="AK1640" s="15"/>
      <c r="AL1640" s="15"/>
      <c r="AM1640" s="15"/>
      <c r="AN1640" s="15"/>
      <c r="AO1640" s="15"/>
      <c r="AP1640" s="15"/>
      <c r="AQ1640" s="15"/>
      <c r="AR1640" s="15"/>
      <c r="AS1640" s="15"/>
      <c r="AT1640" s="15"/>
      <c r="AU1640" s="15"/>
    </row>
    <row r="1641" ht="24.0" customHeight="1">
      <c r="A1641" s="45">
        <v>3065.0</v>
      </c>
      <c r="B1641" s="57"/>
      <c r="C1641" s="57"/>
      <c r="D1641" s="88" t="str">
        <f t="array" ref="D1641">IFERROR(
  LOOKUP(2, 1/((TRIM(IMS!$E$8:$E$2574)=TRIM(IMS!$E1641))*(IMS!$C$8:$C$2574&lt;IMS!$C1641)),
         IMS!$C$8:$C$2574),
"")</f>
        <v/>
      </c>
      <c r="E1641" s="57"/>
      <c r="F1641" s="57"/>
      <c r="G1641" s="77" t="str">
        <f t="shared" si="901"/>
        <v/>
      </c>
      <c r="H1641" s="78" t="str">
        <f t="shared" si="902"/>
        <v/>
      </c>
      <c r="I1641" s="79"/>
      <c r="J1641" s="80" t="str">
        <f t="shared" si="903"/>
        <v>#NAME?</v>
      </c>
      <c r="K1641" s="58"/>
      <c r="L1641" s="58"/>
      <c r="M1641" s="57"/>
      <c r="N1641" s="57"/>
      <c r="O1641" s="58"/>
      <c r="P1641" s="82"/>
      <c r="Q1641" s="81"/>
      <c r="R1641" s="81"/>
      <c r="S1641" s="57"/>
      <c r="T1641" s="82"/>
      <c r="U1641" s="82"/>
      <c r="V1641" s="57"/>
      <c r="W1641" s="57"/>
      <c r="X1641" s="57" t="str">
        <f t="shared" si="917"/>
        <v/>
      </c>
      <c r="Y1641" s="58" t="str">
        <f t="shared" ref="Y1641:AC1641" si="1481">TRIM(SUBSTITUTE(SUBSTITUTE(OFFSET($Q1641,0,COLUMN()-COLUMN($AL$1)),CHAR(160)," "),_xludf.UNICHAR(8239)," "))</f>
        <v>#NAME?</v>
      </c>
      <c r="Z1641" s="58" t="str">
        <f t="shared" si="1481"/>
        <v>#NAME?</v>
      </c>
      <c r="AA1641" s="58" t="str">
        <f t="shared" si="1481"/>
        <v>#NAME?</v>
      </c>
      <c r="AB1641" s="58" t="str">
        <f t="shared" si="1481"/>
        <v>#NAME?</v>
      </c>
      <c r="AC1641" s="58" t="str">
        <f t="shared" si="1481"/>
        <v>#NAME?</v>
      </c>
      <c r="AD1641" s="57">
        <f t="shared" si="906"/>
        <v>0</v>
      </c>
      <c r="AE1641" s="57" t="str">
        <f t="shared" si="907"/>
        <v/>
      </c>
      <c r="AF1641" s="57">
        <f t="shared" si="908"/>
        <v>0</v>
      </c>
      <c r="AG1641" s="59">
        <f t="shared" si="909"/>
        <v>0</v>
      </c>
      <c r="AH1641" s="15"/>
      <c r="AI1641" s="15"/>
      <c r="AJ1641" s="15"/>
      <c r="AK1641" s="15"/>
      <c r="AL1641" s="15"/>
      <c r="AM1641" s="15"/>
      <c r="AN1641" s="15"/>
      <c r="AO1641" s="15"/>
      <c r="AP1641" s="15"/>
      <c r="AQ1641" s="15"/>
      <c r="AR1641" s="15"/>
      <c r="AS1641" s="15"/>
      <c r="AT1641" s="15"/>
      <c r="AU1641" s="15"/>
    </row>
    <row r="1642" ht="24.0" customHeight="1">
      <c r="A1642" s="45">
        <v>3066.0</v>
      </c>
      <c r="B1642" s="57"/>
      <c r="C1642" s="57"/>
      <c r="D1642" s="88" t="str">
        <f t="array" ref="D1642">IFERROR(
  LOOKUP(2, 1/((TRIM(IMS!$E$8:$E$2574)=TRIM(IMS!$E1642))*(IMS!$C$8:$C$2574&lt;IMS!$C1642)),
         IMS!$C$8:$C$2574),
"")</f>
        <v/>
      </c>
      <c r="E1642" s="57"/>
      <c r="F1642" s="57"/>
      <c r="G1642" s="77" t="str">
        <f t="shared" si="901"/>
        <v/>
      </c>
      <c r="H1642" s="78" t="str">
        <f t="shared" si="902"/>
        <v/>
      </c>
      <c r="I1642" s="79"/>
      <c r="J1642" s="80" t="str">
        <f t="shared" si="903"/>
        <v>#NAME?</v>
      </c>
      <c r="K1642" s="58"/>
      <c r="L1642" s="58"/>
      <c r="M1642" s="57"/>
      <c r="N1642" s="57"/>
      <c r="O1642" s="58"/>
      <c r="P1642" s="82"/>
      <c r="Q1642" s="81"/>
      <c r="R1642" s="81"/>
      <c r="S1642" s="57"/>
      <c r="T1642" s="82"/>
      <c r="U1642" s="82"/>
      <c r="V1642" s="57"/>
      <c r="W1642" s="57"/>
      <c r="X1642" s="57" t="str">
        <f t="shared" si="917"/>
        <v/>
      </c>
      <c r="Y1642" s="58" t="str">
        <f t="shared" ref="Y1642:AC1642" si="1482">TRIM(SUBSTITUTE(SUBSTITUTE(OFFSET($Q1642,0,COLUMN()-COLUMN($AL$1)),CHAR(160)," "),_xludf.UNICHAR(8239)," "))</f>
        <v>#NAME?</v>
      </c>
      <c r="Z1642" s="58" t="str">
        <f t="shared" si="1482"/>
        <v>#NAME?</v>
      </c>
      <c r="AA1642" s="58" t="str">
        <f t="shared" si="1482"/>
        <v>#NAME?</v>
      </c>
      <c r="AB1642" s="58" t="str">
        <f t="shared" si="1482"/>
        <v>#NAME?</v>
      </c>
      <c r="AC1642" s="58" t="str">
        <f t="shared" si="1482"/>
        <v>#NAME?</v>
      </c>
      <c r="AD1642" s="57">
        <f t="shared" si="906"/>
        <v>0</v>
      </c>
      <c r="AE1642" s="57" t="str">
        <f t="shared" si="907"/>
        <v/>
      </c>
      <c r="AF1642" s="57">
        <f t="shared" si="908"/>
        <v>0</v>
      </c>
      <c r="AG1642" s="59">
        <f t="shared" si="909"/>
        <v>0</v>
      </c>
      <c r="AH1642" s="15"/>
      <c r="AI1642" s="15"/>
      <c r="AJ1642" s="15"/>
      <c r="AK1642" s="15"/>
      <c r="AL1642" s="15"/>
      <c r="AM1642" s="15"/>
      <c r="AN1642" s="15"/>
      <c r="AO1642" s="15"/>
      <c r="AP1642" s="15"/>
      <c r="AQ1642" s="15"/>
      <c r="AR1642" s="15"/>
      <c r="AS1642" s="15"/>
      <c r="AT1642" s="15"/>
      <c r="AU1642" s="15"/>
    </row>
    <row r="1643" ht="24.0" customHeight="1">
      <c r="A1643" s="45">
        <v>3067.0</v>
      </c>
      <c r="B1643" s="57"/>
      <c r="C1643" s="57"/>
      <c r="D1643" s="88" t="str">
        <f t="array" ref="D1643">IFERROR(
  LOOKUP(2, 1/((TRIM(IMS!$E$8:$E$2574)=TRIM(IMS!$E1643))*(IMS!$C$8:$C$2574&lt;IMS!$C1643)),
         IMS!$C$8:$C$2574),
"")</f>
        <v/>
      </c>
      <c r="E1643" s="57"/>
      <c r="F1643" s="57"/>
      <c r="G1643" s="77" t="str">
        <f t="shared" si="901"/>
        <v/>
      </c>
      <c r="H1643" s="78" t="str">
        <f t="shared" si="902"/>
        <v/>
      </c>
      <c r="I1643" s="79"/>
      <c r="J1643" s="80" t="str">
        <f t="shared" si="903"/>
        <v>#NAME?</v>
      </c>
      <c r="K1643" s="58"/>
      <c r="L1643" s="58"/>
      <c r="M1643" s="57"/>
      <c r="N1643" s="57"/>
      <c r="O1643" s="58"/>
      <c r="P1643" s="82"/>
      <c r="Q1643" s="81"/>
      <c r="R1643" s="81"/>
      <c r="S1643" s="57"/>
      <c r="T1643" s="82"/>
      <c r="U1643" s="82"/>
      <c r="V1643" s="57"/>
      <c r="W1643" s="57"/>
      <c r="X1643" s="57" t="str">
        <f t="shared" si="917"/>
        <v/>
      </c>
      <c r="Y1643" s="58" t="str">
        <f t="shared" ref="Y1643:AC1643" si="1483">TRIM(SUBSTITUTE(SUBSTITUTE(OFFSET($Q1643,0,COLUMN()-COLUMN($AL$1)),CHAR(160)," "),_xludf.UNICHAR(8239)," "))</f>
        <v>#NAME?</v>
      </c>
      <c r="Z1643" s="58" t="str">
        <f t="shared" si="1483"/>
        <v>#NAME?</v>
      </c>
      <c r="AA1643" s="58" t="str">
        <f t="shared" si="1483"/>
        <v>#NAME?</v>
      </c>
      <c r="AB1643" s="58" t="str">
        <f t="shared" si="1483"/>
        <v>#NAME?</v>
      </c>
      <c r="AC1643" s="58" t="str">
        <f t="shared" si="1483"/>
        <v>#NAME?</v>
      </c>
      <c r="AD1643" s="57">
        <f t="shared" si="906"/>
        <v>0</v>
      </c>
      <c r="AE1643" s="57" t="str">
        <f t="shared" si="907"/>
        <v/>
      </c>
      <c r="AF1643" s="57">
        <f t="shared" si="908"/>
        <v>0</v>
      </c>
      <c r="AG1643" s="59">
        <f t="shared" si="909"/>
        <v>0</v>
      </c>
      <c r="AH1643" s="15"/>
      <c r="AI1643" s="15"/>
      <c r="AJ1643" s="15"/>
      <c r="AK1643" s="15"/>
      <c r="AL1643" s="15"/>
      <c r="AM1643" s="15"/>
      <c r="AN1643" s="15"/>
      <c r="AO1643" s="15"/>
      <c r="AP1643" s="15"/>
      <c r="AQ1643" s="15"/>
      <c r="AR1643" s="15"/>
      <c r="AS1643" s="15"/>
      <c r="AT1643" s="15"/>
      <c r="AU1643" s="15"/>
    </row>
    <row r="1644" ht="24.0" customHeight="1">
      <c r="A1644" s="45">
        <v>3068.0</v>
      </c>
      <c r="B1644" s="57"/>
      <c r="C1644" s="57"/>
      <c r="D1644" s="88" t="str">
        <f t="array" ref="D1644">IFERROR(
  LOOKUP(2, 1/((TRIM(IMS!$E$8:$E$2574)=TRIM(IMS!$E1644))*(IMS!$C$8:$C$2574&lt;IMS!$C1644)),
         IMS!$C$8:$C$2574),
"")</f>
        <v/>
      </c>
      <c r="E1644" s="57"/>
      <c r="F1644" s="57"/>
      <c r="G1644" s="77" t="str">
        <f t="shared" si="901"/>
        <v/>
      </c>
      <c r="H1644" s="78" t="str">
        <f t="shared" si="902"/>
        <v/>
      </c>
      <c r="I1644" s="79"/>
      <c r="J1644" s="80" t="str">
        <f t="shared" si="903"/>
        <v>#NAME?</v>
      </c>
      <c r="K1644" s="58"/>
      <c r="L1644" s="58"/>
      <c r="M1644" s="57"/>
      <c r="N1644" s="57"/>
      <c r="O1644" s="58"/>
      <c r="P1644" s="82"/>
      <c r="Q1644" s="81"/>
      <c r="R1644" s="81"/>
      <c r="S1644" s="57"/>
      <c r="T1644" s="82"/>
      <c r="U1644" s="82"/>
      <c r="V1644" s="57"/>
      <c r="W1644" s="57"/>
      <c r="X1644" s="57" t="str">
        <f t="shared" si="917"/>
        <v/>
      </c>
      <c r="Y1644" s="58" t="str">
        <f t="shared" ref="Y1644:AC1644" si="1484">TRIM(SUBSTITUTE(SUBSTITUTE(OFFSET($Q1644,0,COLUMN()-COLUMN($AL$1)),CHAR(160)," "),_xludf.UNICHAR(8239)," "))</f>
        <v>#NAME?</v>
      </c>
      <c r="Z1644" s="58" t="str">
        <f t="shared" si="1484"/>
        <v>#NAME?</v>
      </c>
      <c r="AA1644" s="58" t="str">
        <f t="shared" si="1484"/>
        <v>#NAME?</v>
      </c>
      <c r="AB1644" s="58" t="str">
        <f t="shared" si="1484"/>
        <v>#NAME?</v>
      </c>
      <c r="AC1644" s="58" t="str">
        <f t="shared" si="1484"/>
        <v>#NAME?</v>
      </c>
      <c r="AD1644" s="57">
        <f t="shared" si="906"/>
        <v>0</v>
      </c>
      <c r="AE1644" s="57" t="str">
        <f t="shared" si="907"/>
        <v/>
      </c>
      <c r="AF1644" s="57">
        <f t="shared" si="908"/>
        <v>0</v>
      </c>
      <c r="AG1644" s="59">
        <f t="shared" si="909"/>
        <v>0</v>
      </c>
      <c r="AH1644" s="15"/>
      <c r="AI1644" s="15"/>
      <c r="AJ1644" s="15"/>
      <c r="AK1644" s="15"/>
      <c r="AL1644" s="15"/>
      <c r="AM1644" s="15"/>
      <c r="AN1644" s="15"/>
      <c r="AO1644" s="15"/>
      <c r="AP1644" s="15"/>
      <c r="AQ1644" s="15"/>
      <c r="AR1644" s="15"/>
      <c r="AS1644" s="15"/>
      <c r="AT1644" s="15"/>
      <c r="AU1644" s="15"/>
    </row>
    <row r="1645" ht="24.0" customHeight="1">
      <c r="A1645" s="45">
        <v>3069.0</v>
      </c>
      <c r="B1645" s="57"/>
      <c r="C1645" s="57"/>
      <c r="D1645" s="88" t="str">
        <f t="array" ref="D1645">IFERROR(
  LOOKUP(2, 1/((TRIM(IMS!$E$8:$E$2574)=TRIM(IMS!$E1645))*(IMS!$C$8:$C$2574&lt;IMS!$C1645)),
         IMS!$C$8:$C$2574),
"")</f>
        <v/>
      </c>
      <c r="E1645" s="57"/>
      <c r="F1645" s="57"/>
      <c r="G1645" s="77" t="str">
        <f t="shared" si="901"/>
        <v/>
      </c>
      <c r="H1645" s="78" t="str">
        <f t="shared" si="902"/>
        <v/>
      </c>
      <c r="I1645" s="79"/>
      <c r="J1645" s="80" t="str">
        <f t="shared" si="903"/>
        <v>#NAME?</v>
      </c>
      <c r="K1645" s="58"/>
      <c r="L1645" s="58"/>
      <c r="M1645" s="57"/>
      <c r="N1645" s="57"/>
      <c r="O1645" s="58"/>
      <c r="P1645" s="82"/>
      <c r="Q1645" s="81"/>
      <c r="R1645" s="81"/>
      <c r="S1645" s="57"/>
      <c r="T1645" s="82"/>
      <c r="U1645" s="82"/>
      <c r="V1645" s="57"/>
      <c r="W1645" s="57"/>
      <c r="X1645" s="57" t="str">
        <f t="shared" si="917"/>
        <v/>
      </c>
      <c r="Y1645" s="58" t="str">
        <f t="shared" ref="Y1645:AC1645" si="1485">TRIM(SUBSTITUTE(SUBSTITUTE(OFFSET($Q1645,0,COLUMN()-COLUMN($AL$1)),CHAR(160)," "),_xludf.UNICHAR(8239)," "))</f>
        <v>#NAME?</v>
      </c>
      <c r="Z1645" s="58" t="str">
        <f t="shared" si="1485"/>
        <v>#NAME?</v>
      </c>
      <c r="AA1645" s="58" t="str">
        <f t="shared" si="1485"/>
        <v>#NAME?</v>
      </c>
      <c r="AB1645" s="58" t="str">
        <f t="shared" si="1485"/>
        <v>#NAME?</v>
      </c>
      <c r="AC1645" s="58" t="str">
        <f t="shared" si="1485"/>
        <v>#NAME?</v>
      </c>
      <c r="AD1645" s="57">
        <f t="shared" si="906"/>
        <v>0</v>
      </c>
      <c r="AE1645" s="57" t="str">
        <f t="shared" si="907"/>
        <v/>
      </c>
      <c r="AF1645" s="57">
        <f t="shared" si="908"/>
        <v>0</v>
      </c>
      <c r="AG1645" s="59">
        <f t="shared" si="909"/>
        <v>0</v>
      </c>
      <c r="AH1645" s="15"/>
      <c r="AI1645" s="15"/>
      <c r="AJ1645" s="15"/>
      <c r="AK1645" s="15"/>
      <c r="AL1645" s="15"/>
      <c r="AM1645" s="15"/>
      <c r="AN1645" s="15"/>
      <c r="AO1645" s="15"/>
      <c r="AP1645" s="15"/>
      <c r="AQ1645" s="15"/>
      <c r="AR1645" s="15"/>
      <c r="AS1645" s="15"/>
      <c r="AT1645" s="15"/>
      <c r="AU1645" s="15"/>
    </row>
    <row r="1646" ht="24.0" customHeight="1">
      <c r="A1646" s="45">
        <v>3070.0</v>
      </c>
      <c r="B1646" s="57"/>
      <c r="C1646" s="57"/>
      <c r="D1646" s="88" t="str">
        <f t="array" ref="D1646">IFERROR(
  LOOKUP(2, 1/((TRIM(IMS!$E$8:$E$2574)=TRIM(IMS!$E1646))*(IMS!$C$8:$C$2574&lt;IMS!$C1646)),
         IMS!$C$8:$C$2574),
"")</f>
        <v/>
      </c>
      <c r="E1646" s="57"/>
      <c r="F1646" s="57"/>
      <c r="G1646" s="77" t="str">
        <f t="shared" si="901"/>
        <v/>
      </c>
      <c r="H1646" s="78" t="str">
        <f t="shared" si="902"/>
        <v/>
      </c>
      <c r="I1646" s="79"/>
      <c r="J1646" s="80" t="str">
        <f t="shared" si="903"/>
        <v>#NAME?</v>
      </c>
      <c r="K1646" s="58"/>
      <c r="L1646" s="58"/>
      <c r="M1646" s="57"/>
      <c r="N1646" s="57"/>
      <c r="O1646" s="58"/>
      <c r="P1646" s="82"/>
      <c r="Q1646" s="81"/>
      <c r="R1646" s="81"/>
      <c r="S1646" s="57"/>
      <c r="T1646" s="82"/>
      <c r="U1646" s="82"/>
      <c r="V1646" s="57"/>
      <c r="W1646" s="57"/>
      <c r="X1646" s="57" t="str">
        <f t="shared" si="917"/>
        <v/>
      </c>
      <c r="Y1646" s="58" t="str">
        <f t="shared" ref="Y1646:AC1646" si="1486">TRIM(SUBSTITUTE(SUBSTITUTE(OFFSET($Q1646,0,COLUMN()-COLUMN($AL$1)),CHAR(160)," "),_xludf.UNICHAR(8239)," "))</f>
        <v>#NAME?</v>
      </c>
      <c r="Z1646" s="58" t="str">
        <f t="shared" si="1486"/>
        <v>#NAME?</v>
      </c>
      <c r="AA1646" s="58" t="str">
        <f t="shared" si="1486"/>
        <v>#NAME?</v>
      </c>
      <c r="AB1646" s="58" t="str">
        <f t="shared" si="1486"/>
        <v>#NAME?</v>
      </c>
      <c r="AC1646" s="58" t="str">
        <f t="shared" si="1486"/>
        <v>#NAME?</v>
      </c>
      <c r="AD1646" s="57">
        <f t="shared" si="906"/>
        <v>0</v>
      </c>
      <c r="AE1646" s="57" t="str">
        <f t="shared" si="907"/>
        <v/>
      </c>
      <c r="AF1646" s="57">
        <f t="shared" si="908"/>
        <v>0</v>
      </c>
      <c r="AG1646" s="59">
        <f t="shared" si="909"/>
        <v>0</v>
      </c>
      <c r="AH1646" s="15"/>
      <c r="AI1646" s="15"/>
      <c r="AJ1646" s="15"/>
      <c r="AK1646" s="15"/>
      <c r="AL1646" s="15"/>
      <c r="AM1646" s="15"/>
      <c r="AN1646" s="15"/>
      <c r="AO1646" s="15"/>
      <c r="AP1646" s="15"/>
      <c r="AQ1646" s="15"/>
      <c r="AR1646" s="15"/>
      <c r="AS1646" s="15"/>
      <c r="AT1646" s="15"/>
      <c r="AU1646" s="15"/>
    </row>
    <row r="1647" ht="24.0" customHeight="1">
      <c r="A1647" s="45">
        <v>3071.0</v>
      </c>
      <c r="B1647" s="57"/>
      <c r="C1647" s="57"/>
      <c r="D1647" s="88" t="str">
        <f t="array" ref="D1647">IFERROR(
  LOOKUP(2, 1/((TRIM(IMS!$E$8:$E$2574)=TRIM(IMS!$E1647))*(IMS!$C$8:$C$2574&lt;IMS!$C1647)),
         IMS!$C$8:$C$2574),
"")</f>
        <v/>
      </c>
      <c r="E1647" s="57"/>
      <c r="F1647" s="57"/>
      <c r="G1647" s="77" t="str">
        <f t="shared" si="901"/>
        <v/>
      </c>
      <c r="H1647" s="78" t="str">
        <f t="shared" si="902"/>
        <v/>
      </c>
      <c r="I1647" s="79"/>
      <c r="J1647" s="80" t="str">
        <f t="shared" si="903"/>
        <v>#NAME?</v>
      </c>
      <c r="K1647" s="58"/>
      <c r="L1647" s="58"/>
      <c r="M1647" s="57"/>
      <c r="N1647" s="57"/>
      <c r="O1647" s="58"/>
      <c r="P1647" s="82"/>
      <c r="Q1647" s="81"/>
      <c r="R1647" s="81"/>
      <c r="S1647" s="57"/>
      <c r="T1647" s="82"/>
      <c r="U1647" s="82"/>
      <c r="V1647" s="57"/>
      <c r="W1647" s="57"/>
      <c r="X1647" s="57" t="str">
        <f t="shared" si="917"/>
        <v/>
      </c>
      <c r="Y1647" s="58" t="str">
        <f t="shared" ref="Y1647:AC1647" si="1487">TRIM(SUBSTITUTE(SUBSTITUTE(OFFSET($Q1647,0,COLUMN()-COLUMN($AL$1)),CHAR(160)," "),_xludf.UNICHAR(8239)," "))</f>
        <v>#NAME?</v>
      </c>
      <c r="Z1647" s="58" t="str">
        <f t="shared" si="1487"/>
        <v>#NAME?</v>
      </c>
      <c r="AA1647" s="58" t="str">
        <f t="shared" si="1487"/>
        <v>#NAME?</v>
      </c>
      <c r="AB1647" s="58" t="str">
        <f t="shared" si="1487"/>
        <v>#NAME?</v>
      </c>
      <c r="AC1647" s="58" t="str">
        <f t="shared" si="1487"/>
        <v>#NAME?</v>
      </c>
      <c r="AD1647" s="57">
        <f t="shared" si="906"/>
        <v>0</v>
      </c>
      <c r="AE1647" s="57" t="str">
        <f t="shared" si="907"/>
        <v/>
      </c>
      <c r="AF1647" s="57">
        <f t="shared" si="908"/>
        <v>0</v>
      </c>
      <c r="AG1647" s="59">
        <f t="shared" si="909"/>
        <v>0</v>
      </c>
      <c r="AH1647" s="15"/>
      <c r="AI1647" s="15"/>
      <c r="AJ1647" s="15"/>
      <c r="AK1647" s="15"/>
      <c r="AL1647" s="15"/>
      <c r="AM1647" s="15"/>
      <c r="AN1647" s="15"/>
      <c r="AO1647" s="15"/>
      <c r="AP1647" s="15"/>
      <c r="AQ1647" s="15"/>
      <c r="AR1647" s="15"/>
      <c r="AS1647" s="15"/>
      <c r="AT1647" s="15"/>
      <c r="AU1647" s="15"/>
    </row>
    <row r="1648" ht="24.0" customHeight="1">
      <c r="A1648" s="45">
        <v>3072.0</v>
      </c>
      <c r="B1648" s="57"/>
      <c r="C1648" s="57"/>
      <c r="D1648" s="88" t="str">
        <f t="array" ref="D1648">IFERROR(
  LOOKUP(2, 1/((TRIM(IMS!$E$8:$E$2574)=TRIM(IMS!$E1648))*(IMS!$C$8:$C$2574&lt;IMS!$C1648)),
         IMS!$C$8:$C$2574),
"")</f>
        <v/>
      </c>
      <c r="E1648" s="57"/>
      <c r="F1648" s="57"/>
      <c r="G1648" s="77" t="str">
        <f t="shared" si="901"/>
        <v/>
      </c>
      <c r="H1648" s="78" t="str">
        <f t="shared" si="902"/>
        <v/>
      </c>
      <c r="I1648" s="79"/>
      <c r="J1648" s="80" t="str">
        <f t="shared" si="903"/>
        <v>#NAME?</v>
      </c>
      <c r="K1648" s="58"/>
      <c r="L1648" s="58"/>
      <c r="M1648" s="57"/>
      <c r="N1648" s="57"/>
      <c r="O1648" s="58"/>
      <c r="P1648" s="82"/>
      <c r="Q1648" s="81"/>
      <c r="R1648" s="81"/>
      <c r="S1648" s="57"/>
      <c r="T1648" s="82"/>
      <c r="U1648" s="82"/>
      <c r="V1648" s="57"/>
      <c r="W1648" s="57"/>
      <c r="X1648" s="57" t="str">
        <f t="shared" si="917"/>
        <v/>
      </c>
      <c r="Y1648" s="58" t="str">
        <f t="shared" ref="Y1648:AC1648" si="1488">TRIM(SUBSTITUTE(SUBSTITUTE(OFFSET($Q1648,0,COLUMN()-COLUMN($AL$1)),CHAR(160)," "),_xludf.UNICHAR(8239)," "))</f>
        <v>#NAME?</v>
      </c>
      <c r="Z1648" s="58" t="str">
        <f t="shared" si="1488"/>
        <v>#NAME?</v>
      </c>
      <c r="AA1648" s="58" t="str">
        <f t="shared" si="1488"/>
        <v>#NAME?</v>
      </c>
      <c r="AB1648" s="58" t="str">
        <f t="shared" si="1488"/>
        <v>#NAME?</v>
      </c>
      <c r="AC1648" s="58" t="str">
        <f t="shared" si="1488"/>
        <v>#NAME?</v>
      </c>
      <c r="AD1648" s="57">
        <f t="shared" si="906"/>
        <v>0</v>
      </c>
      <c r="AE1648" s="57" t="str">
        <f t="shared" si="907"/>
        <v/>
      </c>
      <c r="AF1648" s="57">
        <f t="shared" si="908"/>
        <v>0</v>
      </c>
      <c r="AG1648" s="59">
        <f t="shared" si="909"/>
        <v>0</v>
      </c>
      <c r="AH1648" s="15"/>
      <c r="AI1648" s="15"/>
      <c r="AJ1648" s="15"/>
      <c r="AK1648" s="15"/>
      <c r="AL1648" s="15"/>
      <c r="AM1648" s="15"/>
      <c r="AN1648" s="15"/>
      <c r="AO1648" s="15"/>
      <c r="AP1648" s="15"/>
      <c r="AQ1648" s="15"/>
      <c r="AR1648" s="15"/>
      <c r="AS1648" s="15"/>
      <c r="AT1648" s="15"/>
      <c r="AU1648" s="15"/>
    </row>
    <row r="1649" ht="24.0" customHeight="1">
      <c r="A1649" s="45">
        <v>3073.0</v>
      </c>
      <c r="B1649" s="57"/>
      <c r="C1649" s="57"/>
      <c r="D1649" s="88" t="str">
        <f t="array" ref="D1649">IFERROR(
  LOOKUP(2, 1/((TRIM(IMS!$E$8:$E$2574)=TRIM(IMS!$E1649))*(IMS!$C$8:$C$2574&lt;IMS!$C1649)),
         IMS!$C$8:$C$2574),
"")</f>
        <v/>
      </c>
      <c r="E1649" s="57"/>
      <c r="F1649" s="57"/>
      <c r="G1649" s="77" t="str">
        <f t="shared" si="901"/>
        <v/>
      </c>
      <c r="H1649" s="78" t="str">
        <f t="shared" si="902"/>
        <v/>
      </c>
      <c r="I1649" s="79"/>
      <c r="J1649" s="80" t="str">
        <f t="shared" si="903"/>
        <v>#NAME?</v>
      </c>
      <c r="K1649" s="58"/>
      <c r="L1649" s="58"/>
      <c r="M1649" s="57"/>
      <c r="N1649" s="57"/>
      <c r="O1649" s="58"/>
      <c r="P1649" s="82"/>
      <c r="Q1649" s="81"/>
      <c r="R1649" s="81"/>
      <c r="S1649" s="57"/>
      <c r="T1649" s="82"/>
      <c r="U1649" s="82"/>
      <c r="V1649" s="57"/>
      <c r="W1649" s="57"/>
      <c r="X1649" s="57" t="str">
        <f t="shared" si="917"/>
        <v/>
      </c>
      <c r="Y1649" s="58" t="str">
        <f t="shared" ref="Y1649:AC1649" si="1489">TRIM(SUBSTITUTE(SUBSTITUTE(OFFSET($Q1649,0,COLUMN()-COLUMN($AL$1)),CHAR(160)," "),_xludf.UNICHAR(8239)," "))</f>
        <v>#NAME?</v>
      </c>
      <c r="Z1649" s="58" t="str">
        <f t="shared" si="1489"/>
        <v>#NAME?</v>
      </c>
      <c r="AA1649" s="58" t="str">
        <f t="shared" si="1489"/>
        <v>#NAME?</v>
      </c>
      <c r="AB1649" s="58" t="str">
        <f t="shared" si="1489"/>
        <v>#NAME?</v>
      </c>
      <c r="AC1649" s="58" t="str">
        <f t="shared" si="1489"/>
        <v>#NAME?</v>
      </c>
      <c r="AD1649" s="57">
        <f t="shared" si="906"/>
        <v>0</v>
      </c>
      <c r="AE1649" s="57" t="str">
        <f t="shared" si="907"/>
        <v/>
      </c>
      <c r="AF1649" s="57">
        <f t="shared" si="908"/>
        <v>0</v>
      </c>
      <c r="AG1649" s="59">
        <f t="shared" si="909"/>
        <v>0</v>
      </c>
      <c r="AH1649" s="15"/>
      <c r="AI1649" s="15"/>
      <c r="AJ1649" s="15"/>
      <c r="AK1649" s="15"/>
      <c r="AL1649" s="15"/>
      <c r="AM1649" s="15"/>
      <c r="AN1649" s="15"/>
      <c r="AO1649" s="15"/>
      <c r="AP1649" s="15"/>
      <c r="AQ1649" s="15"/>
      <c r="AR1649" s="15"/>
      <c r="AS1649" s="15"/>
      <c r="AT1649" s="15"/>
      <c r="AU1649" s="15"/>
    </row>
    <row r="1650" ht="24.0" customHeight="1">
      <c r="A1650" s="45">
        <v>3074.0</v>
      </c>
      <c r="B1650" s="57"/>
      <c r="C1650" s="57"/>
      <c r="D1650" s="88" t="str">
        <f t="array" ref="D1650">IFERROR(
  LOOKUP(2, 1/((TRIM(IMS!$E$8:$E$2574)=TRIM(IMS!$E1650))*(IMS!$C$8:$C$2574&lt;IMS!$C1650)),
         IMS!$C$8:$C$2574),
"")</f>
        <v/>
      </c>
      <c r="E1650" s="57"/>
      <c r="F1650" s="57"/>
      <c r="G1650" s="77" t="str">
        <f t="shared" si="901"/>
        <v/>
      </c>
      <c r="H1650" s="78" t="str">
        <f t="shared" si="902"/>
        <v/>
      </c>
      <c r="I1650" s="79"/>
      <c r="J1650" s="80" t="str">
        <f t="shared" si="903"/>
        <v>#NAME?</v>
      </c>
      <c r="K1650" s="58"/>
      <c r="L1650" s="58"/>
      <c r="M1650" s="57"/>
      <c r="N1650" s="57"/>
      <c r="O1650" s="58"/>
      <c r="P1650" s="82"/>
      <c r="Q1650" s="81"/>
      <c r="R1650" s="81"/>
      <c r="S1650" s="57"/>
      <c r="T1650" s="82"/>
      <c r="U1650" s="82"/>
      <c r="V1650" s="57"/>
      <c r="W1650" s="57"/>
      <c r="X1650" s="57" t="str">
        <f t="shared" si="917"/>
        <v/>
      </c>
      <c r="Y1650" s="58" t="str">
        <f t="shared" ref="Y1650:AC1650" si="1490">TRIM(SUBSTITUTE(SUBSTITUTE(OFFSET($Q1650,0,COLUMN()-COLUMN($AL$1)),CHAR(160)," "),_xludf.UNICHAR(8239)," "))</f>
        <v>#NAME?</v>
      </c>
      <c r="Z1650" s="58" t="str">
        <f t="shared" si="1490"/>
        <v>#NAME?</v>
      </c>
      <c r="AA1650" s="58" t="str">
        <f t="shared" si="1490"/>
        <v>#NAME?</v>
      </c>
      <c r="AB1650" s="58" t="str">
        <f t="shared" si="1490"/>
        <v>#NAME?</v>
      </c>
      <c r="AC1650" s="58" t="str">
        <f t="shared" si="1490"/>
        <v>#NAME?</v>
      </c>
      <c r="AD1650" s="57">
        <f t="shared" si="906"/>
        <v>0</v>
      </c>
      <c r="AE1650" s="57" t="str">
        <f t="shared" si="907"/>
        <v/>
      </c>
      <c r="AF1650" s="57">
        <f t="shared" si="908"/>
        <v>0</v>
      </c>
      <c r="AG1650" s="59">
        <f t="shared" si="909"/>
        <v>0</v>
      </c>
      <c r="AH1650" s="15"/>
      <c r="AI1650" s="15"/>
      <c r="AJ1650" s="15"/>
      <c r="AK1650" s="15"/>
      <c r="AL1650" s="15"/>
      <c r="AM1650" s="15"/>
      <c r="AN1650" s="15"/>
      <c r="AO1650" s="15"/>
      <c r="AP1650" s="15"/>
      <c r="AQ1650" s="15"/>
      <c r="AR1650" s="15"/>
      <c r="AS1650" s="15"/>
      <c r="AT1650" s="15"/>
      <c r="AU1650" s="15"/>
    </row>
    <row r="1651" ht="24.0" customHeight="1">
      <c r="A1651" s="45">
        <v>3075.0</v>
      </c>
      <c r="B1651" s="57"/>
      <c r="C1651" s="57"/>
      <c r="D1651" s="88" t="str">
        <f t="array" ref="D1651">IFERROR(
  LOOKUP(2, 1/((TRIM(IMS!$E$8:$E$2574)=TRIM(IMS!$E1651))*(IMS!$C$8:$C$2574&lt;IMS!$C1651)),
         IMS!$C$8:$C$2574),
"")</f>
        <v/>
      </c>
      <c r="E1651" s="57"/>
      <c r="F1651" s="57"/>
      <c r="G1651" s="77" t="str">
        <f t="shared" si="901"/>
        <v/>
      </c>
      <c r="H1651" s="78" t="str">
        <f t="shared" si="902"/>
        <v/>
      </c>
      <c r="I1651" s="79"/>
      <c r="J1651" s="80" t="str">
        <f t="shared" si="903"/>
        <v>#NAME?</v>
      </c>
      <c r="K1651" s="58"/>
      <c r="L1651" s="58"/>
      <c r="M1651" s="57"/>
      <c r="N1651" s="57"/>
      <c r="O1651" s="58"/>
      <c r="P1651" s="82"/>
      <c r="Q1651" s="81"/>
      <c r="R1651" s="81"/>
      <c r="S1651" s="57"/>
      <c r="T1651" s="82"/>
      <c r="U1651" s="82"/>
      <c r="V1651" s="57"/>
      <c r="W1651" s="57"/>
      <c r="X1651" s="57" t="str">
        <f t="shared" si="917"/>
        <v/>
      </c>
      <c r="Y1651" s="58" t="str">
        <f t="shared" ref="Y1651:AC1651" si="1491">TRIM(SUBSTITUTE(SUBSTITUTE(OFFSET($Q1651,0,COLUMN()-COLUMN($AL$1)),CHAR(160)," "),_xludf.UNICHAR(8239)," "))</f>
        <v>#NAME?</v>
      </c>
      <c r="Z1651" s="58" t="str">
        <f t="shared" si="1491"/>
        <v>#NAME?</v>
      </c>
      <c r="AA1651" s="58" t="str">
        <f t="shared" si="1491"/>
        <v>#NAME?</v>
      </c>
      <c r="AB1651" s="58" t="str">
        <f t="shared" si="1491"/>
        <v>#NAME?</v>
      </c>
      <c r="AC1651" s="58" t="str">
        <f t="shared" si="1491"/>
        <v>#NAME?</v>
      </c>
      <c r="AD1651" s="57">
        <f t="shared" si="906"/>
        <v>0</v>
      </c>
      <c r="AE1651" s="57" t="str">
        <f t="shared" si="907"/>
        <v/>
      </c>
      <c r="AF1651" s="57">
        <f t="shared" si="908"/>
        <v>0</v>
      </c>
      <c r="AG1651" s="59">
        <f t="shared" si="909"/>
        <v>0</v>
      </c>
      <c r="AH1651" s="15"/>
      <c r="AI1651" s="15"/>
      <c r="AJ1651" s="15"/>
      <c r="AK1651" s="15"/>
      <c r="AL1651" s="15"/>
      <c r="AM1651" s="15"/>
      <c r="AN1651" s="15"/>
      <c r="AO1651" s="15"/>
      <c r="AP1651" s="15"/>
      <c r="AQ1651" s="15"/>
      <c r="AR1651" s="15"/>
      <c r="AS1651" s="15"/>
      <c r="AT1651" s="15"/>
      <c r="AU1651" s="15"/>
    </row>
    <row r="1652" ht="24.0" customHeight="1">
      <c r="A1652" s="45">
        <v>3076.0</v>
      </c>
      <c r="B1652" s="57"/>
      <c r="C1652" s="57"/>
      <c r="D1652" s="88" t="str">
        <f t="array" ref="D1652">IFERROR(
  LOOKUP(2, 1/((TRIM(IMS!$E$8:$E$2574)=TRIM(IMS!$E1652))*(IMS!$C$8:$C$2574&lt;IMS!$C1652)),
         IMS!$C$8:$C$2574),
"")</f>
        <v/>
      </c>
      <c r="E1652" s="57"/>
      <c r="F1652" s="57"/>
      <c r="G1652" s="77" t="str">
        <f t="shared" si="901"/>
        <v/>
      </c>
      <c r="H1652" s="78" t="str">
        <f t="shared" si="902"/>
        <v/>
      </c>
      <c r="I1652" s="79"/>
      <c r="J1652" s="80" t="str">
        <f t="shared" si="903"/>
        <v>#NAME?</v>
      </c>
      <c r="K1652" s="58"/>
      <c r="L1652" s="58"/>
      <c r="M1652" s="57"/>
      <c r="N1652" s="57"/>
      <c r="O1652" s="58"/>
      <c r="P1652" s="82"/>
      <c r="Q1652" s="81"/>
      <c r="R1652" s="81"/>
      <c r="S1652" s="57"/>
      <c r="T1652" s="82"/>
      <c r="U1652" s="82"/>
      <c r="V1652" s="57"/>
      <c r="W1652" s="57"/>
      <c r="X1652" s="57" t="str">
        <f t="shared" si="917"/>
        <v/>
      </c>
      <c r="Y1652" s="58" t="str">
        <f t="shared" ref="Y1652:AC1652" si="1492">TRIM(SUBSTITUTE(SUBSTITUTE(OFFSET($Q1652,0,COLUMN()-COLUMN($AL$1)),CHAR(160)," "),_xludf.UNICHAR(8239)," "))</f>
        <v>#NAME?</v>
      </c>
      <c r="Z1652" s="58" t="str">
        <f t="shared" si="1492"/>
        <v>#NAME?</v>
      </c>
      <c r="AA1652" s="58" t="str">
        <f t="shared" si="1492"/>
        <v>#NAME?</v>
      </c>
      <c r="AB1652" s="58" t="str">
        <f t="shared" si="1492"/>
        <v>#NAME?</v>
      </c>
      <c r="AC1652" s="58" t="str">
        <f t="shared" si="1492"/>
        <v>#NAME?</v>
      </c>
      <c r="AD1652" s="57">
        <f t="shared" si="906"/>
        <v>0</v>
      </c>
      <c r="AE1652" s="57" t="str">
        <f t="shared" si="907"/>
        <v/>
      </c>
      <c r="AF1652" s="57">
        <f t="shared" si="908"/>
        <v>0</v>
      </c>
      <c r="AG1652" s="59">
        <f t="shared" si="909"/>
        <v>0</v>
      </c>
      <c r="AH1652" s="15"/>
      <c r="AI1652" s="15"/>
      <c r="AJ1652" s="15"/>
      <c r="AK1652" s="15"/>
      <c r="AL1652" s="15"/>
      <c r="AM1652" s="15"/>
      <c r="AN1652" s="15"/>
      <c r="AO1652" s="15"/>
      <c r="AP1652" s="15"/>
      <c r="AQ1652" s="15"/>
      <c r="AR1652" s="15"/>
      <c r="AS1652" s="15"/>
      <c r="AT1652" s="15"/>
      <c r="AU1652" s="15"/>
    </row>
    <row r="1653" ht="24.0" customHeight="1">
      <c r="A1653" s="45">
        <v>3077.0</v>
      </c>
      <c r="B1653" s="57"/>
      <c r="C1653" s="57"/>
      <c r="D1653" s="88" t="str">
        <f t="array" ref="D1653">IFERROR(
  LOOKUP(2, 1/((TRIM(IMS!$E$8:$E$2574)=TRIM(IMS!$E1653))*(IMS!$C$8:$C$2574&lt;IMS!$C1653)),
         IMS!$C$8:$C$2574),
"")</f>
        <v/>
      </c>
      <c r="E1653" s="57"/>
      <c r="F1653" s="57"/>
      <c r="G1653" s="77" t="str">
        <f t="shared" si="901"/>
        <v/>
      </c>
      <c r="H1653" s="78" t="str">
        <f t="shared" si="902"/>
        <v/>
      </c>
      <c r="I1653" s="79"/>
      <c r="J1653" s="80" t="str">
        <f t="shared" si="903"/>
        <v>#NAME?</v>
      </c>
      <c r="K1653" s="58"/>
      <c r="L1653" s="58"/>
      <c r="M1653" s="57"/>
      <c r="N1653" s="57"/>
      <c r="O1653" s="58"/>
      <c r="P1653" s="82"/>
      <c r="Q1653" s="81"/>
      <c r="R1653" s="81"/>
      <c r="S1653" s="57"/>
      <c r="T1653" s="82"/>
      <c r="U1653" s="82"/>
      <c r="V1653" s="57"/>
      <c r="W1653" s="57"/>
      <c r="X1653" s="57" t="str">
        <f t="shared" si="917"/>
        <v/>
      </c>
      <c r="Y1653" s="58" t="str">
        <f t="shared" ref="Y1653:AC1653" si="1493">TRIM(SUBSTITUTE(SUBSTITUTE(OFFSET($Q1653,0,COLUMN()-COLUMN($AL$1)),CHAR(160)," "),_xludf.UNICHAR(8239)," "))</f>
        <v>#NAME?</v>
      </c>
      <c r="Z1653" s="58" t="str">
        <f t="shared" si="1493"/>
        <v>#NAME?</v>
      </c>
      <c r="AA1653" s="58" t="str">
        <f t="shared" si="1493"/>
        <v>#NAME?</v>
      </c>
      <c r="AB1653" s="58" t="str">
        <f t="shared" si="1493"/>
        <v>#NAME?</v>
      </c>
      <c r="AC1653" s="58" t="str">
        <f t="shared" si="1493"/>
        <v>#NAME?</v>
      </c>
      <c r="AD1653" s="57">
        <f t="shared" si="906"/>
        <v>0</v>
      </c>
      <c r="AE1653" s="57" t="str">
        <f t="shared" si="907"/>
        <v/>
      </c>
      <c r="AF1653" s="57">
        <f t="shared" si="908"/>
        <v>0</v>
      </c>
      <c r="AG1653" s="59">
        <f t="shared" si="909"/>
        <v>0</v>
      </c>
      <c r="AH1653" s="15"/>
      <c r="AI1653" s="15"/>
      <c r="AJ1653" s="15"/>
      <c r="AK1653" s="15"/>
      <c r="AL1653" s="15"/>
      <c r="AM1653" s="15"/>
      <c r="AN1653" s="15"/>
      <c r="AO1653" s="15"/>
      <c r="AP1653" s="15"/>
      <c r="AQ1653" s="15"/>
      <c r="AR1653" s="15"/>
      <c r="AS1653" s="15"/>
      <c r="AT1653" s="15"/>
      <c r="AU1653" s="15"/>
    </row>
    <row r="1654" ht="24.0" customHeight="1">
      <c r="A1654" s="45">
        <v>3078.0</v>
      </c>
      <c r="B1654" s="57"/>
      <c r="C1654" s="57"/>
      <c r="D1654" s="88" t="str">
        <f t="array" ref="D1654">IFERROR(
  LOOKUP(2, 1/((TRIM(IMS!$E$8:$E$2574)=TRIM(IMS!$E1654))*(IMS!$C$8:$C$2574&lt;IMS!$C1654)),
         IMS!$C$8:$C$2574),
"")</f>
        <v/>
      </c>
      <c r="E1654" s="57"/>
      <c r="F1654" s="57"/>
      <c r="G1654" s="77" t="str">
        <f t="shared" si="901"/>
        <v/>
      </c>
      <c r="H1654" s="78" t="str">
        <f t="shared" si="902"/>
        <v/>
      </c>
      <c r="I1654" s="79"/>
      <c r="J1654" s="80" t="str">
        <f t="shared" si="903"/>
        <v>#NAME?</v>
      </c>
      <c r="K1654" s="58"/>
      <c r="L1654" s="58"/>
      <c r="M1654" s="57"/>
      <c r="N1654" s="57"/>
      <c r="O1654" s="58"/>
      <c r="P1654" s="82"/>
      <c r="Q1654" s="81"/>
      <c r="R1654" s="81"/>
      <c r="S1654" s="57"/>
      <c r="T1654" s="82"/>
      <c r="U1654" s="82"/>
      <c r="V1654" s="57"/>
      <c r="W1654" s="57"/>
      <c r="X1654" s="57" t="str">
        <f t="shared" si="917"/>
        <v/>
      </c>
      <c r="Y1654" s="58" t="str">
        <f t="shared" ref="Y1654:AC1654" si="1494">TRIM(SUBSTITUTE(SUBSTITUTE(OFFSET($Q1654,0,COLUMN()-COLUMN($AL$1)),CHAR(160)," "),_xludf.UNICHAR(8239)," "))</f>
        <v>#NAME?</v>
      </c>
      <c r="Z1654" s="58" t="str">
        <f t="shared" si="1494"/>
        <v>#NAME?</v>
      </c>
      <c r="AA1654" s="58" t="str">
        <f t="shared" si="1494"/>
        <v>#NAME?</v>
      </c>
      <c r="AB1654" s="58" t="str">
        <f t="shared" si="1494"/>
        <v>#NAME?</v>
      </c>
      <c r="AC1654" s="58" t="str">
        <f t="shared" si="1494"/>
        <v>#NAME?</v>
      </c>
      <c r="AD1654" s="57">
        <f t="shared" si="906"/>
        <v>0</v>
      </c>
      <c r="AE1654" s="57" t="str">
        <f t="shared" si="907"/>
        <v/>
      </c>
      <c r="AF1654" s="57">
        <f t="shared" si="908"/>
        <v>0</v>
      </c>
      <c r="AG1654" s="59">
        <f t="shared" si="909"/>
        <v>0</v>
      </c>
      <c r="AH1654" s="15"/>
      <c r="AI1654" s="15"/>
      <c r="AJ1654" s="15"/>
      <c r="AK1654" s="15"/>
      <c r="AL1654" s="15"/>
      <c r="AM1654" s="15"/>
      <c r="AN1654" s="15"/>
      <c r="AO1654" s="15"/>
      <c r="AP1654" s="15"/>
      <c r="AQ1654" s="15"/>
      <c r="AR1654" s="15"/>
      <c r="AS1654" s="15"/>
      <c r="AT1654" s="15"/>
      <c r="AU1654" s="15"/>
    </row>
    <row r="1655" ht="24.0" customHeight="1">
      <c r="A1655" s="45">
        <v>3079.0</v>
      </c>
      <c r="B1655" s="57"/>
      <c r="C1655" s="57"/>
      <c r="D1655" s="88" t="str">
        <f t="array" ref="D1655">IFERROR(
  LOOKUP(2, 1/((TRIM(IMS!$E$8:$E$2574)=TRIM(IMS!$E1655))*(IMS!$C$8:$C$2574&lt;IMS!$C1655)),
         IMS!$C$8:$C$2574),
"")</f>
        <v/>
      </c>
      <c r="E1655" s="57"/>
      <c r="F1655" s="57"/>
      <c r="G1655" s="77" t="str">
        <f t="shared" si="901"/>
        <v/>
      </c>
      <c r="H1655" s="78" t="str">
        <f t="shared" si="902"/>
        <v/>
      </c>
      <c r="I1655" s="79"/>
      <c r="J1655" s="80" t="str">
        <f t="shared" si="903"/>
        <v>#NAME?</v>
      </c>
      <c r="K1655" s="58"/>
      <c r="L1655" s="58"/>
      <c r="M1655" s="57"/>
      <c r="N1655" s="57"/>
      <c r="O1655" s="58"/>
      <c r="P1655" s="82"/>
      <c r="Q1655" s="81"/>
      <c r="R1655" s="81"/>
      <c r="S1655" s="57"/>
      <c r="T1655" s="82"/>
      <c r="U1655" s="82"/>
      <c r="V1655" s="57"/>
      <c r="W1655" s="57"/>
      <c r="X1655" s="57" t="str">
        <f t="shared" si="917"/>
        <v/>
      </c>
      <c r="Y1655" s="58" t="str">
        <f t="shared" ref="Y1655:AC1655" si="1495">TRIM(SUBSTITUTE(SUBSTITUTE(OFFSET($Q1655,0,COLUMN()-COLUMN($AL$1)),CHAR(160)," "),_xludf.UNICHAR(8239)," "))</f>
        <v>#NAME?</v>
      </c>
      <c r="Z1655" s="58" t="str">
        <f t="shared" si="1495"/>
        <v>#NAME?</v>
      </c>
      <c r="AA1655" s="58" t="str">
        <f t="shared" si="1495"/>
        <v>#NAME?</v>
      </c>
      <c r="AB1655" s="58" t="str">
        <f t="shared" si="1495"/>
        <v>#NAME?</v>
      </c>
      <c r="AC1655" s="58" t="str">
        <f t="shared" si="1495"/>
        <v>#NAME?</v>
      </c>
      <c r="AD1655" s="57">
        <f t="shared" si="906"/>
        <v>0</v>
      </c>
      <c r="AE1655" s="57" t="str">
        <f t="shared" si="907"/>
        <v/>
      </c>
      <c r="AF1655" s="57">
        <f t="shared" si="908"/>
        <v>0</v>
      </c>
      <c r="AG1655" s="59">
        <f t="shared" si="909"/>
        <v>0</v>
      </c>
      <c r="AH1655" s="15"/>
      <c r="AI1655" s="15"/>
      <c r="AJ1655" s="15"/>
      <c r="AK1655" s="15"/>
      <c r="AL1655" s="15"/>
      <c r="AM1655" s="15"/>
      <c r="AN1655" s="15"/>
      <c r="AO1655" s="15"/>
      <c r="AP1655" s="15"/>
      <c r="AQ1655" s="15"/>
      <c r="AR1655" s="15"/>
      <c r="AS1655" s="15"/>
      <c r="AT1655" s="15"/>
      <c r="AU1655" s="15"/>
    </row>
    <row r="1656" ht="24.0" customHeight="1">
      <c r="A1656" s="45">
        <v>3080.0</v>
      </c>
      <c r="B1656" s="57"/>
      <c r="C1656" s="57"/>
      <c r="D1656" s="88" t="str">
        <f t="array" ref="D1656">IFERROR(
  LOOKUP(2, 1/((TRIM(IMS!$E$8:$E$2574)=TRIM(IMS!$E1656))*(IMS!$C$8:$C$2574&lt;IMS!$C1656)),
         IMS!$C$8:$C$2574),
"")</f>
        <v/>
      </c>
      <c r="E1656" s="57"/>
      <c r="F1656" s="57"/>
      <c r="G1656" s="77" t="str">
        <f t="shared" si="901"/>
        <v/>
      </c>
      <c r="H1656" s="78" t="str">
        <f t="shared" si="902"/>
        <v/>
      </c>
      <c r="I1656" s="79"/>
      <c r="J1656" s="80" t="str">
        <f t="shared" si="903"/>
        <v>#NAME?</v>
      </c>
      <c r="K1656" s="58"/>
      <c r="L1656" s="58"/>
      <c r="M1656" s="57"/>
      <c r="N1656" s="57"/>
      <c r="O1656" s="58"/>
      <c r="P1656" s="82"/>
      <c r="Q1656" s="81"/>
      <c r="R1656" s="81"/>
      <c r="S1656" s="57"/>
      <c r="T1656" s="82"/>
      <c r="U1656" s="82"/>
      <c r="V1656" s="57"/>
      <c r="W1656" s="57"/>
      <c r="X1656" s="57" t="str">
        <f t="shared" si="917"/>
        <v/>
      </c>
      <c r="Y1656" s="58" t="str">
        <f t="shared" ref="Y1656:AC1656" si="1496">TRIM(SUBSTITUTE(SUBSTITUTE(OFFSET($Q1656,0,COLUMN()-COLUMN($AL$1)),CHAR(160)," "),_xludf.UNICHAR(8239)," "))</f>
        <v>#NAME?</v>
      </c>
      <c r="Z1656" s="58" t="str">
        <f t="shared" si="1496"/>
        <v>#NAME?</v>
      </c>
      <c r="AA1656" s="58" t="str">
        <f t="shared" si="1496"/>
        <v>#NAME?</v>
      </c>
      <c r="AB1656" s="58" t="str">
        <f t="shared" si="1496"/>
        <v>#NAME?</v>
      </c>
      <c r="AC1656" s="58" t="str">
        <f t="shared" si="1496"/>
        <v>#NAME?</v>
      </c>
      <c r="AD1656" s="57">
        <f t="shared" si="906"/>
        <v>0</v>
      </c>
      <c r="AE1656" s="57" t="str">
        <f t="shared" si="907"/>
        <v/>
      </c>
      <c r="AF1656" s="57">
        <f t="shared" si="908"/>
        <v>0</v>
      </c>
      <c r="AG1656" s="59">
        <f t="shared" si="909"/>
        <v>0</v>
      </c>
      <c r="AH1656" s="15"/>
      <c r="AI1656" s="15"/>
      <c r="AJ1656" s="15"/>
      <c r="AK1656" s="15"/>
      <c r="AL1656" s="15"/>
      <c r="AM1656" s="15"/>
      <c r="AN1656" s="15"/>
      <c r="AO1656" s="15"/>
      <c r="AP1656" s="15"/>
      <c r="AQ1656" s="15"/>
      <c r="AR1656" s="15"/>
      <c r="AS1656" s="15"/>
      <c r="AT1656" s="15"/>
      <c r="AU1656" s="15"/>
    </row>
    <row r="1657" ht="24.0" customHeight="1">
      <c r="A1657" s="45">
        <v>3081.0</v>
      </c>
      <c r="B1657" s="57"/>
      <c r="C1657" s="57"/>
      <c r="D1657" s="88" t="str">
        <f t="array" ref="D1657">IFERROR(
  LOOKUP(2, 1/((TRIM(IMS!$E$8:$E$2574)=TRIM(IMS!$E1657))*(IMS!$C$8:$C$2574&lt;IMS!$C1657)),
         IMS!$C$8:$C$2574),
"")</f>
        <v/>
      </c>
      <c r="E1657" s="57"/>
      <c r="F1657" s="57"/>
      <c r="G1657" s="77" t="str">
        <f t="shared" si="901"/>
        <v/>
      </c>
      <c r="H1657" s="78" t="str">
        <f t="shared" si="902"/>
        <v/>
      </c>
      <c r="I1657" s="79"/>
      <c r="J1657" s="80" t="str">
        <f t="shared" si="903"/>
        <v>#NAME?</v>
      </c>
      <c r="K1657" s="58"/>
      <c r="L1657" s="58"/>
      <c r="M1657" s="57"/>
      <c r="N1657" s="57"/>
      <c r="O1657" s="58"/>
      <c r="P1657" s="82"/>
      <c r="Q1657" s="81"/>
      <c r="R1657" s="81"/>
      <c r="S1657" s="57"/>
      <c r="T1657" s="82"/>
      <c r="U1657" s="82"/>
      <c r="V1657" s="57"/>
      <c r="W1657" s="57"/>
      <c r="X1657" s="57" t="str">
        <f t="shared" si="917"/>
        <v/>
      </c>
      <c r="Y1657" s="58" t="str">
        <f t="shared" ref="Y1657:AC1657" si="1497">TRIM(SUBSTITUTE(SUBSTITUTE(OFFSET($Q1657,0,COLUMN()-COLUMN($AL$1)),CHAR(160)," "),_xludf.UNICHAR(8239)," "))</f>
        <v>#NAME?</v>
      </c>
      <c r="Z1657" s="58" t="str">
        <f t="shared" si="1497"/>
        <v>#NAME?</v>
      </c>
      <c r="AA1657" s="58" t="str">
        <f t="shared" si="1497"/>
        <v>#NAME?</v>
      </c>
      <c r="AB1657" s="58" t="str">
        <f t="shared" si="1497"/>
        <v>#NAME?</v>
      </c>
      <c r="AC1657" s="58" t="str">
        <f t="shared" si="1497"/>
        <v>#NAME?</v>
      </c>
      <c r="AD1657" s="57">
        <f t="shared" si="906"/>
        <v>0</v>
      </c>
      <c r="AE1657" s="57" t="str">
        <f t="shared" si="907"/>
        <v/>
      </c>
      <c r="AF1657" s="57">
        <f t="shared" si="908"/>
        <v>0</v>
      </c>
      <c r="AG1657" s="59">
        <f t="shared" si="909"/>
        <v>0</v>
      </c>
      <c r="AH1657" s="15"/>
      <c r="AI1657" s="15"/>
      <c r="AJ1657" s="15"/>
      <c r="AK1657" s="15"/>
      <c r="AL1657" s="15"/>
      <c r="AM1657" s="15"/>
      <c r="AN1657" s="15"/>
      <c r="AO1657" s="15"/>
      <c r="AP1657" s="15"/>
      <c r="AQ1657" s="15"/>
      <c r="AR1657" s="15"/>
      <c r="AS1657" s="15"/>
      <c r="AT1657" s="15"/>
      <c r="AU1657" s="15"/>
    </row>
    <row r="1658" ht="24.0" customHeight="1">
      <c r="A1658" s="45">
        <v>3082.0</v>
      </c>
      <c r="B1658" s="57"/>
      <c r="C1658" s="57"/>
      <c r="D1658" s="88" t="str">
        <f t="array" ref="D1658">IFERROR(
  LOOKUP(2, 1/((TRIM(IMS!$E$8:$E$2574)=TRIM(IMS!$E1658))*(IMS!$C$8:$C$2574&lt;IMS!$C1658)),
         IMS!$C$8:$C$2574),
"")</f>
        <v/>
      </c>
      <c r="E1658" s="57"/>
      <c r="F1658" s="57"/>
      <c r="G1658" s="77" t="str">
        <f t="shared" si="901"/>
        <v/>
      </c>
      <c r="H1658" s="78" t="str">
        <f t="shared" si="902"/>
        <v/>
      </c>
      <c r="I1658" s="79"/>
      <c r="J1658" s="80" t="str">
        <f t="shared" si="903"/>
        <v>#NAME?</v>
      </c>
      <c r="K1658" s="58"/>
      <c r="L1658" s="58"/>
      <c r="M1658" s="57"/>
      <c r="N1658" s="57"/>
      <c r="O1658" s="58"/>
      <c r="P1658" s="82"/>
      <c r="Q1658" s="81"/>
      <c r="R1658" s="81"/>
      <c r="S1658" s="57"/>
      <c r="T1658" s="82"/>
      <c r="U1658" s="82"/>
      <c r="V1658" s="57"/>
      <c r="W1658" s="57"/>
      <c r="X1658" s="57" t="str">
        <f t="shared" si="917"/>
        <v/>
      </c>
      <c r="Y1658" s="58" t="str">
        <f t="shared" ref="Y1658:AC1658" si="1498">TRIM(SUBSTITUTE(SUBSTITUTE(OFFSET($Q1658,0,COLUMN()-COLUMN($AL$1)),CHAR(160)," "),_xludf.UNICHAR(8239)," "))</f>
        <v>#NAME?</v>
      </c>
      <c r="Z1658" s="58" t="str">
        <f t="shared" si="1498"/>
        <v>#NAME?</v>
      </c>
      <c r="AA1658" s="58" t="str">
        <f t="shared" si="1498"/>
        <v>#NAME?</v>
      </c>
      <c r="AB1658" s="58" t="str">
        <f t="shared" si="1498"/>
        <v>#NAME?</v>
      </c>
      <c r="AC1658" s="58" t="str">
        <f t="shared" si="1498"/>
        <v>#NAME?</v>
      </c>
      <c r="AD1658" s="57">
        <f t="shared" si="906"/>
        <v>0</v>
      </c>
      <c r="AE1658" s="57" t="str">
        <f t="shared" si="907"/>
        <v/>
      </c>
      <c r="AF1658" s="57">
        <f t="shared" si="908"/>
        <v>0</v>
      </c>
      <c r="AG1658" s="59">
        <f t="shared" si="909"/>
        <v>0</v>
      </c>
      <c r="AH1658" s="15"/>
      <c r="AI1658" s="15"/>
      <c r="AJ1658" s="15"/>
      <c r="AK1658" s="15"/>
      <c r="AL1658" s="15"/>
      <c r="AM1658" s="15"/>
      <c r="AN1658" s="15"/>
      <c r="AO1658" s="15"/>
      <c r="AP1658" s="15"/>
      <c r="AQ1658" s="15"/>
      <c r="AR1658" s="15"/>
      <c r="AS1658" s="15"/>
      <c r="AT1658" s="15"/>
      <c r="AU1658" s="15"/>
    </row>
    <row r="1659" ht="24.0" customHeight="1">
      <c r="A1659" s="45">
        <v>3083.0</v>
      </c>
      <c r="B1659" s="57"/>
      <c r="C1659" s="57"/>
      <c r="D1659" s="88" t="str">
        <f t="array" ref="D1659">IFERROR(
  LOOKUP(2, 1/((TRIM(IMS!$E$8:$E$2574)=TRIM(IMS!$E1659))*(IMS!$C$8:$C$2574&lt;IMS!$C1659)),
         IMS!$C$8:$C$2574),
"")</f>
        <v/>
      </c>
      <c r="E1659" s="57"/>
      <c r="F1659" s="57"/>
      <c r="G1659" s="77" t="str">
        <f t="shared" si="901"/>
        <v/>
      </c>
      <c r="H1659" s="78" t="str">
        <f t="shared" si="902"/>
        <v/>
      </c>
      <c r="I1659" s="79"/>
      <c r="J1659" s="80" t="str">
        <f t="shared" si="903"/>
        <v>#NAME?</v>
      </c>
      <c r="K1659" s="58"/>
      <c r="L1659" s="58"/>
      <c r="M1659" s="57"/>
      <c r="N1659" s="57"/>
      <c r="O1659" s="58"/>
      <c r="P1659" s="82"/>
      <c r="Q1659" s="81"/>
      <c r="R1659" s="81"/>
      <c r="S1659" s="57"/>
      <c r="T1659" s="82"/>
      <c r="U1659" s="82"/>
      <c r="V1659" s="57"/>
      <c r="W1659" s="57"/>
      <c r="X1659" s="57" t="str">
        <f t="shared" si="917"/>
        <v/>
      </c>
      <c r="Y1659" s="58" t="str">
        <f t="shared" ref="Y1659:AC1659" si="1499">TRIM(SUBSTITUTE(SUBSTITUTE(OFFSET($Q1659,0,COLUMN()-COLUMN($AL$1)),CHAR(160)," "),_xludf.UNICHAR(8239)," "))</f>
        <v>#NAME?</v>
      </c>
      <c r="Z1659" s="58" t="str">
        <f t="shared" si="1499"/>
        <v>#NAME?</v>
      </c>
      <c r="AA1659" s="58" t="str">
        <f t="shared" si="1499"/>
        <v>#NAME?</v>
      </c>
      <c r="AB1659" s="58" t="str">
        <f t="shared" si="1499"/>
        <v>#NAME?</v>
      </c>
      <c r="AC1659" s="58" t="str">
        <f t="shared" si="1499"/>
        <v>#NAME?</v>
      </c>
      <c r="AD1659" s="57">
        <f t="shared" si="906"/>
        <v>0</v>
      </c>
      <c r="AE1659" s="57" t="str">
        <f t="shared" si="907"/>
        <v/>
      </c>
      <c r="AF1659" s="57">
        <f t="shared" si="908"/>
        <v>0</v>
      </c>
      <c r="AG1659" s="59">
        <f t="shared" si="909"/>
        <v>0</v>
      </c>
      <c r="AH1659" s="15"/>
      <c r="AI1659" s="15"/>
      <c r="AJ1659" s="15"/>
      <c r="AK1659" s="15"/>
      <c r="AL1659" s="15"/>
      <c r="AM1659" s="15"/>
      <c r="AN1659" s="15"/>
      <c r="AO1659" s="15"/>
      <c r="AP1659" s="15"/>
      <c r="AQ1659" s="15"/>
      <c r="AR1659" s="15"/>
      <c r="AS1659" s="15"/>
      <c r="AT1659" s="15"/>
      <c r="AU1659" s="15"/>
    </row>
    <row r="1660" ht="24.0" customHeight="1">
      <c r="A1660" s="45">
        <v>3084.0</v>
      </c>
      <c r="B1660" s="57"/>
      <c r="C1660" s="57"/>
      <c r="D1660" s="88" t="str">
        <f t="array" ref="D1660">IFERROR(
  LOOKUP(2, 1/((TRIM(IMS!$E$8:$E$2574)=TRIM(IMS!$E1660))*(IMS!$C$8:$C$2574&lt;IMS!$C1660)),
         IMS!$C$8:$C$2574),
"")</f>
        <v/>
      </c>
      <c r="E1660" s="57"/>
      <c r="F1660" s="57"/>
      <c r="G1660" s="77" t="str">
        <f t="shared" si="901"/>
        <v/>
      </c>
      <c r="H1660" s="78" t="str">
        <f t="shared" si="902"/>
        <v/>
      </c>
      <c r="I1660" s="79"/>
      <c r="J1660" s="80" t="str">
        <f t="shared" si="903"/>
        <v>#NAME?</v>
      </c>
      <c r="K1660" s="58"/>
      <c r="L1660" s="58"/>
      <c r="M1660" s="57"/>
      <c r="N1660" s="57"/>
      <c r="O1660" s="58"/>
      <c r="P1660" s="82"/>
      <c r="Q1660" s="81"/>
      <c r="R1660" s="81"/>
      <c r="S1660" s="57"/>
      <c r="T1660" s="82"/>
      <c r="U1660" s="82"/>
      <c r="V1660" s="57"/>
      <c r="W1660" s="57"/>
      <c r="X1660" s="57" t="str">
        <f t="shared" si="917"/>
        <v/>
      </c>
      <c r="Y1660" s="58" t="str">
        <f t="shared" ref="Y1660:AC1660" si="1500">TRIM(SUBSTITUTE(SUBSTITUTE(OFFSET($Q1660,0,COLUMN()-COLUMN($AL$1)),CHAR(160)," "),_xludf.UNICHAR(8239)," "))</f>
        <v>#NAME?</v>
      </c>
      <c r="Z1660" s="58" t="str">
        <f t="shared" si="1500"/>
        <v>#NAME?</v>
      </c>
      <c r="AA1660" s="58" t="str">
        <f t="shared" si="1500"/>
        <v>#NAME?</v>
      </c>
      <c r="AB1660" s="58" t="str">
        <f t="shared" si="1500"/>
        <v>#NAME?</v>
      </c>
      <c r="AC1660" s="58" t="str">
        <f t="shared" si="1500"/>
        <v>#NAME?</v>
      </c>
      <c r="AD1660" s="57">
        <f t="shared" si="906"/>
        <v>0</v>
      </c>
      <c r="AE1660" s="57" t="str">
        <f t="shared" si="907"/>
        <v/>
      </c>
      <c r="AF1660" s="57">
        <f t="shared" si="908"/>
        <v>0</v>
      </c>
      <c r="AG1660" s="59">
        <f t="shared" si="909"/>
        <v>0</v>
      </c>
      <c r="AH1660" s="15"/>
      <c r="AI1660" s="15"/>
      <c r="AJ1660" s="15"/>
      <c r="AK1660" s="15"/>
      <c r="AL1660" s="15"/>
      <c r="AM1660" s="15"/>
      <c r="AN1660" s="15"/>
      <c r="AO1660" s="15"/>
      <c r="AP1660" s="15"/>
      <c r="AQ1660" s="15"/>
      <c r="AR1660" s="15"/>
      <c r="AS1660" s="15"/>
      <c r="AT1660" s="15"/>
      <c r="AU1660" s="15"/>
    </row>
    <row r="1661" ht="24.0" customHeight="1">
      <c r="A1661" s="45">
        <v>3085.0</v>
      </c>
      <c r="B1661" s="57"/>
      <c r="C1661" s="57"/>
      <c r="D1661" s="88" t="str">
        <f t="array" ref="D1661">IFERROR(
  LOOKUP(2, 1/((TRIM(IMS!$E$8:$E$2574)=TRIM(IMS!$E1661))*(IMS!$C$8:$C$2574&lt;IMS!$C1661)),
         IMS!$C$8:$C$2574),
"")</f>
        <v/>
      </c>
      <c r="E1661" s="57"/>
      <c r="F1661" s="57"/>
      <c r="G1661" s="77" t="str">
        <f t="shared" si="901"/>
        <v/>
      </c>
      <c r="H1661" s="78" t="str">
        <f t="shared" si="902"/>
        <v/>
      </c>
      <c r="I1661" s="79"/>
      <c r="J1661" s="80" t="str">
        <f t="shared" si="903"/>
        <v>#NAME?</v>
      </c>
      <c r="K1661" s="58"/>
      <c r="L1661" s="58"/>
      <c r="M1661" s="57"/>
      <c r="N1661" s="57"/>
      <c r="O1661" s="58"/>
      <c r="P1661" s="82"/>
      <c r="Q1661" s="81"/>
      <c r="R1661" s="81"/>
      <c r="S1661" s="57"/>
      <c r="T1661" s="82"/>
      <c r="U1661" s="82"/>
      <c r="V1661" s="57"/>
      <c r="W1661" s="57"/>
      <c r="X1661" s="57" t="str">
        <f t="shared" si="917"/>
        <v/>
      </c>
      <c r="Y1661" s="58" t="str">
        <f t="shared" ref="Y1661:AC1661" si="1501">TRIM(SUBSTITUTE(SUBSTITUTE(OFFSET($Q1661,0,COLUMN()-COLUMN($AL$1)),CHAR(160)," "),_xludf.UNICHAR(8239)," "))</f>
        <v>#NAME?</v>
      </c>
      <c r="Z1661" s="58" t="str">
        <f t="shared" si="1501"/>
        <v>#NAME?</v>
      </c>
      <c r="AA1661" s="58" t="str">
        <f t="shared" si="1501"/>
        <v>#NAME?</v>
      </c>
      <c r="AB1661" s="58" t="str">
        <f t="shared" si="1501"/>
        <v>#NAME?</v>
      </c>
      <c r="AC1661" s="58" t="str">
        <f t="shared" si="1501"/>
        <v>#NAME?</v>
      </c>
      <c r="AD1661" s="57">
        <f t="shared" si="906"/>
        <v>0</v>
      </c>
      <c r="AE1661" s="57" t="str">
        <f t="shared" si="907"/>
        <v/>
      </c>
      <c r="AF1661" s="57">
        <f t="shared" si="908"/>
        <v>0</v>
      </c>
      <c r="AG1661" s="59">
        <f t="shared" si="909"/>
        <v>0</v>
      </c>
      <c r="AH1661" s="15"/>
      <c r="AI1661" s="15"/>
      <c r="AJ1661" s="15"/>
      <c r="AK1661" s="15"/>
      <c r="AL1661" s="15"/>
      <c r="AM1661" s="15"/>
      <c r="AN1661" s="15"/>
      <c r="AO1661" s="15"/>
      <c r="AP1661" s="15"/>
      <c r="AQ1661" s="15"/>
      <c r="AR1661" s="15"/>
      <c r="AS1661" s="15"/>
      <c r="AT1661" s="15"/>
      <c r="AU1661" s="15"/>
    </row>
    <row r="1662" ht="24.0" customHeight="1">
      <c r="A1662" s="45">
        <v>3086.0</v>
      </c>
      <c r="B1662" s="57"/>
      <c r="C1662" s="57"/>
      <c r="D1662" s="88" t="str">
        <f t="array" ref="D1662">IFERROR(
  LOOKUP(2, 1/((TRIM(IMS!$E$8:$E$2574)=TRIM(IMS!$E1662))*(IMS!$C$8:$C$2574&lt;IMS!$C1662)),
         IMS!$C$8:$C$2574),
"")</f>
        <v/>
      </c>
      <c r="E1662" s="57"/>
      <c r="F1662" s="57"/>
      <c r="G1662" s="77" t="str">
        <f t="shared" si="901"/>
        <v/>
      </c>
      <c r="H1662" s="78" t="str">
        <f t="shared" si="902"/>
        <v/>
      </c>
      <c r="I1662" s="79"/>
      <c r="J1662" s="80" t="str">
        <f t="shared" si="903"/>
        <v>#NAME?</v>
      </c>
      <c r="K1662" s="58"/>
      <c r="L1662" s="58"/>
      <c r="M1662" s="57"/>
      <c r="N1662" s="57"/>
      <c r="O1662" s="58"/>
      <c r="P1662" s="82"/>
      <c r="Q1662" s="81"/>
      <c r="R1662" s="81"/>
      <c r="S1662" s="57"/>
      <c r="T1662" s="82"/>
      <c r="U1662" s="82"/>
      <c r="V1662" s="57"/>
      <c r="W1662" s="57"/>
      <c r="X1662" s="57" t="str">
        <f t="shared" si="917"/>
        <v/>
      </c>
      <c r="Y1662" s="58" t="str">
        <f t="shared" ref="Y1662:AC1662" si="1502">TRIM(SUBSTITUTE(SUBSTITUTE(OFFSET($Q1662,0,COLUMN()-COLUMN($AL$1)),CHAR(160)," "),_xludf.UNICHAR(8239)," "))</f>
        <v>#NAME?</v>
      </c>
      <c r="Z1662" s="58" t="str">
        <f t="shared" si="1502"/>
        <v>#NAME?</v>
      </c>
      <c r="AA1662" s="58" t="str">
        <f t="shared" si="1502"/>
        <v>#NAME?</v>
      </c>
      <c r="AB1662" s="58" t="str">
        <f t="shared" si="1502"/>
        <v>#NAME?</v>
      </c>
      <c r="AC1662" s="58" t="str">
        <f t="shared" si="1502"/>
        <v>#NAME?</v>
      </c>
      <c r="AD1662" s="57">
        <f t="shared" si="906"/>
        <v>0</v>
      </c>
      <c r="AE1662" s="57" t="str">
        <f t="shared" si="907"/>
        <v/>
      </c>
      <c r="AF1662" s="57">
        <f t="shared" si="908"/>
        <v>0</v>
      </c>
      <c r="AG1662" s="59">
        <f t="shared" si="909"/>
        <v>0</v>
      </c>
      <c r="AH1662" s="15"/>
      <c r="AI1662" s="15"/>
      <c r="AJ1662" s="15"/>
      <c r="AK1662" s="15"/>
      <c r="AL1662" s="15"/>
      <c r="AM1662" s="15"/>
      <c r="AN1662" s="15"/>
      <c r="AO1662" s="15"/>
      <c r="AP1662" s="15"/>
      <c r="AQ1662" s="15"/>
      <c r="AR1662" s="15"/>
      <c r="AS1662" s="15"/>
      <c r="AT1662" s="15"/>
      <c r="AU1662" s="15"/>
    </row>
    <row r="1663" ht="24.0" customHeight="1">
      <c r="A1663" s="45">
        <v>3087.0</v>
      </c>
      <c r="B1663" s="57"/>
      <c r="C1663" s="57"/>
      <c r="D1663" s="88" t="str">
        <f t="array" ref="D1663">IFERROR(
  LOOKUP(2, 1/((TRIM(IMS!$E$8:$E$2574)=TRIM(IMS!$E1663))*(IMS!$C$8:$C$2574&lt;IMS!$C1663)),
         IMS!$C$8:$C$2574),
"")</f>
        <v/>
      </c>
      <c r="E1663" s="57"/>
      <c r="F1663" s="57"/>
      <c r="G1663" s="77" t="str">
        <f t="shared" si="901"/>
        <v/>
      </c>
      <c r="H1663" s="78" t="str">
        <f t="shared" si="902"/>
        <v/>
      </c>
      <c r="I1663" s="79"/>
      <c r="J1663" s="80" t="str">
        <f t="shared" si="903"/>
        <v>#NAME?</v>
      </c>
      <c r="K1663" s="58"/>
      <c r="L1663" s="58"/>
      <c r="M1663" s="57"/>
      <c r="N1663" s="57"/>
      <c r="O1663" s="58"/>
      <c r="P1663" s="82"/>
      <c r="Q1663" s="81"/>
      <c r="R1663" s="81"/>
      <c r="S1663" s="57"/>
      <c r="T1663" s="82"/>
      <c r="U1663" s="82"/>
      <c r="V1663" s="57"/>
      <c r="W1663" s="57"/>
      <c r="X1663" s="57" t="str">
        <f t="shared" si="917"/>
        <v/>
      </c>
      <c r="Y1663" s="58" t="str">
        <f t="shared" ref="Y1663:AC1663" si="1503">TRIM(SUBSTITUTE(SUBSTITUTE(OFFSET($Q1663,0,COLUMN()-COLUMN($AL$1)),CHAR(160)," "),_xludf.UNICHAR(8239)," "))</f>
        <v>#NAME?</v>
      </c>
      <c r="Z1663" s="58" t="str">
        <f t="shared" si="1503"/>
        <v>#NAME?</v>
      </c>
      <c r="AA1663" s="58" t="str">
        <f t="shared" si="1503"/>
        <v>#NAME?</v>
      </c>
      <c r="AB1663" s="58" t="str">
        <f t="shared" si="1503"/>
        <v>#NAME?</v>
      </c>
      <c r="AC1663" s="58" t="str">
        <f t="shared" si="1503"/>
        <v>#NAME?</v>
      </c>
      <c r="AD1663" s="57">
        <f t="shared" si="906"/>
        <v>0</v>
      </c>
      <c r="AE1663" s="57" t="str">
        <f t="shared" si="907"/>
        <v/>
      </c>
      <c r="AF1663" s="57">
        <f t="shared" si="908"/>
        <v>0</v>
      </c>
      <c r="AG1663" s="59">
        <f t="shared" si="909"/>
        <v>0</v>
      </c>
      <c r="AH1663" s="15"/>
      <c r="AI1663" s="15"/>
      <c r="AJ1663" s="15"/>
      <c r="AK1663" s="15"/>
      <c r="AL1663" s="15"/>
      <c r="AM1663" s="15"/>
      <c r="AN1663" s="15"/>
      <c r="AO1663" s="15"/>
      <c r="AP1663" s="15"/>
      <c r="AQ1663" s="15"/>
      <c r="AR1663" s="15"/>
      <c r="AS1663" s="15"/>
      <c r="AT1663" s="15"/>
      <c r="AU1663" s="15"/>
    </row>
    <row r="1664" ht="24.0" customHeight="1">
      <c r="A1664" s="45">
        <v>3088.0</v>
      </c>
      <c r="B1664" s="57"/>
      <c r="C1664" s="57"/>
      <c r="D1664" s="88" t="str">
        <f t="array" ref="D1664">IFERROR(
  LOOKUP(2, 1/((TRIM(IMS!$E$8:$E$2574)=TRIM(IMS!$E1664))*(IMS!$C$8:$C$2574&lt;IMS!$C1664)),
         IMS!$C$8:$C$2574),
"")</f>
        <v/>
      </c>
      <c r="E1664" s="57"/>
      <c r="F1664" s="57"/>
      <c r="G1664" s="77" t="str">
        <f t="shared" si="901"/>
        <v/>
      </c>
      <c r="H1664" s="78" t="str">
        <f t="shared" si="902"/>
        <v/>
      </c>
      <c r="I1664" s="79"/>
      <c r="J1664" s="80" t="str">
        <f t="shared" si="903"/>
        <v>#NAME?</v>
      </c>
      <c r="K1664" s="58"/>
      <c r="L1664" s="58"/>
      <c r="M1664" s="57"/>
      <c r="N1664" s="57"/>
      <c r="O1664" s="58"/>
      <c r="P1664" s="82"/>
      <c r="Q1664" s="81"/>
      <c r="R1664" s="81"/>
      <c r="S1664" s="57"/>
      <c r="T1664" s="82"/>
      <c r="U1664" s="82"/>
      <c r="V1664" s="57"/>
      <c r="W1664" s="57"/>
      <c r="X1664" s="57" t="str">
        <f t="shared" si="917"/>
        <v/>
      </c>
      <c r="Y1664" s="58" t="str">
        <f t="shared" ref="Y1664:AC1664" si="1504">TRIM(SUBSTITUTE(SUBSTITUTE(OFFSET($Q1664,0,COLUMN()-COLUMN($AL$1)),CHAR(160)," "),_xludf.UNICHAR(8239)," "))</f>
        <v>#NAME?</v>
      </c>
      <c r="Z1664" s="58" t="str">
        <f t="shared" si="1504"/>
        <v>#NAME?</v>
      </c>
      <c r="AA1664" s="58" t="str">
        <f t="shared" si="1504"/>
        <v>#NAME?</v>
      </c>
      <c r="AB1664" s="58" t="str">
        <f t="shared" si="1504"/>
        <v>#NAME?</v>
      </c>
      <c r="AC1664" s="58" t="str">
        <f t="shared" si="1504"/>
        <v>#NAME?</v>
      </c>
      <c r="AD1664" s="57">
        <f t="shared" si="906"/>
        <v>0</v>
      </c>
      <c r="AE1664" s="57" t="str">
        <f t="shared" si="907"/>
        <v/>
      </c>
      <c r="AF1664" s="57">
        <f t="shared" si="908"/>
        <v>0</v>
      </c>
      <c r="AG1664" s="59">
        <f t="shared" si="909"/>
        <v>0</v>
      </c>
      <c r="AH1664" s="15"/>
      <c r="AI1664" s="15"/>
      <c r="AJ1664" s="15"/>
      <c r="AK1664" s="15"/>
      <c r="AL1664" s="15"/>
      <c r="AM1664" s="15"/>
      <c r="AN1664" s="15"/>
      <c r="AO1664" s="15"/>
      <c r="AP1664" s="15"/>
      <c r="AQ1664" s="15"/>
      <c r="AR1664" s="15"/>
      <c r="AS1664" s="15"/>
      <c r="AT1664" s="15"/>
      <c r="AU1664" s="15"/>
    </row>
    <row r="1665" ht="24.0" customHeight="1">
      <c r="A1665" s="45">
        <v>3089.0</v>
      </c>
      <c r="B1665" s="57"/>
      <c r="C1665" s="57"/>
      <c r="D1665" s="88" t="str">
        <f t="array" ref="D1665">IFERROR(
  LOOKUP(2, 1/((TRIM(IMS!$E$8:$E$2574)=TRIM(IMS!$E1665))*(IMS!$C$8:$C$2574&lt;IMS!$C1665)),
         IMS!$C$8:$C$2574),
"")</f>
        <v/>
      </c>
      <c r="E1665" s="57"/>
      <c r="F1665" s="57"/>
      <c r="G1665" s="77" t="str">
        <f t="shared" si="901"/>
        <v/>
      </c>
      <c r="H1665" s="78" t="str">
        <f t="shared" si="902"/>
        <v/>
      </c>
      <c r="I1665" s="79"/>
      <c r="J1665" s="80" t="str">
        <f t="shared" si="903"/>
        <v>#NAME?</v>
      </c>
      <c r="K1665" s="58"/>
      <c r="L1665" s="58"/>
      <c r="M1665" s="57"/>
      <c r="N1665" s="57"/>
      <c r="O1665" s="58"/>
      <c r="P1665" s="82"/>
      <c r="Q1665" s="81"/>
      <c r="R1665" s="81"/>
      <c r="S1665" s="57"/>
      <c r="T1665" s="82"/>
      <c r="U1665" s="82"/>
      <c r="V1665" s="57"/>
      <c r="W1665" s="57"/>
      <c r="X1665" s="57" t="str">
        <f t="shared" si="917"/>
        <v/>
      </c>
      <c r="Y1665" s="58" t="str">
        <f t="shared" ref="Y1665:AC1665" si="1505">TRIM(SUBSTITUTE(SUBSTITUTE(OFFSET($Q1665,0,COLUMN()-COLUMN($AL$1)),CHAR(160)," "),_xludf.UNICHAR(8239)," "))</f>
        <v>#NAME?</v>
      </c>
      <c r="Z1665" s="58" t="str">
        <f t="shared" si="1505"/>
        <v>#NAME?</v>
      </c>
      <c r="AA1665" s="58" t="str">
        <f t="shared" si="1505"/>
        <v>#NAME?</v>
      </c>
      <c r="AB1665" s="58" t="str">
        <f t="shared" si="1505"/>
        <v>#NAME?</v>
      </c>
      <c r="AC1665" s="58" t="str">
        <f t="shared" si="1505"/>
        <v>#NAME?</v>
      </c>
      <c r="AD1665" s="57">
        <f t="shared" si="906"/>
        <v>0</v>
      </c>
      <c r="AE1665" s="57" t="str">
        <f t="shared" si="907"/>
        <v/>
      </c>
      <c r="AF1665" s="57">
        <f t="shared" si="908"/>
        <v>0</v>
      </c>
      <c r="AG1665" s="59">
        <f t="shared" si="909"/>
        <v>0</v>
      </c>
      <c r="AH1665" s="15"/>
      <c r="AI1665" s="15"/>
      <c r="AJ1665" s="15"/>
      <c r="AK1665" s="15"/>
      <c r="AL1665" s="15"/>
      <c r="AM1665" s="15"/>
      <c r="AN1665" s="15"/>
      <c r="AO1665" s="15"/>
      <c r="AP1665" s="15"/>
      <c r="AQ1665" s="15"/>
      <c r="AR1665" s="15"/>
      <c r="AS1665" s="15"/>
      <c r="AT1665" s="15"/>
      <c r="AU1665" s="15"/>
    </row>
    <row r="1666" ht="24.0" customHeight="1">
      <c r="A1666" s="45">
        <v>3090.0</v>
      </c>
      <c r="B1666" s="57"/>
      <c r="C1666" s="57"/>
      <c r="D1666" s="88" t="str">
        <f t="array" ref="D1666">IFERROR(
  LOOKUP(2, 1/((TRIM(IMS!$E$8:$E$2574)=TRIM(IMS!$E1666))*(IMS!$C$8:$C$2574&lt;IMS!$C1666)),
         IMS!$C$8:$C$2574),
"")</f>
        <v/>
      </c>
      <c r="E1666" s="57"/>
      <c r="F1666" s="57"/>
      <c r="G1666" s="77" t="str">
        <f t="shared" si="901"/>
        <v/>
      </c>
      <c r="H1666" s="78" t="str">
        <f t="shared" si="902"/>
        <v/>
      </c>
      <c r="I1666" s="79"/>
      <c r="J1666" s="80" t="str">
        <f t="shared" si="903"/>
        <v>#NAME?</v>
      </c>
      <c r="K1666" s="58"/>
      <c r="L1666" s="58"/>
      <c r="M1666" s="57"/>
      <c r="N1666" s="57"/>
      <c r="O1666" s="58"/>
      <c r="P1666" s="82"/>
      <c r="Q1666" s="81"/>
      <c r="R1666" s="81"/>
      <c r="S1666" s="57"/>
      <c r="T1666" s="82"/>
      <c r="U1666" s="82"/>
      <c r="V1666" s="57"/>
      <c r="W1666" s="57"/>
      <c r="X1666" s="57" t="str">
        <f t="shared" si="917"/>
        <v/>
      </c>
      <c r="Y1666" s="58" t="str">
        <f t="shared" ref="Y1666:AC1666" si="1506">TRIM(SUBSTITUTE(SUBSTITUTE(OFFSET($Q1666,0,COLUMN()-COLUMN($AL$1)),CHAR(160)," "),_xludf.UNICHAR(8239)," "))</f>
        <v>#NAME?</v>
      </c>
      <c r="Z1666" s="58" t="str">
        <f t="shared" si="1506"/>
        <v>#NAME?</v>
      </c>
      <c r="AA1666" s="58" t="str">
        <f t="shared" si="1506"/>
        <v>#NAME?</v>
      </c>
      <c r="AB1666" s="58" t="str">
        <f t="shared" si="1506"/>
        <v>#NAME?</v>
      </c>
      <c r="AC1666" s="58" t="str">
        <f t="shared" si="1506"/>
        <v>#NAME?</v>
      </c>
      <c r="AD1666" s="57">
        <f t="shared" si="906"/>
        <v>0</v>
      </c>
      <c r="AE1666" s="57" t="str">
        <f t="shared" si="907"/>
        <v/>
      </c>
      <c r="AF1666" s="57">
        <f t="shared" si="908"/>
        <v>0</v>
      </c>
      <c r="AG1666" s="59">
        <f t="shared" si="909"/>
        <v>0</v>
      </c>
      <c r="AH1666" s="15"/>
      <c r="AI1666" s="15"/>
      <c r="AJ1666" s="15"/>
      <c r="AK1666" s="15"/>
      <c r="AL1666" s="15"/>
      <c r="AM1666" s="15"/>
      <c r="AN1666" s="15"/>
      <c r="AO1666" s="15"/>
      <c r="AP1666" s="15"/>
      <c r="AQ1666" s="15"/>
      <c r="AR1666" s="15"/>
      <c r="AS1666" s="15"/>
      <c r="AT1666" s="15"/>
      <c r="AU1666" s="15"/>
    </row>
    <row r="1667" ht="24.0" customHeight="1">
      <c r="A1667" s="45">
        <v>3091.0</v>
      </c>
      <c r="B1667" s="57"/>
      <c r="C1667" s="57"/>
      <c r="D1667" s="88" t="str">
        <f t="array" ref="D1667">IFERROR(
  LOOKUP(2, 1/((TRIM(IMS!$E$8:$E$2574)=TRIM(IMS!$E1667))*(IMS!$C$8:$C$2574&lt;IMS!$C1667)),
         IMS!$C$8:$C$2574),
"")</f>
        <v/>
      </c>
      <c r="E1667" s="57"/>
      <c r="F1667" s="57"/>
      <c r="G1667" s="77" t="str">
        <f t="shared" si="901"/>
        <v/>
      </c>
      <c r="H1667" s="78" t="str">
        <f t="shared" si="902"/>
        <v/>
      </c>
      <c r="I1667" s="79"/>
      <c r="J1667" s="80" t="str">
        <f t="shared" si="903"/>
        <v>#NAME?</v>
      </c>
      <c r="K1667" s="58"/>
      <c r="L1667" s="58"/>
      <c r="M1667" s="57"/>
      <c r="N1667" s="57"/>
      <c r="O1667" s="58"/>
      <c r="P1667" s="82"/>
      <c r="Q1667" s="81"/>
      <c r="R1667" s="81"/>
      <c r="S1667" s="57"/>
      <c r="T1667" s="82"/>
      <c r="U1667" s="82"/>
      <c r="V1667" s="57"/>
      <c r="W1667" s="57"/>
      <c r="X1667" s="57" t="str">
        <f t="shared" si="917"/>
        <v/>
      </c>
      <c r="Y1667" s="58" t="str">
        <f t="shared" ref="Y1667:AC1667" si="1507">TRIM(SUBSTITUTE(SUBSTITUTE(OFFSET($Q1667,0,COLUMN()-COLUMN($AL$1)),CHAR(160)," "),_xludf.UNICHAR(8239)," "))</f>
        <v>#NAME?</v>
      </c>
      <c r="Z1667" s="58" t="str">
        <f t="shared" si="1507"/>
        <v>#NAME?</v>
      </c>
      <c r="AA1667" s="58" t="str">
        <f t="shared" si="1507"/>
        <v>#NAME?</v>
      </c>
      <c r="AB1667" s="58" t="str">
        <f t="shared" si="1507"/>
        <v>#NAME?</v>
      </c>
      <c r="AC1667" s="58" t="str">
        <f t="shared" si="1507"/>
        <v>#NAME?</v>
      </c>
      <c r="AD1667" s="57">
        <f t="shared" si="906"/>
        <v>0</v>
      </c>
      <c r="AE1667" s="57" t="str">
        <f t="shared" si="907"/>
        <v/>
      </c>
      <c r="AF1667" s="57">
        <f t="shared" si="908"/>
        <v>0</v>
      </c>
      <c r="AG1667" s="59">
        <f t="shared" si="909"/>
        <v>0</v>
      </c>
      <c r="AH1667" s="15"/>
      <c r="AI1667" s="15"/>
      <c r="AJ1667" s="15"/>
      <c r="AK1667" s="15"/>
      <c r="AL1667" s="15"/>
      <c r="AM1667" s="15"/>
      <c r="AN1667" s="15"/>
      <c r="AO1667" s="15"/>
      <c r="AP1667" s="15"/>
      <c r="AQ1667" s="15"/>
      <c r="AR1667" s="15"/>
      <c r="AS1667" s="15"/>
      <c r="AT1667" s="15"/>
      <c r="AU1667" s="15"/>
    </row>
    <row r="1668" ht="24.0" customHeight="1">
      <c r="A1668" s="45">
        <v>3092.0</v>
      </c>
      <c r="B1668" s="57"/>
      <c r="C1668" s="57"/>
      <c r="D1668" s="88" t="str">
        <f t="array" ref="D1668">IFERROR(
  LOOKUP(2, 1/((TRIM(IMS!$E$8:$E$2574)=TRIM(IMS!$E1668))*(IMS!$C$8:$C$2574&lt;IMS!$C1668)),
         IMS!$C$8:$C$2574),
"")</f>
        <v/>
      </c>
      <c r="E1668" s="57"/>
      <c r="F1668" s="57"/>
      <c r="G1668" s="77" t="str">
        <f t="shared" si="901"/>
        <v/>
      </c>
      <c r="H1668" s="78" t="str">
        <f t="shared" si="902"/>
        <v/>
      </c>
      <c r="I1668" s="79"/>
      <c r="J1668" s="80" t="str">
        <f t="shared" si="903"/>
        <v>#NAME?</v>
      </c>
      <c r="K1668" s="58"/>
      <c r="L1668" s="58"/>
      <c r="M1668" s="57"/>
      <c r="N1668" s="57"/>
      <c r="O1668" s="58"/>
      <c r="P1668" s="82"/>
      <c r="Q1668" s="81"/>
      <c r="R1668" s="81"/>
      <c r="S1668" s="57"/>
      <c r="T1668" s="82"/>
      <c r="U1668" s="82"/>
      <c r="V1668" s="57"/>
      <c r="W1668" s="57"/>
      <c r="X1668" s="57" t="str">
        <f t="shared" si="917"/>
        <v/>
      </c>
      <c r="Y1668" s="58" t="str">
        <f t="shared" ref="Y1668:AC1668" si="1508">TRIM(SUBSTITUTE(SUBSTITUTE(OFFSET($Q1668,0,COLUMN()-COLUMN($AL$1)),CHAR(160)," "),_xludf.UNICHAR(8239)," "))</f>
        <v>#NAME?</v>
      </c>
      <c r="Z1668" s="58" t="str">
        <f t="shared" si="1508"/>
        <v>#NAME?</v>
      </c>
      <c r="AA1668" s="58" t="str">
        <f t="shared" si="1508"/>
        <v>#NAME?</v>
      </c>
      <c r="AB1668" s="58" t="str">
        <f t="shared" si="1508"/>
        <v>#NAME?</v>
      </c>
      <c r="AC1668" s="58" t="str">
        <f t="shared" si="1508"/>
        <v>#NAME?</v>
      </c>
      <c r="AD1668" s="57">
        <f t="shared" si="906"/>
        <v>0</v>
      </c>
      <c r="AE1668" s="57" t="str">
        <f t="shared" si="907"/>
        <v/>
      </c>
      <c r="AF1668" s="57">
        <f t="shared" si="908"/>
        <v>0</v>
      </c>
      <c r="AG1668" s="59">
        <f t="shared" si="909"/>
        <v>0</v>
      </c>
      <c r="AH1668" s="15"/>
      <c r="AI1668" s="15"/>
      <c r="AJ1668" s="15"/>
      <c r="AK1668" s="15"/>
      <c r="AL1668" s="15"/>
      <c r="AM1668" s="15"/>
      <c r="AN1668" s="15"/>
      <c r="AO1668" s="15"/>
      <c r="AP1668" s="15"/>
      <c r="AQ1668" s="15"/>
      <c r="AR1668" s="15"/>
      <c r="AS1668" s="15"/>
      <c r="AT1668" s="15"/>
      <c r="AU1668" s="15"/>
    </row>
    <row r="1669" ht="24.0" customHeight="1">
      <c r="A1669" s="45">
        <v>3093.0</v>
      </c>
      <c r="B1669" s="57"/>
      <c r="C1669" s="57"/>
      <c r="D1669" s="88" t="str">
        <f t="array" ref="D1669">IFERROR(
  LOOKUP(2, 1/((TRIM(IMS!$E$8:$E$2574)=TRIM(IMS!$E1669))*(IMS!$C$8:$C$2574&lt;IMS!$C1669)),
         IMS!$C$8:$C$2574),
"")</f>
        <v/>
      </c>
      <c r="E1669" s="57"/>
      <c r="F1669" s="57"/>
      <c r="G1669" s="77" t="str">
        <f t="shared" si="901"/>
        <v/>
      </c>
      <c r="H1669" s="78" t="str">
        <f t="shared" si="902"/>
        <v/>
      </c>
      <c r="I1669" s="79"/>
      <c r="J1669" s="80" t="str">
        <f t="shared" si="903"/>
        <v>#NAME?</v>
      </c>
      <c r="K1669" s="58"/>
      <c r="L1669" s="58"/>
      <c r="M1669" s="57"/>
      <c r="N1669" s="57"/>
      <c r="O1669" s="58"/>
      <c r="P1669" s="82"/>
      <c r="Q1669" s="81"/>
      <c r="R1669" s="81"/>
      <c r="S1669" s="57"/>
      <c r="T1669" s="82"/>
      <c r="U1669" s="82"/>
      <c r="V1669" s="57"/>
      <c r="W1669" s="57"/>
      <c r="X1669" s="57" t="str">
        <f t="shared" si="917"/>
        <v/>
      </c>
      <c r="Y1669" s="58" t="str">
        <f t="shared" ref="Y1669:AC1669" si="1509">TRIM(SUBSTITUTE(SUBSTITUTE(OFFSET($Q1669,0,COLUMN()-COLUMN($AL$1)),CHAR(160)," "),_xludf.UNICHAR(8239)," "))</f>
        <v>#NAME?</v>
      </c>
      <c r="Z1669" s="58" t="str">
        <f t="shared" si="1509"/>
        <v>#NAME?</v>
      </c>
      <c r="AA1669" s="58" t="str">
        <f t="shared" si="1509"/>
        <v>#NAME?</v>
      </c>
      <c r="AB1669" s="58" t="str">
        <f t="shared" si="1509"/>
        <v>#NAME?</v>
      </c>
      <c r="AC1669" s="58" t="str">
        <f t="shared" si="1509"/>
        <v>#NAME?</v>
      </c>
      <c r="AD1669" s="57">
        <f t="shared" si="906"/>
        <v>0</v>
      </c>
      <c r="AE1669" s="57" t="str">
        <f t="shared" si="907"/>
        <v/>
      </c>
      <c r="AF1669" s="57">
        <f t="shared" si="908"/>
        <v>0</v>
      </c>
      <c r="AG1669" s="59">
        <f t="shared" si="909"/>
        <v>0</v>
      </c>
      <c r="AH1669" s="15"/>
      <c r="AI1669" s="15"/>
      <c r="AJ1669" s="15"/>
      <c r="AK1669" s="15"/>
      <c r="AL1669" s="15"/>
      <c r="AM1669" s="15"/>
      <c r="AN1669" s="15"/>
      <c r="AO1669" s="15"/>
      <c r="AP1669" s="15"/>
      <c r="AQ1669" s="15"/>
      <c r="AR1669" s="15"/>
      <c r="AS1669" s="15"/>
      <c r="AT1669" s="15"/>
      <c r="AU1669" s="15"/>
    </row>
    <row r="1670" ht="24.0" customHeight="1">
      <c r="A1670" s="45">
        <v>3094.0</v>
      </c>
      <c r="B1670" s="57"/>
      <c r="C1670" s="57"/>
      <c r="D1670" s="88" t="str">
        <f t="array" ref="D1670">IFERROR(
  LOOKUP(2, 1/((TRIM(IMS!$E$8:$E$2574)=TRIM(IMS!$E1670))*(IMS!$C$8:$C$2574&lt;IMS!$C1670)),
         IMS!$C$8:$C$2574),
"")</f>
        <v/>
      </c>
      <c r="E1670" s="57"/>
      <c r="F1670" s="57"/>
      <c r="G1670" s="77" t="str">
        <f t="shared" si="901"/>
        <v/>
      </c>
      <c r="H1670" s="78" t="str">
        <f t="shared" si="902"/>
        <v/>
      </c>
      <c r="I1670" s="79"/>
      <c r="J1670" s="80" t="str">
        <f t="shared" si="903"/>
        <v>#NAME?</v>
      </c>
      <c r="K1670" s="58"/>
      <c r="L1670" s="58"/>
      <c r="M1670" s="57"/>
      <c r="N1670" s="57"/>
      <c r="O1670" s="58"/>
      <c r="P1670" s="82"/>
      <c r="Q1670" s="81"/>
      <c r="R1670" s="81"/>
      <c r="S1670" s="57"/>
      <c r="T1670" s="82"/>
      <c r="U1670" s="82"/>
      <c r="V1670" s="57"/>
      <c r="W1670" s="57"/>
      <c r="X1670" s="57" t="str">
        <f t="shared" si="917"/>
        <v/>
      </c>
      <c r="Y1670" s="58" t="str">
        <f t="shared" ref="Y1670:AC1670" si="1510">TRIM(SUBSTITUTE(SUBSTITUTE(OFFSET($Q1670,0,COLUMN()-COLUMN($AL$1)),CHAR(160)," "),_xludf.UNICHAR(8239)," "))</f>
        <v>#NAME?</v>
      </c>
      <c r="Z1670" s="58" t="str">
        <f t="shared" si="1510"/>
        <v>#NAME?</v>
      </c>
      <c r="AA1670" s="58" t="str">
        <f t="shared" si="1510"/>
        <v>#NAME?</v>
      </c>
      <c r="AB1670" s="58" t="str">
        <f t="shared" si="1510"/>
        <v>#NAME?</v>
      </c>
      <c r="AC1670" s="58" t="str">
        <f t="shared" si="1510"/>
        <v>#NAME?</v>
      </c>
      <c r="AD1670" s="57">
        <f t="shared" si="906"/>
        <v>0</v>
      </c>
      <c r="AE1670" s="57" t="str">
        <f t="shared" si="907"/>
        <v/>
      </c>
      <c r="AF1670" s="57">
        <f t="shared" si="908"/>
        <v>0</v>
      </c>
      <c r="AG1670" s="59">
        <f t="shared" si="909"/>
        <v>0</v>
      </c>
      <c r="AH1670" s="15"/>
      <c r="AI1670" s="15"/>
      <c r="AJ1670" s="15"/>
      <c r="AK1670" s="15"/>
      <c r="AL1670" s="15"/>
      <c r="AM1670" s="15"/>
      <c r="AN1670" s="15"/>
      <c r="AO1670" s="15"/>
      <c r="AP1670" s="15"/>
      <c r="AQ1670" s="15"/>
      <c r="AR1670" s="15"/>
      <c r="AS1670" s="15"/>
      <c r="AT1670" s="15"/>
      <c r="AU1670" s="15"/>
    </row>
    <row r="1671" ht="24.0" customHeight="1">
      <c r="A1671" s="45">
        <v>3095.0</v>
      </c>
      <c r="B1671" s="57"/>
      <c r="C1671" s="57"/>
      <c r="D1671" s="88" t="str">
        <f t="array" ref="D1671">IFERROR(
  LOOKUP(2, 1/((TRIM(IMS!$E$8:$E$2574)=TRIM(IMS!$E1671))*(IMS!$C$8:$C$2574&lt;IMS!$C1671)),
         IMS!$C$8:$C$2574),
"")</f>
        <v/>
      </c>
      <c r="E1671" s="57"/>
      <c r="F1671" s="57"/>
      <c r="G1671" s="77" t="str">
        <f t="shared" si="901"/>
        <v/>
      </c>
      <c r="H1671" s="78" t="str">
        <f t="shared" si="902"/>
        <v/>
      </c>
      <c r="I1671" s="79"/>
      <c r="J1671" s="80" t="str">
        <f t="shared" si="903"/>
        <v>#NAME?</v>
      </c>
      <c r="K1671" s="58"/>
      <c r="L1671" s="58"/>
      <c r="M1671" s="57"/>
      <c r="N1671" s="57"/>
      <c r="O1671" s="58"/>
      <c r="P1671" s="82"/>
      <c r="Q1671" s="81"/>
      <c r="R1671" s="81"/>
      <c r="S1671" s="57"/>
      <c r="T1671" s="82"/>
      <c r="U1671" s="82"/>
      <c r="V1671" s="57"/>
      <c r="W1671" s="57"/>
      <c r="X1671" s="57" t="str">
        <f t="shared" si="917"/>
        <v/>
      </c>
      <c r="Y1671" s="58" t="str">
        <f t="shared" ref="Y1671:AC1671" si="1511">TRIM(SUBSTITUTE(SUBSTITUTE(OFFSET($Q1671,0,COLUMN()-COLUMN($AL$1)),CHAR(160)," "),_xludf.UNICHAR(8239)," "))</f>
        <v>#NAME?</v>
      </c>
      <c r="Z1671" s="58" t="str">
        <f t="shared" si="1511"/>
        <v>#NAME?</v>
      </c>
      <c r="AA1671" s="58" t="str">
        <f t="shared" si="1511"/>
        <v>#NAME?</v>
      </c>
      <c r="AB1671" s="58" t="str">
        <f t="shared" si="1511"/>
        <v>#NAME?</v>
      </c>
      <c r="AC1671" s="58" t="str">
        <f t="shared" si="1511"/>
        <v>#NAME?</v>
      </c>
      <c r="AD1671" s="57">
        <f t="shared" si="906"/>
        <v>0</v>
      </c>
      <c r="AE1671" s="57" t="str">
        <f t="shared" si="907"/>
        <v/>
      </c>
      <c r="AF1671" s="57">
        <f t="shared" si="908"/>
        <v>0</v>
      </c>
      <c r="AG1671" s="59">
        <f t="shared" si="909"/>
        <v>0</v>
      </c>
      <c r="AH1671" s="15"/>
      <c r="AI1671" s="15"/>
      <c r="AJ1671" s="15"/>
      <c r="AK1671" s="15"/>
      <c r="AL1671" s="15"/>
      <c r="AM1671" s="15"/>
      <c r="AN1671" s="15"/>
      <c r="AO1671" s="15"/>
      <c r="AP1671" s="15"/>
      <c r="AQ1671" s="15"/>
      <c r="AR1671" s="15"/>
      <c r="AS1671" s="15"/>
      <c r="AT1671" s="15"/>
      <c r="AU1671" s="15"/>
    </row>
    <row r="1672" ht="24.0" customHeight="1">
      <c r="A1672" s="45">
        <v>3096.0</v>
      </c>
      <c r="B1672" s="57"/>
      <c r="C1672" s="57"/>
      <c r="D1672" s="88" t="str">
        <f t="array" ref="D1672">IFERROR(
  LOOKUP(2, 1/((TRIM(IMS!$E$8:$E$2574)=TRIM(IMS!$E1672))*(IMS!$C$8:$C$2574&lt;IMS!$C1672)),
         IMS!$C$8:$C$2574),
"")</f>
        <v/>
      </c>
      <c r="E1672" s="57"/>
      <c r="F1672" s="57"/>
      <c r="G1672" s="77" t="str">
        <f t="shared" si="901"/>
        <v/>
      </c>
      <c r="H1672" s="78" t="str">
        <f t="shared" si="902"/>
        <v/>
      </c>
      <c r="I1672" s="79"/>
      <c r="J1672" s="80" t="str">
        <f t="shared" si="903"/>
        <v>#NAME?</v>
      </c>
      <c r="K1672" s="58"/>
      <c r="L1672" s="58"/>
      <c r="M1672" s="57"/>
      <c r="N1672" s="57"/>
      <c r="O1672" s="58"/>
      <c r="P1672" s="82"/>
      <c r="Q1672" s="81"/>
      <c r="R1672" s="81"/>
      <c r="S1672" s="57"/>
      <c r="T1672" s="82"/>
      <c r="U1672" s="82"/>
      <c r="V1672" s="57"/>
      <c r="W1672" s="57"/>
      <c r="X1672" s="57" t="str">
        <f t="shared" si="917"/>
        <v/>
      </c>
      <c r="Y1672" s="58" t="str">
        <f t="shared" ref="Y1672:AC1672" si="1512">TRIM(SUBSTITUTE(SUBSTITUTE(OFFSET($Q1672,0,COLUMN()-COLUMN($AL$1)),CHAR(160)," "),_xludf.UNICHAR(8239)," "))</f>
        <v>#NAME?</v>
      </c>
      <c r="Z1672" s="58" t="str">
        <f t="shared" si="1512"/>
        <v>#NAME?</v>
      </c>
      <c r="AA1672" s="58" t="str">
        <f t="shared" si="1512"/>
        <v>#NAME?</v>
      </c>
      <c r="AB1672" s="58" t="str">
        <f t="shared" si="1512"/>
        <v>#NAME?</v>
      </c>
      <c r="AC1672" s="58" t="str">
        <f t="shared" si="1512"/>
        <v>#NAME?</v>
      </c>
      <c r="AD1672" s="57">
        <f t="shared" si="906"/>
        <v>0</v>
      </c>
      <c r="AE1672" s="57" t="str">
        <f t="shared" si="907"/>
        <v/>
      </c>
      <c r="AF1672" s="57">
        <f t="shared" si="908"/>
        <v>0</v>
      </c>
      <c r="AG1672" s="59">
        <f t="shared" si="909"/>
        <v>0</v>
      </c>
      <c r="AH1672" s="15"/>
      <c r="AI1672" s="15"/>
      <c r="AJ1672" s="15"/>
      <c r="AK1672" s="15"/>
      <c r="AL1672" s="15"/>
      <c r="AM1672" s="15"/>
      <c r="AN1672" s="15"/>
      <c r="AO1672" s="15"/>
      <c r="AP1672" s="15"/>
      <c r="AQ1672" s="15"/>
      <c r="AR1672" s="15"/>
      <c r="AS1672" s="15"/>
      <c r="AT1672" s="15"/>
      <c r="AU1672" s="15"/>
    </row>
    <row r="1673" ht="24.0" customHeight="1">
      <c r="A1673" s="45">
        <v>3097.0</v>
      </c>
      <c r="B1673" s="57"/>
      <c r="C1673" s="57"/>
      <c r="D1673" s="88" t="str">
        <f t="array" ref="D1673">IFERROR(
  LOOKUP(2, 1/((TRIM(IMS!$E$8:$E$2574)=TRIM(IMS!$E1673))*(IMS!$C$8:$C$2574&lt;IMS!$C1673)),
         IMS!$C$8:$C$2574),
"")</f>
        <v/>
      </c>
      <c r="E1673" s="57"/>
      <c r="F1673" s="57"/>
      <c r="G1673" s="77" t="str">
        <f t="shared" si="901"/>
        <v/>
      </c>
      <c r="H1673" s="78" t="str">
        <f t="shared" si="902"/>
        <v/>
      </c>
      <c r="I1673" s="79"/>
      <c r="J1673" s="80" t="str">
        <f t="shared" si="903"/>
        <v>#NAME?</v>
      </c>
      <c r="K1673" s="58"/>
      <c r="L1673" s="58"/>
      <c r="M1673" s="57"/>
      <c r="N1673" s="57"/>
      <c r="O1673" s="58"/>
      <c r="P1673" s="82"/>
      <c r="Q1673" s="81"/>
      <c r="R1673" s="81"/>
      <c r="S1673" s="57"/>
      <c r="T1673" s="82"/>
      <c r="U1673" s="82"/>
      <c r="V1673" s="57"/>
      <c r="W1673" s="57"/>
      <c r="X1673" s="57" t="str">
        <f t="shared" si="917"/>
        <v/>
      </c>
      <c r="Y1673" s="58" t="str">
        <f t="shared" ref="Y1673:AC1673" si="1513">TRIM(SUBSTITUTE(SUBSTITUTE(OFFSET($Q1673,0,COLUMN()-COLUMN($AL$1)),CHAR(160)," "),_xludf.UNICHAR(8239)," "))</f>
        <v>#NAME?</v>
      </c>
      <c r="Z1673" s="58" t="str">
        <f t="shared" si="1513"/>
        <v>#NAME?</v>
      </c>
      <c r="AA1673" s="58" t="str">
        <f t="shared" si="1513"/>
        <v>#NAME?</v>
      </c>
      <c r="AB1673" s="58" t="str">
        <f t="shared" si="1513"/>
        <v>#NAME?</v>
      </c>
      <c r="AC1673" s="58" t="str">
        <f t="shared" si="1513"/>
        <v>#NAME?</v>
      </c>
      <c r="AD1673" s="57">
        <f t="shared" si="906"/>
        <v>0</v>
      </c>
      <c r="AE1673" s="57" t="str">
        <f t="shared" si="907"/>
        <v/>
      </c>
      <c r="AF1673" s="57">
        <f t="shared" si="908"/>
        <v>0</v>
      </c>
      <c r="AG1673" s="59">
        <f t="shared" si="909"/>
        <v>0</v>
      </c>
      <c r="AH1673" s="15"/>
      <c r="AI1673" s="15"/>
      <c r="AJ1673" s="15"/>
      <c r="AK1673" s="15"/>
      <c r="AL1673" s="15"/>
      <c r="AM1673" s="15"/>
      <c r="AN1673" s="15"/>
      <c r="AO1673" s="15"/>
      <c r="AP1673" s="15"/>
      <c r="AQ1673" s="15"/>
      <c r="AR1673" s="15"/>
      <c r="AS1673" s="15"/>
      <c r="AT1673" s="15"/>
      <c r="AU1673" s="15"/>
    </row>
    <row r="1674" ht="24.0" customHeight="1">
      <c r="A1674" s="45">
        <v>3098.0</v>
      </c>
      <c r="B1674" s="57"/>
      <c r="C1674" s="57"/>
      <c r="D1674" s="88" t="str">
        <f t="array" ref="D1674">IFERROR(
  LOOKUP(2, 1/((TRIM(IMS!$E$8:$E$2574)=TRIM(IMS!$E1674))*(IMS!$C$8:$C$2574&lt;IMS!$C1674)),
         IMS!$C$8:$C$2574),
"")</f>
        <v/>
      </c>
      <c r="E1674" s="57"/>
      <c r="F1674" s="57"/>
      <c r="G1674" s="77" t="str">
        <f t="shared" si="901"/>
        <v/>
      </c>
      <c r="H1674" s="78" t="str">
        <f t="shared" si="902"/>
        <v/>
      </c>
      <c r="I1674" s="79"/>
      <c r="J1674" s="80" t="str">
        <f t="shared" si="903"/>
        <v>#NAME?</v>
      </c>
      <c r="K1674" s="58"/>
      <c r="L1674" s="58"/>
      <c r="M1674" s="57"/>
      <c r="N1674" s="57"/>
      <c r="O1674" s="58"/>
      <c r="P1674" s="82"/>
      <c r="Q1674" s="81"/>
      <c r="R1674" s="81"/>
      <c r="S1674" s="57"/>
      <c r="T1674" s="82"/>
      <c r="U1674" s="82"/>
      <c r="V1674" s="57"/>
      <c r="W1674" s="57"/>
      <c r="X1674" s="57" t="str">
        <f t="shared" si="917"/>
        <v/>
      </c>
      <c r="Y1674" s="58" t="str">
        <f t="shared" ref="Y1674:AC1674" si="1514">TRIM(SUBSTITUTE(SUBSTITUTE(OFFSET($Q1674,0,COLUMN()-COLUMN($AL$1)),CHAR(160)," "),_xludf.UNICHAR(8239)," "))</f>
        <v>#NAME?</v>
      </c>
      <c r="Z1674" s="58" t="str">
        <f t="shared" si="1514"/>
        <v>#NAME?</v>
      </c>
      <c r="AA1674" s="58" t="str">
        <f t="shared" si="1514"/>
        <v>#NAME?</v>
      </c>
      <c r="AB1674" s="58" t="str">
        <f t="shared" si="1514"/>
        <v>#NAME?</v>
      </c>
      <c r="AC1674" s="58" t="str">
        <f t="shared" si="1514"/>
        <v>#NAME?</v>
      </c>
      <c r="AD1674" s="57">
        <f t="shared" si="906"/>
        <v>0</v>
      </c>
      <c r="AE1674" s="57" t="str">
        <f t="shared" si="907"/>
        <v/>
      </c>
      <c r="AF1674" s="57">
        <f t="shared" si="908"/>
        <v>0</v>
      </c>
      <c r="AG1674" s="59">
        <f t="shared" si="909"/>
        <v>0</v>
      </c>
      <c r="AH1674" s="15"/>
      <c r="AI1674" s="15"/>
      <c r="AJ1674" s="15"/>
      <c r="AK1674" s="15"/>
      <c r="AL1674" s="15"/>
      <c r="AM1674" s="15"/>
      <c r="AN1674" s="15"/>
      <c r="AO1674" s="15"/>
      <c r="AP1674" s="15"/>
      <c r="AQ1674" s="15"/>
      <c r="AR1674" s="15"/>
      <c r="AS1674" s="15"/>
      <c r="AT1674" s="15"/>
      <c r="AU1674" s="15"/>
    </row>
    <row r="1675" ht="24.0" customHeight="1">
      <c r="A1675" s="45">
        <v>3099.0</v>
      </c>
      <c r="B1675" s="57"/>
      <c r="C1675" s="57"/>
      <c r="D1675" s="88" t="str">
        <f t="array" ref="D1675">IFERROR(
  LOOKUP(2, 1/((TRIM(IMS!$E$8:$E$2574)=TRIM(IMS!$E1675))*(IMS!$C$8:$C$2574&lt;IMS!$C1675)),
         IMS!$C$8:$C$2574),
"")</f>
        <v/>
      </c>
      <c r="E1675" s="57"/>
      <c r="F1675" s="57"/>
      <c r="G1675" s="77" t="str">
        <f t="shared" si="901"/>
        <v/>
      </c>
      <c r="H1675" s="78" t="str">
        <f t="shared" si="902"/>
        <v/>
      </c>
      <c r="I1675" s="79"/>
      <c r="J1675" s="80" t="str">
        <f t="shared" si="903"/>
        <v>#NAME?</v>
      </c>
      <c r="K1675" s="58"/>
      <c r="L1675" s="58"/>
      <c r="M1675" s="57"/>
      <c r="N1675" s="57"/>
      <c r="O1675" s="58"/>
      <c r="P1675" s="82"/>
      <c r="Q1675" s="81"/>
      <c r="R1675" s="81"/>
      <c r="S1675" s="57"/>
      <c r="T1675" s="82"/>
      <c r="U1675" s="82"/>
      <c r="V1675" s="57"/>
      <c r="W1675" s="57"/>
      <c r="X1675" s="57" t="str">
        <f t="shared" si="917"/>
        <v/>
      </c>
      <c r="Y1675" s="58" t="str">
        <f t="shared" ref="Y1675:AC1675" si="1515">TRIM(SUBSTITUTE(SUBSTITUTE(OFFSET($Q1675,0,COLUMN()-COLUMN($AL$1)),CHAR(160)," "),_xludf.UNICHAR(8239)," "))</f>
        <v>#NAME?</v>
      </c>
      <c r="Z1675" s="58" t="str">
        <f t="shared" si="1515"/>
        <v>#NAME?</v>
      </c>
      <c r="AA1675" s="58" t="str">
        <f t="shared" si="1515"/>
        <v>#NAME?</v>
      </c>
      <c r="AB1675" s="58" t="str">
        <f t="shared" si="1515"/>
        <v>#NAME?</v>
      </c>
      <c r="AC1675" s="58" t="str">
        <f t="shared" si="1515"/>
        <v>#NAME?</v>
      </c>
      <c r="AD1675" s="57">
        <f t="shared" si="906"/>
        <v>0</v>
      </c>
      <c r="AE1675" s="57" t="str">
        <f t="shared" si="907"/>
        <v/>
      </c>
      <c r="AF1675" s="57">
        <f t="shared" si="908"/>
        <v>0</v>
      </c>
      <c r="AG1675" s="59">
        <f t="shared" si="909"/>
        <v>0</v>
      </c>
      <c r="AH1675" s="15"/>
      <c r="AI1675" s="15"/>
      <c r="AJ1675" s="15"/>
      <c r="AK1675" s="15"/>
      <c r="AL1675" s="15"/>
      <c r="AM1675" s="15"/>
      <c r="AN1675" s="15"/>
      <c r="AO1675" s="15"/>
      <c r="AP1675" s="15"/>
      <c r="AQ1675" s="15"/>
      <c r="AR1675" s="15"/>
      <c r="AS1675" s="15"/>
      <c r="AT1675" s="15"/>
      <c r="AU1675" s="15"/>
    </row>
    <row r="1676" ht="24.0" customHeight="1">
      <c r="A1676" s="45">
        <v>3100.0</v>
      </c>
      <c r="B1676" s="57"/>
      <c r="C1676" s="57"/>
      <c r="D1676" s="88" t="str">
        <f t="array" ref="D1676">IFERROR(
  LOOKUP(2, 1/((TRIM(IMS!$E$8:$E$2574)=TRIM(IMS!$E1676))*(IMS!$C$8:$C$2574&lt;IMS!$C1676)),
         IMS!$C$8:$C$2574),
"")</f>
        <v/>
      </c>
      <c r="E1676" s="57"/>
      <c r="F1676" s="57"/>
      <c r="G1676" s="77" t="str">
        <f t="shared" si="901"/>
        <v/>
      </c>
      <c r="H1676" s="78" t="str">
        <f t="shared" si="902"/>
        <v/>
      </c>
      <c r="I1676" s="79"/>
      <c r="J1676" s="80" t="str">
        <f t="shared" si="903"/>
        <v>#NAME?</v>
      </c>
      <c r="K1676" s="58"/>
      <c r="L1676" s="58"/>
      <c r="M1676" s="57"/>
      <c r="N1676" s="57"/>
      <c r="O1676" s="58"/>
      <c r="P1676" s="82"/>
      <c r="Q1676" s="81"/>
      <c r="R1676" s="81"/>
      <c r="S1676" s="57"/>
      <c r="T1676" s="82"/>
      <c r="U1676" s="82"/>
      <c r="V1676" s="57"/>
      <c r="W1676" s="57"/>
      <c r="X1676" s="57" t="str">
        <f t="shared" si="917"/>
        <v/>
      </c>
      <c r="Y1676" s="58" t="str">
        <f t="shared" ref="Y1676:AC1676" si="1516">TRIM(SUBSTITUTE(SUBSTITUTE(OFFSET($Q1676,0,COLUMN()-COLUMN($AL$1)),CHAR(160)," "),_xludf.UNICHAR(8239)," "))</f>
        <v>#NAME?</v>
      </c>
      <c r="Z1676" s="58" t="str">
        <f t="shared" si="1516"/>
        <v>#NAME?</v>
      </c>
      <c r="AA1676" s="58" t="str">
        <f t="shared" si="1516"/>
        <v>#NAME?</v>
      </c>
      <c r="AB1676" s="58" t="str">
        <f t="shared" si="1516"/>
        <v>#NAME?</v>
      </c>
      <c r="AC1676" s="58" t="str">
        <f t="shared" si="1516"/>
        <v>#NAME?</v>
      </c>
      <c r="AD1676" s="57">
        <f t="shared" si="906"/>
        <v>0</v>
      </c>
      <c r="AE1676" s="57" t="str">
        <f t="shared" si="907"/>
        <v/>
      </c>
      <c r="AF1676" s="57">
        <f t="shared" si="908"/>
        <v>0</v>
      </c>
      <c r="AG1676" s="59">
        <f t="shared" si="909"/>
        <v>0</v>
      </c>
      <c r="AH1676" s="15"/>
      <c r="AI1676" s="15"/>
      <c r="AJ1676" s="15"/>
      <c r="AK1676" s="15"/>
      <c r="AL1676" s="15"/>
      <c r="AM1676" s="15"/>
      <c r="AN1676" s="15"/>
      <c r="AO1676" s="15"/>
      <c r="AP1676" s="15"/>
      <c r="AQ1676" s="15"/>
      <c r="AR1676" s="15"/>
      <c r="AS1676" s="15"/>
      <c r="AT1676" s="15"/>
      <c r="AU1676" s="15"/>
    </row>
    <row r="1677" ht="24.0" customHeight="1">
      <c r="A1677" s="45">
        <v>3101.0</v>
      </c>
      <c r="B1677" s="57"/>
      <c r="C1677" s="57"/>
      <c r="D1677" s="88" t="str">
        <f t="array" ref="D1677">IFERROR(
  LOOKUP(2, 1/((TRIM(IMS!$E$8:$E$2574)=TRIM(IMS!$E1677))*(IMS!$C$8:$C$2574&lt;IMS!$C1677)),
         IMS!$C$8:$C$2574),
"")</f>
        <v/>
      </c>
      <c r="E1677" s="57"/>
      <c r="F1677" s="57"/>
      <c r="G1677" s="77" t="str">
        <f t="shared" si="901"/>
        <v/>
      </c>
      <c r="H1677" s="78" t="str">
        <f t="shared" si="902"/>
        <v/>
      </c>
      <c r="I1677" s="79"/>
      <c r="J1677" s="80" t="str">
        <f t="shared" si="903"/>
        <v>#NAME?</v>
      </c>
      <c r="K1677" s="58"/>
      <c r="L1677" s="58"/>
      <c r="M1677" s="57"/>
      <c r="N1677" s="57"/>
      <c r="O1677" s="58"/>
      <c r="P1677" s="82"/>
      <c r="Q1677" s="81"/>
      <c r="R1677" s="81"/>
      <c r="S1677" s="57"/>
      <c r="T1677" s="82"/>
      <c r="U1677" s="82"/>
      <c r="V1677" s="57"/>
      <c r="W1677" s="57"/>
      <c r="X1677" s="57" t="str">
        <f t="shared" si="917"/>
        <v/>
      </c>
      <c r="Y1677" s="58" t="str">
        <f t="shared" ref="Y1677:AC1677" si="1517">TRIM(SUBSTITUTE(SUBSTITUTE(OFFSET($Q1677,0,COLUMN()-COLUMN($AL$1)),CHAR(160)," "),_xludf.UNICHAR(8239)," "))</f>
        <v>#NAME?</v>
      </c>
      <c r="Z1677" s="58" t="str">
        <f t="shared" si="1517"/>
        <v>#NAME?</v>
      </c>
      <c r="AA1677" s="58" t="str">
        <f t="shared" si="1517"/>
        <v>#NAME?</v>
      </c>
      <c r="AB1677" s="58" t="str">
        <f t="shared" si="1517"/>
        <v>#NAME?</v>
      </c>
      <c r="AC1677" s="58" t="str">
        <f t="shared" si="1517"/>
        <v>#NAME?</v>
      </c>
      <c r="AD1677" s="57">
        <f t="shared" si="906"/>
        <v>0</v>
      </c>
      <c r="AE1677" s="57" t="str">
        <f t="shared" si="907"/>
        <v/>
      </c>
      <c r="AF1677" s="57">
        <f t="shared" si="908"/>
        <v>0</v>
      </c>
      <c r="AG1677" s="59">
        <f t="shared" si="909"/>
        <v>0</v>
      </c>
      <c r="AH1677" s="15"/>
      <c r="AI1677" s="15"/>
      <c r="AJ1677" s="15"/>
      <c r="AK1677" s="15"/>
      <c r="AL1677" s="15"/>
      <c r="AM1677" s="15"/>
      <c r="AN1677" s="15"/>
      <c r="AO1677" s="15"/>
      <c r="AP1677" s="15"/>
      <c r="AQ1677" s="15"/>
      <c r="AR1677" s="15"/>
      <c r="AS1677" s="15"/>
      <c r="AT1677" s="15"/>
      <c r="AU1677" s="15"/>
    </row>
    <row r="1678" ht="24.0" customHeight="1">
      <c r="A1678" s="45">
        <v>3102.0</v>
      </c>
      <c r="B1678" s="57"/>
      <c r="C1678" s="57"/>
      <c r="D1678" s="88" t="str">
        <f t="array" ref="D1678">IFERROR(
  LOOKUP(2, 1/((TRIM(IMS!$E$8:$E$2574)=TRIM(IMS!$E1678))*(IMS!$C$8:$C$2574&lt;IMS!$C1678)),
         IMS!$C$8:$C$2574),
"")</f>
        <v/>
      </c>
      <c r="E1678" s="57"/>
      <c r="F1678" s="57"/>
      <c r="G1678" s="77" t="str">
        <f t="shared" si="901"/>
        <v/>
      </c>
      <c r="H1678" s="78" t="str">
        <f t="shared" si="902"/>
        <v/>
      </c>
      <c r="I1678" s="79"/>
      <c r="J1678" s="80" t="str">
        <f t="shared" si="903"/>
        <v>#NAME?</v>
      </c>
      <c r="K1678" s="58"/>
      <c r="L1678" s="58"/>
      <c r="M1678" s="57"/>
      <c r="N1678" s="57"/>
      <c r="O1678" s="58"/>
      <c r="P1678" s="82"/>
      <c r="Q1678" s="81"/>
      <c r="R1678" s="81"/>
      <c r="S1678" s="57"/>
      <c r="T1678" s="82"/>
      <c r="U1678" s="82"/>
      <c r="V1678" s="57"/>
      <c r="W1678" s="57"/>
      <c r="X1678" s="57" t="str">
        <f t="shared" si="917"/>
        <v/>
      </c>
      <c r="Y1678" s="58" t="str">
        <f t="shared" ref="Y1678:AC1678" si="1518">TRIM(SUBSTITUTE(SUBSTITUTE(OFFSET($Q1678,0,COLUMN()-COLUMN($AL$1)),CHAR(160)," "),_xludf.UNICHAR(8239)," "))</f>
        <v>#NAME?</v>
      </c>
      <c r="Z1678" s="58" t="str">
        <f t="shared" si="1518"/>
        <v>#NAME?</v>
      </c>
      <c r="AA1678" s="58" t="str">
        <f t="shared" si="1518"/>
        <v>#NAME?</v>
      </c>
      <c r="AB1678" s="58" t="str">
        <f t="shared" si="1518"/>
        <v>#NAME?</v>
      </c>
      <c r="AC1678" s="58" t="str">
        <f t="shared" si="1518"/>
        <v>#NAME?</v>
      </c>
      <c r="AD1678" s="57">
        <f t="shared" si="906"/>
        <v>0</v>
      </c>
      <c r="AE1678" s="57" t="str">
        <f t="shared" si="907"/>
        <v/>
      </c>
      <c r="AF1678" s="57">
        <f t="shared" si="908"/>
        <v>0</v>
      </c>
      <c r="AG1678" s="59">
        <f t="shared" si="909"/>
        <v>0</v>
      </c>
      <c r="AH1678" s="15"/>
      <c r="AI1678" s="15"/>
      <c r="AJ1678" s="15"/>
      <c r="AK1678" s="15"/>
      <c r="AL1678" s="15"/>
      <c r="AM1678" s="15"/>
      <c r="AN1678" s="15"/>
      <c r="AO1678" s="15"/>
      <c r="AP1678" s="15"/>
      <c r="AQ1678" s="15"/>
      <c r="AR1678" s="15"/>
      <c r="AS1678" s="15"/>
      <c r="AT1678" s="15"/>
      <c r="AU1678" s="15"/>
    </row>
    <row r="1679" ht="24.0" customHeight="1">
      <c r="A1679" s="45">
        <v>3103.0</v>
      </c>
      <c r="B1679" s="57"/>
      <c r="C1679" s="57"/>
      <c r="D1679" s="88" t="str">
        <f t="array" ref="D1679">IFERROR(
  LOOKUP(2, 1/((TRIM(IMS!$E$8:$E$2574)=TRIM(IMS!$E1679))*(IMS!$C$8:$C$2574&lt;IMS!$C1679)),
         IMS!$C$8:$C$2574),
"")</f>
        <v/>
      </c>
      <c r="E1679" s="57"/>
      <c r="F1679" s="57"/>
      <c r="G1679" s="77" t="str">
        <f t="shared" si="901"/>
        <v/>
      </c>
      <c r="H1679" s="78" t="str">
        <f t="shared" si="902"/>
        <v/>
      </c>
      <c r="I1679" s="79"/>
      <c r="J1679" s="80" t="str">
        <f t="shared" si="903"/>
        <v>#NAME?</v>
      </c>
      <c r="K1679" s="58"/>
      <c r="L1679" s="58"/>
      <c r="M1679" s="57"/>
      <c r="N1679" s="57"/>
      <c r="O1679" s="58"/>
      <c r="P1679" s="82"/>
      <c r="Q1679" s="81"/>
      <c r="R1679" s="81"/>
      <c r="S1679" s="57"/>
      <c r="T1679" s="82"/>
      <c r="U1679" s="82"/>
      <c r="V1679" s="57"/>
      <c r="W1679" s="57"/>
      <c r="X1679" s="57" t="str">
        <f t="shared" si="917"/>
        <v/>
      </c>
      <c r="Y1679" s="58" t="str">
        <f t="shared" ref="Y1679:AC1679" si="1519">TRIM(SUBSTITUTE(SUBSTITUTE(OFFSET($Q1679,0,COLUMN()-COLUMN($AL$1)),CHAR(160)," "),_xludf.UNICHAR(8239)," "))</f>
        <v>#NAME?</v>
      </c>
      <c r="Z1679" s="58" t="str">
        <f t="shared" si="1519"/>
        <v>#NAME?</v>
      </c>
      <c r="AA1679" s="58" t="str">
        <f t="shared" si="1519"/>
        <v>#NAME?</v>
      </c>
      <c r="AB1679" s="58" t="str">
        <f t="shared" si="1519"/>
        <v>#NAME?</v>
      </c>
      <c r="AC1679" s="58" t="str">
        <f t="shared" si="1519"/>
        <v>#NAME?</v>
      </c>
      <c r="AD1679" s="57">
        <f t="shared" si="906"/>
        <v>0</v>
      </c>
      <c r="AE1679" s="57" t="str">
        <f t="shared" si="907"/>
        <v/>
      </c>
      <c r="AF1679" s="57">
        <f t="shared" si="908"/>
        <v>0</v>
      </c>
      <c r="AG1679" s="59">
        <f t="shared" si="909"/>
        <v>0</v>
      </c>
      <c r="AH1679" s="15"/>
      <c r="AI1679" s="15"/>
      <c r="AJ1679" s="15"/>
      <c r="AK1679" s="15"/>
      <c r="AL1679" s="15"/>
      <c r="AM1679" s="15"/>
      <c r="AN1679" s="15"/>
      <c r="AO1679" s="15"/>
      <c r="AP1679" s="15"/>
      <c r="AQ1679" s="15"/>
      <c r="AR1679" s="15"/>
      <c r="AS1679" s="15"/>
      <c r="AT1679" s="15"/>
      <c r="AU1679" s="15"/>
    </row>
    <row r="1680" ht="24.0" customHeight="1">
      <c r="A1680" s="45">
        <v>3104.0</v>
      </c>
      <c r="B1680" s="57"/>
      <c r="C1680" s="57"/>
      <c r="D1680" s="88" t="str">
        <f t="array" ref="D1680">IFERROR(
  LOOKUP(2, 1/((TRIM(IMS!$E$8:$E$2574)=TRIM(IMS!$E1680))*(IMS!$C$8:$C$2574&lt;IMS!$C1680)),
         IMS!$C$8:$C$2574),
"")</f>
        <v/>
      </c>
      <c r="E1680" s="57"/>
      <c r="F1680" s="57"/>
      <c r="G1680" s="77" t="str">
        <f t="shared" si="901"/>
        <v/>
      </c>
      <c r="H1680" s="78" t="str">
        <f t="shared" si="902"/>
        <v/>
      </c>
      <c r="I1680" s="79"/>
      <c r="J1680" s="80" t="str">
        <f t="shared" si="903"/>
        <v>#NAME?</v>
      </c>
      <c r="K1680" s="58"/>
      <c r="L1680" s="58"/>
      <c r="M1680" s="57"/>
      <c r="N1680" s="57"/>
      <c r="O1680" s="58"/>
      <c r="P1680" s="82"/>
      <c r="Q1680" s="81"/>
      <c r="R1680" s="81"/>
      <c r="S1680" s="57"/>
      <c r="T1680" s="82"/>
      <c r="U1680" s="82"/>
      <c r="V1680" s="57"/>
      <c r="W1680" s="57"/>
      <c r="X1680" s="57" t="str">
        <f t="shared" si="917"/>
        <v/>
      </c>
      <c r="Y1680" s="58" t="str">
        <f t="shared" ref="Y1680:AC1680" si="1520">TRIM(SUBSTITUTE(SUBSTITUTE(OFFSET($Q1680,0,COLUMN()-COLUMN($AL$1)),CHAR(160)," "),_xludf.UNICHAR(8239)," "))</f>
        <v>#NAME?</v>
      </c>
      <c r="Z1680" s="58" t="str">
        <f t="shared" si="1520"/>
        <v>#NAME?</v>
      </c>
      <c r="AA1680" s="58" t="str">
        <f t="shared" si="1520"/>
        <v>#NAME?</v>
      </c>
      <c r="AB1680" s="58" t="str">
        <f t="shared" si="1520"/>
        <v>#NAME?</v>
      </c>
      <c r="AC1680" s="58" t="str">
        <f t="shared" si="1520"/>
        <v>#NAME?</v>
      </c>
      <c r="AD1680" s="57">
        <f t="shared" si="906"/>
        <v>0</v>
      </c>
      <c r="AE1680" s="57" t="str">
        <f t="shared" si="907"/>
        <v/>
      </c>
      <c r="AF1680" s="57">
        <f t="shared" si="908"/>
        <v>0</v>
      </c>
      <c r="AG1680" s="59">
        <f t="shared" si="909"/>
        <v>0</v>
      </c>
      <c r="AH1680" s="15"/>
      <c r="AI1680" s="15"/>
      <c r="AJ1680" s="15"/>
      <c r="AK1680" s="15"/>
      <c r="AL1680" s="15"/>
      <c r="AM1680" s="15"/>
      <c r="AN1680" s="15"/>
      <c r="AO1680" s="15"/>
      <c r="AP1680" s="15"/>
      <c r="AQ1680" s="15"/>
      <c r="AR1680" s="15"/>
      <c r="AS1680" s="15"/>
      <c r="AT1680" s="15"/>
      <c r="AU1680" s="15"/>
    </row>
    <row r="1681" ht="24.0" customHeight="1">
      <c r="A1681" s="45">
        <v>3105.0</v>
      </c>
      <c r="B1681" s="57"/>
      <c r="C1681" s="57"/>
      <c r="D1681" s="88" t="str">
        <f t="array" ref="D1681">IFERROR(
  LOOKUP(2, 1/((TRIM(IMS!$E$8:$E$2574)=TRIM(IMS!$E1681))*(IMS!$C$8:$C$2574&lt;IMS!$C1681)),
         IMS!$C$8:$C$2574),
"")</f>
        <v/>
      </c>
      <c r="E1681" s="57"/>
      <c r="F1681" s="57"/>
      <c r="G1681" s="77" t="str">
        <f t="shared" si="901"/>
        <v/>
      </c>
      <c r="H1681" s="78" t="str">
        <f t="shared" si="902"/>
        <v/>
      </c>
      <c r="I1681" s="79"/>
      <c r="J1681" s="80" t="str">
        <f t="shared" si="903"/>
        <v>#NAME?</v>
      </c>
      <c r="K1681" s="58"/>
      <c r="L1681" s="58"/>
      <c r="M1681" s="57"/>
      <c r="N1681" s="57"/>
      <c r="O1681" s="58"/>
      <c r="P1681" s="82"/>
      <c r="Q1681" s="81"/>
      <c r="R1681" s="81"/>
      <c r="S1681" s="57"/>
      <c r="T1681" s="82"/>
      <c r="U1681" s="82"/>
      <c r="V1681" s="57"/>
      <c r="W1681" s="57"/>
      <c r="X1681" s="57" t="str">
        <f t="shared" si="917"/>
        <v/>
      </c>
      <c r="Y1681" s="58" t="str">
        <f t="shared" ref="Y1681:AC1681" si="1521">TRIM(SUBSTITUTE(SUBSTITUTE(OFFSET($Q1681,0,COLUMN()-COLUMN($AL$1)),CHAR(160)," "),_xludf.UNICHAR(8239)," "))</f>
        <v>#NAME?</v>
      </c>
      <c r="Z1681" s="58" t="str">
        <f t="shared" si="1521"/>
        <v>#NAME?</v>
      </c>
      <c r="AA1681" s="58" t="str">
        <f t="shared" si="1521"/>
        <v>#NAME?</v>
      </c>
      <c r="AB1681" s="58" t="str">
        <f t="shared" si="1521"/>
        <v>#NAME?</v>
      </c>
      <c r="AC1681" s="58" t="str">
        <f t="shared" si="1521"/>
        <v>#NAME?</v>
      </c>
      <c r="AD1681" s="57">
        <f t="shared" si="906"/>
        <v>0</v>
      </c>
      <c r="AE1681" s="57" t="str">
        <f t="shared" si="907"/>
        <v/>
      </c>
      <c r="AF1681" s="57">
        <f t="shared" si="908"/>
        <v>0</v>
      </c>
      <c r="AG1681" s="59">
        <f t="shared" si="909"/>
        <v>0</v>
      </c>
      <c r="AH1681" s="15"/>
      <c r="AI1681" s="15"/>
      <c r="AJ1681" s="15"/>
      <c r="AK1681" s="15"/>
      <c r="AL1681" s="15"/>
      <c r="AM1681" s="15"/>
      <c r="AN1681" s="15"/>
      <c r="AO1681" s="15"/>
      <c r="AP1681" s="15"/>
      <c r="AQ1681" s="15"/>
      <c r="AR1681" s="15"/>
      <c r="AS1681" s="15"/>
      <c r="AT1681" s="15"/>
      <c r="AU1681" s="15"/>
    </row>
    <row r="1682" ht="24.0" customHeight="1">
      <c r="A1682" s="45">
        <v>3106.0</v>
      </c>
      <c r="B1682" s="57"/>
      <c r="C1682" s="57"/>
      <c r="D1682" s="88" t="str">
        <f t="array" ref="D1682">IFERROR(
  LOOKUP(2, 1/((TRIM(IMS!$E$8:$E$2574)=TRIM(IMS!$E1682))*(IMS!$C$8:$C$2574&lt;IMS!$C1682)),
         IMS!$C$8:$C$2574),
"")</f>
        <v/>
      </c>
      <c r="E1682" s="57"/>
      <c r="F1682" s="57"/>
      <c r="G1682" s="77" t="str">
        <f t="shared" si="901"/>
        <v/>
      </c>
      <c r="H1682" s="78" t="str">
        <f t="shared" si="902"/>
        <v/>
      </c>
      <c r="I1682" s="79"/>
      <c r="J1682" s="80" t="str">
        <f t="shared" si="903"/>
        <v>#NAME?</v>
      </c>
      <c r="K1682" s="58"/>
      <c r="L1682" s="58"/>
      <c r="M1682" s="57"/>
      <c r="N1682" s="57"/>
      <c r="O1682" s="58"/>
      <c r="P1682" s="82"/>
      <c r="Q1682" s="81"/>
      <c r="R1682" s="81"/>
      <c r="S1682" s="57"/>
      <c r="T1682" s="82"/>
      <c r="U1682" s="82"/>
      <c r="V1682" s="57"/>
      <c r="W1682" s="57"/>
      <c r="X1682" s="57" t="str">
        <f t="shared" si="917"/>
        <v/>
      </c>
      <c r="Y1682" s="58" t="str">
        <f t="shared" ref="Y1682:AC1682" si="1522">TRIM(SUBSTITUTE(SUBSTITUTE(OFFSET($Q1682,0,COLUMN()-COLUMN($AL$1)),CHAR(160)," "),_xludf.UNICHAR(8239)," "))</f>
        <v>#NAME?</v>
      </c>
      <c r="Z1682" s="58" t="str">
        <f t="shared" si="1522"/>
        <v>#NAME?</v>
      </c>
      <c r="AA1682" s="58" t="str">
        <f t="shared" si="1522"/>
        <v>#NAME?</v>
      </c>
      <c r="AB1682" s="58" t="str">
        <f t="shared" si="1522"/>
        <v>#NAME?</v>
      </c>
      <c r="AC1682" s="58" t="str">
        <f t="shared" si="1522"/>
        <v>#NAME?</v>
      </c>
      <c r="AD1682" s="57">
        <f t="shared" si="906"/>
        <v>0</v>
      </c>
      <c r="AE1682" s="57" t="str">
        <f t="shared" si="907"/>
        <v/>
      </c>
      <c r="AF1682" s="57">
        <f t="shared" si="908"/>
        <v>0</v>
      </c>
      <c r="AG1682" s="59">
        <f t="shared" si="909"/>
        <v>0</v>
      </c>
      <c r="AH1682" s="15"/>
      <c r="AI1682" s="15"/>
      <c r="AJ1682" s="15"/>
      <c r="AK1682" s="15"/>
      <c r="AL1682" s="15"/>
      <c r="AM1682" s="15"/>
      <c r="AN1682" s="15"/>
      <c r="AO1682" s="15"/>
      <c r="AP1682" s="15"/>
      <c r="AQ1682" s="15"/>
      <c r="AR1682" s="15"/>
      <c r="AS1682" s="15"/>
      <c r="AT1682" s="15"/>
      <c r="AU1682" s="15"/>
    </row>
    <row r="1683" ht="24.0" customHeight="1">
      <c r="A1683" s="45">
        <v>3107.0</v>
      </c>
      <c r="B1683" s="57"/>
      <c r="C1683" s="57"/>
      <c r="D1683" s="88" t="str">
        <f t="array" ref="D1683">IFERROR(
  LOOKUP(2, 1/((TRIM(IMS!$E$8:$E$2574)=TRIM(IMS!$E1683))*(IMS!$C$8:$C$2574&lt;IMS!$C1683)),
         IMS!$C$8:$C$2574),
"")</f>
        <v/>
      </c>
      <c r="E1683" s="57"/>
      <c r="F1683" s="57"/>
      <c r="G1683" s="77" t="str">
        <f t="shared" si="901"/>
        <v/>
      </c>
      <c r="H1683" s="78" t="str">
        <f t="shared" si="902"/>
        <v/>
      </c>
      <c r="I1683" s="79"/>
      <c r="J1683" s="80" t="str">
        <f t="shared" si="903"/>
        <v>#NAME?</v>
      </c>
      <c r="K1683" s="58"/>
      <c r="L1683" s="58"/>
      <c r="M1683" s="57"/>
      <c r="N1683" s="57"/>
      <c r="O1683" s="58"/>
      <c r="P1683" s="82"/>
      <c r="Q1683" s="81"/>
      <c r="R1683" s="81"/>
      <c r="S1683" s="57"/>
      <c r="T1683" s="82"/>
      <c r="U1683" s="82"/>
      <c r="V1683" s="57"/>
      <c r="W1683" s="57"/>
      <c r="X1683" s="57" t="str">
        <f t="shared" si="917"/>
        <v/>
      </c>
      <c r="Y1683" s="58" t="str">
        <f t="shared" ref="Y1683:AC1683" si="1523">TRIM(SUBSTITUTE(SUBSTITUTE(OFFSET($Q1683,0,COLUMN()-COLUMN($AL$1)),CHAR(160)," "),_xludf.UNICHAR(8239)," "))</f>
        <v>#NAME?</v>
      </c>
      <c r="Z1683" s="58" t="str">
        <f t="shared" si="1523"/>
        <v>#NAME?</v>
      </c>
      <c r="AA1683" s="58" t="str">
        <f t="shared" si="1523"/>
        <v>#NAME?</v>
      </c>
      <c r="AB1683" s="58" t="str">
        <f t="shared" si="1523"/>
        <v>#NAME?</v>
      </c>
      <c r="AC1683" s="58" t="str">
        <f t="shared" si="1523"/>
        <v>#NAME?</v>
      </c>
      <c r="AD1683" s="57">
        <f t="shared" si="906"/>
        <v>0</v>
      </c>
      <c r="AE1683" s="57" t="str">
        <f t="shared" si="907"/>
        <v/>
      </c>
      <c r="AF1683" s="57">
        <f t="shared" si="908"/>
        <v>0</v>
      </c>
      <c r="AG1683" s="59">
        <f t="shared" si="909"/>
        <v>0</v>
      </c>
      <c r="AH1683" s="15"/>
      <c r="AI1683" s="15"/>
      <c r="AJ1683" s="15"/>
      <c r="AK1683" s="15"/>
      <c r="AL1683" s="15"/>
      <c r="AM1683" s="15"/>
      <c r="AN1683" s="15"/>
      <c r="AO1683" s="15"/>
      <c r="AP1683" s="15"/>
      <c r="AQ1683" s="15"/>
      <c r="AR1683" s="15"/>
      <c r="AS1683" s="15"/>
      <c r="AT1683" s="15"/>
      <c r="AU1683" s="15"/>
    </row>
    <row r="1684" ht="24.0" customHeight="1">
      <c r="A1684" s="45">
        <v>3108.0</v>
      </c>
      <c r="B1684" s="57"/>
      <c r="C1684" s="57"/>
      <c r="D1684" s="88" t="str">
        <f t="array" ref="D1684">IFERROR(
  LOOKUP(2, 1/((TRIM(IMS!$E$8:$E$2574)=TRIM(IMS!$E1684))*(IMS!$C$8:$C$2574&lt;IMS!$C1684)),
         IMS!$C$8:$C$2574),
"")</f>
        <v/>
      </c>
      <c r="E1684" s="57"/>
      <c r="F1684" s="57"/>
      <c r="G1684" s="77" t="str">
        <f t="shared" si="901"/>
        <v/>
      </c>
      <c r="H1684" s="78" t="str">
        <f t="shared" si="902"/>
        <v/>
      </c>
      <c r="I1684" s="79"/>
      <c r="J1684" s="80" t="str">
        <f t="shared" si="903"/>
        <v>#NAME?</v>
      </c>
      <c r="K1684" s="58"/>
      <c r="L1684" s="58"/>
      <c r="M1684" s="57"/>
      <c r="N1684" s="57"/>
      <c r="O1684" s="58"/>
      <c r="P1684" s="82"/>
      <c r="Q1684" s="81"/>
      <c r="R1684" s="81"/>
      <c r="S1684" s="57"/>
      <c r="T1684" s="82"/>
      <c r="U1684" s="82"/>
      <c r="V1684" s="57"/>
      <c r="W1684" s="57"/>
      <c r="X1684" s="57" t="str">
        <f t="shared" si="917"/>
        <v/>
      </c>
      <c r="Y1684" s="58" t="str">
        <f t="shared" ref="Y1684:AC1684" si="1524">TRIM(SUBSTITUTE(SUBSTITUTE(OFFSET($Q1684,0,COLUMN()-COLUMN($AL$1)),CHAR(160)," "),_xludf.UNICHAR(8239)," "))</f>
        <v>#NAME?</v>
      </c>
      <c r="Z1684" s="58" t="str">
        <f t="shared" si="1524"/>
        <v>#NAME?</v>
      </c>
      <c r="AA1684" s="58" t="str">
        <f t="shared" si="1524"/>
        <v>#NAME?</v>
      </c>
      <c r="AB1684" s="58" t="str">
        <f t="shared" si="1524"/>
        <v>#NAME?</v>
      </c>
      <c r="AC1684" s="58" t="str">
        <f t="shared" si="1524"/>
        <v>#NAME?</v>
      </c>
      <c r="AD1684" s="57">
        <f t="shared" si="906"/>
        <v>0</v>
      </c>
      <c r="AE1684" s="57" t="str">
        <f t="shared" si="907"/>
        <v/>
      </c>
      <c r="AF1684" s="57">
        <f t="shared" si="908"/>
        <v>0</v>
      </c>
      <c r="AG1684" s="59">
        <f t="shared" si="909"/>
        <v>0</v>
      </c>
      <c r="AH1684" s="15"/>
      <c r="AI1684" s="15"/>
      <c r="AJ1684" s="15"/>
      <c r="AK1684" s="15"/>
      <c r="AL1684" s="15"/>
      <c r="AM1684" s="15"/>
      <c r="AN1684" s="15"/>
      <c r="AO1684" s="15"/>
      <c r="AP1684" s="15"/>
      <c r="AQ1684" s="15"/>
      <c r="AR1684" s="15"/>
      <c r="AS1684" s="15"/>
      <c r="AT1684" s="15"/>
      <c r="AU1684" s="15"/>
    </row>
    <row r="1685" ht="24.0" customHeight="1">
      <c r="A1685" s="45">
        <v>3109.0</v>
      </c>
      <c r="B1685" s="57"/>
      <c r="C1685" s="57"/>
      <c r="D1685" s="88" t="str">
        <f t="array" ref="D1685">IFERROR(
  LOOKUP(2, 1/((TRIM(IMS!$E$8:$E$2574)=TRIM(IMS!$E1685))*(IMS!$C$8:$C$2574&lt;IMS!$C1685)),
         IMS!$C$8:$C$2574),
"")</f>
        <v/>
      </c>
      <c r="E1685" s="57"/>
      <c r="F1685" s="57"/>
      <c r="G1685" s="77" t="str">
        <f t="shared" si="901"/>
        <v/>
      </c>
      <c r="H1685" s="78" t="str">
        <f t="shared" si="902"/>
        <v/>
      </c>
      <c r="I1685" s="79"/>
      <c r="J1685" s="80" t="str">
        <f t="shared" si="903"/>
        <v>#NAME?</v>
      </c>
      <c r="K1685" s="58"/>
      <c r="L1685" s="58"/>
      <c r="M1685" s="57"/>
      <c r="N1685" s="57"/>
      <c r="O1685" s="58"/>
      <c r="P1685" s="82"/>
      <c r="Q1685" s="81"/>
      <c r="R1685" s="81"/>
      <c r="S1685" s="57"/>
      <c r="T1685" s="82"/>
      <c r="U1685" s="82"/>
      <c r="V1685" s="57"/>
      <c r="W1685" s="57"/>
      <c r="X1685" s="57" t="str">
        <f t="shared" si="917"/>
        <v/>
      </c>
      <c r="Y1685" s="58" t="str">
        <f t="shared" ref="Y1685:AC1685" si="1525">TRIM(SUBSTITUTE(SUBSTITUTE(OFFSET($Q1685,0,COLUMN()-COLUMN($AL$1)),CHAR(160)," "),_xludf.UNICHAR(8239)," "))</f>
        <v>#NAME?</v>
      </c>
      <c r="Z1685" s="58" t="str">
        <f t="shared" si="1525"/>
        <v>#NAME?</v>
      </c>
      <c r="AA1685" s="58" t="str">
        <f t="shared" si="1525"/>
        <v>#NAME?</v>
      </c>
      <c r="AB1685" s="58" t="str">
        <f t="shared" si="1525"/>
        <v>#NAME?</v>
      </c>
      <c r="AC1685" s="58" t="str">
        <f t="shared" si="1525"/>
        <v>#NAME?</v>
      </c>
      <c r="AD1685" s="57">
        <f t="shared" si="906"/>
        <v>0</v>
      </c>
      <c r="AE1685" s="57" t="str">
        <f t="shared" si="907"/>
        <v/>
      </c>
      <c r="AF1685" s="57">
        <f t="shared" si="908"/>
        <v>0</v>
      </c>
      <c r="AG1685" s="59">
        <f t="shared" si="909"/>
        <v>0</v>
      </c>
      <c r="AH1685" s="15"/>
      <c r="AI1685" s="15"/>
      <c r="AJ1685" s="15"/>
      <c r="AK1685" s="15"/>
      <c r="AL1685" s="15"/>
      <c r="AM1685" s="15"/>
      <c r="AN1685" s="15"/>
      <c r="AO1685" s="15"/>
      <c r="AP1685" s="15"/>
      <c r="AQ1685" s="15"/>
      <c r="AR1685" s="15"/>
      <c r="AS1685" s="15"/>
      <c r="AT1685" s="15"/>
      <c r="AU1685" s="15"/>
    </row>
    <row r="1686" ht="24.0" customHeight="1">
      <c r="A1686" s="45">
        <v>3110.0</v>
      </c>
      <c r="B1686" s="57"/>
      <c r="C1686" s="57"/>
      <c r="D1686" s="88" t="str">
        <f t="array" ref="D1686">IFERROR(
  LOOKUP(2, 1/((TRIM(IMS!$E$8:$E$2574)=TRIM(IMS!$E1686))*(IMS!$C$8:$C$2574&lt;IMS!$C1686)),
         IMS!$C$8:$C$2574),
"")</f>
        <v/>
      </c>
      <c r="E1686" s="57"/>
      <c r="F1686" s="57"/>
      <c r="G1686" s="77" t="str">
        <f t="shared" si="901"/>
        <v/>
      </c>
      <c r="H1686" s="78" t="str">
        <f t="shared" si="902"/>
        <v/>
      </c>
      <c r="I1686" s="79"/>
      <c r="J1686" s="80" t="str">
        <f t="shared" si="903"/>
        <v>#NAME?</v>
      </c>
      <c r="K1686" s="58"/>
      <c r="L1686" s="58"/>
      <c r="M1686" s="57"/>
      <c r="N1686" s="57"/>
      <c r="O1686" s="58"/>
      <c r="P1686" s="82"/>
      <c r="Q1686" s="81"/>
      <c r="R1686" s="81"/>
      <c r="S1686" s="57"/>
      <c r="T1686" s="82"/>
      <c r="U1686" s="82"/>
      <c r="V1686" s="57"/>
      <c r="W1686" s="57"/>
      <c r="X1686" s="57" t="str">
        <f t="shared" si="917"/>
        <v/>
      </c>
      <c r="Y1686" s="58" t="str">
        <f t="shared" ref="Y1686:AC1686" si="1526">TRIM(SUBSTITUTE(SUBSTITUTE(OFFSET($Q1686,0,COLUMN()-COLUMN($AL$1)),CHAR(160)," "),_xludf.UNICHAR(8239)," "))</f>
        <v>#NAME?</v>
      </c>
      <c r="Z1686" s="58" t="str">
        <f t="shared" si="1526"/>
        <v>#NAME?</v>
      </c>
      <c r="AA1686" s="58" t="str">
        <f t="shared" si="1526"/>
        <v>#NAME?</v>
      </c>
      <c r="AB1686" s="58" t="str">
        <f t="shared" si="1526"/>
        <v>#NAME?</v>
      </c>
      <c r="AC1686" s="58" t="str">
        <f t="shared" si="1526"/>
        <v>#NAME?</v>
      </c>
      <c r="AD1686" s="57">
        <f t="shared" si="906"/>
        <v>0</v>
      </c>
      <c r="AE1686" s="57" t="str">
        <f t="shared" si="907"/>
        <v/>
      </c>
      <c r="AF1686" s="57">
        <f t="shared" si="908"/>
        <v>0</v>
      </c>
      <c r="AG1686" s="59">
        <f t="shared" si="909"/>
        <v>0</v>
      </c>
      <c r="AH1686" s="15"/>
      <c r="AI1686" s="15"/>
      <c r="AJ1686" s="15"/>
      <c r="AK1686" s="15"/>
      <c r="AL1686" s="15"/>
      <c r="AM1686" s="15"/>
      <c r="AN1686" s="15"/>
      <c r="AO1686" s="15"/>
      <c r="AP1686" s="15"/>
      <c r="AQ1686" s="15"/>
      <c r="AR1686" s="15"/>
      <c r="AS1686" s="15"/>
      <c r="AT1686" s="15"/>
      <c r="AU1686" s="15"/>
    </row>
    <row r="1687" ht="24.0" customHeight="1">
      <c r="A1687" s="45">
        <v>3111.0</v>
      </c>
      <c r="B1687" s="57"/>
      <c r="C1687" s="57"/>
      <c r="D1687" s="88" t="str">
        <f t="array" ref="D1687">IFERROR(
  LOOKUP(2, 1/((TRIM(IMS!$E$8:$E$2574)=TRIM(IMS!$E1687))*(IMS!$C$8:$C$2574&lt;IMS!$C1687)),
         IMS!$C$8:$C$2574),
"")</f>
        <v/>
      </c>
      <c r="E1687" s="57"/>
      <c r="F1687" s="57"/>
      <c r="G1687" s="77" t="str">
        <f t="shared" si="901"/>
        <v/>
      </c>
      <c r="H1687" s="78" t="str">
        <f t="shared" si="902"/>
        <v/>
      </c>
      <c r="I1687" s="79"/>
      <c r="J1687" s="80" t="str">
        <f t="shared" si="903"/>
        <v>#NAME?</v>
      </c>
      <c r="K1687" s="58"/>
      <c r="L1687" s="58"/>
      <c r="M1687" s="57"/>
      <c r="N1687" s="57"/>
      <c r="O1687" s="58"/>
      <c r="P1687" s="82"/>
      <c r="Q1687" s="81"/>
      <c r="R1687" s="81"/>
      <c r="S1687" s="57"/>
      <c r="T1687" s="82"/>
      <c r="U1687" s="82"/>
      <c r="V1687" s="57"/>
      <c r="W1687" s="57"/>
      <c r="X1687" s="57" t="str">
        <f t="shared" si="917"/>
        <v/>
      </c>
      <c r="Y1687" s="58" t="str">
        <f t="shared" ref="Y1687:AC1687" si="1527">TRIM(SUBSTITUTE(SUBSTITUTE(OFFSET($Q1687,0,COLUMN()-COLUMN($AL$1)),CHAR(160)," "),_xludf.UNICHAR(8239)," "))</f>
        <v>#NAME?</v>
      </c>
      <c r="Z1687" s="58" t="str">
        <f t="shared" si="1527"/>
        <v>#NAME?</v>
      </c>
      <c r="AA1687" s="58" t="str">
        <f t="shared" si="1527"/>
        <v>#NAME?</v>
      </c>
      <c r="AB1687" s="58" t="str">
        <f t="shared" si="1527"/>
        <v>#NAME?</v>
      </c>
      <c r="AC1687" s="58" t="str">
        <f t="shared" si="1527"/>
        <v>#NAME?</v>
      </c>
      <c r="AD1687" s="57">
        <f t="shared" si="906"/>
        <v>0</v>
      </c>
      <c r="AE1687" s="57" t="str">
        <f t="shared" si="907"/>
        <v/>
      </c>
      <c r="AF1687" s="57">
        <f t="shared" si="908"/>
        <v>0</v>
      </c>
      <c r="AG1687" s="59">
        <f t="shared" si="909"/>
        <v>0</v>
      </c>
      <c r="AH1687" s="15"/>
      <c r="AI1687" s="15"/>
      <c r="AJ1687" s="15"/>
      <c r="AK1687" s="15"/>
      <c r="AL1687" s="15"/>
      <c r="AM1687" s="15"/>
      <c r="AN1687" s="15"/>
      <c r="AO1687" s="15"/>
      <c r="AP1687" s="15"/>
      <c r="AQ1687" s="15"/>
      <c r="AR1687" s="15"/>
      <c r="AS1687" s="15"/>
      <c r="AT1687" s="15"/>
      <c r="AU1687" s="15"/>
    </row>
    <row r="1688" ht="24.0" customHeight="1">
      <c r="A1688" s="45">
        <v>3112.0</v>
      </c>
      <c r="B1688" s="57"/>
      <c r="C1688" s="57"/>
      <c r="D1688" s="88" t="str">
        <f t="array" ref="D1688">IFERROR(
  LOOKUP(2, 1/((TRIM(IMS!$E$8:$E$2574)=TRIM(IMS!$E1688))*(IMS!$C$8:$C$2574&lt;IMS!$C1688)),
         IMS!$C$8:$C$2574),
"")</f>
        <v/>
      </c>
      <c r="E1688" s="57"/>
      <c r="F1688" s="57"/>
      <c r="G1688" s="77" t="str">
        <f t="shared" si="901"/>
        <v/>
      </c>
      <c r="H1688" s="78" t="str">
        <f t="shared" si="902"/>
        <v/>
      </c>
      <c r="I1688" s="79"/>
      <c r="J1688" s="80" t="str">
        <f t="shared" si="903"/>
        <v>#NAME?</v>
      </c>
      <c r="K1688" s="58"/>
      <c r="L1688" s="58"/>
      <c r="M1688" s="57"/>
      <c r="N1688" s="57"/>
      <c r="O1688" s="58"/>
      <c r="P1688" s="82"/>
      <c r="Q1688" s="81"/>
      <c r="R1688" s="81"/>
      <c r="S1688" s="57"/>
      <c r="T1688" s="82"/>
      <c r="U1688" s="82"/>
      <c r="V1688" s="57"/>
      <c r="W1688" s="57"/>
      <c r="X1688" s="57" t="str">
        <f t="shared" si="917"/>
        <v/>
      </c>
      <c r="Y1688" s="58" t="str">
        <f t="shared" ref="Y1688:AC1688" si="1528">TRIM(SUBSTITUTE(SUBSTITUTE(OFFSET($Q1688,0,COLUMN()-COLUMN($AL$1)),CHAR(160)," "),_xludf.UNICHAR(8239)," "))</f>
        <v>#NAME?</v>
      </c>
      <c r="Z1688" s="58" t="str">
        <f t="shared" si="1528"/>
        <v>#NAME?</v>
      </c>
      <c r="AA1688" s="58" t="str">
        <f t="shared" si="1528"/>
        <v>#NAME?</v>
      </c>
      <c r="AB1688" s="58" t="str">
        <f t="shared" si="1528"/>
        <v>#NAME?</v>
      </c>
      <c r="AC1688" s="58" t="str">
        <f t="shared" si="1528"/>
        <v>#NAME?</v>
      </c>
      <c r="AD1688" s="57">
        <f t="shared" si="906"/>
        <v>0</v>
      </c>
      <c r="AE1688" s="57" t="str">
        <f t="shared" si="907"/>
        <v/>
      </c>
      <c r="AF1688" s="57">
        <f t="shared" si="908"/>
        <v>0</v>
      </c>
      <c r="AG1688" s="59">
        <f t="shared" si="909"/>
        <v>0</v>
      </c>
      <c r="AH1688" s="15"/>
      <c r="AI1688" s="15"/>
      <c r="AJ1688" s="15"/>
      <c r="AK1688" s="15"/>
      <c r="AL1688" s="15"/>
      <c r="AM1688" s="15"/>
      <c r="AN1688" s="15"/>
      <c r="AO1688" s="15"/>
      <c r="AP1688" s="15"/>
      <c r="AQ1688" s="15"/>
      <c r="AR1688" s="15"/>
      <c r="AS1688" s="15"/>
      <c r="AT1688" s="15"/>
      <c r="AU1688" s="15"/>
    </row>
    <row r="1689" ht="24.0" customHeight="1">
      <c r="A1689" s="45">
        <v>3113.0</v>
      </c>
      <c r="B1689" s="57"/>
      <c r="C1689" s="57"/>
      <c r="D1689" s="88" t="str">
        <f t="array" ref="D1689">IFERROR(
  LOOKUP(2, 1/((TRIM(IMS!$E$8:$E$2574)=TRIM(IMS!$E1689))*(IMS!$C$8:$C$2574&lt;IMS!$C1689)),
         IMS!$C$8:$C$2574),
"")</f>
        <v/>
      </c>
      <c r="E1689" s="57"/>
      <c r="F1689" s="57"/>
      <c r="G1689" s="77" t="str">
        <f t="shared" si="901"/>
        <v/>
      </c>
      <c r="H1689" s="78" t="str">
        <f t="shared" si="902"/>
        <v/>
      </c>
      <c r="I1689" s="79"/>
      <c r="J1689" s="80" t="str">
        <f t="shared" si="903"/>
        <v>#NAME?</v>
      </c>
      <c r="K1689" s="58"/>
      <c r="L1689" s="58"/>
      <c r="M1689" s="57"/>
      <c r="N1689" s="57"/>
      <c r="O1689" s="58"/>
      <c r="P1689" s="82"/>
      <c r="Q1689" s="81"/>
      <c r="R1689" s="81"/>
      <c r="S1689" s="57"/>
      <c r="T1689" s="82"/>
      <c r="U1689" s="82"/>
      <c r="V1689" s="57"/>
      <c r="W1689" s="57"/>
      <c r="X1689" s="57" t="str">
        <f t="shared" si="917"/>
        <v/>
      </c>
      <c r="Y1689" s="58" t="str">
        <f t="shared" ref="Y1689:AC1689" si="1529">TRIM(SUBSTITUTE(SUBSTITUTE(OFFSET($Q1689,0,COLUMN()-COLUMN($AL$1)),CHAR(160)," "),_xludf.UNICHAR(8239)," "))</f>
        <v>#NAME?</v>
      </c>
      <c r="Z1689" s="58" t="str">
        <f t="shared" si="1529"/>
        <v>#NAME?</v>
      </c>
      <c r="AA1689" s="58" t="str">
        <f t="shared" si="1529"/>
        <v>#NAME?</v>
      </c>
      <c r="AB1689" s="58" t="str">
        <f t="shared" si="1529"/>
        <v>#NAME?</v>
      </c>
      <c r="AC1689" s="58" t="str">
        <f t="shared" si="1529"/>
        <v>#NAME?</v>
      </c>
      <c r="AD1689" s="57">
        <f t="shared" si="906"/>
        <v>0</v>
      </c>
      <c r="AE1689" s="57" t="str">
        <f t="shared" si="907"/>
        <v/>
      </c>
      <c r="AF1689" s="57">
        <f t="shared" si="908"/>
        <v>0</v>
      </c>
      <c r="AG1689" s="59">
        <f t="shared" si="909"/>
        <v>0</v>
      </c>
      <c r="AH1689" s="15"/>
      <c r="AI1689" s="15"/>
      <c r="AJ1689" s="15"/>
      <c r="AK1689" s="15"/>
      <c r="AL1689" s="15"/>
      <c r="AM1689" s="15"/>
      <c r="AN1689" s="15"/>
      <c r="AO1689" s="15"/>
      <c r="AP1689" s="15"/>
      <c r="AQ1689" s="15"/>
      <c r="AR1689" s="15"/>
      <c r="AS1689" s="15"/>
      <c r="AT1689" s="15"/>
      <c r="AU1689" s="15"/>
    </row>
    <row r="1690" ht="24.0" customHeight="1">
      <c r="A1690" s="45">
        <v>3114.0</v>
      </c>
      <c r="B1690" s="57"/>
      <c r="C1690" s="57"/>
      <c r="D1690" s="88" t="str">
        <f t="array" ref="D1690">IFERROR(
  LOOKUP(2, 1/((TRIM(IMS!$E$8:$E$2574)=TRIM(IMS!$E1690))*(IMS!$C$8:$C$2574&lt;IMS!$C1690)),
         IMS!$C$8:$C$2574),
"")</f>
        <v/>
      </c>
      <c r="E1690" s="57"/>
      <c r="F1690" s="57"/>
      <c r="G1690" s="77" t="str">
        <f t="shared" si="901"/>
        <v/>
      </c>
      <c r="H1690" s="78" t="str">
        <f t="shared" si="902"/>
        <v/>
      </c>
      <c r="I1690" s="79"/>
      <c r="J1690" s="80" t="str">
        <f t="shared" si="903"/>
        <v>#NAME?</v>
      </c>
      <c r="K1690" s="58"/>
      <c r="L1690" s="58"/>
      <c r="M1690" s="57"/>
      <c r="N1690" s="57"/>
      <c r="O1690" s="58"/>
      <c r="P1690" s="82"/>
      <c r="Q1690" s="81"/>
      <c r="R1690" s="81"/>
      <c r="S1690" s="57"/>
      <c r="T1690" s="82"/>
      <c r="U1690" s="82"/>
      <c r="V1690" s="57"/>
      <c r="W1690" s="57"/>
      <c r="X1690" s="57" t="str">
        <f t="shared" si="917"/>
        <v/>
      </c>
      <c r="Y1690" s="58" t="str">
        <f t="shared" ref="Y1690:AC1690" si="1530">TRIM(SUBSTITUTE(SUBSTITUTE(OFFSET($Q1690,0,COLUMN()-COLUMN($AL$1)),CHAR(160)," "),_xludf.UNICHAR(8239)," "))</f>
        <v>#NAME?</v>
      </c>
      <c r="Z1690" s="58" t="str">
        <f t="shared" si="1530"/>
        <v>#NAME?</v>
      </c>
      <c r="AA1690" s="58" t="str">
        <f t="shared" si="1530"/>
        <v>#NAME?</v>
      </c>
      <c r="AB1690" s="58" t="str">
        <f t="shared" si="1530"/>
        <v>#NAME?</v>
      </c>
      <c r="AC1690" s="58" t="str">
        <f t="shared" si="1530"/>
        <v>#NAME?</v>
      </c>
      <c r="AD1690" s="57">
        <f t="shared" si="906"/>
        <v>0</v>
      </c>
      <c r="AE1690" s="57" t="str">
        <f t="shared" si="907"/>
        <v/>
      </c>
      <c r="AF1690" s="57">
        <f t="shared" si="908"/>
        <v>0</v>
      </c>
      <c r="AG1690" s="59">
        <f t="shared" si="909"/>
        <v>0</v>
      </c>
      <c r="AH1690" s="15"/>
      <c r="AI1690" s="15"/>
      <c r="AJ1690" s="15"/>
      <c r="AK1690" s="15"/>
      <c r="AL1690" s="15"/>
      <c r="AM1690" s="15"/>
      <c r="AN1690" s="15"/>
      <c r="AO1690" s="15"/>
      <c r="AP1690" s="15"/>
      <c r="AQ1690" s="15"/>
      <c r="AR1690" s="15"/>
      <c r="AS1690" s="15"/>
      <c r="AT1690" s="15"/>
      <c r="AU1690" s="15"/>
    </row>
    <row r="1691" ht="24.0" customHeight="1">
      <c r="A1691" s="45">
        <v>3115.0</v>
      </c>
      <c r="B1691" s="57"/>
      <c r="C1691" s="57"/>
      <c r="D1691" s="88" t="str">
        <f t="array" ref="D1691">IFERROR(
  LOOKUP(2, 1/((TRIM(IMS!$E$8:$E$2574)=TRIM(IMS!$E1691))*(IMS!$C$8:$C$2574&lt;IMS!$C1691)),
         IMS!$C$8:$C$2574),
"")</f>
        <v/>
      </c>
      <c r="E1691" s="57"/>
      <c r="F1691" s="57"/>
      <c r="G1691" s="77" t="str">
        <f t="shared" si="901"/>
        <v/>
      </c>
      <c r="H1691" s="78" t="str">
        <f t="shared" si="902"/>
        <v/>
      </c>
      <c r="I1691" s="79"/>
      <c r="J1691" s="80" t="str">
        <f t="shared" si="903"/>
        <v>#NAME?</v>
      </c>
      <c r="K1691" s="58"/>
      <c r="L1691" s="58"/>
      <c r="M1691" s="57"/>
      <c r="N1691" s="57"/>
      <c r="O1691" s="58"/>
      <c r="P1691" s="82"/>
      <c r="Q1691" s="81"/>
      <c r="R1691" s="81"/>
      <c r="S1691" s="57"/>
      <c r="T1691" s="82"/>
      <c r="U1691" s="82"/>
      <c r="V1691" s="57"/>
      <c r="W1691" s="57"/>
      <c r="X1691" s="57" t="str">
        <f t="shared" si="917"/>
        <v/>
      </c>
      <c r="Y1691" s="58" t="str">
        <f t="shared" ref="Y1691:AC1691" si="1531">TRIM(SUBSTITUTE(SUBSTITUTE(OFFSET($Q1691,0,COLUMN()-COLUMN($AL$1)),CHAR(160)," "),_xludf.UNICHAR(8239)," "))</f>
        <v>#NAME?</v>
      </c>
      <c r="Z1691" s="58" t="str">
        <f t="shared" si="1531"/>
        <v>#NAME?</v>
      </c>
      <c r="AA1691" s="58" t="str">
        <f t="shared" si="1531"/>
        <v>#NAME?</v>
      </c>
      <c r="AB1691" s="58" t="str">
        <f t="shared" si="1531"/>
        <v>#NAME?</v>
      </c>
      <c r="AC1691" s="58" t="str">
        <f t="shared" si="1531"/>
        <v>#NAME?</v>
      </c>
      <c r="AD1691" s="57">
        <f t="shared" si="906"/>
        <v>0</v>
      </c>
      <c r="AE1691" s="57" t="str">
        <f t="shared" si="907"/>
        <v/>
      </c>
      <c r="AF1691" s="57">
        <f t="shared" si="908"/>
        <v>0</v>
      </c>
      <c r="AG1691" s="59">
        <f t="shared" si="909"/>
        <v>0</v>
      </c>
      <c r="AH1691" s="15"/>
      <c r="AI1691" s="15"/>
      <c r="AJ1691" s="15"/>
      <c r="AK1691" s="15"/>
      <c r="AL1691" s="15"/>
      <c r="AM1691" s="15"/>
      <c r="AN1691" s="15"/>
      <c r="AO1691" s="15"/>
      <c r="AP1691" s="15"/>
      <c r="AQ1691" s="15"/>
      <c r="AR1691" s="15"/>
      <c r="AS1691" s="15"/>
      <c r="AT1691" s="15"/>
      <c r="AU1691" s="15"/>
    </row>
    <row r="1692" ht="24.0" customHeight="1">
      <c r="A1692" s="45">
        <v>3116.0</v>
      </c>
      <c r="B1692" s="57"/>
      <c r="C1692" s="57"/>
      <c r="D1692" s="88" t="str">
        <f t="array" ref="D1692">IFERROR(
  LOOKUP(2, 1/((TRIM(IMS!$E$8:$E$2574)=TRIM(IMS!$E1692))*(IMS!$C$8:$C$2574&lt;IMS!$C1692)),
         IMS!$C$8:$C$2574),
"")</f>
        <v/>
      </c>
      <c r="E1692" s="57"/>
      <c r="F1692" s="57"/>
      <c r="G1692" s="77" t="str">
        <f t="shared" si="901"/>
        <v/>
      </c>
      <c r="H1692" s="78" t="str">
        <f t="shared" si="902"/>
        <v/>
      </c>
      <c r="I1692" s="79"/>
      <c r="J1692" s="80" t="str">
        <f t="shared" si="903"/>
        <v>#NAME?</v>
      </c>
      <c r="K1692" s="58"/>
      <c r="L1692" s="58"/>
      <c r="M1692" s="57"/>
      <c r="N1692" s="57"/>
      <c r="O1692" s="58"/>
      <c r="P1692" s="82"/>
      <c r="Q1692" s="81"/>
      <c r="R1692" s="81"/>
      <c r="S1692" s="57"/>
      <c r="T1692" s="82"/>
      <c r="U1692" s="82"/>
      <c r="V1692" s="57"/>
      <c r="W1692" s="57"/>
      <c r="X1692" s="57" t="str">
        <f t="shared" si="917"/>
        <v/>
      </c>
      <c r="Y1692" s="58" t="str">
        <f t="shared" ref="Y1692:AC1692" si="1532">TRIM(SUBSTITUTE(SUBSTITUTE(OFFSET($Q1692,0,COLUMN()-COLUMN($AL$1)),CHAR(160)," "),_xludf.UNICHAR(8239)," "))</f>
        <v>#NAME?</v>
      </c>
      <c r="Z1692" s="58" t="str">
        <f t="shared" si="1532"/>
        <v>#NAME?</v>
      </c>
      <c r="AA1692" s="58" t="str">
        <f t="shared" si="1532"/>
        <v>#NAME?</v>
      </c>
      <c r="AB1692" s="58" t="str">
        <f t="shared" si="1532"/>
        <v>#NAME?</v>
      </c>
      <c r="AC1692" s="58" t="str">
        <f t="shared" si="1532"/>
        <v>#NAME?</v>
      </c>
      <c r="AD1692" s="57">
        <f t="shared" si="906"/>
        <v>0</v>
      </c>
      <c r="AE1692" s="57" t="str">
        <f t="shared" si="907"/>
        <v/>
      </c>
      <c r="AF1692" s="57">
        <f t="shared" si="908"/>
        <v>0</v>
      </c>
      <c r="AG1692" s="59">
        <f t="shared" si="909"/>
        <v>0</v>
      </c>
      <c r="AH1692" s="15"/>
      <c r="AI1692" s="15"/>
      <c r="AJ1692" s="15"/>
      <c r="AK1692" s="15"/>
      <c r="AL1692" s="15"/>
      <c r="AM1692" s="15"/>
      <c r="AN1692" s="15"/>
      <c r="AO1692" s="15"/>
      <c r="AP1692" s="15"/>
      <c r="AQ1692" s="15"/>
      <c r="AR1692" s="15"/>
      <c r="AS1692" s="15"/>
      <c r="AT1692" s="15"/>
      <c r="AU1692" s="15"/>
    </row>
    <row r="1693" ht="24.0" customHeight="1">
      <c r="A1693" s="45">
        <v>3117.0</v>
      </c>
      <c r="B1693" s="57"/>
      <c r="C1693" s="57"/>
      <c r="D1693" s="88" t="str">
        <f t="array" ref="D1693">IFERROR(
  LOOKUP(2, 1/((TRIM(IMS!$E$8:$E$2574)=TRIM(IMS!$E1693))*(IMS!$C$8:$C$2574&lt;IMS!$C1693)),
         IMS!$C$8:$C$2574),
"")</f>
        <v/>
      </c>
      <c r="E1693" s="57"/>
      <c r="F1693" s="57"/>
      <c r="G1693" s="77" t="str">
        <f t="shared" si="901"/>
        <v/>
      </c>
      <c r="H1693" s="78" t="str">
        <f t="shared" si="902"/>
        <v/>
      </c>
      <c r="I1693" s="79"/>
      <c r="J1693" s="80" t="str">
        <f t="shared" si="903"/>
        <v>#NAME?</v>
      </c>
      <c r="K1693" s="58"/>
      <c r="L1693" s="58"/>
      <c r="M1693" s="57"/>
      <c r="N1693" s="57"/>
      <c r="O1693" s="58"/>
      <c r="P1693" s="82"/>
      <c r="Q1693" s="81"/>
      <c r="R1693" s="81"/>
      <c r="S1693" s="57"/>
      <c r="T1693" s="82"/>
      <c r="U1693" s="82"/>
      <c r="V1693" s="57"/>
      <c r="W1693" s="57"/>
      <c r="X1693" s="57" t="str">
        <f t="shared" si="917"/>
        <v/>
      </c>
      <c r="Y1693" s="58" t="str">
        <f t="shared" ref="Y1693:AC1693" si="1533">TRIM(SUBSTITUTE(SUBSTITUTE(OFFSET($Q1693,0,COLUMN()-COLUMN($AL$1)),CHAR(160)," "),_xludf.UNICHAR(8239)," "))</f>
        <v>#NAME?</v>
      </c>
      <c r="Z1693" s="58" t="str">
        <f t="shared" si="1533"/>
        <v>#NAME?</v>
      </c>
      <c r="AA1693" s="58" t="str">
        <f t="shared" si="1533"/>
        <v>#NAME?</v>
      </c>
      <c r="AB1693" s="58" t="str">
        <f t="shared" si="1533"/>
        <v>#NAME?</v>
      </c>
      <c r="AC1693" s="58" t="str">
        <f t="shared" si="1533"/>
        <v>#NAME?</v>
      </c>
      <c r="AD1693" s="57">
        <f t="shared" si="906"/>
        <v>0</v>
      </c>
      <c r="AE1693" s="57" t="str">
        <f t="shared" si="907"/>
        <v/>
      </c>
      <c r="AF1693" s="57">
        <f t="shared" si="908"/>
        <v>0</v>
      </c>
      <c r="AG1693" s="59">
        <f t="shared" si="909"/>
        <v>0</v>
      </c>
      <c r="AH1693" s="15"/>
      <c r="AI1693" s="15"/>
      <c r="AJ1693" s="15"/>
      <c r="AK1693" s="15"/>
      <c r="AL1693" s="15"/>
      <c r="AM1693" s="15"/>
      <c r="AN1693" s="15"/>
      <c r="AO1693" s="15"/>
      <c r="AP1693" s="15"/>
      <c r="AQ1693" s="15"/>
      <c r="AR1693" s="15"/>
      <c r="AS1693" s="15"/>
      <c r="AT1693" s="15"/>
      <c r="AU1693" s="15"/>
    </row>
    <row r="1694" ht="24.0" customHeight="1">
      <c r="A1694" s="45">
        <v>3118.0</v>
      </c>
      <c r="B1694" s="57"/>
      <c r="C1694" s="57"/>
      <c r="D1694" s="88" t="str">
        <f t="array" ref="D1694">IFERROR(
  LOOKUP(2, 1/((TRIM(IMS!$E$8:$E$2574)=TRIM(IMS!$E1694))*(IMS!$C$8:$C$2574&lt;IMS!$C1694)),
         IMS!$C$8:$C$2574),
"")</f>
        <v/>
      </c>
      <c r="E1694" s="57"/>
      <c r="F1694" s="57"/>
      <c r="G1694" s="77" t="str">
        <f t="shared" si="901"/>
        <v/>
      </c>
      <c r="H1694" s="78" t="str">
        <f t="shared" si="902"/>
        <v/>
      </c>
      <c r="I1694" s="79"/>
      <c r="J1694" s="80" t="str">
        <f t="shared" si="903"/>
        <v>#NAME?</v>
      </c>
      <c r="K1694" s="58"/>
      <c r="L1694" s="58"/>
      <c r="M1694" s="57"/>
      <c r="N1694" s="57"/>
      <c r="O1694" s="58"/>
      <c r="P1694" s="82"/>
      <c r="Q1694" s="81"/>
      <c r="R1694" s="81"/>
      <c r="S1694" s="57"/>
      <c r="T1694" s="82"/>
      <c r="U1694" s="82"/>
      <c r="V1694" s="57"/>
      <c r="W1694" s="57"/>
      <c r="X1694" s="57" t="str">
        <f t="shared" si="917"/>
        <v/>
      </c>
      <c r="Y1694" s="58" t="str">
        <f t="shared" ref="Y1694:AC1694" si="1534">TRIM(SUBSTITUTE(SUBSTITUTE(OFFSET($Q1694,0,COLUMN()-COLUMN($AL$1)),CHAR(160)," "),_xludf.UNICHAR(8239)," "))</f>
        <v>#NAME?</v>
      </c>
      <c r="Z1694" s="58" t="str">
        <f t="shared" si="1534"/>
        <v>#NAME?</v>
      </c>
      <c r="AA1694" s="58" t="str">
        <f t="shared" si="1534"/>
        <v>#NAME?</v>
      </c>
      <c r="AB1694" s="58" t="str">
        <f t="shared" si="1534"/>
        <v>#NAME?</v>
      </c>
      <c r="AC1694" s="58" t="str">
        <f t="shared" si="1534"/>
        <v>#NAME?</v>
      </c>
      <c r="AD1694" s="57">
        <f t="shared" si="906"/>
        <v>0</v>
      </c>
      <c r="AE1694" s="57" t="str">
        <f t="shared" si="907"/>
        <v/>
      </c>
      <c r="AF1694" s="57">
        <f t="shared" si="908"/>
        <v>0</v>
      </c>
      <c r="AG1694" s="59">
        <f t="shared" si="909"/>
        <v>0</v>
      </c>
      <c r="AH1694" s="15"/>
      <c r="AI1694" s="15"/>
      <c r="AJ1694" s="15"/>
      <c r="AK1694" s="15"/>
      <c r="AL1694" s="15"/>
      <c r="AM1694" s="15"/>
      <c r="AN1694" s="15"/>
      <c r="AO1694" s="15"/>
      <c r="AP1694" s="15"/>
      <c r="AQ1694" s="15"/>
      <c r="AR1694" s="15"/>
      <c r="AS1694" s="15"/>
      <c r="AT1694" s="15"/>
      <c r="AU1694" s="15"/>
    </row>
    <row r="1695" ht="24.0" customHeight="1">
      <c r="A1695" s="45">
        <v>3119.0</v>
      </c>
      <c r="B1695" s="57"/>
      <c r="C1695" s="57"/>
      <c r="D1695" s="88" t="str">
        <f t="array" ref="D1695">IFERROR(
  LOOKUP(2, 1/((TRIM(IMS!$E$8:$E$2574)=TRIM(IMS!$E1695))*(IMS!$C$8:$C$2574&lt;IMS!$C1695)),
         IMS!$C$8:$C$2574),
"")</f>
        <v/>
      </c>
      <c r="E1695" s="57"/>
      <c r="F1695" s="57"/>
      <c r="G1695" s="77" t="str">
        <f t="shared" si="901"/>
        <v/>
      </c>
      <c r="H1695" s="78" t="str">
        <f t="shared" si="902"/>
        <v/>
      </c>
      <c r="I1695" s="79"/>
      <c r="J1695" s="80" t="str">
        <f t="shared" si="903"/>
        <v>#NAME?</v>
      </c>
      <c r="K1695" s="58"/>
      <c r="L1695" s="58"/>
      <c r="M1695" s="57"/>
      <c r="N1695" s="57"/>
      <c r="O1695" s="58"/>
      <c r="P1695" s="82"/>
      <c r="Q1695" s="81"/>
      <c r="R1695" s="81"/>
      <c r="S1695" s="57"/>
      <c r="T1695" s="82"/>
      <c r="U1695" s="82"/>
      <c r="V1695" s="57"/>
      <c r="W1695" s="57"/>
      <c r="X1695" s="57" t="str">
        <f t="shared" si="917"/>
        <v/>
      </c>
      <c r="Y1695" s="58" t="str">
        <f t="shared" ref="Y1695:AC1695" si="1535">TRIM(SUBSTITUTE(SUBSTITUTE(OFFSET($Q1695,0,COLUMN()-COLUMN($AL$1)),CHAR(160)," "),_xludf.UNICHAR(8239)," "))</f>
        <v>#NAME?</v>
      </c>
      <c r="Z1695" s="58" t="str">
        <f t="shared" si="1535"/>
        <v>#NAME?</v>
      </c>
      <c r="AA1695" s="58" t="str">
        <f t="shared" si="1535"/>
        <v>#NAME?</v>
      </c>
      <c r="AB1695" s="58" t="str">
        <f t="shared" si="1535"/>
        <v>#NAME?</v>
      </c>
      <c r="AC1695" s="58" t="str">
        <f t="shared" si="1535"/>
        <v>#NAME?</v>
      </c>
      <c r="AD1695" s="57">
        <f t="shared" si="906"/>
        <v>0</v>
      </c>
      <c r="AE1695" s="57" t="str">
        <f t="shared" si="907"/>
        <v/>
      </c>
      <c r="AF1695" s="57">
        <f t="shared" si="908"/>
        <v>0</v>
      </c>
      <c r="AG1695" s="59">
        <f t="shared" si="909"/>
        <v>0</v>
      </c>
      <c r="AH1695" s="15"/>
      <c r="AI1695" s="15"/>
      <c r="AJ1695" s="15"/>
      <c r="AK1695" s="15"/>
      <c r="AL1695" s="15"/>
      <c r="AM1695" s="15"/>
      <c r="AN1695" s="15"/>
      <c r="AO1695" s="15"/>
      <c r="AP1695" s="15"/>
      <c r="AQ1695" s="15"/>
      <c r="AR1695" s="15"/>
      <c r="AS1695" s="15"/>
      <c r="AT1695" s="15"/>
      <c r="AU1695" s="15"/>
    </row>
    <row r="1696" ht="24.0" customHeight="1">
      <c r="A1696" s="45">
        <v>3120.0</v>
      </c>
      <c r="B1696" s="57"/>
      <c r="C1696" s="57"/>
      <c r="D1696" s="88" t="str">
        <f t="array" ref="D1696">IFERROR(
  LOOKUP(2, 1/((TRIM(IMS!$E$8:$E$2574)=TRIM(IMS!$E1696))*(IMS!$C$8:$C$2574&lt;IMS!$C1696)),
         IMS!$C$8:$C$2574),
"")</f>
        <v/>
      </c>
      <c r="E1696" s="57"/>
      <c r="F1696" s="57"/>
      <c r="G1696" s="77" t="str">
        <f t="shared" si="901"/>
        <v/>
      </c>
      <c r="H1696" s="78" t="str">
        <f t="shared" si="902"/>
        <v/>
      </c>
      <c r="I1696" s="79"/>
      <c r="J1696" s="80" t="str">
        <f t="shared" si="903"/>
        <v>#NAME?</v>
      </c>
      <c r="K1696" s="58"/>
      <c r="L1696" s="58"/>
      <c r="M1696" s="57"/>
      <c r="N1696" s="57"/>
      <c r="O1696" s="58"/>
      <c r="P1696" s="82"/>
      <c r="Q1696" s="81"/>
      <c r="R1696" s="81"/>
      <c r="S1696" s="57"/>
      <c r="T1696" s="82"/>
      <c r="U1696" s="82"/>
      <c r="V1696" s="57"/>
      <c r="W1696" s="57"/>
      <c r="X1696" s="57" t="str">
        <f t="shared" si="917"/>
        <v/>
      </c>
      <c r="Y1696" s="58" t="str">
        <f t="shared" ref="Y1696:AC1696" si="1536">TRIM(SUBSTITUTE(SUBSTITUTE(OFFSET($Q1696,0,COLUMN()-COLUMN($AL$1)),CHAR(160)," "),_xludf.UNICHAR(8239)," "))</f>
        <v>#NAME?</v>
      </c>
      <c r="Z1696" s="58" t="str">
        <f t="shared" si="1536"/>
        <v>#NAME?</v>
      </c>
      <c r="AA1696" s="58" t="str">
        <f t="shared" si="1536"/>
        <v>#NAME?</v>
      </c>
      <c r="AB1696" s="58" t="str">
        <f t="shared" si="1536"/>
        <v>#NAME?</v>
      </c>
      <c r="AC1696" s="58" t="str">
        <f t="shared" si="1536"/>
        <v>#NAME?</v>
      </c>
      <c r="AD1696" s="57">
        <f t="shared" si="906"/>
        <v>0</v>
      </c>
      <c r="AE1696" s="57" t="str">
        <f t="shared" si="907"/>
        <v/>
      </c>
      <c r="AF1696" s="57">
        <f t="shared" si="908"/>
        <v>0</v>
      </c>
      <c r="AG1696" s="59">
        <f t="shared" si="909"/>
        <v>0</v>
      </c>
      <c r="AH1696" s="15"/>
      <c r="AI1696" s="15"/>
      <c r="AJ1696" s="15"/>
      <c r="AK1696" s="15"/>
      <c r="AL1696" s="15"/>
      <c r="AM1696" s="15"/>
      <c r="AN1696" s="15"/>
      <c r="AO1696" s="15"/>
      <c r="AP1696" s="15"/>
      <c r="AQ1696" s="15"/>
      <c r="AR1696" s="15"/>
      <c r="AS1696" s="15"/>
      <c r="AT1696" s="15"/>
      <c r="AU1696" s="15"/>
    </row>
    <row r="1697" ht="24.0" customHeight="1">
      <c r="A1697" s="45">
        <v>3121.0</v>
      </c>
      <c r="B1697" s="57"/>
      <c r="C1697" s="57"/>
      <c r="D1697" s="88" t="str">
        <f t="array" ref="D1697">IFERROR(
  LOOKUP(2, 1/((TRIM(IMS!$E$8:$E$2574)=TRIM(IMS!$E1697))*(IMS!$C$8:$C$2574&lt;IMS!$C1697)),
         IMS!$C$8:$C$2574),
"")</f>
        <v/>
      </c>
      <c r="E1697" s="57"/>
      <c r="F1697" s="57"/>
      <c r="G1697" s="77" t="str">
        <f t="shared" si="901"/>
        <v/>
      </c>
      <c r="H1697" s="78" t="str">
        <f t="shared" si="902"/>
        <v/>
      </c>
      <c r="I1697" s="79"/>
      <c r="J1697" s="80" t="str">
        <f t="shared" si="903"/>
        <v>#NAME?</v>
      </c>
      <c r="K1697" s="58"/>
      <c r="L1697" s="58"/>
      <c r="M1697" s="57"/>
      <c r="N1697" s="57"/>
      <c r="O1697" s="58"/>
      <c r="P1697" s="82"/>
      <c r="Q1697" s="81"/>
      <c r="R1697" s="81"/>
      <c r="S1697" s="57"/>
      <c r="T1697" s="82"/>
      <c r="U1697" s="82"/>
      <c r="V1697" s="57"/>
      <c r="W1697" s="57"/>
      <c r="X1697" s="57" t="str">
        <f t="shared" si="917"/>
        <v/>
      </c>
      <c r="Y1697" s="58" t="str">
        <f t="shared" ref="Y1697:AC1697" si="1537">TRIM(SUBSTITUTE(SUBSTITUTE(OFFSET($Q1697,0,COLUMN()-COLUMN($AL$1)),CHAR(160)," "),_xludf.UNICHAR(8239)," "))</f>
        <v>#NAME?</v>
      </c>
      <c r="Z1697" s="58" t="str">
        <f t="shared" si="1537"/>
        <v>#NAME?</v>
      </c>
      <c r="AA1697" s="58" t="str">
        <f t="shared" si="1537"/>
        <v>#NAME?</v>
      </c>
      <c r="AB1697" s="58" t="str">
        <f t="shared" si="1537"/>
        <v>#NAME?</v>
      </c>
      <c r="AC1697" s="58" t="str">
        <f t="shared" si="1537"/>
        <v>#NAME?</v>
      </c>
      <c r="AD1697" s="57">
        <f t="shared" si="906"/>
        <v>0</v>
      </c>
      <c r="AE1697" s="57" t="str">
        <f t="shared" si="907"/>
        <v/>
      </c>
      <c r="AF1697" s="57">
        <f t="shared" si="908"/>
        <v>0</v>
      </c>
      <c r="AG1697" s="59">
        <f t="shared" si="909"/>
        <v>0</v>
      </c>
      <c r="AH1697" s="15"/>
      <c r="AI1697" s="15"/>
      <c r="AJ1697" s="15"/>
      <c r="AK1697" s="15"/>
      <c r="AL1697" s="15"/>
      <c r="AM1697" s="15"/>
      <c r="AN1697" s="15"/>
      <c r="AO1697" s="15"/>
      <c r="AP1697" s="15"/>
      <c r="AQ1697" s="15"/>
      <c r="AR1697" s="15"/>
      <c r="AS1697" s="15"/>
      <c r="AT1697" s="15"/>
      <c r="AU1697" s="15"/>
    </row>
    <row r="1698" ht="24.0" customHeight="1">
      <c r="A1698" s="45">
        <v>3122.0</v>
      </c>
      <c r="B1698" s="57"/>
      <c r="C1698" s="57"/>
      <c r="D1698" s="88" t="str">
        <f t="array" ref="D1698">IFERROR(
  LOOKUP(2, 1/((TRIM(IMS!$E$8:$E$2574)=TRIM(IMS!$E1698))*(IMS!$C$8:$C$2574&lt;IMS!$C1698)),
         IMS!$C$8:$C$2574),
"")</f>
        <v/>
      </c>
      <c r="E1698" s="57"/>
      <c r="F1698" s="57"/>
      <c r="G1698" s="77" t="str">
        <f t="shared" si="901"/>
        <v/>
      </c>
      <c r="H1698" s="78" t="str">
        <f t="shared" si="902"/>
        <v/>
      </c>
      <c r="I1698" s="79"/>
      <c r="J1698" s="80" t="str">
        <f t="shared" si="903"/>
        <v>#NAME?</v>
      </c>
      <c r="K1698" s="58"/>
      <c r="L1698" s="58"/>
      <c r="M1698" s="57"/>
      <c r="N1698" s="57"/>
      <c r="O1698" s="58"/>
      <c r="P1698" s="82"/>
      <c r="Q1698" s="81"/>
      <c r="R1698" s="81"/>
      <c r="S1698" s="57"/>
      <c r="T1698" s="82"/>
      <c r="U1698" s="82"/>
      <c r="V1698" s="57"/>
      <c r="W1698" s="57"/>
      <c r="X1698" s="57" t="str">
        <f t="shared" si="917"/>
        <v/>
      </c>
      <c r="Y1698" s="58" t="str">
        <f t="shared" ref="Y1698:AC1698" si="1538">TRIM(SUBSTITUTE(SUBSTITUTE(OFFSET($Q1698,0,COLUMN()-COLUMN($AL$1)),CHAR(160)," "),_xludf.UNICHAR(8239)," "))</f>
        <v>#NAME?</v>
      </c>
      <c r="Z1698" s="58" t="str">
        <f t="shared" si="1538"/>
        <v>#NAME?</v>
      </c>
      <c r="AA1698" s="58" t="str">
        <f t="shared" si="1538"/>
        <v>#NAME?</v>
      </c>
      <c r="AB1698" s="58" t="str">
        <f t="shared" si="1538"/>
        <v>#NAME?</v>
      </c>
      <c r="AC1698" s="58" t="str">
        <f t="shared" si="1538"/>
        <v>#NAME?</v>
      </c>
      <c r="AD1698" s="57">
        <f t="shared" si="906"/>
        <v>0</v>
      </c>
      <c r="AE1698" s="57" t="str">
        <f t="shared" si="907"/>
        <v/>
      </c>
      <c r="AF1698" s="57">
        <f t="shared" si="908"/>
        <v>0</v>
      </c>
      <c r="AG1698" s="59">
        <f t="shared" si="909"/>
        <v>0</v>
      </c>
      <c r="AH1698" s="15"/>
      <c r="AI1698" s="15"/>
      <c r="AJ1698" s="15"/>
      <c r="AK1698" s="15"/>
      <c r="AL1698" s="15"/>
      <c r="AM1698" s="15"/>
      <c r="AN1698" s="15"/>
      <c r="AO1698" s="15"/>
      <c r="AP1698" s="15"/>
      <c r="AQ1698" s="15"/>
      <c r="AR1698" s="15"/>
      <c r="AS1698" s="15"/>
      <c r="AT1698" s="15"/>
      <c r="AU1698" s="15"/>
    </row>
    <row r="1699" ht="24.0" customHeight="1">
      <c r="A1699" s="45">
        <v>3123.0</v>
      </c>
      <c r="B1699" s="57"/>
      <c r="C1699" s="57"/>
      <c r="D1699" s="88" t="str">
        <f t="array" ref="D1699">IFERROR(
  LOOKUP(2, 1/((TRIM(IMS!$E$8:$E$2574)=TRIM(IMS!$E1699))*(IMS!$C$8:$C$2574&lt;IMS!$C1699)),
         IMS!$C$8:$C$2574),
"")</f>
        <v/>
      </c>
      <c r="E1699" s="57"/>
      <c r="F1699" s="57"/>
      <c r="G1699" s="77" t="str">
        <f t="shared" si="901"/>
        <v/>
      </c>
      <c r="H1699" s="78" t="str">
        <f t="shared" si="902"/>
        <v/>
      </c>
      <c r="I1699" s="79"/>
      <c r="J1699" s="80" t="str">
        <f t="shared" si="903"/>
        <v>#NAME?</v>
      </c>
      <c r="K1699" s="58"/>
      <c r="L1699" s="58"/>
      <c r="M1699" s="57"/>
      <c r="N1699" s="57"/>
      <c r="O1699" s="58"/>
      <c r="P1699" s="82"/>
      <c r="Q1699" s="81"/>
      <c r="R1699" s="81"/>
      <c r="S1699" s="57"/>
      <c r="T1699" s="82"/>
      <c r="U1699" s="82"/>
      <c r="V1699" s="57"/>
      <c r="W1699" s="57"/>
      <c r="X1699" s="57" t="str">
        <f t="shared" si="917"/>
        <v/>
      </c>
      <c r="Y1699" s="58" t="str">
        <f t="shared" ref="Y1699:AC1699" si="1539">TRIM(SUBSTITUTE(SUBSTITUTE(OFFSET($Q1699,0,COLUMN()-COLUMN($AL$1)),CHAR(160)," "),_xludf.UNICHAR(8239)," "))</f>
        <v>#NAME?</v>
      </c>
      <c r="Z1699" s="58" t="str">
        <f t="shared" si="1539"/>
        <v>#NAME?</v>
      </c>
      <c r="AA1699" s="58" t="str">
        <f t="shared" si="1539"/>
        <v>#NAME?</v>
      </c>
      <c r="AB1699" s="58" t="str">
        <f t="shared" si="1539"/>
        <v>#NAME?</v>
      </c>
      <c r="AC1699" s="58" t="str">
        <f t="shared" si="1539"/>
        <v>#NAME?</v>
      </c>
      <c r="AD1699" s="57">
        <f t="shared" si="906"/>
        <v>0</v>
      </c>
      <c r="AE1699" s="57" t="str">
        <f t="shared" si="907"/>
        <v/>
      </c>
      <c r="AF1699" s="57">
        <f t="shared" si="908"/>
        <v>0</v>
      </c>
      <c r="AG1699" s="59">
        <f t="shared" si="909"/>
        <v>0</v>
      </c>
      <c r="AH1699" s="15"/>
      <c r="AI1699" s="15"/>
      <c r="AJ1699" s="15"/>
      <c r="AK1699" s="15"/>
      <c r="AL1699" s="15"/>
      <c r="AM1699" s="15"/>
      <c r="AN1699" s="15"/>
      <c r="AO1699" s="15"/>
      <c r="AP1699" s="15"/>
      <c r="AQ1699" s="15"/>
      <c r="AR1699" s="15"/>
      <c r="AS1699" s="15"/>
      <c r="AT1699" s="15"/>
      <c r="AU1699" s="15"/>
    </row>
    <row r="1700" ht="24.0" customHeight="1">
      <c r="A1700" s="45">
        <v>3124.0</v>
      </c>
      <c r="B1700" s="57"/>
      <c r="C1700" s="57"/>
      <c r="D1700" s="88" t="str">
        <f t="array" ref="D1700">IFERROR(
  LOOKUP(2, 1/((TRIM(IMS!$E$8:$E$2574)=TRIM(IMS!$E1700))*(IMS!$C$8:$C$2574&lt;IMS!$C1700)),
         IMS!$C$8:$C$2574),
"")</f>
        <v/>
      </c>
      <c r="E1700" s="57"/>
      <c r="F1700" s="57"/>
      <c r="G1700" s="77" t="str">
        <f t="shared" si="901"/>
        <v/>
      </c>
      <c r="H1700" s="78" t="str">
        <f t="shared" si="902"/>
        <v/>
      </c>
      <c r="I1700" s="79"/>
      <c r="J1700" s="80" t="str">
        <f t="shared" si="903"/>
        <v>#NAME?</v>
      </c>
      <c r="K1700" s="58"/>
      <c r="L1700" s="58"/>
      <c r="M1700" s="57"/>
      <c r="N1700" s="57"/>
      <c r="O1700" s="58"/>
      <c r="P1700" s="82"/>
      <c r="Q1700" s="81"/>
      <c r="R1700" s="81"/>
      <c r="S1700" s="57"/>
      <c r="T1700" s="82"/>
      <c r="U1700" s="82"/>
      <c r="V1700" s="57"/>
      <c r="W1700" s="57"/>
      <c r="X1700" s="57" t="str">
        <f t="shared" si="917"/>
        <v/>
      </c>
      <c r="Y1700" s="58" t="str">
        <f t="shared" ref="Y1700:AC1700" si="1540">TRIM(SUBSTITUTE(SUBSTITUTE(OFFSET($Q1700,0,COLUMN()-COLUMN($AL$1)),CHAR(160)," "),_xludf.UNICHAR(8239)," "))</f>
        <v>#NAME?</v>
      </c>
      <c r="Z1700" s="58" t="str">
        <f t="shared" si="1540"/>
        <v>#NAME?</v>
      </c>
      <c r="AA1700" s="58" t="str">
        <f t="shared" si="1540"/>
        <v>#NAME?</v>
      </c>
      <c r="AB1700" s="58" t="str">
        <f t="shared" si="1540"/>
        <v>#NAME?</v>
      </c>
      <c r="AC1700" s="58" t="str">
        <f t="shared" si="1540"/>
        <v>#NAME?</v>
      </c>
      <c r="AD1700" s="57">
        <f t="shared" si="906"/>
        <v>0</v>
      </c>
      <c r="AE1700" s="57" t="str">
        <f t="shared" si="907"/>
        <v/>
      </c>
      <c r="AF1700" s="57">
        <f t="shared" si="908"/>
        <v>0</v>
      </c>
      <c r="AG1700" s="59">
        <f t="shared" si="909"/>
        <v>0</v>
      </c>
      <c r="AH1700" s="15"/>
      <c r="AI1700" s="15"/>
      <c r="AJ1700" s="15"/>
      <c r="AK1700" s="15"/>
      <c r="AL1700" s="15"/>
      <c r="AM1700" s="15"/>
      <c r="AN1700" s="15"/>
      <c r="AO1700" s="15"/>
      <c r="AP1700" s="15"/>
      <c r="AQ1700" s="15"/>
      <c r="AR1700" s="15"/>
      <c r="AS1700" s="15"/>
      <c r="AT1700" s="15"/>
      <c r="AU1700" s="15"/>
    </row>
    <row r="1701" ht="24.0" customHeight="1">
      <c r="A1701" s="45">
        <v>3125.0</v>
      </c>
      <c r="B1701" s="57"/>
      <c r="C1701" s="57"/>
      <c r="D1701" s="88" t="str">
        <f t="array" ref="D1701">IFERROR(
  LOOKUP(2, 1/((TRIM(IMS!$E$8:$E$2574)=TRIM(IMS!$E1701))*(IMS!$C$8:$C$2574&lt;IMS!$C1701)),
         IMS!$C$8:$C$2574),
"")</f>
        <v/>
      </c>
      <c r="E1701" s="57"/>
      <c r="F1701" s="57"/>
      <c r="G1701" s="77" t="str">
        <f t="shared" si="901"/>
        <v/>
      </c>
      <c r="H1701" s="78" t="str">
        <f t="shared" si="902"/>
        <v/>
      </c>
      <c r="I1701" s="79"/>
      <c r="J1701" s="80" t="str">
        <f t="shared" si="903"/>
        <v>#NAME?</v>
      </c>
      <c r="K1701" s="58"/>
      <c r="L1701" s="58"/>
      <c r="M1701" s="57"/>
      <c r="N1701" s="57"/>
      <c r="O1701" s="58"/>
      <c r="P1701" s="82"/>
      <c r="Q1701" s="81"/>
      <c r="R1701" s="81"/>
      <c r="S1701" s="57"/>
      <c r="T1701" s="82"/>
      <c r="U1701" s="82"/>
      <c r="V1701" s="57"/>
      <c r="W1701" s="57"/>
      <c r="X1701" s="57" t="str">
        <f t="shared" si="917"/>
        <v/>
      </c>
      <c r="Y1701" s="58" t="str">
        <f t="shared" ref="Y1701:AC1701" si="1541">TRIM(SUBSTITUTE(SUBSTITUTE(OFFSET($Q1701,0,COLUMN()-COLUMN($AL$1)),CHAR(160)," "),_xludf.UNICHAR(8239)," "))</f>
        <v>#NAME?</v>
      </c>
      <c r="Z1701" s="58" t="str">
        <f t="shared" si="1541"/>
        <v>#NAME?</v>
      </c>
      <c r="AA1701" s="58" t="str">
        <f t="shared" si="1541"/>
        <v>#NAME?</v>
      </c>
      <c r="AB1701" s="58" t="str">
        <f t="shared" si="1541"/>
        <v>#NAME?</v>
      </c>
      <c r="AC1701" s="58" t="str">
        <f t="shared" si="1541"/>
        <v>#NAME?</v>
      </c>
      <c r="AD1701" s="57">
        <f t="shared" si="906"/>
        <v>0</v>
      </c>
      <c r="AE1701" s="57" t="str">
        <f t="shared" si="907"/>
        <v/>
      </c>
      <c r="AF1701" s="57">
        <f t="shared" si="908"/>
        <v>0</v>
      </c>
      <c r="AG1701" s="59">
        <f t="shared" si="909"/>
        <v>0</v>
      </c>
      <c r="AH1701" s="15"/>
      <c r="AI1701" s="15"/>
      <c r="AJ1701" s="15"/>
      <c r="AK1701" s="15"/>
      <c r="AL1701" s="15"/>
      <c r="AM1701" s="15"/>
      <c r="AN1701" s="15"/>
      <c r="AO1701" s="15"/>
      <c r="AP1701" s="15"/>
      <c r="AQ1701" s="15"/>
      <c r="AR1701" s="15"/>
      <c r="AS1701" s="15"/>
      <c r="AT1701" s="15"/>
      <c r="AU1701" s="15"/>
    </row>
    <row r="1702" ht="24.0" customHeight="1">
      <c r="A1702" s="45">
        <v>3126.0</v>
      </c>
      <c r="B1702" s="57"/>
      <c r="C1702" s="57"/>
      <c r="D1702" s="88" t="str">
        <f t="array" ref="D1702">IFERROR(
  LOOKUP(2, 1/((TRIM(IMS!$E$8:$E$2574)=TRIM(IMS!$E1702))*(IMS!$C$8:$C$2574&lt;IMS!$C1702)),
         IMS!$C$8:$C$2574),
"")</f>
        <v/>
      </c>
      <c r="E1702" s="57"/>
      <c r="F1702" s="57"/>
      <c r="G1702" s="77" t="str">
        <f t="shared" si="901"/>
        <v/>
      </c>
      <c r="H1702" s="78" t="str">
        <f t="shared" si="902"/>
        <v/>
      </c>
      <c r="I1702" s="79"/>
      <c r="J1702" s="80" t="str">
        <f t="shared" si="903"/>
        <v>#NAME?</v>
      </c>
      <c r="K1702" s="58"/>
      <c r="L1702" s="58"/>
      <c r="M1702" s="57"/>
      <c r="N1702" s="57"/>
      <c r="O1702" s="58"/>
      <c r="P1702" s="82"/>
      <c r="Q1702" s="81"/>
      <c r="R1702" s="81"/>
      <c r="S1702" s="57"/>
      <c r="T1702" s="82"/>
      <c r="U1702" s="82"/>
      <c r="V1702" s="57"/>
      <c r="W1702" s="57"/>
      <c r="X1702" s="57" t="str">
        <f t="shared" si="917"/>
        <v/>
      </c>
      <c r="Y1702" s="58" t="str">
        <f t="shared" ref="Y1702:AC1702" si="1542">TRIM(SUBSTITUTE(SUBSTITUTE(OFFSET($Q1702,0,COLUMN()-COLUMN($AL$1)),CHAR(160)," "),_xludf.UNICHAR(8239)," "))</f>
        <v>#NAME?</v>
      </c>
      <c r="Z1702" s="58" t="str">
        <f t="shared" si="1542"/>
        <v>#NAME?</v>
      </c>
      <c r="AA1702" s="58" t="str">
        <f t="shared" si="1542"/>
        <v>#NAME?</v>
      </c>
      <c r="AB1702" s="58" t="str">
        <f t="shared" si="1542"/>
        <v>#NAME?</v>
      </c>
      <c r="AC1702" s="58" t="str">
        <f t="shared" si="1542"/>
        <v>#NAME?</v>
      </c>
      <c r="AD1702" s="57">
        <f t="shared" si="906"/>
        <v>0</v>
      </c>
      <c r="AE1702" s="57" t="str">
        <f t="shared" si="907"/>
        <v/>
      </c>
      <c r="AF1702" s="57">
        <f t="shared" si="908"/>
        <v>0</v>
      </c>
      <c r="AG1702" s="59">
        <f t="shared" si="909"/>
        <v>0</v>
      </c>
      <c r="AH1702" s="15"/>
      <c r="AI1702" s="15"/>
      <c r="AJ1702" s="15"/>
      <c r="AK1702" s="15"/>
      <c r="AL1702" s="15"/>
      <c r="AM1702" s="15"/>
      <c r="AN1702" s="15"/>
      <c r="AO1702" s="15"/>
      <c r="AP1702" s="15"/>
      <c r="AQ1702" s="15"/>
      <c r="AR1702" s="15"/>
      <c r="AS1702" s="15"/>
      <c r="AT1702" s="15"/>
      <c r="AU1702" s="15"/>
    </row>
    <row r="1703" ht="24.0" customHeight="1">
      <c r="A1703" s="45">
        <v>3127.0</v>
      </c>
      <c r="B1703" s="57"/>
      <c r="C1703" s="57"/>
      <c r="D1703" s="88" t="str">
        <f t="array" ref="D1703">IFERROR(
  LOOKUP(2, 1/((TRIM(IMS!$E$8:$E$2574)=TRIM(IMS!$E1703))*(IMS!$C$8:$C$2574&lt;IMS!$C1703)),
         IMS!$C$8:$C$2574),
"")</f>
        <v/>
      </c>
      <c r="E1703" s="57"/>
      <c r="F1703" s="57"/>
      <c r="G1703" s="77" t="str">
        <f t="shared" si="901"/>
        <v/>
      </c>
      <c r="H1703" s="78" t="str">
        <f t="shared" si="902"/>
        <v/>
      </c>
      <c r="I1703" s="79"/>
      <c r="J1703" s="80" t="str">
        <f t="shared" si="903"/>
        <v>#NAME?</v>
      </c>
      <c r="K1703" s="58"/>
      <c r="L1703" s="58"/>
      <c r="M1703" s="57"/>
      <c r="N1703" s="57"/>
      <c r="O1703" s="58"/>
      <c r="P1703" s="82"/>
      <c r="Q1703" s="81"/>
      <c r="R1703" s="81"/>
      <c r="S1703" s="57"/>
      <c r="T1703" s="82"/>
      <c r="U1703" s="82"/>
      <c r="V1703" s="57"/>
      <c r="W1703" s="57"/>
      <c r="X1703" s="57" t="str">
        <f t="shared" si="917"/>
        <v/>
      </c>
      <c r="Y1703" s="58" t="str">
        <f t="shared" ref="Y1703:AC1703" si="1543">TRIM(SUBSTITUTE(SUBSTITUTE(OFFSET($Q1703,0,COLUMN()-COLUMN($AL$1)),CHAR(160)," "),_xludf.UNICHAR(8239)," "))</f>
        <v>#NAME?</v>
      </c>
      <c r="Z1703" s="58" t="str">
        <f t="shared" si="1543"/>
        <v>#NAME?</v>
      </c>
      <c r="AA1703" s="58" t="str">
        <f t="shared" si="1543"/>
        <v>#NAME?</v>
      </c>
      <c r="AB1703" s="58" t="str">
        <f t="shared" si="1543"/>
        <v>#NAME?</v>
      </c>
      <c r="AC1703" s="58" t="str">
        <f t="shared" si="1543"/>
        <v>#NAME?</v>
      </c>
      <c r="AD1703" s="57">
        <f t="shared" si="906"/>
        <v>0</v>
      </c>
      <c r="AE1703" s="57" t="str">
        <f t="shared" si="907"/>
        <v/>
      </c>
      <c r="AF1703" s="57">
        <f t="shared" si="908"/>
        <v>0</v>
      </c>
      <c r="AG1703" s="59">
        <f t="shared" si="909"/>
        <v>0</v>
      </c>
      <c r="AH1703" s="15"/>
      <c r="AI1703" s="15"/>
      <c r="AJ1703" s="15"/>
      <c r="AK1703" s="15"/>
      <c r="AL1703" s="15"/>
      <c r="AM1703" s="15"/>
      <c r="AN1703" s="15"/>
      <c r="AO1703" s="15"/>
      <c r="AP1703" s="15"/>
      <c r="AQ1703" s="15"/>
      <c r="AR1703" s="15"/>
      <c r="AS1703" s="15"/>
      <c r="AT1703" s="15"/>
      <c r="AU1703" s="15"/>
    </row>
    <row r="1704" ht="24.0" customHeight="1">
      <c r="A1704" s="45">
        <v>3128.0</v>
      </c>
      <c r="B1704" s="57"/>
      <c r="C1704" s="57"/>
      <c r="D1704" s="88" t="str">
        <f t="array" ref="D1704">IFERROR(
  LOOKUP(2, 1/((TRIM(IMS!$E$8:$E$2574)=TRIM(IMS!$E1704))*(IMS!$C$8:$C$2574&lt;IMS!$C1704)),
         IMS!$C$8:$C$2574),
"")</f>
        <v/>
      </c>
      <c r="E1704" s="57"/>
      <c r="F1704" s="57"/>
      <c r="G1704" s="77" t="str">
        <f t="shared" si="901"/>
        <v/>
      </c>
      <c r="H1704" s="78" t="str">
        <f t="shared" si="902"/>
        <v/>
      </c>
      <c r="I1704" s="79"/>
      <c r="J1704" s="80" t="str">
        <f t="shared" si="903"/>
        <v>#NAME?</v>
      </c>
      <c r="K1704" s="58"/>
      <c r="L1704" s="58"/>
      <c r="M1704" s="57"/>
      <c r="N1704" s="57"/>
      <c r="O1704" s="58"/>
      <c r="P1704" s="82"/>
      <c r="Q1704" s="81"/>
      <c r="R1704" s="81"/>
      <c r="S1704" s="57"/>
      <c r="T1704" s="82"/>
      <c r="U1704" s="82"/>
      <c r="V1704" s="57"/>
      <c r="W1704" s="57"/>
      <c r="X1704" s="57" t="str">
        <f t="shared" si="917"/>
        <v/>
      </c>
      <c r="Y1704" s="58" t="str">
        <f t="shared" ref="Y1704:AC1704" si="1544">TRIM(SUBSTITUTE(SUBSTITUTE(OFFSET($Q1704,0,COLUMN()-COLUMN($AL$1)),CHAR(160)," "),_xludf.UNICHAR(8239)," "))</f>
        <v>#NAME?</v>
      </c>
      <c r="Z1704" s="58" t="str">
        <f t="shared" si="1544"/>
        <v>#NAME?</v>
      </c>
      <c r="AA1704" s="58" t="str">
        <f t="shared" si="1544"/>
        <v>#NAME?</v>
      </c>
      <c r="AB1704" s="58" t="str">
        <f t="shared" si="1544"/>
        <v>#NAME?</v>
      </c>
      <c r="AC1704" s="58" t="str">
        <f t="shared" si="1544"/>
        <v>#NAME?</v>
      </c>
      <c r="AD1704" s="57">
        <f t="shared" si="906"/>
        <v>0</v>
      </c>
      <c r="AE1704" s="57" t="str">
        <f t="shared" si="907"/>
        <v/>
      </c>
      <c r="AF1704" s="57">
        <f t="shared" si="908"/>
        <v>0</v>
      </c>
      <c r="AG1704" s="59">
        <f t="shared" si="909"/>
        <v>0</v>
      </c>
      <c r="AH1704" s="15"/>
      <c r="AI1704" s="15"/>
      <c r="AJ1704" s="15"/>
      <c r="AK1704" s="15"/>
      <c r="AL1704" s="15"/>
      <c r="AM1704" s="15"/>
      <c r="AN1704" s="15"/>
      <c r="AO1704" s="15"/>
      <c r="AP1704" s="15"/>
      <c r="AQ1704" s="15"/>
      <c r="AR1704" s="15"/>
      <c r="AS1704" s="15"/>
      <c r="AT1704" s="15"/>
      <c r="AU1704" s="15"/>
    </row>
    <row r="1705" ht="24.0" customHeight="1">
      <c r="A1705" s="45">
        <v>3129.0</v>
      </c>
      <c r="B1705" s="57"/>
      <c r="C1705" s="57"/>
      <c r="D1705" s="88" t="str">
        <f t="array" ref="D1705">IFERROR(
  LOOKUP(2, 1/((TRIM(IMS!$E$8:$E$2574)=TRIM(IMS!$E1705))*(IMS!$C$8:$C$2574&lt;IMS!$C1705)),
         IMS!$C$8:$C$2574),
"")</f>
        <v/>
      </c>
      <c r="E1705" s="57"/>
      <c r="F1705" s="57"/>
      <c r="G1705" s="77" t="str">
        <f t="shared" si="901"/>
        <v/>
      </c>
      <c r="H1705" s="78" t="str">
        <f t="shared" si="902"/>
        <v/>
      </c>
      <c r="I1705" s="79"/>
      <c r="J1705" s="80" t="str">
        <f t="shared" si="903"/>
        <v>#NAME?</v>
      </c>
      <c r="K1705" s="58"/>
      <c r="L1705" s="58"/>
      <c r="M1705" s="57"/>
      <c r="N1705" s="57"/>
      <c r="O1705" s="58"/>
      <c r="P1705" s="82"/>
      <c r="Q1705" s="81"/>
      <c r="R1705" s="81"/>
      <c r="S1705" s="57"/>
      <c r="T1705" s="82"/>
      <c r="U1705" s="82"/>
      <c r="V1705" s="57"/>
      <c r="W1705" s="57"/>
      <c r="X1705" s="57" t="str">
        <f t="shared" si="917"/>
        <v/>
      </c>
      <c r="Y1705" s="58" t="str">
        <f t="shared" ref="Y1705:AC1705" si="1545">TRIM(SUBSTITUTE(SUBSTITUTE(OFFSET($Q1705,0,COLUMN()-COLUMN($AL$1)),CHAR(160)," "),_xludf.UNICHAR(8239)," "))</f>
        <v>#NAME?</v>
      </c>
      <c r="Z1705" s="58" t="str">
        <f t="shared" si="1545"/>
        <v>#NAME?</v>
      </c>
      <c r="AA1705" s="58" t="str">
        <f t="shared" si="1545"/>
        <v>#NAME?</v>
      </c>
      <c r="AB1705" s="58" t="str">
        <f t="shared" si="1545"/>
        <v>#NAME?</v>
      </c>
      <c r="AC1705" s="58" t="str">
        <f t="shared" si="1545"/>
        <v>#NAME?</v>
      </c>
      <c r="AD1705" s="57">
        <f t="shared" si="906"/>
        <v>0</v>
      </c>
      <c r="AE1705" s="57" t="str">
        <f t="shared" si="907"/>
        <v/>
      </c>
      <c r="AF1705" s="57">
        <f t="shared" si="908"/>
        <v>0</v>
      </c>
      <c r="AG1705" s="59">
        <f t="shared" si="909"/>
        <v>0</v>
      </c>
      <c r="AH1705" s="15"/>
      <c r="AI1705" s="15"/>
      <c r="AJ1705" s="15"/>
      <c r="AK1705" s="15"/>
      <c r="AL1705" s="15"/>
      <c r="AM1705" s="15"/>
      <c r="AN1705" s="15"/>
      <c r="AO1705" s="15"/>
      <c r="AP1705" s="15"/>
      <c r="AQ1705" s="15"/>
      <c r="AR1705" s="15"/>
      <c r="AS1705" s="15"/>
      <c r="AT1705" s="15"/>
      <c r="AU1705" s="15"/>
    </row>
    <row r="1706" ht="24.0" customHeight="1">
      <c r="A1706" s="45">
        <v>3130.0</v>
      </c>
      <c r="B1706" s="57"/>
      <c r="C1706" s="57"/>
      <c r="D1706" s="88" t="str">
        <f t="array" ref="D1706">IFERROR(
  LOOKUP(2, 1/((TRIM(IMS!$E$8:$E$2574)=TRIM(IMS!$E1706))*(IMS!$C$8:$C$2574&lt;IMS!$C1706)),
         IMS!$C$8:$C$2574),
"")</f>
        <v/>
      </c>
      <c r="E1706" s="57"/>
      <c r="F1706" s="57"/>
      <c r="G1706" s="77" t="str">
        <f t="shared" si="901"/>
        <v/>
      </c>
      <c r="H1706" s="78" t="str">
        <f t="shared" si="902"/>
        <v/>
      </c>
      <c r="I1706" s="79"/>
      <c r="J1706" s="80" t="str">
        <f t="shared" si="903"/>
        <v>#NAME?</v>
      </c>
      <c r="K1706" s="58"/>
      <c r="L1706" s="58"/>
      <c r="M1706" s="57"/>
      <c r="N1706" s="57"/>
      <c r="O1706" s="58"/>
      <c r="P1706" s="82"/>
      <c r="Q1706" s="81"/>
      <c r="R1706" s="81"/>
      <c r="S1706" s="57"/>
      <c r="T1706" s="82"/>
      <c r="U1706" s="82"/>
      <c r="V1706" s="57"/>
      <c r="W1706" s="57"/>
      <c r="X1706" s="57" t="str">
        <f t="shared" si="917"/>
        <v/>
      </c>
      <c r="Y1706" s="58" t="str">
        <f t="shared" ref="Y1706:AC1706" si="1546">TRIM(SUBSTITUTE(SUBSTITUTE(OFFSET($Q1706,0,COLUMN()-COLUMN($AL$1)),CHAR(160)," "),_xludf.UNICHAR(8239)," "))</f>
        <v>#NAME?</v>
      </c>
      <c r="Z1706" s="58" t="str">
        <f t="shared" si="1546"/>
        <v>#NAME?</v>
      </c>
      <c r="AA1706" s="58" t="str">
        <f t="shared" si="1546"/>
        <v>#NAME?</v>
      </c>
      <c r="AB1706" s="58" t="str">
        <f t="shared" si="1546"/>
        <v>#NAME?</v>
      </c>
      <c r="AC1706" s="58" t="str">
        <f t="shared" si="1546"/>
        <v>#NAME?</v>
      </c>
      <c r="AD1706" s="57">
        <f t="shared" si="906"/>
        <v>0</v>
      </c>
      <c r="AE1706" s="57" t="str">
        <f t="shared" si="907"/>
        <v/>
      </c>
      <c r="AF1706" s="57">
        <f t="shared" si="908"/>
        <v>0</v>
      </c>
      <c r="AG1706" s="59">
        <f t="shared" si="909"/>
        <v>0</v>
      </c>
      <c r="AH1706" s="15"/>
      <c r="AI1706" s="15"/>
      <c r="AJ1706" s="15"/>
      <c r="AK1706" s="15"/>
      <c r="AL1706" s="15"/>
      <c r="AM1706" s="15"/>
      <c r="AN1706" s="15"/>
      <c r="AO1706" s="15"/>
      <c r="AP1706" s="15"/>
      <c r="AQ1706" s="15"/>
      <c r="AR1706" s="15"/>
      <c r="AS1706" s="15"/>
      <c r="AT1706" s="15"/>
      <c r="AU1706" s="15"/>
    </row>
    <row r="1707" ht="24.0" customHeight="1">
      <c r="A1707" s="45">
        <v>3131.0</v>
      </c>
      <c r="B1707" s="57"/>
      <c r="C1707" s="57"/>
      <c r="D1707" s="88" t="str">
        <f t="array" ref="D1707">IFERROR(
  LOOKUP(2, 1/((TRIM(IMS!$E$8:$E$2574)=TRIM(IMS!$E1707))*(IMS!$C$8:$C$2574&lt;IMS!$C1707)),
         IMS!$C$8:$C$2574),
"")</f>
        <v/>
      </c>
      <c r="E1707" s="57"/>
      <c r="F1707" s="57"/>
      <c r="G1707" s="77" t="str">
        <f t="shared" si="901"/>
        <v/>
      </c>
      <c r="H1707" s="78" t="str">
        <f t="shared" si="902"/>
        <v/>
      </c>
      <c r="I1707" s="79"/>
      <c r="J1707" s="80" t="str">
        <f t="shared" si="903"/>
        <v>#NAME?</v>
      </c>
      <c r="K1707" s="58"/>
      <c r="L1707" s="58"/>
      <c r="M1707" s="57"/>
      <c r="N1707" s="57"/>
      <c r="O1707" s="58"/>
      <c r="P1707" s="82"/>
      <c r="Q1707" s="81"/>
      <c r="R1707" s="81"/>
      <c r="S1707" s="57"/>
      <c r="T1707" s="82"/>
      <c r="U1707" s="82"/>
      <c r="V1707" s="57"/>
      <c r="W1707" s="57"/>
      <c r="X1707" s="57" t="str">
        <f t="shared" si="917"/>
        <v/>
      </c>
      <c r="Y1707" s="58" t="str">
        <f t="shared" ref="Y1707:AC1707" si="1547">TRIM(SUBSTITUTE(SUBSTITUTE(OFFSET($Q1707,0,COLUMN()-COLUMN($AL$1)),CHAR(160)," "),_xludf.UNICHAR(8239)," "))</f>
        <v>#NAME?</v>
      </c>
      <c r="Z1707" s="58" t="str">
        <f t="shared" si="1547"/>
        <v>#NAME?</v>
      </c>
      <c r="AA1707" s="58" t="str">
        <f t="shared" si="1547"/>
        <v>#NAME?</v>
      </c>
      <c r="AB1707" s="58" t="str">
        <f t="shared" si="1547"/>
        <v>#NAME?</v>
      </c>
      <c r="AC1707" s="58" t="str">
        <f t="shared" si="1547"/>
        <v>#NAME?</v>
      </c>
      <c r="AD1707" s="57">
        <f t="shared" si="906"/>
        <v>0</v>
      </c>
      <c r="AE1707" s="57" t="str">
        <f t="shared" si="907"/>
        <v/>
      </c>
      <c r="AF1707" s="57">
        <f t="shared" si="908"/>
        <v>0</v>
      </c>
      <c r="AG1707" s="59">
        <f t="shared" si="909"/>
        <v>0</v>
      </c>
      <c r="AH1707" s="15"/>
      <c r="AI1707" s="15"/>
      <c r="AJ1707" s="15"/>
      <c r="AK1707" s="15"/>
      <c r="AL1707" s="15"/>
      <c r="AM1707" s="15"/>
      <c r="AN1707" s="15"/>
      <c r="AO1707" s="15"/>
      <c r="AP1707" s="15"/>
      <c r="AQ1707" s="15"/>
      <c r="AR1707" s="15"/>
      <c r="AS1707" s="15"/>
      <c r="AT1707" s="15"/>
      <c r="AU1707" s="15"/>
    </row>
    <row r="1708" ht="24.0" customHeight="1">
      <c r="A1708" s="45">
        <v>3132.0</v>
      </c>
      <c r="B1708" s="57"/>
      <c r="C1708" s="57"/>
      <c r="D1708" s="88" t="str">
        <f t="array" ref="D1708">IFERROR(
  LOOKUP(2, 1/((TRIM(IMS!$E$8:$E$2574)=TRIM(IMS!$E1708))*(IMS!$C$8:$C$2574&lt;IMS!$C1708)),
         IMS!$C$8:$C$2574),
"")</f>
        <v/>
      </c>
      <c r="E1708" s="57"/>
      <c r="F1708" s="57"/>
      <c r="G1708" s="77" t="str">
        <f t="shared" si="901"/>
        <v/>
      </c>
      <c r="H1708" s="78" t="str">
        <f t="shared" si="902"/>
        <v/>
      </c>
      <c r="I1708" s="79"/>
      <c r="J1708" s="80" t="str">
        <f t="shared" si="903"/>
        <v>#NAME?</v>
      </c>
      <c r="K1708" s="58"/>
      <c r="L1708" s="58"/>
      <c r="M1708" s="57"/>
      <c r="N1708" s="57"/>
      <c r="O1708" s="58"/>
      <c r="P1708" s="82"/>
      <c r="Q1708" s="81"/>
      <c r="R1708" s="81"/>
      <c r="S1708" s="57"/>
      <c r="T1708" s="82"/>
      <c r="U1708" s="82"/>
      <c r="V1708" s="57"/>
      <c r="W1708" s="57"/>
      <c r="X1708" s="57" t="str">
        <f t="shared" si="917"/>
        <v/>
      </c>
      <c r="Y1708" s="58" t="str">
        <f t="shared" ref="Y1708:AC1708" si="1548">TRIM(SUBSTITUTE(SUBSTITUTE(OFFSET($Q1708,0,COLUMN()-COLUMN($AL$1)),CHAR(160)," "),_xludf.UNICHAR(8239)," "))</f>
        <v>#NAME?</v>
      </c>
      <c r="Z1708" s="58" t="str">
        <f t="shared" si="1548"/>
        <v>#NAME?</v>
      </c>
      <c r="AA1708" s="58" t="str">
        <f t="shared" si="1548"/>
        <v>#NAME?</v>
      </c>
      <c r="AB1708" s="58" t="str">
        <f t="shared" si="1548"/>
        <v>#NAME?</v>
      </c>
      <c r="AC1708" s="58" t="str">
        <f t="shared" si="1548"/>
        <v>#NAME?</v>
      </c>
      <c r="AD1708" s="57">
        <f t="shared" si="906"/>
        <v>0</v>
      </c>
      <c r="AE1708" s="57" t="str">
        <f t="shared" si="907"/>
        <v/>
      </c>
      <c r="AF1708" s="57">
        <f t="shared" si="908"/>
        <v>0</v>
      </c>
      <c r="AG1708" s="59">
        <f t="shared" si="909"/>
        <v>0</v>
      </c>
      <c r="AH1708" s="15"/>
      <c r="AI1708" s="15"/>
      <c r="AJ1708" s="15"/>
      <c r="AK1708" s="15"/>
      <c r="AL1708" s="15"/>
      <c r="AM1708" s="15"/>
      <c r="AN1708" s="15"/>
      <c r="AO1708" s="15"/>
      <c r="AP1708" s="15"/>
      <c r="AQ1708" s="15"/>
      <c r="AR1708" s="15"/>
      <c r="AS1708" s="15"/>
      <c r="AT1708" s="15"/>
      <c r="AU1708" s="15"/>
    </row>
    <row r="1709" ht="24.0" customHeight="1">
      <c r="A1709" s="45">
        <v>3133.0</v>
      </c>
      <c r="B1709" s="57"/>
      <c r="C1709" s="57"/>
      <c r="D1709" s="88" t="str">
        <f t="array" ref="D1709">IFERROR(
  LOOKUP(2, 1/((TRIM(IMS!$E$8:$E$2574)=TRIM(IMS!$E1709))*(IMS!$C$8:$C$2574&lt;IMS!$C1709)),
         IMS!$C$8:$C$2574),
"")</f>
        <v/>
      </c>
      <c r="E1709" s="57"/>
      <c r="F1709" s="57"/>
      <c r="G1709" s="77" t="str">
        <f t="shared" si="901"/>
        <v/>
      </c>
      <c r="H1709" s="78" t="str">
        <f t="shared" si="902"/>
        <v/>
      </c>
      <c r="I1709" s="79"/>
      <c r="J1709" s="80" t="str">
        <f t="shared" si="903"/>
        <v>#NAME?</v>
      </c>
      <c r="K1709" s="58"/>
      <c r="L1709" s="58"/>
      <c r="M1709" s="57"/>
      <c r="N1709" s="57"/>
      <c r="O1709" s="58"/>
      <c r="P1709" s="82"/>
      <c r="Q1709" s="81"/>
      <c r="R1709" s="81"/>
      <c r="S1709" s="57"/>
      <c r="T1709" s="82"/>
      <c r="U1709" s="82"/>
      <c r="V1709" s="57"/>
      <c r="W1709" s="57"/>
      <c r="X1709" s="57" t="str">
        <f t="shared" si="917"/>
        <v/>
      </c>
      <c r="Y1709" s="58" t="str">
        <f t="shared" ref="Y1709:AC1709" si="1549">TRIM(SUBSTITUTE(SUBSTITUTE(OFFSET($Q1709,0,COLUMN()-COLUMN($AL$1)),CHAR(160)," "),_xludf.UNICHAR(8239)," "))</f>
        <v>#NAME?</v>
      </c>
      <c r="Z1709" s="58" t="str">
        <f t="shared" si="1549"/>
        <v>#NAME?</v>
      </c>
      <c r="AA1709" s="58" t="str">
        <f t="shared" si="1549"/>
        <v>#NAME?</v>
      </c>
      <c r="AB1709" s="58" t="str">
        <f t="shared" si="1549"/>
        <v>#NAME?</v>
      </c>
      <c r="AC1709" s="58" t="str">
        <f t="shared" si="1549"/>
        <v>#NAME?</v>
      </c>
      <c r="AD1709" s="57">
        <f t="shared" si="906"/>
        <v>0</v>
      </c>
      <c r="AE1709" s="57" t="str">
        <f t="shared" si="907"/>
        <v/>
      </c>
      <c r="AF1709" s="57">
        <f t="shared" si="908"/>
        <v>0</v>
      </c>
      <c r="AG1709" s="59">
        <f t="shared" si="909"/>
        <v>0</v>
      </c>
      <c r="AH1709" s="15"/>
      <c r="AI1709" s="15"/>
      <c r="AJ1709" s="15"/>
      <c r="AK1709" s="15"/>
      <c r="AL1709" s="15"/>
      <c r="AM1709" s="15"/>
      <c r="AN1709" s="15"/>
      <c r="AO1709" s="15"/>
      <c r="AP1709" s="15"/>
      <c r="AQ1709" s="15"/>
      <c r="AR1709" s="15"/>
      <c r="AS1709" s="15"/>
      <c r="AT1709" s="15"/>
      <c r="AU1709" s="15"/>
    </row>
    <row r="1710" ht="24.0" customHeight="1">
      <c r="A1710" s="45">
        <v>3134.0</v>
      </c>
      <c r="B1710" s="57"/>
      <c r="C1710" s="57"/>
      <c r="D1710" s="88" t="str">
        <f t="array" ref="D1710">IFERROR(
  LOOKUP(2, 1/((TRIM(IMS!$E$8:$E$2574)=TRIM(IMS!$E1710))*(IMS!$C$8:$C$2574&lt;IMS!$C1710)),
         IMS!$C$8:$C$2574),
"")</f>
        <v/>
      </c>
      <c r="E1710" s="57"/>
      <c r="F1710" s="57"/>
      <c r="G1710" s="77" t="str">
        <f t="shared" si="901"/>
        <v/>
      </c>
      <c r="H1710" s="78" t="str">
        <f t="shared" si="902"/>
        <v/>
      </c>
      <c r="I1710" s="79"/>
      <c r="J1710" s="80" t="str">
        <f t="shared" si="903"/>
        <v>#NAME?</v>
      </c>
      <c r="K1710" s="58"/>
      <c r="L1710" s="58"/>
      <c r="M1710" s="57"/>
      <c r="N1710" s="57"/>
      <c r="O1710" s="58"/>
      <c r="P1710" s="82"/>
      <c r="Q1710" s="81"/>
      <c r="R1710" s="81"/>
      <c r="S1710" s="57"/>
      <c r="T1710" s="82"/>
      <c r="U1710" s="82"/>
      <c r="V1710" s="57"/>
      <c r="W1710" s="57"/>
      <c r="X1710" s="57" t="str">
        <f t="shared" si="917"/>
        <v/>
      </c>
      <c r="Y1710" s="58" t="str">
        <f t="shared" ref="Y1710:AC1710" si="1550">TRIM(SUBSTITUTE(SUBSTITUTE(OFFSET($Q1710,0,COLUMN()-COLUMN($AL$1)),CHAR(160)," "),_xludf.UNICHAR(8239)," "))</f>
        <v>#NAME?</v>
      </c>
      <c r="Z1710" s="58" t="str">
        <f t="shared" si="1550"/>
        <v>#NAME?</v>
      </c>
      <c r="AA1710" s="58" t="str">
        <f t="shared" si="1550"/>
        <v>#NAME?</v>
      </c>
      <c r="AB1710" s="58" t="str">
        <f t="shared" si="1550"/>
        <v>#NAME?</v>
      </c>
      <c r="AC1710" s="58" t="str">
        <f t="shared" si="1550"/>
        <v>#NAME?</v>
      </c>
      <c r="AD1710" s="57">
        <f t="shared" si="906"/>
        <v>0</v>
      </c>
      <c r="AE1710" s="57" t="str">
        <f t="shared" si="907"/>
        <v/>
      </c>
      <c r="AF1710" s="57">
        <f t="shared" si="908"/>
        <v>0</v>
      </c>
      <c r="AG1710" s="59">
        <f t="shared" si="909"/>
        <v>0</v>
      </c>
      <c r="AH1710" s="15"/>
      <c r="AI1710" s="15"/>
      <c r="AJ1710" s="15"/>
      <c r="AK1710" s="15"/>
      <c r="AL1710" s="15"/>
      <c r="AM1710" s="15"/>
      <c r="AN1710" s="15"/>
      <c r="AO1710" s="15"/>
      <c r="AP1710" s="15"/>
      <c r="AQ1710" s="15"/>
      <c r="AR1710" s="15"/>
      <c r="AS1710" s="15"/>
      <c r="AT1710" s="15"/>
      <c r="AU1710" s="15"/>
    </row>
    <row r="1711" ht="24.0" customHeight="1">
      <c r="A1711" s="45">
        <v>3135.0</v>
      </c>
      <c r="B1711" s="57"/>
      <c r="C1711" s="57"/>
      <c r="D1711" s="88" t="str">
        <f t="array" ref="D1711">IFERROR(
  LOOKUP(2, 1/((TRIM(IMS!$E$8:$E$2574)=TRIM(IMS!$E1711))*(IMS!$C$8:$C$2574&lt;IMS!$C1711)),
         IMS!$C$8:$C$2574),
"")</f>
        <v/>
      </c>
      <c r="E1711" s="57"/>
      <c r="F1711" s="57"/>
      <c r="G1711" s="77" t="str">
        <f t="shared" si="901"/>
        <v/>
      </c>
      <c r="H1711" s="78" t="str">
        <f t="shared" si="902"/>
        <v/>
      </c>
      <c r="I1711" s="79"/>
      <c r="J1711" s="80" t="str">
        <f t="shared" si="903"/>
        <v>#NAME?</v>
      </c>
      <c r="K1711" s="58"/>
      <c r="L1711" s="58"/>
      <c r="M1711" s="57"/>
      <c r="N1711" s="57"/>
      <c r="O1711" s="58"/>
      <c r="P1711" s="82"/>
      <c r="Q1711" s="81"/>
      <c r="R1711" s="81"/>
      <c r="S1711" s="57"/>
      <c r="T1711" s="82"/>
      <c r="U1711" s="82"/>
      <c r="V1711" s="57"/>
      <c r="W1711" s="57"/>
      <c r="X1711" s="57" t="str">
        <f t="shared" si="917"/>
        <v/>
      </c>
      <c r="Y1711" s="58" t="str">
        <f t="shared" ref="Y1711:AC1711" si="1551">TRIM(SUBSTITUTE(SUBSTITUTE(OFFSET($Q1711,0,COLUMN()-COLUMN($AL$1)),CHAR(160)," "),_xludf.UNICHAR(8239)," "))</f>
        <v>#NAME?</v>
      </c>
      <c r="Z1711" s="58" t="str">
        <f t="shared" si="1551"/>
        <v>#NAME?</v>
      </c>
      <c r="AA1711" s="58" t="str">
        <f t="shared" si="1551"/>
        <v>#NAME?</v>
      </c>
      <c r="AB1711" s="58" t="str">
        <f t="shared" si="1551"/>
        <v>#NAME?</v>
      </c>
      <c r="AC1711" s="58" t="str">
        <f t="shared" si="1551"/>
        <v>#NAME?</v>
      </c>
      <c r="AD1711" s="57">
        <f t="shared" si="906"/>
        <v>0</v>
      </c>
      <c r="AE1711" s="57" t="str">
        <f t="shared" si="907"/>
        <v/>
      </c>
      <c r="AF1711" s="57">
        <f t="shared" si="908"/>
        <v>0</v>
      </c>
      <c r="AG1711" s="59">
        <f t="shared" si="909"/>
        <v>0</v>
      </c>
      <c r="AH1711" s="15"/>
      <c r="AI1711" s="15"/>
      <c r="AJ1711" s="15"/>
      <c r="AK1711" s="15"/>
      <c r="AL1711" s="15"/>
      <c r="AM1711" s="15"/>
      <c r="AN1711" s="15"/>
      <c r="AO1711" s="15"/>
      <c r="AP1711" s="15"/>
      <c r="AQ1711" s="15"/>
      <c r="AR1711" s="15"/>
      <c r="AS1711" s="15"/>
      <c r="AT1711" s="15"/>
      <c r="AU1711" s="15"/>
    </row>
    <row r="1712" ht="24.0" customHeight="1">
      <c r="A1712" s="45">
        <v>3136.0</v>
      </c>
      <c r="B1712" s="57"/>
      <c r="C1712" s="57"/>
      <c r="D1712" s="88" t="str">
        <f t="array" ref="D1712">IFERROR(
  LOOKUP(2, 1/((TRIM(IMS!$E$8:$E$2574)=TRIM(IMS!$E1712))*(IMS!$C$8:$C$2574&lt;IMS!$C1712)),
         IMS!$C$8:$C$2574),
"")</f>
        <v/>
      </c>
      <c r="E1712" s="57"/>
      <c r="F1712" s="57"/>
      <c r="G1712" s="77" t="str">
        <f t="shared" si="901"/>
        <v/>
      </c>
      <c r="H1712" s="78" t="str">
        <f t="shared" si="902"/>
        <v/>
      </c>
      <c r="I1712" s="79"/>
      <c r="J1712" s="80" t="str">
        <f t="shared" si="903"/>
        <v>#NAME?</v>
      </c>
      <c r="K1712" s="58"/>
      <c r="L1712" s="58"/>
      <c r="M1712" s="57"/>
      <c r="N1712" s="57"/>
      <c r="O1712" s="58"/>
      <c r="P1712" s="82"/>
      <c r="Q1712" s="81"/>
      <c r="R1712" s="81"/>
      <c r="S1712" s="57"/>
      <c r="T1712" s="82"/>
      <c r="U1712" s="82"/>
      <c r="V1712" s="57"/>
      <c r="W1712" s="57"/>
      <c r="X1712" s="57" t="str">
        <f t="shared" si="917"/>
        <v/>
      </c>
      <c r="Y1712" s="58" t="str">
        <f t="shared" ref="Y1712:AC1712" si="1552">TRIM(SUBSTITUTE(SUBSTITUTE(OFFSET($Q1712,0,COLUMN()-COLUMN($AL$1)),CHAR(160)," "),_xludf.UNICHAR(8239)," "))</f>
        <v>#NAME?</v>
      </c>
      <c r="Z1712" s="58" t="str">
        <f t="shared" si="1552"/>
        <v>#NAME?</v>
      </c>
      <c r="AA1712" s="58" t="str">
        <f t="shared" si="1552"/>
        <v>#NAME?</v>
      </c>
      <c r="AB1712" s="58" t="str">
        <f t="shared" si="1552"/>
        <v>#NAME?</v>
      </c>
      <c r="AC1712" s="58" t="str">
        <f t="shared" si="1552"/>
        <v>#NAME?</v>
      </c>
      <c r="AD1712" s="57">
        <f t="shared" si="906"/>
        <v>0</v>
      </c>
      <c r="AE1712" s="57" t="str">
        <f t="shared" si="907"/>
        <v/>
      </c>
      <c r="AF1712" s="57">
        <f t="shared" si="908"/>
        <v>0</v>
      </c>
      <c r="AG1712" s="59">
        <f t="shared" si="909"/>
        <v>0</v>
      </c>
      <c r="AH1712" s="15"/>
      <c r="AI1712" s="15"/>
      <c r="AJ1712" s="15"/>
      <c r="AK1712" s="15"/>
      <c r="AL1712" s="15"/>
      <c r="AM1712" s="15"/>
      <c r="AN1712" s="15"/>
      <c r="AO1712" s="15"/>
      <c r="AP1712" s="15"/>
      <c r="AQ1712" s="15"/>
      <c r="AR1712" s="15"/>
      <c r="AS1712" s="15"/>
      <c r="AT1712" s="15"/>
      <c r="AU1712" s="15"/>
    </row>
    <row r="1713" ht="24.0" customHeight="1">
      <c r="A1713" s="45">
        <v>3137.0</v>
      </c>
      <c r="B1713" s="57"/>
      <c r="C1713" s="57"/>
      <c r="D1713" s="88" t="str">
        <f t="array" ref="D1713">IFERROR(
  LOOKUP(2, 1/((TRIM(IMS!$E$8:$E$2574)=TRIM(IMS!$E1713))*(IMS!$C$8:$C$2574&lt;IMS!$C1713)),
         IMS!$C$8:$C$2574),
"")</f>
        <v/>
      </c>
      <c r="E1713" s="57"/>
      <c r="F1713" s="57"/>
      <c r="G1713" s="77" t="str">
        <f t="shared" si="901"/>
        <v/>
      </c>
      <c r="H1713" s="78" t="str">
        <f t="shared" si="902"/>
        <v/>
      </c>
      <c r="I1713" s="79"/>
      <c r="J1713" s="80" t="str">
        <f t="shared" si="903"/>
        <v>#NAME?</v>
      </c>
      <c r="K1713" s="58"/>
      <c r="L1713" s="58"/>
      <c r="M1713" s="57"/>
      <c r="N1713" s="57"/>
      <c r="O1713" s="58"/>
      <c r="P1713" s="82"/>
      <c r="Q1713" s="81"/>
      <c r="R1713" s="81"/>
      <c r="S1713" s="57"/>
      <c r="T1713" s="82"/>
      <c r="U1713" s="82"/>
      <c r="V1713" s="57"/>
      <c r="W1713" s="57"/>
      <c r="X1713" s="57" t="str">
        <f t="shared" si="917"/>
        <v/>
      </c>
      <c r="Y1713" s="58" t="str">
        <f t="shared" ref="Y1713:AC1713" si="1553">TRIM(SUBSTITUTE(SUBSTITUTE(OFFSET($Q1713,0,COLUMN()-COLUMN($AL$1)),CHAR(160)," "),_xludf.UNICHAR(8239)," "))</f>
        <v>#NAME?</v>
      </c>
      <c r="Z1713" s="58" t="str">
        <f t="shared" si="1553"/>
        <v>#NAME?</v>
      </c>
      <c r="AA1713" s="58" t="str">
        <f t="shared" si="1553"/>
        <v>#NAME?</v>
      </c>
      <c r="AB1713" s="58" t="str">
        <f t="shared" si="1553"/>
        <v>#NAME?</v>
      </c>
      <c r="AC1713" s="58" t="str">
        <f t="shared" si="1553"/>
        <v>#NAME?</v>
      </c>
      <c r="AD1713" s="57">
        <f t="shared" si="906"/>
        <v>0</v>
      </c>
      <c r="AE1713" s="57" t="str">
        <f t="shared" si="907"/>
        <v/>
      </c>
      <c r="AF1713" s="57">
        <f t="shared" si="908"/>
        <v>0</v>
      </c>
      <c r="AG1713" s="59">
        <f t="shared" si="909"/>
        <v>0</v>
      </c>
      <c r="AH1713" s="15"/>
      <c r="AI1713" s="15"/>
      <c r="AJ1713" s="15"/>
      <c r="AK1713" s="15"/>
      <c r="AL1713" s="15"/>
      <c r="AM1713" s="15"/>
      <c r="AN1713" s="15"/>
      <c r="AO1713" s="15"/>
      <c r="AP1713" s="15"/>
      <c r="AQ1713" s="15"/>
      <c r="AR1713" s="15"/>
      <c r="AS1713" s="15"/>
      <c r="AT1713" s="15"/>
      <c r="AU1713" s="15"/>
    </row>
    <row r="1714" ht="24.0" customHeight="1">
      <c r="A1714" s="45">
        <v>3138.0</v>
      </c>
      <c r="B1714" s="57"/>
      <c r="C1714" s="57"/>
      <c r="D1714" s="88" t="str">
        <f t="array" ref="D1714">IFERROR(
  LOOKUP(2, 1/((TRIM(IMS!$E$8:$E$2574)=TRIM(IMS!$E1714))*(IMS!$C$8:$C$2574&lt;IMS!$C1714)),
         IMS!$C$8:$C$2574),
"")</f>
        <v/>
      </c>
      <c r="E1714" s="57"/>
      <c r="F1714" s="57"/>
      <c r="G1714" s="77" t="str">
        <f t="shared" si="901"/>
        <v/>
      </c>
      <c r="H1714" s="78" t="str">
        <f t="shared" si="902"/>
        <v/>
      </c>
      <c r="I1714" s="79"/>
      <c r="J1714" s="80" t="str">
        <f t="shared" si="903"/>
        <v>#NAME?</v>
      </c>
      <c r="K1714" s="58"/>
      <c r="L1714" s="58"/>
      <c r="M1714" s="57"/>
      <c r="N1714" s="57"/>
      <c r="O1714" s="58"/>
      <c r="P1714" s="82"/>
      <c r="Q1714" s="81"/>
      <c r="R1714" s="81"/>
      <c r="S1714" s="57"/>
      <c r="T1714" s="82"/>
      <c r="U1714" s="82"/>
      <c r="V1714" s="57"/>
      <c r="W1714" s="57"/>
      <c r="X1714" s="57" t="str">
        <f t="shared" si="917"/>
        <v/>
      </c>
      <c r="Y1714" s="58" t="str">
        <f t="shared" ref="Y1714:AC1714" si="1554">TRIM(SUBSTITUTE(SUBSTITUTE(OFFSET($Q1714,0,COLUMN()-COLUMN($AL$1)),CHAR(160)," "),_xludf.UNICHAR(8239)," "))</f>
        <v>#NAME?</v>
      </c>
      <c r="Z1714" s="58" t="str">
        <f t="shared" si="1554"/>
        <v>#NAME?</v>
      </c>
      <c r="AA1714" s="58" t="str">
        <f t="shared" si="1554"/>
        <v>#NAME?</v>
      </c>
      <c r="AB1714" s="58" t="str">
        <f t="shared" si="1554"/>
        <v>#NAME?</v>
      </c>
      <c r="AC1714" s="58" t="str">
        <f t="shared" si="1554"/>
        <v>#NAME?</v>
      </c>
      <c r="AD1714" s="57">
        <f t="shared" si="906"/>
        <v>0</v>
      </c>
      <c r="AE1714" s="57" t="str">
        <f t="shared" si="907"/>
        <v/>
      </c>
      <c r="AF1714" s="57">
        <f t="shared" si="908"/>
        <v>0</v>
      </c>
      <c r="AG1714" s="59">
        <f t="shared" si="909"/>
        <v>0</v>
      </c>
      <c r="AH1714" s="15"/>
      <c r="AI1714" s="15"/>
      <c r="AJ1714" s="15"/>
      <c r="AK1714" s="15"/>
      <c r="AL1714" s="15"/>
      <c r="AM1714" s="15"/>
      <c r="AN1714" s="15"/>
      <c r="AO1714" s="15"/>
      <c r="AP1714" s="15"/>
      <c r="AQ1714" s="15"/>
      <c r="AR1714" s="15"/>
      <c r="AS1714" s="15"/>
      <c r="AT1714" s="15"/>
      <c r="AU1714" s="15"/>
    </row>
    <row r="1715" ht="24.0" customHeight="1">
      <c r="A1715" s="45">
        <v>3139.0</v>
      </c>
      <c r="B1715" s="57"/>
      <c r="C1715" s="57"/>
      <c r="D1715" s="88" t="str">
        <f t="array" ref="D1715">IFERROR(
  LOOKUP(2, 1/((TRIM(IMS!$E$8:$E$2574)=TRIM(IMS!$E1715))*(IMS!$C$8:$C$2574&lt;IMS!$C1715)),
         IMS!$C$8:$C$2574),
"")</f>
        <v/>
      </c>
      <c r="E1715" s="57"/>
      <c r="F1715" s="57"/>
      <c r="G1715" s="77" t="str">
        <f t="shared" si="901"/>
        <v/>
      </c>
      <c r="H1715" s="78" t="str">
        <f t="shared" si="902"/>
        <v/>
      </c>
      <c r="I1715" s="79"/>
      <c r="J1715" s="80" t="str">
        <f t="shared" si="903"/>
        <v>#NAME?</v>
      </c>
      <c r="K1715" s="58"/>
      <c r="L1715" s="58"/>
      <c r="M1715" s="57"/>
      <c r="N1715" s="57"/>
      <c r="O1715" s="58"/>
      <c r="P1715" s="82"/>
      <c r="Q1715" s="81"/>
      <c r="R1715" s="81"/>
      <c r="S1715" s="57"/>
      <c r="T1715" s="82"/>
      <c r="U1715" s="82"/>
      <c r="V1715" s="57"/>
      <c r="W1715" s="57"/>
      <c r="X1715" s="57" t="str">
        <f t="shared" si="917"/>
        <v/>
      </c>
      <c r="Y1715" s="58" t="str">
        <f t="shared" ref="Y1715:AC1715" si="1555">TRIM(SUBSTITUTE(SUBSTITUTE(OFFSET($Q1715,0,COLUMN()-COLUMN($AL$1)),CHAR(160)," "),_xludf.UNICHAR(8239)," "))</f>
        <v>#NAME?</v>
      </c>
      <c r="Z1715" s="58" t="str">
        <f t="shared" si="1555"/>
        <v>#NAME?</v>
      </c>
      <c r="AA1715" s="58" t="str">
        <f t="shared" si="1555"/>
        <v>#NAME?</v>
      </c>
      <c r="AB1715" s="58" t="str">
        <f t="shared" si="1555"/>
        <v>#NAME?</v>
      </c>
      <c r="AC1715" s="58" t="str">
        <f t="shared" si="1555"/>
        <v>#NAME?</v>
      </c>
      <c r="AD1715" s="57">
        <f t="shared" si="906"/>
        <v>0</v>
      </c>
      <c r="AE1715" s="57" t="str">
        <f t="shared" si="907"/>
        <v/>
      </c>
      <c r="AF1715" s="57">
        <f t="shared" si="908"/>
        <v>0</v>
      </c>
      <c r="AG1715" s="59">
        <f t="shared" si="909"/>
        <v>0</v>
      </c>
      <c r="AH1715" s="15"/>
      <c r="AI1715" s="15"/>
      <c r="AJ1715" s="15"/>
      <c r="AK1715" s="15"/>
      <c r="AL1715" s="15"/>
      <c r="AM1715" s="15"/>
      <c r="AN1715" s="15"/>
      <c r="AO1715" s="15"/>
      <c r="AP1715" s="15"/>
      <c r="AQ1715" s="15"/>
      <c r="AR1715" s="15"/>
      <c r="AS1715" s="15"/>
      <c r="AT1715" s="15"/>
      <c r="AU1715" s="15"/>
    </row>
    <row r="1716" ht="24.0" customHeight="1">
      <c r="A1716" s="45">
        <v>3140.0</v>
      </c>
      <c r="B1716" s="57"/>
      <c r="C1716" s="57"/>
      <c r="D1716" s="88" t="str">
        <f t="array" ref="D1716">IFERROR(
  LOOKUP(2, 1/((TRIM(IMS!$E$8:$E$2574)=TRIM(IMS!$E1716))*(IMS!$C$8:$C$2574&lt;IMS!$C1716)),
         IMS!$C$8:$C$2574),
"")</f>
        <v/>
      </c>
      <c r="E1716" s="57"/>
      <c r="F1716" s="57"/>
      <c r="G1716" s="77" t="str">
        <f t="shared" si="901"/>
        <v/>
      </c>
      <c r="H1716" s="78" t="str">
        <f t="shared" si="902"/>
        <v/>
      </c>
      <c r="I1716" s="79"/>
      <c r="J1716" s="80" t="str">
        <f t="shared" si="903"/>
        <v>#NAME?</v>
      </c>
      <c r="K1716" s="58"/>
      <c r="L1716" s="58"/>
      <c r="M1716" s="57"/>
      <c r="N1716" s="57"/>
      <c r="O1716" s="58"/>
      <c r="P1716" s="82"/>
      <c r="Q1716" s="81"/>
      <c r="R1716" s="81"/>
      <c r="S1716" s="57"/>
      <c r="T1716" s="82"/>
      <c r="U1716" s="82"/>
      <c r="V1716" s="57"/>
      <c r="W1716" s="57"/>
      <c r="X1716" s="57" t="str">
        <f t="shared" si="917"/>
        <v/>
      </c>
      <c r="Y1716" s="58" t="str">
        <f t="shared" ref="Y1716:AC1716" si="1556">TRIM(SUBSTITUTE(SUBSTITUTE(OFFSET($Q1716,0,COLUMN()-COLUMN($AL$1)),CHAR(160)," "),_xludf.UNICHAR(8239)," "))</f>
        <v>#NAME?</v>
      </c>
      <c r="Z1716" s="58" t="str">
        <f t="shared" si="1556"/>
        <v>#NAME?</v>
      </c>
      <c r="AA1716" s="58" t="str">
        <f t="shared" si="1556"/>
        <v>#NAME?</v>
      </c>
      <c r="AB1716" s="58" t="str">
        <f t="shared" si="1556"/>
        <v>#NAME?</v>
      </c>
      <c r="AC1716" s="58" t="str">
        <f t="shared" si="1556"/>
        <v>#NAME?</v>
      </c>
      <c r="AD1716" s="57">
        <f t="shared" si="906"/>
        <v>0</v>
      </c>
      <c r="AE1716" s="57" t="str">
        <f t="shared" si="907"/>
        <v/>
      </c>
      <c r="AF1716" s="57">
        <f t="shared" si="908"/>
        <v>0</v>
      </c>
      <c r="AG1716" s="59">
        <f t="shared" si="909"/>
        <v>0</v>
      </c>
      <c r="AH1716" s="15"/>
      <c r="AI1716" s="15"/>
      <c r="AJ1716" s="15"/>
      <c r="AK1716" s="15"/>
      <c r="AL1716" s="15"/>
      <c r="AM1716" s="15"/>
      <c r="AN1716" s="15"/>
      <c r="AO1716" s="15"/>
      <c r="AP1716" s="15"/>
      <c r="AQ1716" s="15"/>
      <c r="AR1716" s="15"/>
      <c r="AS1716" s="15"/>
      <c r="AT1716" s="15"/>
      <c r="AU1716" s="15"/>
    </row>
    <row r="1717" ht="24.0" customHeight="1">
      <c r="A1717" s="45">
        <v>3141.0</v>
      </c>
      <c r="B1717" s="57"/>
      <c r="C1717" s="57"/>
      <c r="D1717" s="88" t="str">
        <f t="array" ref="D1717">IFERROR(
  LOOKUP(2, 1/((TRIM(IMS!$E$8:$E$2574)=TRIM(IMS!$E1717))*(IMS!$C$8:$C$2574&lt;IMS!$C1717)),
         IMS!$C$8:$C$2574),
"")</f>
        <v/>
      </c>
      <c r="E1717" s="57"/>
      <c r="F1717" s="57"/>
      <c r="G1717" s="77" t="str">
        <f t="shared" si="901"/>
        <v/>
      </c>
      <c r="H1717" s="78" t="str">
        <f t="shared" si="902"/>
        <v/>
      </c>
      <c r="I1717" s="79"/>
      <c r="J1717" s="80" t="str">
        <f t="shared" si="903"/>
        <v>#NAME?</v>
      </c>
      <c r="K1717" s="58"/>
      <c r="L1717" s="58"/>
      <c r="M1717" s="57"/>
      <c r="N1717" s="57"/>
      <c r="O1717" s="58"/>
      <c r="P1717" s="82"/>
      <c r="Q1717" s="81"/>
      <c r="R1717" s="81"/>
      <c r="S1717" s="57"/>
      <c r="T1717" s="82"/>
      <c r="U1717" s="82"/>
      <c r="V1717" s="57"/>
      <c r="W1717" s="57"/>
      <c r="X1717" s="57" t="str">
        <f t="shared" si="917"/>
        <v/>
      </c>
      <c r="Y1717" s="58" t="str">
        <f t="shared" ref="Y1717:AC1717" si="1557">TRIM(SUBSTITUTE(SUBSTITUTE(OFFSET($Q1717,0,COLUMN()-COLUMN($AL$1)),CHAR(160)," "),_xludf.UNICHAR(8239)," "))</f>
        <v>#NAME?</v>
      </c>
      <c r="Z1717" s="58" t="str">
        <f t="shared" si="1557"/>
        <v>#NAME?</v>
      </c>
      <c r="AA1717" s="58" t="str">
        <f t="shared" si="1557"/>
        <v>#NAME?</v>
      </c>
      <c r="AB1717" s="58" t="str">
        <f t="shared" si="1557"/>
        <v>#NAME?</v>
      </c>
      <c r="AC1717" s="58" t="str">
        <f t="shared" si="1557"/>
        <v>#NAME?</v>
      </c>
      <c r="AD1717" s="57">
        <f t="shared" si="906"/>
        <v>0</v>
      </c>
      <c r="AE1717" s="57" t="str">
        <f t="shared" si="907"/>
        <v/>
      </c>
      <c r="AF1717" s="57">
        <f t="shared" si="908"/>
        <v>0</v>
      </c>
      <c r="AG1717" s="59">
        <f t="shared" si="909"/>
        <v>0</v>
      </c>
      <c r="AH1717" s="15"/>
      <c r="AI1717" s="15"/>
      <c r="AJ1717" s="15"/>
      <c r="AK1717" s="15"/>
      <c r="AL1717" s="15"/>
      <c r="AM1717" s="15"/>
      <c r="AN1717" s="15"/>
      <c r="AO1717" s="15"/>
      <c r="AP1717" s="15"/>
      <c r="AQ1717" s="15"/>
      <c r="AR1717" s="15"/>
      <c r="AS1717" s="15"/>
      <c r="AT1717" s="15"/>
      <c r="AU1717" s="15"/>
    </row>
    <row r="1718" ht="24.0" customHeight="1">
      <c r="A1718" s="45">
        <v>3142.0</v>
      </c>
      <c r="B1718" s="57"/>
      <c r="C1718" s="57"/>
      <c r="D1718" s="88" t="str">
        <f t="array" ref="D1718">IFERROR(
  LOOKUP(2, 1/((TRIM(IMS!$E$8:$E$2574)=TRIM(IMS!$E1718))*(IMS!$C$8:$C$2574&lt;IMS!$C1718)),
         IMS!$C$8:$C$2574),
"")</f>
        <v/>
      </c>
      <c r="E1718" s="57"/>
      <c r="F1718" s="57"/>
      <c r="G1718" s="77" t="str">
        <f t="shared" si="901"/>
        <v/>
      </c>
      <c r="H1718" s="78" t="str">
        <f t="shared" si="902"/>
        <v/>
      </c>
      <c r="I1718" s="79"/>
      <c r="J1718" s="80" t="str">
        <f t="shared" si="903"/>
        <v>#NAME?</v>
      </c>
      <c r="K1718" s="58"/>
      <c r="L1718" s="58"/>
      <c r="M1718" s="57"/>
      <c r="N1718" s="57"/>
      <c r="O1718" s="58"/>
      <c r="P1718" s="82"/>
      <c r="Q1718" s="81"/>
      <c r="R1718" s="81"/>
      <c r="S1718" s="57"/>
      <c r="T1718" s="82"/>
      <c r="U1718" s="82"/>
      <c r="V1718" s="57"/>
      <c r="W1718" s="57"/>
      <c r="X1718" s="57" t="str">
        <f t="shared" si="917"/>
        <v/>
      </c>
      <c r="Y1718" s="58" t="str">
        <f t="shared" ref="Y1718:AC1718" si="1558">TRIM(SUBSTITUTE(SUBSTITUTE(OFFSET($Q1718,0,COLUMN()-COLUMN($AL$1)),CHAR(160)," "),_xludf.UNICHAR(8239)," "))</f>
        <v>#NAME?</v>
      </c>
      <c r="Z1718" s="58" t="str">
        <f t="shared" si="1558"/>
        <v>#NAME?</v>
      </c>
      <c r="AA1718" s="58" t="str">
        <f t="shared" si="1558"/>
        <v>#NAME?</v>
      </c>
      <c r="AB1718" s="58" t="str">
        <f t="shared" si="1558"/>
        <v>#NAME?</v>
      </c>
      <c r="AC1718" s="58" t="str">
        <f t="shared" si="1558"/>
        <v>#NAME?</v>
      </c>
      <c r="AD1718" s="57">
        <f t="shared" si="906"/>
        <v>0</v>
      </c>
      <c r="AE1718" s="57" t="str">
        <f t="shared" si="907"/>
        <v/>
      </c>
      <c r="AF1718" s="57">
        <f t="shared" si="908"/>
        <v>0</v>
      </c>
      <c r="AG1718" s="59">
        <f t="shared" si="909"/>
        <v>0</v>
      </c>
      <c r="AH1718" s="15"/>
      <c r="AI1718" s="15"/>
      <c r="AJ1718" s="15"/>
      <c r="AK1718" s="15"/>
      <c r="AL1718" s="15"/>
      <c r="AM1718" s="15"/>
      <c r="AN1718" s="15"/>
      <c r="AO1718" s="15"/>
      <c r="AP1718" s="15"/>
      <c r="AQ1718" s="15"/>
      <c r="AR1718" s="15"/>
      <c r="AS1718" s="15"/>
      <c r="AT1718" s="15"/>
      <c r="AU1718" s="15"/>
    </row>
    <row r="1719" ht="24.0" customHeight="1">
      <c r="A1719" s="45">
        <v>3143.0</v>
      </c>
      <c r="B1719" s="57"/>
      <c r="C1719" s="57"/>
      <c r="D1719" s="88" t="str">
        <f t="array" ref="D1719">IFERROR(
  LOOKUP(2, 1/((TRIM(IMS!$E$8:$E$2574)=TRIM(IMS!$E1719))*(IMS!$C$8:$C$2574&lt;IMS!$C1719)),
         IMS!$C$8:$C$2574),
"")</f>
        <v/>
      </c>
      <c r="E1719" s="57"/>
      <c r="F1719" s="57"/>
      <c r="G1719" s="77" t="str">
        <f t="shared" si="901"/>
        <v/>
      </c>
      <c r="H1719" s="78" t="str">
        <f t="shared" si="902"/>
        <v/>
      </c>
      <c r="I1719" s="79"/>
      <c r="J1719" s="80" t="str">
        <f t="shared" si="903"/>
        <v>#NAME?</v>
      </c>
      <c r="K1719" s="58"/>
      <c r="L1719" s="58"/>
      <c r="M1719" s="57"/>
      <c r="N1719" s="57"/>
      <c r="O1719" s="58"/>
      <c r="P1719" s="82"/>
      <c r="Q1719" s="81"/>
      <c r="R1719" s="81"/>
      <c r="S1719" s="57"/>
      <c r="T1719" s="82"/>
      <c r="U1719" s="82"/>
      <c r="V1719" s="57"/>
      <c r="W1719" s="57"/>
      <c r="X1719" s="57" t="str">
        <f t="shared" si="917"/>
        <v/>
      </c>
      <c r="Y1719" s="58" t="str">
        <f t="shared" ref="Y1719:AC1719" si="1559">TRIM(SUBSTITUTE(SUBSTITUTE(OFFSET($Q1719,0,COLUMN()-COLUMN($AL$1)),CHAR(160)," "),_xludf.UNICHAR(8239)," "))</f>
        <v>#NAME?</v>
      </c>
      <c r="Z1719" s="58" t="str">
        <f t="shared" si="1559"/>
        <v>#NAME?</v>
      </c>
      <c r="AA1719" s="58" t="str">
        <f t="shared" si="1559"/>
        <v>#NAME?</v>
      </c>
      <c r="AB1719" s="58" t="str">
        <f t="shared" si="1559"/>
        <v>#NAME?</v>
      </c>
      <c r="AC1719" s="58" t="str">
        <f t="shared" si="1559"/>
        <v>#NAME?</v>
      </c>
      <c r="AD1719" s="57">
        <f t="shared" si="906"/>
        <v>0</v>
      </c>
      <c r="AE1719" s="57" t="str">
        <f t="shared" si="907"/>
        <v/>
      </c>
      <c r="AF1719" s="57">
        <f t="shared" si="908"/>
        <v>0</v>
      </c>
      <c r="AG1719" s="59">
        <f t="shared" si="909"/>
        <v>0</v>
      </c>
      <c r="AH1719" s="15"/>
      <c r="AI1719" s="15"/>
      <c r="AJ1719" s="15"/>
      <c r="AK1719" s="15"/>
      <c r="AL1719" s="15"/>
      <c r="AM1719" s="15"/>
      <c r="AN1719" s="15"/>
      <c r="AO1719" s="15"/>
      <c r="AP1719" s="15"/>
      <c r="AQ1719" s="15"/>
      <c r="AR1719" s="15"/>
      <c r="AS1719" s="15"/>
      <c r="AT1719" s="15"/>
      <c r="AU1719" s="15"/>
    </row>
    <row r="1720" ht="24.0" customHeight="1">
      <c r="A1720" s="45">
        <v>3144.0</v>
      </c>
      <c r="B1720" s="57"/>
      <c r="C1720" s="57"/>
      <c r="D1720" s="88" t="str">
        <f t="array" ref="D1720">IFERROR(
  LOOKUP(2, 1/((TRIM(IMS!$E$8:$E$2574)=TRIM(IMS!$E1720))*(IMS!$C$8:$C$2574&lt;IMS!$C1720)),
         IMS!$C$8:$C$2574),
"")</f>
        <v/>
      </c>
      <c r="E1720" s="57"/>
      <c r="F1720" s="57"/>
      <c r="G1720" s="77" t="str">
        <f t="shared" si="901"/>
        <v/>
      </c>
      <c r="H1720" s="78" t="str">
        <f t="shared" si="902"/>
        <v/>
      </c>
      <c r="I1720" s="79"/>
      <c r="J1720" s="80" t="str">
        <f t="shared" si="903"/>
        <v>#NAME?</v>
      </c>
      <c r="K1720" s="58"/>
      <c r="L1720" s="58"/>
      <c r="M1720" s="57"/>
      <c r="N1720" s="57"/>
      <c r="O1720" s="58"/>
      <c r="P1720" s="82"/>
      <c r="Q1720" s="81"/>
      <c r="R1720" s="81"/>
      <c r="S1720" s="57"/>
      <c r="T1720" s="82"/>
      <c r="U1720" s="82"/>
      <c r="V1720" s="57"/>
      <c r="W1720" s="57"/>
      <c r="X1720" s="57" t="str">
        <f t="shared" si="917"/>
        <v/>
      </c>
      <c r="Y1720" s="58" t="str">
        <f t="shared" ref="Y1720:AC1720" si="1560">TRIM(SUBSTITUTE(SUBSTITUTE(OFFSET($Q1720,0,COLUMN()-COLUMN($AL$1)),CHAR(160)," "),_xludf.UNICHAR(8239)," "))</f>
        <v>#NAME?</v>
      </c>
      <c r="Z1720" s="58" t="str">
        <f t="shared" si="1560"/>
        <v>#NAME?</v>
      </c>
      <c r="AA1720" s="58" t="str">
        <f t="shared" si="1560"/>
        <v>#NAME?</v>
      </c>
      <c r="AB1720" s="58" t="str">
        <f t="shared" si="1560"/>
        <v>#NAME?</v>
      </c>
      <c r="AC1720" s="58" t="str">
        <f t="shared" si="1560"/>
        <v>#NAME?</v>
      </c>
      <c r="AD1720" s="57">
        <f t="shared" si="906"/>
        <v>0</v>
      </c>
      <c r="AE1720" s="57" t="str">
        <f t="shared" si="907"/>
        <v/>
      </c>
      <c r="AF1720" s="57">
        <f t="shared" si="908"/>
        <v>0</v>
      </c>
      <c r="AG1720" s="59">
        <f t="shared" si="909"/>
        <v>0</v>
      </c>
      <c r="AH1720" s="15"/>
      <c r="AI1720" s="15"/>
      <c r="AJ1720" s="15"/>
      <c r="AK1720" s="15"/>
      <c r="AL1720" s="15"/>
      <c r="AM1720" s="15"/>
      <c r="AN1720" s="15"/>
      <c r="AO1720" s="15"/>
      <c r="AP1720" s="15"/>
      <c r="AQ1720" s="15"/>
      <c r="AR1720" s="15"/>
      <c r="AS1720" s="15"/>
      <c r="AT1720" s="15"/>
      <c r="AU1720" s="15"/>
    </row>
    <row r="1721" ht="24.0" customHeight="1">
      <c r="A1721" s="45">
        <v>3145.0</v>
      </c>
      <c r="B1721" s="57"/>
      <c r="C1721" s="57"/>
      <c r="D1721" s="88" t="str">
        <f t="array" ref="D1721">IFERROR(
  LOOKUP(2, 1/((TRIM(IMS!$E$8:$E$2574)=TRIM(IMS!$E1721))*(IMS!$C$8:$C$2574&lt;IMS!$C1721)),
         IMS!$C$8:$C$2574),
"")</f>
        <v/>
      </c>
      <c r="E1721" s="57"/>
      <c r="F1721" s="57"/>
      <c r="G1721" s="77" t="str">
        <f t="shared" si="901"/>
        <v/>
      </c>
      <c r="H1721" s="78" t="str">
        <f t="shared" si="902"/>
        <v/>
      </c>
      <c r="I1721" s="79"/>
      <c r="J1721" s="80" t="str">
        <f t="shared" si="903"/>
        <v>#NAME?</v>
      </c>
      <c r="K1721" s="58"/>
      <c r="L1721" s="58"/>
      <c r="M1721" s="57"/>
      <c r="N1721" s="57"/>
      <c r="O1721" s="58"/>
      <c r="P1721" s="82"/>
      <c r="Q1721" s="81"/>
      <c r="R1721" s="81"/>
      <c r="S1721" s="57"/>
      <c r="T1721" s="82"/>
      <c r="U1721" s="82"/>
      <c r="V1721" s="57"/>
      <c r="W1721" s="57"/>
      <c r="X1721" s="57" t="str">
        <f t="shared" si="917"/>
        <v/>
      </c>
      <c r="Y1721" s="58" t="str">
        <f t="shared" ref="Y1721:AC1721" si="1561">TRIM(SUBSTITUTE(SUBSTITUTE(OFFSET($Q1721,0,COLUMN()-COLUMN($AL$1)),CHAR(160)," "),_xludf.UNICHAR(8239)," "))</f>
        <v>#NAME?</v>
      </c>
      <c r="Z1721" s="58" t="str">
        <f t="shared" si="1561"/>
        <v>#NAME?</v>
      </c>
      <c r="AA1721" s="58" t="str">
        <f t="shared" si="1561"/>
        <v>#NAME?</v>
      </c>
      <c r="AB1721" s="58" t="str">
        <f t="shared" si="1561"/>
        <v>#NAME?</v>
      </c>
      <c r="AC1721" s="58" t="str">
        <f t="shared" si="1561"/>
        <v>#NAME?</v>
      </c>
      <c r="AD1721" s="57">
        <f t="shared" si="906"/>
        <v>0</v>
      </c>
      <c r="AE1721" s="57" t="str">
        <f t="shared" si="907"/>
        <v/>
      </c>
      <c r="AF1721" s="57">
        <f t="shared" si="908"/>
        <v>0</v>
      </c>
      <c r="AG1721" s="59">
        <f t="shared" si="909"/>
        <v>0</v>
      </c>
      <c r="AH1721" s="15"/>
      <c r="AI1721" s="15"/>
      <c r="AJ1721" s="15"/>
      <c r="AK1721" s="15"/>
      <c r="AL1721" s="15"/>
      <c r="AM1721" s="15"/>
      <c r="AN1721" s="15"/>
      <c r="AO1721" s="15"/>
      <c r="AP1721" s="15"/>
      <c r="AQ1721" s="15"/>
      <c r="AR1721" s="15"/>
      <c r="AS1721" s="15"/>
      <c r="AT1721" s="15"/>
      <c r="AU1721" s="15"/>
    </row>
    <row r="1722" ht="24.0" customHeight="1">
      <c r="A1722" s="45">
        <v>3146.0</v>
      </c>
      <c r="B1722" s="57"/>
      <c r="C1722" s="57"/>
      <c r="D1722" s="88" t="str">
        <f t="array" ref="D1722">IFERROR(
  LOOKUP(2, 1/((TRIM(IMS!$E$8:$E$2574)=TRIM(IMS!$E1722))*(IMS!$C$8:$C$2574&lt;IMS!$C1722)),
         IMS!$C$8:$C$2574),
"")</f>
        <v/>
      </c>
      <c r="E1722" s="57"/>
      <c r="F1722" s="57"/>
      <c r="G1722" s="77" t="str">
        <f t="shared" si="901"/>
        <v/>
      </c>
      <c r="H1722" s="78" t="str">
        <f t="shared" si="902"/>
        <v/>
      </c>
      <c r="I1722" s="79"/>
      <c r="J1722" s="80" t="str">
        <f t="shared" si="903"/>
        <v>#NAME?</v>
      </c>
      <c r="K1722" s="58"/>
      <c r="L1722" s="58"/>
      <c r="M1722" s="57"/>
      <c r="N1722" s="57"/>
      <c r="O1722" s="58"/>
      <c r="P1722" s="82"/>
      <c r="Q1722" s="81"/>
      <c r="R1722" s="81"/>
      <c r="S1722" s="57"/>
      <c r="T1722" s="82"/>
      <c r="U1722" s="82"/>
      <c r="V1722" s="57"/>
      <c r="W1722" s="57"/>
      <c r="X1722" s="57" t="str">
        <f t="shared" si="917"/>
        <v/>
      </c>
      <c r="Y1722" s="58" t="str">
        <f t="shared" ref="Y1722:AC1722" si="1562">TRIM(SUBSTITUTE(SUBSTITUTE(OFFSET($Q1722,0,COLUMN()-COLUMN($AL$1)),CHAR(160)," "),_xludf.UNICHAR(8239)," "))</f>
        <v>#NAME?</v>
      </c>
      <c r="Z1722" s="58" t="str">
        <f t="shared" si="1562"/>
        <v>#NAME?</v>
      </c>
      <c r="AA1722" s="58" t="str">
        <f t="shared" si="1562"/>
        <v>#NAME?</v>
      </c>
      <c r="AB1722" s="58" t="str">
        <f t="shared" si="1562"/>
        <v>#NAME?</v>
      </c>
      <c r="AC1722" s="58" t="str">
        <f t="shared" si="1562"/>
        <v>#NAME?</v>
      </c>
      <c r="AD1722" s="57">
        <f t="shared" si="906"/>
        <v>0</v>
      </c>
      <c r="AE1722" s="57" t="str">
        <f t="shared" si="907"/>
        <v/>
      </c>
      <c r="AF1722" s="57">
        <f t="shared" si="908"/>
        <v>0</v>
      </c>
      <c r="AG1722" s="59">
        <f t="shared" si="909"/>
        <v>0</v>
      </c>
      <c r="AH1722" s="15"/>
      <c r="AI1722" s="15"/>
      <c r="AJ1722" s="15"/>
      <c r="AK1722" s="15"/>
      <c r="AL1722" s="15"/>
      <c r="AM1722" s="15"/>
      <c r="AN1722" s="15"/>
      <c r="AO1722" s="15"/>
      <c r="AP1722" s="15"/>
      <c r="AQ1722" s="15"/>
      <c r="AR1722" s="15"/>
      <c r="AS1722" s="15"/>
      <c r="AT1722" s="15"/>
      <c r="AU1722" s="15"/>
    </row>
    <row r="1723" ht="24.0" customHeight="1">
      <c r="A1723" s="45">
        <v>3147.0</v>
      </c>
      <c r="B1723" s="57"/>
      <c r="C1723" s="57"/>
      <c r="D1723" s="88" t="str">
        <f t="array" ref="D1723">IFERROR(
  LOOKUP(2, 1/((TRIM(IMS!$E$8:$E$2574)=TRIM(IMS!$E1723))*(IMS!$C$8:$C$2574&lt;IMS!$C1723)),
         IMS!$C$8:$C$2574),
"")</f>
        <v/>
      </c>
      <c r="E1723" s="57"/>
      <c r="F1723" s="57"/>
      <c r="G1723" s="77" t="str">
        <f t="shared" si="901"/>
        <v/>
      </c>
      <c r="H1723" s="78" t="str">
        <f t="shared" si="902"/>
        <v/>
      </c>
      <c r="I1723" s="79"/>
      <c r="J1723" s="80" t="str">
        <f t="shared" si="903"/>
        <v>#NAME?</v>
      </c>
      <c r="K1723" s="58"/>
      <c r="L1723" s="58"/>
      <c r="M1723" s="57"/>
      <c r="N1723" s="57"/>
      <c r="O1723" s="58"/>
      <c r="P1723" s="82"/>
      <c r="Q1723" s="81"/>
      <c r="R1723" s="81"/>
      <c r="S1723" s="57"/>
      <c r="T1723" s="82"/>
      <c r="U1723" s="82"/>
      <c r="V1723" s="57"/>
      <c r="W1723" s="57"/>
      <c r="X1723" s="57" t="str">
        <f t="shared" si="917"/>
        <v/>
      </c>
      <c r="Y1723" s="58" t="str">
        <f t="shared" ref="Y1723:AC1723" si="1563">TRIM(SUBSTITUTE(SUBSTITUTE(OFFSET($Q1723,0,COLUMN()-COLUMN($AL$1)),CHAR(160)," "),_xludf.UNICHAR(8239)," "))</f>
        <v>#NAME?</v>
      </c>
      <c r="Z1723" s="58" t="str">
        <f t="shared" si="1563"/>
        <v>#NAME?</v>
      </c>
      <c r="AA1723" s="58" t="str">
        <f t="shared" si="1563"/>
        <v>#NAME?</v>
      </c>
      <c r="AB1723" s="58" t="str">
        <f t="shared" si="1563"/>
        <v>#NAME?</v>
      </c>
      <c r="AC1723" s="58" t="str">
        <f t="shared" si="1563"/>
        <v>#NAME?</v>
      </c>
      <c r="AD1723" s="57">
        <f t="shared" si="906"/>
        <v>0</v>
      </c>
      <c r="AE1723" s="57" t="str">
        <f t="shared" si="907"/>
        <v/>
      </c>
      <c r="AF1723" s="57">
        <f t="shared" si="908"/>
        <v>0</v>
      </c>
      <c r="AG1723" s="59">
        <f t="shared" si="909"/>
        <v>0</v>
      </c>
      <c r="AH1723" s="15"/>
      <c r="AI1723" s="15"/>
      <c r="AJ1723" s="15"/>
      <c r="AK1723" s="15"/>
      <c r="AL1723" s="15"/>
      <c r="AM1723" s="15"/>
      <c r="AN1723" s="15"/>
      <c r="AO1723" s="15"/>
      <c r="AP1723" s="15"/>
      <c r="AQ1723" s="15"/>
      <c r="AR1723" s="15"/>
      <c r="AS1723" s="15"/>
      <c r="AT1723" s="15"/>
      <c r="AU1723" s="15"/>
    </row>
    <row r="1724" ht="24.0" customHeight="1">
      <c r="A1724" s="45">
        <v>3148.0</v>
      </c>
      <c r="B1724" s="57"/>
      <c r="C1724" s="57"/>
      <c r="D1724" s="88" t="str">
        <f t="array" ref="D1724">IFERROR(
  LOOKUP(2, 1/((TRIM(IMS!$E$8:$E$2574)=TRIM(IMS!$E1724))*(IMS!$C$8:$C$2574&lt;IMS!$C1724)),
         IMS!$C$8:$C$2574),
"")</f>
        <v/>
      </c>
      <c r="E1724" s="57"/>
      <c r="F1724" s="57"/>
      <c r="G1724" s="77" t="str">
        <f t="shared" si="901"/>
        <v/>
      </c>
      <c r="H1724" s="78" t="str">
        <f t="shared" si="902"/>
        <v/>
      </c>
      <c r="I1724" s="79"/>
      <c r="J1724" s="80" t="str">
        <f t="shared" si="903"/>
        <v>#NAME?</v>
      </c>
      <c r="K1724" s="58"/>
      <c r="L1724" s="58"/>
      <c r="M1724" s="57"/>
      <c r="N1724" s="57"/>
      <c r="O1724" s="58"/>
      <c r="P1724" s="82"/>
      <c r="Q1724" s="81"/>
      <c r="R1724" s="81"/>
      <c r="S1724" s="57"/>
      <c r="T1724" s="82"/>
      <c r="U1724" s="82"/>
      <c r="V1724" s="57"/>
      <c r="W1724" s="57"/>
      <c r="X1724" s="57" t="str">
        <f t="shared" si="917"/>
        <v/>
      </c>
      <c r="Y1724" s="58" t="str">
        <f t="shared" ref="Y1724:AC1724" si="1564">TRIM(SUBSTITUTE(SUBSTITUTE(OFFSET($Q1724,0,COLUMN()-COLUMN($AL$1)),CHAR(160)," "),_xludf.UNICHAR(8239)," "))</f>
        <v>#NAME?</v>
      </c>
      <c r="Z1724" s="58" t="str">
        <f t="shared" si="1564"/>
        <v>#NAME?</v>
      </c>
      <c r="AA1724" s="58" t="str">
        <f t="shared" si="1564"/>
        <v>#NAME?</v>
      </c>
      <c r="AB1724" s="58" t="str">
        <f t="shared" si="1564"/>
        <v>#NAME?</v>
      </c>
      <c r="AC1724" s="58" t="str">
        <f t="shared" si="1564"/>
        <v>#NAME?</v>
      </c>
      <c r="AD1724" s="57">
        <f t="shared" si="906"/>
        <v>0</v>
      </c>
      <c r="AE1724" s="57" t="str">
        <f t="shared" si="907"/>
        <v/>
      </c>
      <c r="AF1724" s="57">
        <f t="shared" si="908"/>
        <v>0</v>
      </c>
      <c r="AG1724" s="59">
        <f t="shared" si="909"/>
        <v>0</v>
      </c>
      <c r="AH1724" s="15"/>
      <c r="AI1724" s="15"/>
      <c r="AJ1724" s="15"/>
      <c r="AK1724" s="15"/>
      <c r="AL1724" s="15"/>
      <c r="AM1724" s="15"/>
      <c r="AN1724" s="15"/>
      <c r="AO1724" s="15"/>
      <c r="AP1724" s="15"/>
      <c r="AQ1724" s="15"/>
      <c r="AR1724" s="15"/>
      <c r="AS1724" s="15"/>
      <c r="AT1724" s="15"/>
      <c r="AU1724" s="15"/>
    </row>
    <row r="1725" ht="24.0" customHeight="1">
      <c r="A1725" s="45">
        <v>3149.0</v>
      </c>
      <c r="B1725" s="57"/>
      <c r="C1725" s="57"/>
      <c r="D1725" s="88" t="str">
        <f t="array" ref="D1725">IFERROR(
  LOOKUP(2, 1/((TRIM(IMS!$E$8:$E$2574)=TRIM(IMS!$E1725))*(IMS!$C$8:$C$2574&lt;IMS!$C1725)),
         IMS!$C$8:$C$2574),
"")</f>
        <v/>
      </c>
      <c r="E1725" s="57"/>
      <c r="F1725" s="57"/>
      <c r="G1725" s="77" t="str">
        <f t="shared" si="901"/>
        <v/>
      </c>
      <c r="H1725" s="78" t="str">
        <f t="shared" si="902"/>
        <v/>
      </c>
      <c r="I1725" s="79"/>
      <c r="J1725" s="80" t="str">
        <f t="shared" si="903"/>
        <v>#NAME?</v>
      </c>
      <c r="K1725" s="58"/>
      <c r="L1725" s="58"/>
      <c r="M1725" s="57"/>
      <c r="N1725" s="57"/>
      <c r="O1725" s="58"/>
      <c r="P1725" s="82"/>
      <c r="Q1725" s="81"/>
      <c r="R1725" s="81"/>
      <c r="S1725" s="57"/>
      <c r="T1725" s="82"/>
      <c r="U1725" s="82"/>
      <c r="V1725" s="57"/>
      <c r="W1725" s="57"/>
      <c r="X1725" s="57" t="str">
        <f t="shared" si="917"/>
        <v/>
      </c>
      <c r="Y1725" s="58" t="str">
        <f t="shared" ref="Y1725:AC1725" si="1565">TRIM(SUBSTITUTE(SUBSTITUTE(OFFSET($Q1725,0,COLUMN()-COLUMN($AL$1)),CHAR(160)," "),_xludf.UNICHAR(8239)," "))</f>
        <v>#NAME?</v>
      </c>
      <c r="Z1725" s="58" t="str">
        <f t="shared" si="1565"/>
        <v>#NAME?</v>
      </c>
      <c r="AA1725" s="58" t="str">
        <f t="shared" si="1565"/>
        <v>#NAME?</v>
      </c>
      <c r="AB1725" s="58" t="str">
        <f t="shared" si="1565"/>
        <v>#NAME?</v>
      </c>
      <c r="AC1725" s="58" t="str">
        <f t="shared" si="1565"/>
        <v>#NAME?</v>
      </c>
      <c r="AD1725" s="57">
        <f t="shared" si="906"/>
        <v>0</v>
      </c>
      <c r="AE1725" s="57" t="str">
        <f t="shared" si="907"/>
        <v/>
      </c>
      <c r="AF1725" s="57">
        <f t="shared" si="908"/>
        <v>0</v>
      </c>
      <c r="AG1725" s="59">
        <f t="shared" si="909"/>
        <v>0</v>
      </c>
      <c r="AH1725" s="15"/>
      <c r="AI1725" s="15"/>
      <c r="AJ1725" s="15"/>
      <c r="AK1725" s="15"/>
      <c r="AL1725" s="15"/>
      <c r="AM1725" s="15"/>
      <c r="AN1725" s="15"/>
      <c r="AO1725" s="15"/>
      <c r="AP1725" s="15"/>
      <c r="AQ1725" s="15"/>
      <c r="AR1725" s="15"/>
      <c r="AS1725" s="15"/>
      <c r="AT1725" s="15"/>
      <c r="AU1725" s="15"/>
    </row>
    <row r="1726" ht="24.0" customHeight="1">
      <c r="A1726" s="45">
        <v>3150.0</v>
      </c>
      <c r="B1726" s="57"/>
      <c r="C1726" s="57"/>
      <c r="D1726" s="88" t="str">
        <f t="array" ref="D1726">IFERROR(
  LOOKUP(2, 1/((TRIM(IMS!$E$8:$E$2574)=TRIM(IMS!$E1726))*(IMS!$C$8:$C$2574&lt;IMS!$C1726)),
         IMS!$C$8:$C$2574),
"")</f>
        <v/>
      </c>
      <c r="E1726" s="57"/>
      <c r="F1726" s="57"/>
      <c r="G1726" s="77" t="str">
        <f t="shared" si="901"/>
        <v/>
      </c>
      <c r="H1726" s="78" t="str">
        <f t="shared" si="902"/>
        <v/>
      </c>
      <c r="I1726" s="79"/>
      <c r="J1726" s="80" t="str">
        <f t="shared" si="903"/>
        <v>#NAME?</v>
      </c>
      <c r="K1726" s="58"/>
      <c r="L1726" s="58"/>
      <c r="M1726" s="57"/>
      <c r="N1726" s="57"/>
      <c r="O1726" s="58"/>
      <c r="P1726" s="82"/>
      <c r="Q1726" s="81"/>
      <c r="R1726" s="81"/>
      <c r="S1726" s="57"/>
      <c r="T1726" s="82"/>
      <c r="U1726" s="82"/>
      <c r="V1726" s="57"/>
      <c r="W1726" s="57"/>
      <c r="X1726" s="57" t="str">
        <f t="shared" si="917"/>
        <v/>
      </c>
      <c r="Y1726" s="58" t="str">
        <f t="shared" ref="Y1726:AC1726" si="1566">TRIM(SUBSTITUTE(SUBSTITUTE(OFFSET($Q1726,0,COLUMN()-COLUMN($AL$1)),CHAR(160)," "),_xludf.UNICHAR(8239)," "))</f>
        <v>#NAME?</v>
      </c>
      <c r="Z1726" s="58" t="str">
        <f t="shared" si="1566"/>
        <v>#NAME?</v>
      </c>
      <c r="AA1726" s="58" t="str">
        <f t="shared" si="1566"/>
        <v>#NAME?</v>
      </c>
      <c r="AB1726" s="58" t="str">
        <f t="shared" si="1566"/>
        <v>#NAME?</v>
      </c>
      <c r="AC1726" s="58" t="str">
        <f t="shared" si="1566"/>
        <v>#NAME?</v>
      </c>
      <c r="AD1726" s="57">
        <f t="shared" si="906"/>
        <v>0</v>
      </c>
      <c r="AE1726" s="57" t="str">
        <f t="shared" si="907"/>
        <v/>
      </c>
      <c r="AF1726" s="57">
        <f t="shared" si="908"/>
        <v>0</v>
      </c>
      <c r="AG1726" s="59">
        <f t="shared" si="909"/>
        <v>0</v>
      </c>
      <c r="AH1726" s="15"/>
      <c r="AI1726" s="15"/>
      <c r="AJ1726" s="15"/>
      <c r="AK1726" s="15"/>
      <c r="AL1726" s="15"/>
      <c r="AM1726" s="15"/>
      <c r="AN1726" s="15"/>
      <c r="AO1726" s="15"/>
      <c r="AP1726" s="15"/>
      <c r="AQ1726" s="15"/>
      <c r="AR1726" s="15"/>
      <c r="AS1726" s="15"/>
      <c r="AT1726" s="15"/>
      <c r="AU1726" s="15"/>
    </row>
    <row r="1727" ht="24.0" customHeight="1">
      <c r="A1727" s="45">
        <v>3151.0</v>
      </c>
      <c r="B1727" s="57"/>
      <c r="C1727" s="57"/>
      <c r="D1727" s="88" t="str">
        <f t="array" ref="D1727">IFERROR(
  LOOKUP(2, 1/((TRIM(IMS!$E$8:$E$2574)=TRIM(IMS!$E1727))*(IMS!$C$8:$C$2574&lt;IMS!$C1727)),
         IMS!$C$8:$C$2574),
"")</f>
        <v/>
      </c>
      <c r="E1727" s="57"/>
      <c r="F1727" s="57"/>
      <c r="G1727" s="77" t="str">
        <f t="shared" si="901"/>
        <v/>
      </c>
      <c r="H1727" s="78" t="str">
        <f t="shared" si="902"/>
        <v/>
      </c>
      <c r="I1727" s="79"/>
      <c r="J1727" s="80" t="str">
        <f t="shared" si="903"/>
        <v>#NAME?</v>
      </c>
      <c r="K1727" s="58"/>
      <c r="L1727" s="58"/>
      <c r="M1727" s="57"/>
      <c r="N1727" s="57"/>
      <c r="O1727" s="58"/>
      <c r="P1727" s="82"/>
      <c r="Q1727" s="81"/>
      <c r="R1727" s="81"/>
      <c r="S1727" s="57"/>
      <c r="T1727" s="82"/>
      <c r="U1727" s="82"/>
      <c r="V1727" s="57"/>
      <c r="W1727" s="57"/>
      <c r="X1727" s="57" t="str">
        <f t="shared" si="917"/>
        <v/>
      </c>
      <c r="Y1727" s="58" t="str">
        <f t="shared" ref="Y1727:AC1727" si="1567">TRIM(SUBSTITUTE(SUBSTITUTE(OFFSET($Q1727,0,COLUMN()-COLUMN($AL$1)),CHAR(160)," "),_xludf.UNICHAR(8239)," "))</f>
        <v>#NAME?</v>
      </c>
      <c r="Z1727" s="58" t="str">
        <f t="shared" si="1567"/>
        <v>#NAME?</v>
      </c>
      <c r="AA1727" s="58" t="str">
        <f t="shared" si="1567"/>
        <v>#NAME?</v>
      </c>
      <c r="AB1727" s="58" t="str">
        <f t="shared" si="1567"/>
        <v>#NAME?</v>
      </c>
      <c r="AC1727" s="58" t="str">
        <f t="shared" si="1567"/>
        <v>#NAME?</v>
      </c>
      <c r="AD1727" s="57">
        <f t="shared" si="906"/>
        <v>0</v>
      </c>
      <c r="AE1727" s="57" t="str">
        <f t="shared" si="907"/>
        <v/>
      </c>
      <c r="AF1727" s="57">
        <f t="shared" si="908"/>
        <v>0</v>
      </c>
      <c r="AG1727" s="59">
        <f t="shared" si="909"/>
        <v>0</v>
      </c>
      <c r="AH1727" s="15"/>
      <c r="AI1727" s="15"/>
      <c r="AJ1727" s="15"/>
      <c r="AK1727" s="15"/>
      <c r="AL1727" s="15"/>
      <c r="AM1727" s="15"/>
      <c r="AN1727" s="15"/>
      <c r="AO1727" s="15"/>
      <c r="AP1727" s="15"/>
      <c r="AQ1727" s="15"/>
      <c r="AR1727" s="15"/>
      <c r="AS1727" s="15"/>
      <c r="AT1727" s="15"/>
      <c r="AU1727" s="15"/>
    </row>
    <row r="1728" ht="24.0" customHeight="1">
      <c r="A1728" s="45">
        <v>3152.0</v>
      </c>
      <c r="B1728" s="57"/>
      <c r="C1728" s="57"/>
      <c r="D1728" s="88" t="str">
        <f t="array" ref="D1728">IFERROR(
  LOOKUP(2, 1/((TRIM(IMS!$E$8:$E$2574)=TRIM(IMS!$E1728))*(IMS!$C$8:$C$2574&lt;IMS!$C1728)),
         IMS!$C$8:$C$2574),
"")</f>
        <v/>
      </c>
      <c r="E1728" s="57"/>
      <c r="F1728" s="57"/>
      <c r="G1728" s="77" t="str">
        <f t="shared" si="901"/>
        <v/>
      </c>
      <c r="H1728" s="78" t="str">
        <f t="shared" si="902"/>
        <v/>
      </c>
      <c r="I1728" s="79"/>
      <c r="J1728" s="80" t="str">
        <f t="shared" si="903"/>
        <v>#NAME?</v>
      </c>
      <c r="K1728" s="58"/>
      <c r="L1728" s="58"/>
      <c r="M1728" s="57"/>
      <c r="N1728" s="57"/>
      <c r="O1728" s="58"/>
      <c r="P1728" s="82"/>
      <c r="Q1728" s="81"/>
      <c r="R1728" s="81"/>
      <c r="S1728" s="57"/>
      <c r="T1728" s="82"/>
      <c r="U1728" s="82"/>
      <c r="V1728" s="57"/>
      <c r="W1728" s="57"/>
      <c r="X1728" s="57" t="str">
        <f t="shared" si="917"/>
        <v/>
      </c>
      <c r="Y1728" s="58" t="str">
        <f t="shared" ref="Y1728:AC1728" si="1568">TRIM(SUBSTITUTE(SUBSTITUTE(OFFSET($Q1728,0,COLUMN()-COLUMN($AL$1)),CHAR(160)," "),_xludf.UNICHAR(8239)," "))</f>
        <v>#NAME?</v>
      </c>
      <c r="Z1728" s="58" t="str">
        <f t="shared" si="1568"/>
        <v>#NAME?</v>
      </c>
      <c r="AA1728" s="58" t="str">
        <f t="shared" si="1568"/>
        <v>#NAME?</v>
      </c>
      <c r="AB1728" s="58" t="str">
        <f t="shared" si="1568"/>
        <v>#NAME?</v>
      </c>
      <c r="AC1728" s="58" t="str">
        <f t="shared" si="1568"/>
        <v>#NAME?</v>
      </c>
      <c r="AD1728" s="57">
        <f t="shared" si="906"/>
        <v>0</v>
      </c>
      <c r="AE1728" s="57" t="str">
        <f t="shared" si="907"/>
        <v/>
      </c>
      <c r="AF1728" s="57">
        <f t="shared" si="908"/>
        <v>0</v>
      </c>
      <c r="AG1728" s="59">
        <f t="shared" si="909"/>
        <v>0</v>
      </c>
      <c r="AH1728" s="15"/>
      <c r="AI1728" s="15"/>
      <c r="AJ1728" s="15"/>
      <c r="AK1728" s="15"/>
      <c r="AL1728" s="15"/>
      <c r="AM1728" s="15"/>
      <c r="AN1728" s="15"/>
      <c r="AO1728" s="15"/>
      <c r="AP1728" s="15"/>
      <c r="AQ1728" s="15"/>
      <c r="AR1728" s="15"/>
      <c r="AS1728" s="15"/>
      <c r="AT1728" s="15"/>
      <c r="AU1728" s="15"/>
    </row>
    <row r="1729" ht="24.0" customHeight="1">
      <c r="A1729" s="45">
        <v>3153.0</v>
      </c>
      <c r="B1729" s="57"/>
      <c r="C1729" s="57"/>
      <c r="D1729" s="88" t="str">
        <f t="array" ref="D1729">IFERROR(
  LOOKUP(2, 1/((TRIM(IMS!$E$8:$E$2574)=TRIM(IMS!$E1729))*(IMS!$C$8:$C$2574&lt;IMS!$C1729)),
         IMS!$C$8:$C$2574),
"")</f>
        <v/>
      </c>
      <c r="E1729" s="57"/>
      <c r="F1729" s="57"/>
      <c r="G1729" s="77" t="str">
        <f t="shared" si="901"/>
        <v/>
      </c>
      <c r="H1729" s="78" t="str">
        <f t="shared" si="902"/>
        <v/>
      </c>
      <c r="I1729" s="79"/>
      <c r="J1729" s="80" t="str">
        <f t="shared" si="903"/>
        <v>#NAME?</v>
      </c>
      <c r="K1729" s="58"/>
      <c r="L1729" s="58"/>
      <c r="M1729" s="57"/>
      <c r="N1729" s="57"/>
      <c r="O1729" s="58"/>
      <c r="P1729" s="82"/>
      <c r="Q1729" s="81"/>
      <c r="R1729" s="81"/>
      <c r="S1729" s="57"/>
      <c r="T1729" s="82"/>
      <c r="U1729" s="82"/>
      <c r="V1729" s="57"/>
      <c r="W1729" s="57"/>
      <c r="X1729" s="57" t="str">
        <f t="shared" si="917"/>
        <v/>
      </c>
      <c r="Y1729" s="58" t="str">
        <f t="shared" ref="Y1729:AC1729" si="1569">TRIM(SUBSTITUTE(SUBSTITUTE(OFFSET($Q1729,0,COLUMN()-COLUMN($AL$1)),CHAR(160)," "),_xludf.UNICHAR(8239)," "))</f>
        <v>#NAME?</v>
      </c>
      <c r="Z1729" s="58" t="str">
        <f t="shared" si="1569"/>
        <v>#NAME?</v>
      </c>
      <c r="AA1729" s="58" t="str">
        <f t="shared" si="1569"/>
        <v>#NAME?</v>
      </c>
      <c r="AB1729" s="58" t="str">
        <f t="shared" si="1569"/>
        <v>#NAME?</v>
      </c>
      <c r="AC1729" s="58" t="str">
        <f t="shared" si="1569"/>
        <v>#NAME?</v>
      </c>
      <c r="AD1729" s="57">
        <f t="shared" si="906"/>
        <v>0</v>
      </c>
      <c r="AE1729" s="57" t="str">
        <f t="shared" si="907"/>
        <v/>
      </c>
      <c r="AF1729" s="57">
        <f t="shared" si="908"/>
        <v>0</v>
      </c>
      <c r="AG1729" s="59">
        <f t="shared" si="909"/>
        <v>0</v>
      </c>
      <c r="AH1729" s="15"/>
      <c r="AI1729" s="15"/>
      <c r="AJ1729" s="15"/>
      <c r="AK1729" s="15"/>
      <c r="AL1729" s="15"/>
      <c r="AM1729" s="15"/>
      <c r="AN1729" s="15"/>
      <c r="AO1729" s="15"/>
      <c r="AP1729" s="15"/>
      <c r="AQ1729" s="15"/>
      <c r="AR1729" s="15"/>
      <c r="AS1729" s="15"/>
      <c r="AT1729" s="15"/>
      <c r="AU1729" s="15"/>
    </row>
    <row r="1730" ht="24.0" customHeight="1">
      <c r="A1730" s="45">
        <v>3154.0</v>
      </c>
      <c r="B1730" s="57"/>
      <c r="C1730" s="57"/>
      <c r="D1730" s="88" t="str">
        <f t="array" ref="D1730">IFERROR(
  LOOKUP(2, 1/((TRIM(IMS!$E$8:$E$2574)=TRIM(IMS!$E1730))*(IMS!$C$8:$C$2574&lt;IMS!$C1730)),
         IMS!$C$8:$C$2574),
"")</f>
        <v/>
      </c>
      <c r="E1730" s="57"/>
      <c r="F1730" s="57"/>
      <c r="G1730" s="77" t="str">
        <f t="shared" si="901"/>
        <v/>
      </c>
      <c r="H1730" s="78" t="str">
        <f t="shared" si="902"/>
        <v/>
      </c>
      <c r="I1730" s="79"/>
      <c r="J1730" s="80" t="str">
        <f t="shared" si="903"/>
        <v>#NAME?</v>
      </c>
      <c r="K1730" s="58"/>
      <c r="L1730" s="58"/>
      <c r="M1730" s="57"/>
      <c r="N1730" s="57"/>
      <c r="O1730" s="58"/>
      <c r="P1730" s="82"/>
      <c r="Q1730" s="81"/>
      <c r="R1730" s="81"/>
      <c r="S1730" s="57"/>
      <c r="T1730" s="82"/>
      <c r="U1730" s="82"/>
      <c r="V1730" s="57"/>
      <c r="W1730" s="57"/>
      <c r="X1730" s="57" t="str">
        <f t="shared" si="917"/>
        <v/>
      </c>
      <c r="Y1730" s="58" t="str">
        <f t="shared" ref="Y1730:AC1730" si="1570">TRIM(SUBSTITUTE(SUBSTITUTE(OFFSET($Q1730,0,COLUMN()-COLUMN($AL$1)),CHAR(160)," "),_xludf.UNICHAR(8239)," "))</f>
        <v>#NAME?</v>
      </c>
      <c r="Z1730" s="58" t="str">
        <f t="shared" si="1570"/>
        <v>#NAME?</v>
      </c>
      <c r="AA1730" s="58" t="str">
        <f t="shared" si="1570"/>
        <v>#NAME?</v>
      </c>
      <c r="AB1730" s="58" t="str">
        <f t="shared" si="1570"/>
        <v>#NAME?</v>
      </c>
      <c r="AC1730" s="58" t="str">
        <f t="shared" si="1570"/>
        <v>#NAME?</v>
      </c>
      <c r="AD1730" s="57">
        <f t="shared" si="906"/>
        <v>0</v>
      </c>
      <c r="AE1730" s="57" t="str">
        <f t="shared" si="907"/>
        <v/>
      </c>
      <c r="AF1730" s="57">
        <f t="shared" si="908"/>
        <v>0</v>
      </c>
      <c r="AG1730" s="59">
        <f t="shared" si="909"/>
        <v>0</v>
      </c>
      <c r="AH1730" s="15"/>
      <c r="AI1730" s="15"/>
      <c r="AJ1730" s="15"/>
      <c r="AK1730" s="15"/>
      <c r="AL1730" s="15"/>
      <c r="AM1730" s="15"/>
      <c r="AN1730" s="15"/>
      <c r="AO1730" s="15"/>
      <c r="AP1730" s="15"/>
      <c r="AQ1730" s="15"/>
      <c r="AR1730" s="15"/>
      <c r="AS1730" s="15"/>
      <c r="AT1730" s="15"/>
      <c r="AU1730" s="15"/>
    </row>
    <row r="1731" ht="24.0" customHeight="1">
      <c r="A1731" s="45">
        <v>3155.0</v>
      </c>
      <c r="B1731" s="57"/>
      <c r="C1731" s="57"/>
      <c r="D1731" s="88" t="str">
        <f t="array" ref="D1731">IFERROR(
  LOOKUP(2, 1/((TRIM(IMS!$E$8:$E$2574)=TRIM(IMS!$E1731))*(IMS!$C$8:$C$2574&lt;IMS!$C1731)),
         IMS!$C$8:$C$2574),
"")</f>
        <v/>
      </c>
      <c r="E1731" s="57"/>
      <c r="F1731" s="57"/>
      <c r="G1731" s="77" t="str">
        <f t="shared" si="901"/>
        <v/>
      </c>
      <c r="H1731" s="78" t="str">
        <f t="shared" si="902"/>
        <v/>
      </c>
      <c r="I1731" s="79"/>
      <c r="J1731" s="80" t="str">
        <f t="shared" si="903"/>
        <v>#NAME?</v>
      </c>
      <c r="K1731" s="58"/>
      <c r="L1731" s="58"/>
      <c r="M1731" s="57"/>
      <c r="N1731" s="57"/>
      <c r="O1731" s="58"/>
      <c r="P1731" s="82"/>
      <c r="Q1731" s="81"/>
      <c r="R1731" s="81"/>
      <c r="S1731" s="57"/>
      <c r="T1731" s="82"/>
      <c r="U1731" s="82"/>
      <c r="V1731" s="57"/>
      <c r="W1731" s="57"/>
      <c r="X1731" s="57" t="str">
        <f t="shared" si="917"/>
        <v/>
      </c>
      <c r="Y1731" s="58" t="str">
        <f t="shared" ref="Y1731:AC1731" si="1571">TRIM(SUBSTITUTE(SUBSTITUTE(OFFSET($Q1731,0,COLUMN()-COLUMN($AL$1)),CHAR(160)," "),_xludf.UNICHAR(8239)," "))</f>
        <v>#NAME?</v>
      </c>
      <c r="Z1731" s="58" t="str">
        <f t="shared" si="1571"/>
        <v>#NAME?</v>
      </c>
      <c r="AA1731" s="58" t="str">
        <f t="shared" si="1571"/>
        <v>#NAME?</v>
      </c>
      <c r="AB1731" s="58" t="str">
        <f t="shared" si="1571"/>
        <v>#NAME?</v>
      </c>
      <c r="AC1731" s="58" t="str">
        <f t="shared" si="1571"/>
        <v>#NAME?</v>
      </c>
      <c r="AD1731" s="57">
        <f t="shared" si="906"/>
        <v>0</v>
      </c>
      <c r="AE1731" s="57" t="str">
        <f t="shared" si="907"/>
        <v/>
      </c>
      <c r="AF1731" s="57">
        <f t="shared" si="908"/>
        <v>0</v>
      </c>
      <c r="AG1731" s="59">
        <f t="shared" si="909"/>
        <v>0</v>
      </c>
      <c r="AH1731" s="15"/>
      <c r="AI1731" s="15"/>
      <c r="AJ1731" s="15"/>
      <c r="AK1731" s="15"/>
      <c r="AL1731" s="15"/>
      <c r="AM1731" s="15"/>
      <c r="AN1731" s="15"/>
      <c r="AO1731" s="15"/>
      <c r="AP1731" s="15"/>
      <c r="AQ1731" s="15"/>
      <c r="AR1731" s="15"/>
      <c r="AS1731" s="15"/>
      <c r="AT1731" s="15"/>
      <c r="AU1731" s="15"/>
    </row>
    <row r="1732" ht="24.0" customHeight="1">
      <c r="A1732" s="45">
        <v>3156.0</v>
      </c>
      <c r="B1732" s="57"/>
      <c r="C1732" s="57"/>
      <c r="D1732" s="88" t="str">
        <f t="array" ref="D1732">IFERROR(
  LOOKUP(2, 1/((TRIM(IMS!$E$8:$E$2574)=TRIM(IMS!$E1732))*(IMS!$C$8:$C$2574&lt;IMS!$C1732)),
         IMS!$C$8:$C$2574),
"")</f>
        <v/>
      </c>
      <c r="E1732" s="57"/>
      <c r="F1732" s="57"/>
      <c r="G1732" s="77" t="str">
        <f t="shared" si="901"/>
        <v/>
      </c>
      <c r="H1732" s="78" t="str">
        <f t="shared" si="902"/>
        <v/>
      </c>
      <c r="I1732" s="79"/>
      <c r="J1732" s="80" t="str">
        <f t="shared" si="903"/>
        <v>#NAME?</v>
      </c>
      <c r="K1732" s="58"/>
      <c r="L1732" s="58"/>
      <c r="M1732" s="57"/>
      <c r="N1732" s="57"/>
      <c r="O1732" s="58"/>
      <c r="P1732" s="82"/>
      <c r="Q1732" s="81"/>
      <c r="R1732" s="81"/>
      <c r="S1732" s="57"/>
      <c r="T1732" s="82"/>
      <c r="U1732" s="82"/>
      <c r="V1732" s="57"/>
      <c r="W1732" s="57"/>
      <c r="X1732" s="57" t="str">
        <f t="shared" si="917"/>
        <v/>
      </c>
      <c r="Y1732" s="58" t="str">
        <f t="shared" ref="Y1732:AC1732" si="1572">TRIM(SUBSTITUTE(SUBSTITUTE(OFFSET($Q1732,0,COLUMN()-COLUMN($AL$1)),CHAR(160)," "),_xludf.UNICHAR(8239)," "))</f>
        <v>#NAME?</v>
      </c>
      <c r="Z1732" s="58" t="str">
        <f t="shared" si="1572"/>
        <v>#NAME?</v>
      </c>
      <c r="AA1732" s="58" t="str">
        <f t="shared" si="1572"/>
        <v>#NAME?</v>
      </c>
      <c r="AB1732" s="58" t="str">
        <f t="shared" si="1572"/>
        <v>#NAME?</v>
      </c>
      <c r="AC1732" s="58" t="str">
        <f t="shared" si="1572"/>
        <v>#NAME?</v>
      </c>
      <c r="AD1732" s="57">
        <f t="shared" si="906"/>
        <v>0</v>
      </c>
      <c r="AE1732" s="57" t="str">
        <f t="shared" si="907"/>
        <v/>
      </c>
      <c r="AF1732" s="57">
        <f t="shared" si="908"/>
        <v>0</v>
      </c>
      <c r="AG1732" s="59">
        <f t="shared" si="909"/>
        <v>0</v>
      </c>
      <c r="AH1732" s="15"/>
      <c r="AI1732" s="15"/>
      <c r="AJ1732" s="15"/>
      <c r="AK1732" s="15"/>
      <c r="AL1732" s="15"/>
      <c r="AM1732" s="15"/>
      <c r="AN1732" s="15"/>
      <c r="AO1732" s="15"/>
      <c r="AP1732" s="15"/>
      <c r="AQ1732" s="15"/>
      <c r="AR1732" s="15"/>
      <c r="AS1732" s="15"/>
      <c r="AT1732" s="15"/>
      <c r="AU1732" s="15"/>
    </row>
    <row r="1733" ht="24.0" customHeight="1">
      <c r="A1733" s="45">
        <v>3157.0</v>
      </c>
      <c r="B1733" s="57"/>
      <c r="C1733" s="57"/>
      <c r="D1733" s="88" t="str">
        <f t="array" ref="D1733">IFERROR(
  LOOKUP(2, 1/((TRIM(IMS!$E$8:$E$2574)=TRIM(IMS!$E1733))*(IMS!$C$8:$C$2574&lt;IMS!$C1733)),
         IMS!$C$8:$C$2574),
"")</f>
        <v/>
      </c>
      <c r="E1733" s="57"/>
      <c r="F1733" s="57"/>
      <c r="G1733" s="77" t="str">
        <f t="shared" si="901"/>
        <v/>
      </c>
      <c r="H1733" s="78" t="str">
        <f t="shared" si="902"/>
        <v/>
      </c>
      <c r="I1733" s="79"/>
      <c r="J1733" s="80" t="str">
        <f t="shared" si="903"/>
        <v>#NAME?</v>
      </c>
      <c r="K1733" s="58"/>
      <c r="L1733" s="58"/>
      <c r="M1733" s="57"/>
      <c r="N1733" s="57"/>
      <c r="O1733" s="58"/>
      <c r="P1733" s="82"/>
      <c r="Q1733" s="81"/>
      <c r="R1733" s="81"/>
      <c r="S1733" s="57"/>
      <c r="T1733" s="82"/>
      <c r="U1733" s="82"/>
      <c r="V1733" s="57"/>
      <c r="W1733" s="57"/>
      <c r="X1733" s="57" t="str">
        <f t="shared" si="917"/>
        <v/>
      </c>
      <c r="Y1733" s="58" t="str">
        <f t="shared" ref="Y1733:AC1733" si="1573">TRIM(SUBSTITUTE(SUBSTITUTE(OFFSET($Q1733,0,COLUMN()-COLUMN($AL$1)),CHAR(160)," "),_xludf.UNICHAR(8239)," "))</f>
        <v>#NAME?</v>
      </c>
      <c r="Z1733" s="58" t="str">
        <f t="shared" si="1573"/>
        <v>#NAME?</v>
      </c>
      <c r="AA1733" s="58" t="str">
        <f t="shared" si="1573"/>
        <v>#NAME?</v>
      </c>
      <c r="AB1733" s="58" t="str">
        <f t="shared" si="1573"/>
        <v>#NAME?</v>
      </c>
      <c r="AC1733" s="58" t="str">
        <f t="shared" si="1573"/>
        <v>#NAME?</v>
      </c>
      <c r="AD1733" s="57">
        <f t="shared" si="906"/>
        <v>0</v>
      </c>
      <c r="AE1733" s="57" t="str">
        <f t="shared" si="907"/>
        <v/>
      </c>
      <c r="AF1733" s="57">
        <f t="shared" si="908"/>
        <v>0</v>
      </c>
      <c r="AG1733" s="59">
        <f t="shared" si="909"/>
        <v>0</v>
      </c>
      <c r="AH1733" s="15"/>
      <c r="AI1733" s="15"/>
      <c r="AJ1733" s="15"/>
      <c r="AK1733" s="15"/>
      <c r="AL1733" s="15"/>
      <c r="AM1733" s="15"/>
      <c r="AN1733" s="15"/>
      <c r="AO1733" s="15"/>
      <c r="AP1733" s="15"/>
      <c r="AQ1733" s="15"/>
      <c r="AR1733" s="15"/>
      <c r="AS1733" s="15"/>
      <c r="AT1733" s="15"/>
      <c r="AU1733" s="15"/>
    </row>
    <row r="1734" ht="24.0" customHeight="1">
      <c r="A1734" s="45">
        <v>3158.0</v>
      </c>
      <c r="B1734" s="57"/>
      <c r="C1734" s="57"/>
      <c r="D1734" s="88" t="str">
        <f t="array" ref="D1734">IFERROR(
  LOOKUP(2, 1/((TRIM(IMS!$E$8:$E$2574)=TRIM(IMS!$E1734))*(IMS!$C$8:$C$2574&lt;IMS!$C1734)),
         IMS!$C$8:$C$2574),
"")</f>
        <v/>
      </c>
      <c r="E1734" s="57"/>
      <c r="F1734" s="57"/>
      <c r="G1734" s="77" t="str">
        <f t="shared" si="901"/>
        <v/>
      </c>
      <c r="H1734" s="78" t="str">
        <f t="shared" si="902"/>
        <v/>
      </c>
      <c r="I1734" s="79"/>
      <c r="J1734" s="80" t="str">
        <f t="shared" si="903"/>
        <v>#NAME?</v>
      </c>
      <c r="K1734" s="58"/>
      <c r="L1734" s="58"/>
      <c r="M1734" s="57"/>
      <c r="N1734" s="57"/>
      <c r="O1734" s="58"/>
      <c r="P1734" s="82"/>
      <c r="Q1734" s="81"/>
      <c r="R1734" s="81"/>
      <c r="S1734" s="57"/>
      <c r="T1734" s="82"/>
      <c r="U1734" s="82"/>
      <c r="V1734" s="57"/>
      <c r="W1734" s="57"/>
      <c r="X1734" s="57" t="str">
        <f t="shared" si="917"/>
        <v/>
      </c>
      <c r="Y1734" s="58" t="str">
        <f t="shared" ref="Y1734:AC1734" si="1574">TRIM(SUBSTITUTE(SUBSTITUTE(OFFSET($Q1734,0,COLUMN()-COLUMN($AL$1)),CHAR(160)," "),_xludf.UNICHAR(8239)," "))</f>
        <v>#NAME?</v>
      </c>
      <c r="Z1734" s="58" t="str">
        <f t="shared" si="1574"/>
        <v>#NAME?</v>
      </c>
      <c r="AA1734" s="58" t="str">
        <f t="shared" si="1574"/>
        <v>#NAME?</v>
      </c>
      <c r="AB1734" s="58" t="str">
        <f t="shared" si="1574"/>
        <v>#NAME?</v>
      </c>
      <c r="AC1734" s="58" t="str">
        <f t="shared" si="1574"/>
        <v>#NAME?</v>
      </c>
      <c r="AD1734" s="57">
        <f t="shared" si="906"/>
        <v>0</v>
      </c>
      <c r="AE1734" s="57" t="str">
        <f t="shared" si="907"/>
        <v/>
      </c>
      <c r="AF1734" s="57">
        <f t="shared" si="908"/>
        <v>0</v>
      </c>
      <c r="AG1734" s="59">
        <f t="shared" si="909"/>
        <v>0</v>
      </c>
      <c r="AH1734" s="15"/>
      <c r="AI1734" s="15"/>
      <c r="AJ1734" s="15"/>
      <c r="AK1734" s="15"/>
      <c r="AL1734" s="15"/>
      <c r="AM1734" s="15"/>
      <c r="AN1734" s="15"/>
      <c r="AO1734" s="15"/>
      <c r="AP1734" s="15"/>
      <c r="AQ1734" s="15"/>
      <c r="AR1734" s="15"/>
      <c r="AS1734" s="15"/>
      <c r="AT1734" s="15"/>
      <c r="AU1734" s="15"/>
    </row>
    <row r="1735" ht="24.0" customHeight="1">
      <c r="A1735" s="45">
        <v>3159.0</v>
      </c>
      <c r="B1735" s="57"/>
      <c r="C1735" s="57"/>
      <c r="D1735" s="88" t="str">
        <f t="array" ref="D1735">IFERROR(
  LOOKUP(2, 1/((TRIM(IMS!$E$8:$E$2574)=TRIM(IMS!$E1735))*(IMS!$C$8:$C$2574&lt;IMS!$C1735)),
         IMS!$C$8:$C$2574),
"")</f>
        <v/>
      </c>
      <c r="E1735" s="57"/>
      <c r="F1735" s="57"/>
      <c r="G1735" s="77" t="str">
        <f t="shared" si="901"/>
        <v/>
      </c>
      <c r="H1735" s="78" t="str">
        <f t="shared" si="902"/>
        <v/>
      </c>
      <c r="I1735" s="79"/>
      <c r="J1735" s="80" t="str">
        <f t="shared" si="903"/>
        <v>#NAME?</v>
      </c>
      <c r="K1735" s="58"/>
      <c r="L1735" s="58"/>
      <c r="M1735" s="57"/>
      <c r="N1735" s="57"/>
      <c r="O1735" s="58"/>
      <c r="P1735" s="82"/>
      <c r="Q1735" s="81"/>
      <c r="R1735" s="81"/>
      <c r="S1735" s="57"/>
      <c r="T1735" s="82"/>
      <c r="U1735" s="82"/>
      <c r="V1735" s="57"/>
      <c r="W1735" s="57"/>
      <c r="X1735" s="57" t="str">
        <f t="shared" si="917"/>
        <v/>
      </c>
      <c r="Y1735" s="58" t="str">
        <f t="shared" ref="Y1735:AC1735" si="1575">TRIM(SUBSTITUTE(SUBSTITUTE(OFFSET($Q1735,0,COLUMN()-COLUMN($AL$1)),CHAR(160)," "),_xludf.UNICHAR(8239)," "))</f>
        <v>#NAME?</v>
      </c>
      <c r="Z1735" s="58" t="str">
        <f t="shared" si="1575"/>
        <v>#NAME?</v>
      </c>
      <c r="AA1735" s="58" t="str">
        <f t="shared" si="1575"/>
        <v>#NAME?</v>
      </c>
      <c r="AB1735" s="58" t="str">
        <f t="shared" si="1575"/>
        <v>#NAME?</v>
      </c>
      <c r="AC1735" s="58" t="str">
        <f t="shared" si="1575"/>
        <v>#NAME?</v>
      </c>
      <c r="AD1735" s="57">
        <f t="shared" si="906"/>
        <v>0</v>
      </c>
      <c r="AE1735" s="57" t="str">
        <f t="shared" si="907"/>
        <v/>
      </c>
      <c r="AF1735" s="57">
        <f t="shared" si="908"/>
        <v>0</v>
      </c>
      <c r="AG1735" s="59">
        <f t="shared" si="909"/>
        <v>0</v>
      </c>
      <c r="AH1735" s="15"/>
      <c r="AI1735" s="15"/>
      <c r="AJ1735" s="15"/>
      <c r="AK1735" s="15"/>
      <c r="AL1735" s="15"/>
      <c r="AM1735" s="15"/>
      <c r="AN1735" s="15"/>
      <c r="AO1735" s="15"/>
      <c r="AP1735" s="15"/>
      <c r="AQ1735" s="15"/>
      <c r="AR1735" s="15"/>
      <c r="AS1735" s="15"/>
      <c r="AT1735" s="15"/>
      <c r="AU1735" s="15"/>
    </row>
    <row r="1736" ht="24.0" customHeight="1">
      <c r="A1736" s="45">
        <v>3160.0</v>
      </c>
      <c r="B1736" s="57"/>
      <c r="C1736" s="57"/>
      <c r="D1736" s="88" t="str">
        <f t="array" ref="D1736">IFERROR(
  LOOKUP(2, 1/((TRIM(IMS!$E$8:$E$2574)=TRIM(IMS!$E1736))*(IMS!$C$8:$C$2574&lt;IMS!$C1736)),
         IMS!$C$8:$C$2574),
"")</f>
        <v/>
      </c>
      <c r="E1736" s="57"/>
      <c r="F1736" s="57"/>
      <c r="G1736" s="77" t="str">
        <f t="shared" si="901"/>
        <v/>
      </c>
      <c r="H1736" s="78" t="str">
        <f t="shared" si="902"/>
        <v/>
      </c>
      <c r="I1736" s="79"/>
      <c r="J1736" s="80" t="str">
        <f t="shared" si="903"/>
        <v>#NAME?</v>
      </c>
      <c r="K1736" s="58"/>
      <c r="L1736" s="58"/>
      <c r="M1736" s="57"/>
      <c r="N1736" s="57"/>
      <c r="O1736" s="58"/>
      <c r="P1736" s="82"/>
      <c r="Q1736" s="81"/>
      <c r="R1736" s="81"/>
      <c r="S1736" s="57"/>
      <c r="T1736" s="82"/>
      <c r="U1736" s="82"/>
      <c r="V1736" s="57"/>
      <c r="W1736" s="57"/>
      <c r="X1736" s="57" t="str">
        <f t="shared" si="917"/>
        <v/>
      </c>
      <c r="Y1736" s="58" t="str">
        <f t="shared" ref="Y1736:AC1736" si="1576">TRIM(SUBSTITUTE(SUBSTITUTE(OFFSET($Q1736,0,COLUMN()-COLUMN($AL$1)),CHAR(160)," "),_xludf.UNICHAR(8239)," "))</f>
        <v>#NAME?</v>
      </c>
      <c r="Z1736" s="58" t="str">
        <f t="shared" si="1576"/>
        <v>#NAME?</v>
      </c>
      <c r="AA1736" s="58" t="str">
        <f t="shared" si="1576"/>
        <v>#NAME?</v>
      </c>
      <c r="AB1736" s="58" t="str">
        <f t="shared" si="1576"/>
        <v>#NAME?</v>
      </c>
      <c r="AC1736" s="58" t="str">
        <f t="shared" si="1576"/>
        <v>#NAME?</v>
      </c>
      <c r="AD1736" s="57">
        <f t="shared" si="906"/>
        <v>0</v>
      </c>
      <c r="AE1736" s="57" t="str">
        <f t="shared" si="907"/>
        <v/>
      </c>
      <c r="AF1736" s="57">
        <f t="shared" si="908"/>
        <v>0</v>
      </c>
      <c r="AG1736" s="59">
        <f t="shared" si="909"/>
        <v>0</v>
      </c>
      <c r="AH1736" s="15"/>
      <c r="AI1736" s="15"/>
      <c r="AJ1736" s="15"/>
      <c r="AK1736" s="15"/>
      <c r="AL1736" s="15"/>
      <c r="AM1736" s="15"/>
      <c r="AN1736" s="15"/>
      <c r="AO1736" s="15"/>
      <c r="AP1736" s="15"/>
      <c r="AQ1736" s="15"/>
      <c r="AR1736" s="15"/>
      <c r="AS1736" s="15"/>
      <c r="AT1736" s="15"/>
      <c r="AU1736" s="15"/>
    </row>
    <row r="1737" ht="24.0" customHeight="1">
      <c r="A1737" s="45">
        <v>3161.0</v>
      </c>
      <c r="B1737" s="57"/>
      <c r="C1737" s="57"/>
      <c r="D1737" s="88" t="str">
        <f t="array" ref="D1737">IFERROR(
  LOOKUP(2, 1/((TRIM(IMS!$E$8:$E$2574)=TRIM(IMS!$E1737))*(IMS!$C$8:$C$2574&lt;IMS!$C1737)),
         IMS!$C$8:$C$2574),
"")</f>
        <v/>
      </c>
      <c r="E1737" s="57"/>
      <c r="F1737" s="57"/>
      <c r="G1737" s="77" t="str">
        <f t="shared" si="901"/>
        <v/>
      </c>
      <c r="H1737" s="78" t="str">
        <f t="shared" si="902"/>
        <v/>
      </c>
      <c r="I1737" s="79"/>
      <c r="J1737" s="80" t="str">
        <f t="shared" si="903"/>
        <v>#NAME?</v>
      </c>
      <c r="K1737" s="58"/>
      <c r="L1737" s="58"/>
      <c r="M1737" s="57"/>
      <c r="N1737" s="57"/>
      <c r="O1737" s="58"/>
      <c r="P1737" s="82"/>
      <c r="Q1737" s="81"/>
      <c r="R1737" s="81"/>
      <c r="S1737" s="57"/>
      <c r="T1737" s="82"/>
      <c r="U1737" s="82"/>
      <c r="V1737" s="57"/>
      <c r="W1737" s="57"/>
      <c r="X1737" s="57" t="str">
        <f t="shared" si="917"/>
        <v/>
      </c>
      <c r="Y1737" s="58" t="str">
        <f t="shared" ref="Y1737:AC1737" si="1577">TRIM(SUBSTITUTE(SUBSTITUTE(OFFSET($Q1737,0,COLUMN()-COLUMN($AL$1)),CHAR(160)," "),_xludf.UNICHAR(8239)," "))</f>
        <v>#NAME?</v>
      </c>
      <c r="Z1737" s="58" t="str">
        <f t="shared" si="1577"/>
        <v>#NAME?</v>
      </c>
      <c r="AA1737" s="58" t="str">
        <f t="shared" si="1577"/>
        <v>#NAME?</v>
      </c>
      <c r="AB1737" s="58" t="str">
        <f t="shared" si="1577"/>
        <v>#NAME?</v>
      </c>
      <c r="AC1737" s="58" t="str">
        <f t="shared" si="1577"/>
        <v>#NAME?</v>
      </c>
      <c r="AD1737" s="57">
        <f t="shared" si="906"/>
        <v>0</v>
      </c>
      <c r="AE1737" s="57" t="str">
        <f t="shared" si="907"/>
        <v/>
      </c>
      <c r="AF1737" s="57">
        <f t="shared" si="908"/>
        <v>0</v>
      </c>
      <c r="AG1737" s="59">
        <f t="shared" si="909"/>
        <v>0</v>
      </c>
      <c r="AH1737" s="15"/>
      <c r="AI1737" s="15"/>
      <c r="AJ1737" s="15"/>
      <c r="AK1737" s="15"/>
      <c r="AL1737" s="15"/>
      <c r="AM1737" s="15"/>
      <c r="AN1737" s="15"/>
      <c r="AO1737" s="15"/>
      <c r="AP1737" s="15"/>
      <c r="AQ1737" s="15"/>
      <c r="AR1737" s="15"/>
      <c r="AS1737" s="15"/>
      <c r="AT1737" s="15"/>
      <c r="AU1737" s="15"/>
    </row>
    <row r="1738" ht="24.0" customHeight="1">
      <c r="A1738" s="45">
        <v>3162.0</v>
      </c>
      <c r="B1738" s="57"/>
      <c r="C1738" s="57"/>
      <c r="D1738" s="88" t="str">
        <f t="array" ref="D1738">IFERROR(
  LOOKUP(2, 1/((TRIM(IMS!$E$8:$E$2574)=TRIM(IMS!$E1738))*(IMS!$C$8:$C$2574&lt;IMS!$C1738)),
         IMS!$C$8:$C$2574),
"")</f>
        <v/>
      </c>
      <c r="E1738" s="57"/>
      <c r="F1738" s="57"/>
      <c r="G1738" s="77" t="str">
        <f t="shared" si="901"/>
        <v/>
      </c>
      <c r="H1738" s="78" t="str">
        <f t="shared" si="902"/>
        <v/>
      </c>
      <c r="I1738" s="79"/>
      <c r="J1738" s="80" t="str">
        <f t="shared" si="903"/>
        <v>#NAME?</v>
      </c>
      <c r="K1738" s="58"/>
      <c r="L1738" s="58"/>
      <c r="M1738" s="57"/>
      <c r="N1738" s="57"/>
      <c r="O1738" s="58"/>
      <c r="P1738" s="82"/>
      <c r="Q1738" s="81"/>
      <c r="R1738" s="81"/>
      <c r="S1738" s="57"/>
      <c r="T1738" s="82"/>
      <c r="U1738" s="82"/>
      <c r="V1738" s="57"/>
      <c r="W1738" s="57"/>
      <c r="X1738" s="57" t="str">
        <f t="shared" si="917"/>
        <v/>
      </c>
      <c r="Y1738" s="58" t="str">
        <f t="shared" ref="Y1738:AC1738" si="1578">TRIM(SUBSTITUTE(SUBSTITUTE(OFFSET($Q1738,0,COLUMN()-COLUMN($AL$1)),CHAR(160)," "),_xludf.UNICHAR(8239)," "))</f>
        <v>#NAME?</v>
      </c>
      <c r="Z1738" s="58" t="str">
        <f t="shared" si="1578"/>
        <v>#NAME?</v>
      </c>
      <c r="AA1738" s="58" t="str">
        <f t="shared" si="1578"/>
        <v>#NAME?</v>
      </c>
      <c r="AB1738" s="58" t="str">
        <f t="shared" si="1578"/>
        <v>#NAME?</v>
      </c>
      <c r="AC1738" s="58" t="str">
        <f t="shared" si="1578"/>
        <v>#NAME?</v>
      </c>
      <c r="AD1738" s="57">
        <f t="shared" si="906"/>
        <v>0</v>
      </c>
      <c r="AE1738" s="57" t="str">
        <f t="shared" si="907"/>
        <v/>
      </c>
      <c r="AF1738" s="57">
        <f t="shared" si="908"/>
        <v>0</v>
      </c>
      <c r="AG1738" s="59">
        <f t="shared" si="909"/>
        <v>0</v>
      </c>
      <c r="AH1738" s="15"/>
      <c r="AI1738" s="15"/>
      <c r="AJ1738" s="15"/>
      <c r="AK1738" s="15"/>
      <c r="AL1738" s="15"/>
      <c r="AM1738" s="15"/>
      <c r="AN1738" s="15"/>
      <c r="AO1738" s="15"/>
      <c r="AP1738" s="15"/>
      <c r="AQ1738" s="15"/>
      <c r="AR1738" s="15"/>
      <c r="AS1738" s="15"/>
      <c r="AT1738" s="15"/>
      <c r="AU1738" s="15"/>
    </row>
    <row r="1739" ht="24.0" customHeight="1">
      <c r="A1739" s="45">
        <v>3163.0</v>
      </c>
      <c r="B1739" s="57"/>
      <c r="C1739" s="57"/>
      <c r="D1739" s="88" t="str">
        <f t="array" ref="D1739">IFERROR(
  LOOKUP(2, 1/((TRIM(IMS!$E$8:$E$2574)=TRIM(IMS!$E1739))*(IMS!$C$8:$C$2574&lt;IMS!$C1739)),
         IMS!$C$8:$C$2574),
"")</f>
        <v/>
      </c>
      <c r="E1739" s="57"/>
      <c r="F1739" s="57"/>
      <c r="G1739" s="77" t="str">
        <f t="shared" si="901"/>
        <v/>
      </c>
      <c r="H1739" s="78" t="str">
        <f t="shared" si="902"/>
        <v/>
      </c>
      <c r="I1739" s="79"/>
      <c r="J1739" s="80" t="str">
        <f t="shared" si="903"/>
        <v>#NAME?</v>
      </c>
      <c r="K1739" s="58"/>
      <c r="L1739" s="58"/>
      <c r="M1739" s="57"/>
      <c r="N1739" s="57"/>
      <c r="O1739" s="58"/>
      <c r="P1739" s="82"/>
      <c r="Q1739" s="81"/>
      <c r="R1739" s="81"/>
      <c r="S1739" s="57"/>
      <c r="T1739" s="82"/>
      <c r="U1739" s="82"/>
      <c r="V1739" s="57"/>
      <c r="W1739" s="57"/>
      <c r="X1739" s="57" t="str">
        <f t="shared" si="917"/>
        <v/>
      </c>
      <c r="Y1739" s="58" t="str">
        <f t="shared" ref="Y1739:AC1739" si="1579">TRIM(SUBSTITUTE(SUBSTITUTE(OFFSET($Q1739,0,COLUMN()-COLUMN($AL$1)),CHAR(160)," "),_xludf.UNICHAR(8239)," "))</f>
        <v>#NAME?</v>
      </c>
      <c r="Z1739" s="58" t="str">
        <f t="shared" si="1579"/>
        <v>#NAME?</v>
      </c>
      <c r="AA1739" s="58" t="str">
        <f t="shared" si="1579"/>
        <v>#NAME?</v>
      </c>
      <c r="AB1739" s="58" t="str">
        <f t="shared" si="1579"/>
        <v>#NAME?</v>
      </c>
      <c r="AC1739" s="58" t="str">
        <f t="shared" si="1579"/>
        <v>#NAME?</v>
      </c>
      <c r="AD1739" s="57">
        <f t="shared" si="906"/>
        <v>0</v>
      </c>
      <c r="AE1739" s="57" t="str">
        <f t="shared" si="907"/>
        <v/>
      </c>
      <c r="AF1739" s="57">
        <f t="shared" si="908"/>
        <v>0</v>
      </c>
      <c r="AG1739" s="59">
        <f t="shared" si="909"/>
        <v>0</v>
      </c>
      <c r="AH1739" s="15"/>
      <c r="AI1739" s="15"/>
      <c r="AJ1739" s="15"/>
      <c r="AK1739" s="15"/>
      <c r="AL1739" s="15"/>
      <c r="AM1739" s="15"/>
      <c r="AN1739" s="15"/>
      <c r="AO1739" s="15"/>
      <c r="AP1739" s="15"/>
      <c r="AQ1739" s="15"/>
      <c r="AR1739" s="15"/>
      <c r="AS1739" s="15"/>
      <c r="AT1739" s="15"/>
      <c r="AU1739" s="15"/>
    </row>
    <row r="1740" ht="24.0" customHeight="1">
      <c r="A1740" s="45">
        <v>3164.0</v>
      </c>
      <c r="B1740" s="57"/>
      <c r="C1740" s="57"/>
      <c r="D1740" s="88" t="str">
        <f t="array" ref="D1740">IFERROR(
  LOOKUP(2, 1/((TRIM(IMS!$E$8:$E$2574)=TRIM(IMS!$E1740))*(IMS!$C$8:$C$2574&lt;IMS!$C1740)),
         IMS!$C$8:$C$2574),
"")</f>
        <v/>
      </c>
      <c r="E1740" s="57"/>
      <c r="F1740" s="57"/>
      <c r="G1740" s="77" t="str">
        <f t="shared" si="901"/>
        <v/>
      </c>
      <c r="H1740" s="78" t="str">
        <f t="shared" si="902"/>
        <v/>
      </c>
      <c r="I1740" s="79"/>
      <c r="J1740" s="80" t="str">
        <f t="shared" si="903"/>
        <v>#NAME?</v>
      </c>
      <c r="K1740" s="58"/>
      <c r="L1740" s="58"/>
      <c r="M1740" s="57"/>
      <c r="N1740" s="57"/>
      <c r="O1740" s="58"/>
      <c r="P1740" s="82"/>
      <c r="Q1740" s="81"/>
      <c r="R1740" s="81"/>
      <c r="S1740" s="57"/>
      <c r="T1740" s="82"/>
      <c r="U1740" s="82"/>
      <c r="V1740" s="57"/>
      <c r="W1740" s="57"/>
      <c r="X1740" s="57" t="str">
        <f t="shared" si="917"/>
        <v/>
      </c>
      <c r="Y1740" s="58" t="str">
        <f t="shared" ref="Y1740:AC1740" si="1580">TRIM(SUBSTITUTE(SUBSTITUTE(OFFSET($Q1740,0,COLUMN()-COLUMN($AL$1)),CHAR(160)," "),_xludf.UNICHAR(8239)," "))</f>
        <v>#NAME?</v>
      </c>
      <c r="Z1740" s="58" t="str">
        <f t="shared" si="1580"/>
        <v>#NAME?</v>
      </c>
      <c r="AA1740" s="58" t="str">
        <f t="shared" si="1580"/>
        <v>#NAME?</v>
      </c>
      <c r="AB1740" s="58" t="str">
        <f t="shared" si="1580"/>
        <v>#NAME?</v>
      </c>
      <c r="AC1740" s="58" t="str">
        <f t="shared" si="1580"/>
        <v>#NAME?</v>
      </c>
      <c r="AD1740" s="57">
        <f t="shared" si="906"/>
        <v>0</v>
      </c>
      <c r="AE1740" s="57" t="str">
        <f t="shared" si="907"/>
        <v/>
      </c>
      <c r="AF1740" s="57">
        <f t="shared" si="908"/>
        <v>0</v>
      </c>
      <c r="AG1740" s="59">
        <f t="shared" si="909"/>
        <v>0</v>
      </c>
      <c r="AH1740" s="15"/>
      <c r="AI1740" s="15"/>
      <c r="AJ1740" s="15"/>
      <c r="AK1740" s="15"/>
      <c r="AL1740" s="15"/>
      <c r="AM1740" s="15"/>
      <c r="AN1740" s="15"/>
      <c r="AO1740" s="15"/>
      <c r="AP1740" s="15"/>
      <c r="AQ1740" s="15"/>
      <c r="AR1740" s="15"/>
      <c r="AS1740" s="15"/>
      <c r="AT1740" s="15"/>
      <c r="AU1740" s="15"/>
    </row>
    <row r="1741" ht="24.0" customHeight="1">
      <c r="A1741" s="45">
        <v>3165.0</v>
      </c>
      <c r="B1741" s="57"/>
      <c r="C1741" s="57"/>
      <c r="D1741" s="88" t="str">
        <f t="array" ref="D1741">IFERROR(
  LOOKUP(2, 1/((TRIM(IMS!$E$8:$E$2574)=TRIM(IMS!$E1741))*(IMS!$C$8:$C$2574&lt;IMS!$C1741)),
         IMS!$C$8:$C$2574),
"")</f>
        <v/>
      </c>
      <c r="E1741" s="57"/>
      <c r="F1741" s="57"/>
      <c r="G1741" s="77" t="str">
        <f t="shared" si="901"/>
        <v/>
      </c>
      <c r="H1741" s="78" t="str">
        <f t="shared" si="902"/>
        <v/>
      </c>
      <c r="I1741" s="79"/>
      <c r="J1741" s="80" t="str">
        <f t="shared" si="903"/>
        <v>#NAME?</v>
      </c>
      <c r="K1741" s="58"/>
      <c r="L1741" s="58"/>
      <c r="M1741" s="57"/>
      <c r="N1741" s="57"/>
      <c r="O1741" s="58"/>
      <c r="P1741" s="82"/>
      <c r="Q1741" s="81"/>
      <c r="R1741" s="81"/>
      <c r="S1741" s="57"/>
      <c r="T1741" s="82"/>
      <c r="U1741" s="82"/>
      <c r="V1741" s="57"/>
      <c r="W1741" s="57"/>
      <c r="X1741" s="57" t="str">
        <f t="shared" si="917"/>
        <v/>
      </c>
      <c r="Y1741" s="58" t="str">
        <f t="shared" ref="Y1741:AC1741" si="1581">TRIM(SUBSTITUTE(SUBSTITUTE(OFFSET($Q1741,0,COLUMN()-COLUMN($AL$1)),CHAR(160)," "),_xludf.UNICHAR(8239)," "))</f>
        <v>#NAME?</v>
      </c>
      <c r="Z1741" s="58" t="str">
        <f t="shared" si="1581"/>
        <v>#NAME?</v>
      </c>
      <c r="AA1741" s="58" t="str">
        <f t="shared" si="1581"/>
        <v>#NAME?</v>
      </c>
      <c r="AB1741" s="58" t="str">
        <f t="shared" si="1581"/>
        <v>#NAME?</v>
      </c>
      <c r="AC1741" s="58" t="str">
        <f t="shared" si="1581"/>
        <v>#NAME?</v>
      </c>
      <c r="AD1741" s="57">
        <f t="shared" si="906"/>
        <v>0</v>
      </c>
      <c r="AE1741" s="57" t="str">
        <f t="shared" si="907"/>
        <v/>
      </c>
      <c r="AF1741" s="57">
        <f t="shared" si="908"/>
        <v>0</v>
      </c>
      <c r="AG1741" s="59">
        <f t="shared" si="909"/>
        <v>0</v>
      </c>
      <c r="AH1741" s="15"/>
      <c r="AI1741" s="15"/>
      <c r="AJ1741" s="15"/>
      <c r="AK1741" s="15"/>
      <c r="AL1741" s="15"/>
      <c r="AM1741" s="15"/>
      <c r="AN1741" s="15"/>
      <c r="AO1741" s="15"/>
      <c r="AP1741" s="15"/>
      <c r="AQ1741" s="15"/>
      <c r="AR1741" s="15"/>
      <c r="AS1741" s="15"/>
      <c r="AT1741" s="15"/>
      <c r="AU1741" s="15"/>
    </row>
    <row r="1742" ht="24.0" customHeight="1">
      <c r="A1742" s="45">
        <v>3166.0</v>
      </c>
      <c r="B1742" s="57"/>
      <c r="C1742" s="57"/>
      <c r="D1742" s="88" t="str">
        <f t="array" ref="D1742">IFERROR(
  LOOKUP(2, 1/((TRIM(IMS!$E$8:$E$2574)=TRIM(IMS!$E1742))*(IMS!$C$8:$C$2574&lt;IMS!$C1742)),
         IMS!$C$8:$C$2574),
"")</f>
        <v/>
      </c>
      <c r="E1742" s="57"/>
      <c r="F1742" s="57"/>
      <c r="G1742" s="77" t="str">
        <f t="shared" si="901"/>
        <v/>
      </c>
      <c r="H1742" s="78" t="str">
        <f t="shared" si="902"/>
        <v/>
      </c>
      <c r="I1742" s="79"/>
      <c r="J1742" s="80" t="str">
        <f t="shared" si="903"/>
        <v>#NAME?</v>
      </c>
      <c r="K1742" s="58"/>
      <c r="L1742" s="58"/>
      <c r="M1742" s="57"/>
      <c r="N1742" s="57"/>
      <c r="O1742" s="58"/>
      <c r="P1742" s="82"/>
      <c r="Q1742" s="81"/>
      <c r="R1742" s="81"/>
      <c r="S1742" s="57"/>
      <c r="T1742" s="82"/>
      <c r="U1742" s="82"/>
      <c r="V1742" s="57"/>
      <c r="W1742" s="57"/>
      <c r="X1742" s="57" t="str">
        <f t="shared" si="917"/>
        <v/>
      </c>
      <c r="Y1742" s="58" t="str">
        <f t="shared" ref="Y1742:AC1742" si="1582">TRIM(SUBSTITUTE(SUBSTITUTE(OFFSET($Q1742,0,COLUMN()-COLUMN($AL$1)),CHAR(160)," "),_xludf.UNICHAR(8239)," "))</f>
        <v>#NAME?</v>
      </c>
      <c r="Z1742" s="58" t="str">
        <f t="shared" si="1582"/>
        <v>#NAME?</v>
      </c>
      <c r="AA1742" s="58" t="str">
        <f t="shared" si="1582"/>
        <v>#NAME?</v>
      </c>
      <c r="AB1742" s="58" t="str">
        <f t="shared" si="1582"/>
        <v>#NAME?</v>
      </c>
      <c r="AC1742" s="58" t="str">
        <f t="shared" si="1582"/>
        <v>#NAME?</v>
      </c>
      <c r="AD1742" s="57">
        <f t="shared" si="906"/>
        <v>0</v>
      </c>
      <c r="AE1742" s="57" t="str">
        <f t="shared" si="907"/>
        <v/>
      </c>
      <c r="AF1742" s="57">
        <f t="shared" si="908"/>
        <v>0</v>
      </c>
      <c r="AG1742" s="59">
        <f t="shared" si="909"/>
        <v>0</v>
      </c>
      <c r="AH1742" s="15"/>
      <c r="AI1742" s="15"/>
      <c r="AJ1742" s="15"/>
      <c r="AK1742" s="15"/>
      <c r="AL1742" s="15"/>
      <c r="AM1742" s="15"/>
      <c r="AN1742" s="15"/>
      <c r="AO1742" s="15"/>
      <c r="AP1742" s="15"/>
      <c r="AQ1742" s="15"/>
      <c r="AR1742" s="15"/>
      <c r="AS1742" s="15"/>
      <c r="AT1742" s="15"/>
      <c r="AU1742" s="15"/>
    </row>
    <row r="1743" ht="24.0" customHeight="1">
      <c r="A1743" s="45">
        <v>3167.0</v>
      </c>
      <c r="B1743" s="57"/>
      <c r="C1743" s="57"/>
      <c r="D1743" s="88" t="str">
        <f t="array" ref="D1743">IFERROR(
  LOOKUP(2, 1/((TRIM(IMS!$E$8:$E$2574)=TRIM(IMS!$E1743))*(IMS!$C$8:$C$2574&lt;IMS!$C1743)),
         IMS!$C$8:$C$2574),
"")</f>
        <v/>
      </c>
      <c r="E1743" s="57"/>
      <c r="F1743" s="57"/>
      <c r="G1743" s="77" t="str">
        <f t="shared" si="901"/>
        <v/>
      </c>
      <c r="H1743" s="78" t="str">
        <f t="shared" si="902"/>
        <v/>
      </c>
      <c r="I1743" s="79"/>
      <c r="J1743" s="80" t="str">
        <f t="shared" si="903"/>
        <v>#NAME?</v>
      </c>
      <c r="K1743" s="58"/>
      <c r="L1743" s="58"/>
      <c r="M1743" s="57"/>
      <c r="N1743" s="57"/>
      <c r="O1743" s="58"/>
      <c r="P1743" s="82"/>
      <c r="Q1743" s="81"/>
      <c r="R1743" s="81"/>
      <c r="S1743" s="57"/>
      <c r="T1743" s="82"/>
      <c r="U1743" s="82"/>
      <c r="V1743" s="57"/>
      <c r="W1743" s="57"/>
      <c r="X1743" s="57" t="str">
        <f t="shared" si="917"/>
        <v/>
      </c>
      <c r="Y1743" s="58" t="str">
        <f t="shared" ref="Y1743:AC1743" si="1583">TRIM(SUBSTITUTE(SUBSTITUTE(OFFSET($Q1743,0,COLUMN()-COLUMN($AL$1)),CHAR(160)," "),_xludf.UNICHAR(8239)," "))</f>
        <v>#NAME?</v>
      </c>
      <c r="Z1743" s="58" t="str">
        <f t="shared" si="1583"/>
        <v>#NAME?</v>
      </c>
      <c r="AA1743" s="58" t="str">
        <f t="shared" si="1583"/>
        <v>#NAME?</v>
      </c>
      <c r="AB1743" s="58" t="str">
        <f t="shared" si="1583"/>
        <v>#NAME?</v>
      </c>
      <c r="AC1743" s="58" t="str">
        <f t="shared" si="1583"/>
        <v>#NAME?</v>
      </c>
      <c r="AD1743" s="57">
        <f t="shared" si="906"/>
        <v>0</v>
      </c>
      <c r="AE1743" s="57" t="str">
        <f t="shared" si="907"/>
        <v/>
      </c>
      <c r="AF1743" s="57">
        <f t="shared" si="908"/>
        <v>0</v>
      </c>
      <c r="AG1743" s="59">
        <f t="shared" si="909"/>
        <v>0</v>
      </c>
      <c r="AH1743" s="15"/>
      <c r="AI1743" s="15"/>
      <c r="AJ1743" s="15"/>
      <c r="AK1743" s="15"/>
      <c r="AL1743" s="15"/>
      <c r="AM1743" s="15"/>
      <c r="AN1743" s="15"/>
      <c r="AO1743" s="15"/>
      <c r="AP1743" s="15"/>
      <c r="AQ1743" s="15"/>
      <c r="AR1743" s="15"/>
      <c r="AS1743" s="15"/>
      <c r="AT1743" s="15"/>
      <c r="AU1743" s="15"/>
    </row>
    <row r="1744" ht="24.0" customHeight="1">
      <c r="A1744" s="45">
        <v>3168.0</v>
      </c>
      <c r="B1744" s="57"/>
      <c r="C1744" s="57"/>
      <c r="D1744" s="88" t="str">
        <f t="array" ref="D1744">IFERROR(
  LOOKUP(2, 1/((TRIM(IMS!$E$8:$E$2574)=TRIM(IMS!$E1744))*(IMS!$C$8:$C$2574&lt;IMS!$C1744)),
         IMS!$C$8:$C$2574),
"")</f>
        <v/>
      </c>
      <c r="E1744" s="57"/>
      <c r="F1744" s="57"/>
      <c r="G1744" s="77" t="str">
        <f t="shared" si="901"/>
        <v/>
      </c>
      <c r="H1744" s="78" t="str">
        <f t="shared" si="902"/>
        <v/>
      </c>
      <c r="I1744" s="79"/>
      <c r="J1744" s="80" t="str">
        <f t="shared" si="903"/>
        <v>#NAME?</v>
      </c>
      <c r="K1744" s="58"/>
      <c r="L1744" s="58"/>
      <c r="M1744" s="57"/>
      <c r="N1744" s="57"/>
      <c r="O1744" s="58"/>
      <c r="P1744" s="82"/>
      <c r="Q1744" s="81"/>
      <c r="R1744" s="81"/>
      <c r="S1744" s="57"/>
      <c r="T1744" s="82"/>
      <c r="U1744" s="82"/>
      <c r="V1744" s="57"/>
      <c r="W1744" s="57"/>
      <c r="X1744" s="57" t="str">
        <f t="shared" si="917"/>
        <v/>
      </c>
      <c r="Y1744" s="58" t="str">
        <f t="shared" ref="Y1744:AC1744" si="1584">TRIM(SUBSTITUTE(SUBSTITUTE(OFFSET($Q1744,0,COLUMN()-COLUMN($AL$1)),CHAR(160)," "),_xludf.UNICHAR(8239)," "))</f>
        <v>#NAME?</v>
      </c>
      <c r="Z1744" s="58" t="str">
        <f t="shared" si="1584"/>
        <v>#NAME?</v>
      </c>
      <c r="AA1744" s="58" t="str">
        <f t="shared" si="1584"/>
        <v>#NAME?</v>
      </c>
      <c r="AB1744" s="58" t="str">
        <f t="shared" si="1584"/>
        <v>#NAME?</v>
      </c>
      <c r="AC1744" s="58" t="str">
        <f t="shared" si="1584"/>
        <v>#NAME?</v>
      </c>
      <c r="AD1744" s="57">
        <f t="shared" si="906"/>
        <v>0</v>
      </c>
      <c r="AE1744" s="57" t="str">
        <f t="shared" si="907"/>
        <v/>
      </c>
      <c r="AF1744" s="57">
        <f t="shared" si="908"/>
        <v>0</v>
      </c>
      <c r="AG1744" s="59">
        <f t="shared" si="909"/>
        <v>0</v>
      </c>
      <c r="AH1744" s="15"/>
      <c r="AI1744" s="15"/>
      <c r="AJ1744" s="15"/>
      <c r="AK1744" s="15"/>
      <c r="AL1744" s="15"/>
      <c r="AM1744" s="15"/>
      <c r="AN1744" s="15"/>
      <c r="AO1744" s="15"/>
      <c r="AP1744" s="15"/>
      <c r="AQ1744" s="15"/>
      <c r="AR1744" s="15"/>
      <c r="AS1744" s="15"/>
      <c r="AT1744" s="15"/>
      <c r="AU1744" s="15"/>
    </row>
    <row r="1745" ht="24.0" customHeight="1">
      <c r="A1745" s="45">
        <v>3169.0</v>
      </c>
      <c r="B1745" s="57"/>
      <c r="C1745" s="57"/>
      <c r="D1745" s="88" t="str">
        <f t="array" ref="D1745">IFERROR(
  LOOKUP(2, 1/((TRIM(IMS!$E$8:$E$2574)=TRIM(IMS!$E1745))*(IMS!$C$8:$C$2574&lt;IMS!$C1745)),
         IMS!$C$8:$C$2574),
"")</f>
        <v/>
      </c>
      <c r="E1745" s="57"/>
      <c r="F1745" s="57"/>
      <c r="G1745" s="77" t="str">
        <f t="shared" si="901"/>
        <v/>
      </c>
      <c r="H1745" s="78" t="str">
        <f t="shared" si="902"/>
        <v/>
      </c>
      <c r="I1745" s="79"/>
      <c r="J1745" s="80" t="str">
        <f t="shared" si="903"/>
        <v>#NAME?</v>
      </c>
      <c r="K1745" s="58"/>
      <c r="L1745" s="58"/>
      <c r="M1745" s="57"/>
      <c r="N1745" s="57"/>
      <c r="O1745" s="58"/>
      <c r="P1745" s="82"/>
      <c r="Q1745" s="81"/>
      <c r="R1745" s="81"/>
      <c r="S1745" s="57"/>
      <c r="T1745" s="82"/>
      <c r="U1745" s="82"/>
      <c r="V1745" s="57"/>
      <c r="W1745" s="57"/>
      <c r="X1745" s="57" t="str">
        <f t="shared" si="917"/>
        <v/>
      </c>
      <c r="Y1745" s="58" t="str">
        <f t="shared" ref="Y1745:AC1745" si="1585">TRIM(SUBSTITUTE(SUBSTITUTE(OFFSET($Q1745,0,COLUMN()-COLUMN($AL$1)),CHAR(160)," "),_xludf.UNICHAR(8239)," "))</f>
        <v>#NAME?</v>
      </c>
      <c r="Z1745" s="58" t="str">
        <f t="shared" si="1585"/>
        <v>#NAME?</v>
      </c>
      <c r="AA1745" s="58" t="str">
        <f t="shared" si="1585"/>
        <v>#NAME?</v>
      </c>
      <c r="AB1745" s="58" t="str">
        <f t="shared" si="1585"/>
        <v>#NAME?</v>
      </c>
      <c r="AC1745" s="58" t="str">
        <f t="shared" si="1585"/>
        <v>#NAME?</v>
      </c>
      <c r="AD1745" s="57">
        <f t="shared" si="906"/>
        <v>0</v>
      </c>
      <c r="AE1745" s="57" t="str">
        <f t="shared" si="907"/>
        <v/>
      </c>
      <c r="AF1745" s="57">
        <f t="shared" si="908"/>
        <v>0</v>
      </c>
      <c r="AG1745" s="59">
        <f t="shared" si="909"/>
        <v>0</v>
      </c>
      <c r="AH1745" s="15"/>
      <c r="AI1745" s="15"/>
      <c r="AJ1745" s="15"/>
      <c r="AK1745" s="15"/>
      <c r="AL1745" s="15"/>
      <c r="AM1745" s="15"/>
      <c r="AN1745" s="15"/>
      <c r="AO1745" s="15"/>
      <c r="AP1745" s="15"/>
      <c r="AQ1745" s="15"/>
      <c r="AR1745" s="15"/>
      <c r="AS1745" s="15"/>
      <c r="AT1745" s="15"/>
      <c r="AU1745" s="15"/>
    </row>
    <row r="1746" ht="24.0" customHeight="1">
      <c r="A1746" s="45">
        <v>3170.0</v>
      </c>
      <c r="B1746" s="57"/>
      <c r="C1746" s="57"/>
      <c r="D1746" s="88" t="str">
        <f t="array" ref="D1746">IFERROR(
  LOOKUP(2, 1/((TRIM(IMS!$E$8:$E$2574)=TRIM(IMS!$E1746))*(IMS!$C$8:$C$2574&lt;IMS!$C1746)),
         IMS!$C$8:$C$2574),
"")</f>
        <v/>
      </c>
      <c r="E1746" s="57"/>
      <c r="F1746" s="57"/>
      <c r="G1746" s="77" t="str">
        <f t="shared" si="901"/>
        <v/>
      </c>
      <c r="H1746" s="78" t="str">
        <f t="shared" si="902"/>
        <v/>
      </c>
      <c r="I1746" s="79"/>
      <c r="J1746" s="80" t="str">
        <f t="shared" si="903"/>
        <v>#NAME?</v>
      </c>
      <c r="K1746" s="58"/>
      <c r="L1746" s="58"/>
      <c r="M1746" s="57"/>
      <c r="N1746" s="57"/>
      <c r="O1746" s="58"/>
      <c r="P1746" s="82"/>
      <c r="Q1746" s="81"/>
      <c r="R1746" s="81"/>
      <c r="S1746" s="57"/>
      <c r="T1746" s="82"/>
      <c r="U1746" s="82"/>
      <c r="V1746" s="57"/>
      <c r="W1746" s="57"/>
      <c r="X1746" s="57" t="str">
        <f t="shared" si="917"/>
        <v/>
      </c>
      <c r="Y1746" s="58" t="str">
        <f t="shared" ref="Y1746:AC1746" si="1586">TRIM(SUBSTITUTE(SUBSTITUTE(OFFSET($Q1746,0,COLUMN()-COLUMN($AL$1)),CHAR(160)," "),_xludf.UNICHAR(8239)," "))</f>
        <v>#NAME?</v>
      </c>
      <c r="Z1746" s="58" t="str">
        <f t="shared" si="1586"/>
        <v>#NAME?</v>
      </c>
      <c r="AA1746" s="58" t="str">
        <f t="shared" si="1586"/>
        <v>#NAME?</v>
      </c>
      <c r="AB1746" s="58" t="str">
        <f t="shared" si="1586"/>
        <v>#NAME?</v>
      </c>
      <c r="AC1746" s="58" t="str">
        <f t="shared" si="1586"/>
        <v>#NAME?</v>
      </c>
      <c r="AD1746" s="57">
        <f t="shared" si="906"/>
        <v>0</v>
      </c>
      <c r="AE1746" s="57" t="str">
        <f t="shared" si="907"/>
        <v/>
      </c>
      <c r="AF1746" s="57">
        <f t="shared" si="908"/>
        <v>0</v>
      </c>
      <c r="AG1746" s="59">
        <f t="shared" si="909"/>
        <v>0</v>
      </c>
      <c r="AH1746" s="15"/>
      <c r="AI1746" s="15"/>
      <c r="AJ1746" s="15"/>
      <c r="AK1746" s="15"/>
      <c r="AL1746" s="15"/>
      <c r="AM1746" s="15"/>
      <c r="AN1746" s="15"/>
      <c r="AO1746" s="15"/>
      <c r="AP1746" s="15"/>
      <c r="AQ1746" s="15"/>
      <c r="AR1746" s="15"/>
      <c r="AS1746" s="15"/>
      <c r="AT1746" s="15"/>
      <c r="AU1746" s="15"/>
    </row>
    <row r="1747" ht="24.0" customHeight="1">
      <c r="A1747" s="45">
        <v>3171.0</v>
      </c>
      <c r="B1747" s="57"/>
      <c r="C1747" s="57"/>
      <c r="D1747" s="88" t="str">
        <f t="array" ref="D1747">IFERROR(
  LOOKUP(2, 1/((TRIM(IMS!$E$8:$E$2574)=TRIM(IMS!$E1747))*(IMS!$C$8:$C$2574&lt;IMS!$C1747)),
         IMS!$C$8:$C$2574),
"")</f>
        <v/>
      </c>
      <c r="E1747" s="57"/>
      <c r="F1747" s="57"/>
      <c r="G1747" s="77" t="str">
        <f t="shared" si="901"/>
        <v/>
      </c>
      <c r="H1747" s="78" t="str">
        <f t="shared" si="902"/>
        <v/>
      </c>
      <c r="I1747" s="79"/>
      <c r="J1747" s="80" t="str">
        <f t="shared" si="903"/>
        <v>#NAME?</v>
      </c>
      <c r="K1747" s="58"/>
      <c r="L1747" s="58"/>
      <c r="M1747" s="57"/>
      <c r="N1747" s="57"/>
      <c r="O1747" s="58"/>
      <c r="P1747" s="82"/>
      <c r="Q1747" s="81"/>
      <c r="R1747" s="81"/>
      <c r="S1747" s="57"/>
      <c r="T1747" s="82"/>
      <c r="U1747" s="82"/>
      <c r="V1747" s="57"/>
      <c r="W1747" s="57"/>
      <c r="X1747" s="57" t="str">
        <f t="shared" si="917"/>
        <v/>
      </c>
      <c r="Y1747" s="58" t="str">
        <f t="shared" ref="Y1747:AC1747" si="1587">TRIM(SUBSTITUTE(SUBSTITUTE(OFFSET($Q1747,0,COLUMN()-COLUMN($AL$1)),CHAR(160)," "),_xludf.UNICHAR(8239)," "))</f>
        <v>#NAME?</v>
      </c>
      <c r="Z1747" s="58" t="str">
        <f t="shared" si="1587"/>
        <v>#NAME?</v>
      </c>
      <c r="AA1747" s="58" t="str">
        <f t="shared" si="1587"/>
        <v>#NAME?</v>
      </c>
      <c r="AB1747" s="58" t="str">
        <f t="shared" si="1587"/>
        <v>#NAME?</v>
      </c>
      <c r="AC1747" s="58" t="str">
        <f t="shared" si="1587"/>
        <v>#NAME?</v>
      </c>
      <c r="AD1747" s="57">
        <f t="shared" si="906"/>
        <v>0</v>
      </c>
      <c r="AE1747" s="57" t="str">
        <f t="shared" si="907"/>
        <v/>
      </c>
      <c r="AF1747" s="57">
        <f t="shared" si="908"/>
        <v>0</v>
      </c>
      <c r="AG1747" s="59">
        <f t="shared" si="909"/>
        <v>0</v>
      </c>
      <c r="AH1747" s="15"/>
      <c r="AI1747" s="15"/>
      <c r="AJ1747" s="15"/>
      <c r="AK1747" s="15"/>
      <c r="AL1747" s="15"/>
      <c r="AM1747" s="15"/>
      <c r="AN1747" s="15"/>
      <c r="AO1747" s="15"/>
      <c r="AP1747" s="15"/>
      <c r="AQ1747" s="15"/>
      <c r="AR1747" s="15"/>
      <c r="AS1747" s="15"/>
      <c r="AT1747" s="15"/>
      <c r="AU1747" s="15"/>
    </row>
    <row r="1748" ht="24.0" customHeight="1">
      <c r="A1748" s="45">
        <v>3172.0</v>
      </c>
      <c r="B1748" s="57"/>
      <c r="C1748" s="57"/>
      <c r="D1748" s="88" t="str">
        <f t="array" ref="D1748">IFERROR(
  LOOKUP(2, 1/((TRIM(IMS!$E$8:$E$2574)=TRIM(IMS!$E1748))*(IMS!$C$8:$C$2574&lt;IMS!$C1748)),
         IMS!$C$8:$C$2574),
"")</f>
        <v/>
      </c>
      <c r="E1748" s="57"/>
      <c r="F1748" s="57"/>
      <c r="G1748" s="77" t="str">
        <f t="shared" si="901"/>
        <v/>
      </c>
      <c r="H1748" s="78" t="str">
        <f t="shared" si="902"/>
        <v/>
      </c>
      <c r="I1748" s="79"/>
      <c r="J1748" s="80" t="str">
        <f t="shared" si="903"/>
        <v>#NAME?</v>
      </c>
      <c r="K1748" s="58"/>
      <c r="L1748" s="58"/>
      <c r="M1748" s="57"/>
      <c r="N1748" s="57"/>
      <c r="O1748" s="58"/>
      <c r="P1748" s="82"/>
      <c r="Q1748" s="81"/>
      <c r="R1748" s="81"/>
      <c r="S1748" s="57"/>
      <c r="T1748" s="82"/>
      <c r="U1748" s="82"/>
      <c r="V1748" s="57"/>
      <c r="W1748" s="57"/>
      <c r="X1748" s="57" t="str">
        <f t="shared" si="917"/>
        <v/>
      </c>
      <c r="Y1748" s="58" t="str">
        <f t="shared" ref="Y1748:AC1748" si="1588">TRIM(SUBSTITUTE(SUBSTITUTE(OFFSET($Q1748,0,COLUMN()-COLUMN($AL$1)),CHAR(160)," "),_xludf.UNICHAR(8239)," "))</f>
        <v>#NAME?</v>
      </c>
      <c r="Z1748" s="58" t="str">
        <f t="shared" si="1588"/>
        <v>#NAME?</v>
      </c>
      <c r="AA1748" s="58" t="str">
        <f t="shared" si="1588"/>
        <v>#NAME?</v>
      </c>
      <c r="AB1748" s="58" t="str">
        <f t="shared" si="1588"/>
        <v>#NAME?</v>
      </c>
      <c r="AC1748" s="58" t="str">
        <f t="shared" si="1588"/>
        <v>#NAME?</v>
      </c>
      <c r="AD1748" s="57">
        <f t="shared" si="906"/>
        <v>0</v>
      </c>
      <c r="AE1748" s="57" t="str">
        <f t="shared" si="907"/>
        <v/>
      </c>
      <c r="AF1748" s="57">
        <f t="shared" si="908"/>
        <v>0</v>
      </c>
      <c r="AG1748" s="59">
        <f t="shared" si="909"/>
        <v>0</v>
      </c>
      <c r="AH1748" s="15"/>
      <c r="AI1748" s="15"/>
      <c r="AJ1748" s="15"/>
      <c r="AK1748" s="15"/>
      <c r="AL1748" s="15"/>
      <c r="AM1748" s="15"/>
      <c r="AN1748" s="15"/>
      <c r="AO1748" s="15"/>
      <c r="AP1748" s="15"/>
      <c r="AQ1748" s="15"/>
      <c r="AR1748" s="15"/>
      <c r="AS1748" s="15"/>
      <c r="AT1748" s="15"/>
      <c r="AU1748" s="15"/>
    </row>
    <row r="1749" ht="24.0" customHeight="1">
      <c r="A1749" s="45">
        <v>3173.0</v>
      </c>
      <c r="B1749" s="57"/>
      <c r="C1749" s="57"/>
      <c r="D1749" s="88" t="str">
        <f t="array" ref="D1749">IFERROR(
  LOOKUP(2, 1/((TRIM(IMS!$E$8:$E$2574)=TRIM(IMS!$E1749))*(IMS!$C$8:$C$2574&lt;IMS!$C1749)),
         IMS!$C$8:$C$2574),
"")</f>
        <v/>
      </c>
      <c r="E1749" s="57"/>
      <c r="F1749" s="57"/>
      <c r="G1749" s="77" t="str">
        <f t="shared" si="901"/>
        <v/>
      </c>
      <c r="H1749" s="78" t="str">
        <f t="shared" si="902"/>
        <v/>
      </c>
      <c r="I1749" s="79"/>
      <c r="J1749" s="80" t="str">
        <f t="shared" si="903"/>
        <v>#NAME?</v>
      </c>
      <c r="K1749" s="58"/>
      <c r="L1749" s="58"/>
      <c r="M1749" s="57"/>
      <c r="N1749" s="57"/>
      <c r="O1749" s="58"/>
      <c r="P1749" s="82"/>
      <c r="Q1749" s="81"/>
      <c r="R1749" s="81"/>
      <c r="S1749" s="57"/>
      <c r="T1749" s="82"/>
      <c r="U1749" s="82"/>
      <c r="V1749" s="57"/>
      <c r="W1749" s="57"/>
      <c r="X1749" s="57" t="str">
        <f t="shared" si="917"/>
        <v/>
      </c>
      <c r="Y1749" s="58" t="str">
        <f t="shared" ref="Y1749:AC1749" si="1589">TRIM(SUBSTITUTE(SUBSTITUTE(OFFSET($Q1749,0,COLUMN()-COLUMN($AL$1)),CHAR(160)," "),_xludf.UNICHAR(8239)," "))</f>
        <v>#NAME?</v>
      </c>
      <c r="Z1749" s="58" t="str">
        <f t="shared" si="1589"/>
        <v>#NAME?</v>
      </c>
      <c r="AA1749" s="58" t="str">
        <f t="shared" si="1589"/>
        <v>#NAME?</v>
      </c>
      <c r="AB1749" s="58" t="str">
        <f t="shared" si="1589"/>
        <v>#NAME?</v>
      </c>
      <c r="AC1749" s="58" t="str">
        <f t="shared" si="1589"/>
        <v>#NAME?</v>
      </c>
      <c r="AD1749" s="57">
        <f t="shared" si="906"/>
        <v>0</v>
      </c>
      <c r="AE1749" s="57" t="str">
        <f t="shared" si="907"/>
        <v/>
      </c>
      <c r="AF1749" s="57">
        <f t="shared" si="908"/>
        <v>0</v>
      </c>
      <c r="AG1749" s="59">
        <f t="shared" si="909"/>
        <v>0</v>
      </c>
      <c r="AH1749" s="15"/>
      <c r="AI1749" s="15"/>
      <c r="AJ1749" s="15"/>
      <c r="AK1749" s="15"/>
      <c r="AL1749" s="15"/>
      <c r="AM1749" s="15"/>
      <c r="AN1749" s="15"/>
      <c r="AO1749" s="15"/>
      <c r="AP1749" s="15"/>
      <c r="AQ1749" s="15"/>
      <c r="AR1749" s="15"/>
      <c r="AS1749" s="15"/>
      <c r="AT1749" s="15"/>
      <c r="AU1749" s="15"/>
    </row>
    <row r="1750" ht="24.0" customHeight="1">
      <c r="A1750" s="45">
        <v>3174.0</v>
      </c>
      <c r="B1750" s="57"/>
      <c r="C1750" s="57"/>
      <c r="D1750" s="88" t="str">
        <f t="array" ref="D1750">IFERROR(
  LOOKUP(2, 1/((TRIM(IMS!$E$8:$E$2574)=TRIM(IMS!$E1750))*(IMS!$C$8:$C$2574&lt;IMS!$C1750)),
         IMS!$C$8:$C$2574),
"")</f>
        <v/>
      </c>
      <c r="E1750" s="57"/>
      <c r="F1750" s="57"/>
      <c r="G1750" s="77" t="str">
        <f t="shared" si="901"/>
        <v/>
      </c>
      <c r="H1750" s="78" t="str">
        <f t="shared" si="902"/>
        <v/>
      </c>
      <c r="I1750" s="79"/>
      <c r="J1750" s="80" t="str">
        <f t="shared" si="903"/>
        <v>#NAME?</v>
      </c>
      <c r="K1750" s="58"/>
      <c r="L1750" s="58"/>
      <c r="M1750" s="57"/>
      <c r="N1750" s="57"/>
      <c r="O1750" s="58"/>
      <c r="P1750" s="82"/>
      <c r="Q1750" s="81"/>
      <c r="R1750" s="81"/>
      <c r="S1750" s="57"/>
      <c r="T1750" s="82"/>
      <c r="U1750" s="82"/>
      <c r="V1750" s="57"/>
      <c r="W1750" s="57"/>
      <c r="X1750" s="57" t="str">
        <f t="shared" si="917"/>
        <v/>
      </c>
      <c r="Y1750" s="58" t="str">
        <f t="shared" ref="Y1750:AC1750" si="1590">TRIM(SUBSTITUTE(SUBSTITUTE(OFFSET($Q1750,0,COLUMN()-COLUMN($AL$1)),CHAR(160)," "),_xludf.UNICHAR(8239)," "))</f>
        <v>#NAME?</v>
      </c>
      <c r="Z1750" s="58" t="str">
        <f t="shared" si="1590"/>
        <v>#NAME?</v>
      </c>
      <c r="AA1750" s="58" t="str">
        <f t="shared" si="1590"/>
        <v>#NAME?</v>
      </c>
      <c r="AB1750" s="58" t="str">
        <f t="shared" si="1590"/>
        <v>#NAME?</v>
      </c>
      <c r="AC1750" s="58" t="str">
        <f t="shared" si="1590"/>
        <v>#NAME?</v>
      </c>
      <c r="AD1750" s="57">
        <f t="shared" si="906"/>
        <v>0</v>
      </c>
      <c r="AE1750" s="57" t="str">
        <f t="shared" si="907"/>
        <v/>
      </c>
      <c r="AF1750" s="57">
        <f t="shared" si="908"/>
        <v>0</v>
      </c>
      <c r="AG1750" s="59">
        <f t="shared" si="909"/>
        <v>0</v>
      </c>
      <c r="AH1750" s="15"/>
      <c r="AI1750" s="15"/>
      <c r="AJ1750" s="15"/>
      <c r="AK1750" s="15"/>
      <c r="AL1750" s="15"/>
      <c r="AM1750" s="15"/>
      <c r="AN1750" s="15"/>
      <c r="AO1750" s="15"/>
      <c r="AP1750" s="15"/>
      <c r="AQ1750" s="15"/>
      <c r="AR1750" s="15"/>
      <c r="AS1750" s="15"/>
      <c r="AT1750" s="15"/>
      <c r="AU1750" s="15"/>
    </row>
    <row r="1751" ht="24.0" customHeight="1">
      <c r="A1751" s="45">
        <v>3175.0</v>
      </c>
      <c r="B1751" s="57"/>
      <c r="C1751" s="57"/>
      <c r="D1751" s="88" t="str">
        <f t="array" ref="D1751">IFERROR(
  LOOKUP(2, 1/((TRIM(IMS!$E$8:$E$2574)=TRIM(IMS!$E1751))*(IMS!$C$8:$C$2574&lt;IMS!$C1751)),
         IMS!$C$8:$C$2574),
"")</f>
        <v/>
      </c>
      <c r="E1751" s="57"/>
      <c r="F1751" s="57"/>
      <c r="G1751" s="77" t="str">
        <f t="shared" si="901"/>
        <v/>
      </c>
      <c r="H1751" s="78" t="str">
        <f t="shared" si="902"/>
        <v/>
      </c>
      <c r="I1751" s="79"/>
      <c r="J1751" s="80" t="str">
        <f t="shared" si="903"/>
        <v>#NAME?</v>
      </c>
      <c r="K1751" s="58"/>
      <c r="L1751" s="58"/>
      <c r="M1751" s="57"/>
      <c r="N1751" s="57"/>
      <c r="O1751" s="58"/>
      <c r="P1751" s="82"/>
      <c r="Q1751" s="81"/>
      <c r="R1751" s="81"/>
      <c r="S1751" s="57"/>
      <c r="T1751" s="82"/>
      <c r="U1751" s="82"/>
      <c r="V1751" s="57"/>
      <c r="W1751" s="57"/>
      <c r="X1751" s="57" t="str">
        <f t="shared" si="917"/>
        <v/>
      </c>
      <c r="Y1751" s="58" t="str">
        <f t="shared" ref="Y1751:AC1751" si="1591">TRIM(SUBSTITUTE(SUBSTITUTE(OFFSET($Q1751,0,COLUMN()-COLUMN($AL$1)),CHAR(160)," "),_xludf.UNICHAR(8239)," "))</f>
        <v>#NAME?</v>
      </c>
      <c r="Z1751" s="58" t="str">
        <f t="shared" si="1591"/>
        <v>#NAME?</v>
      </c>
      <c r="AA1751" s="58" t="str">
        <f t="shared" si="1591"/>
        <v>#NAME?</v>
      </c>
      <c r="AB1751" s="58" t="str">
        <f t="shared" si="1591"/>
        <v>#NAME?</v>
      </c>
      <c r="AC1751" s="58" t="str">
        <f t="shared" si="1591"/>
        <v>#NAME?</v>
      </c>
      <c r="AD1751" s="57">
        <f t="shared" si="906"/>
        <v>0</v>
      </c>
      <c r="AE1751" s="57" t="str">
        <f t="shared" si="907"/>
        <v/>
      </c>
      <c r="AF1751" s="57">
        <f t="shared" si="908"/>
        <v>0</v>
      </c>
      <c r="AG1751" s="59">
        <f t="shared" si="909"/>
        <v>0</v>
      </c>
      <c r="AH1751" s="15"/>
      <c r="AI1751" s="15"/>
      <c r="AJ1751" s="15"/>
      <c r="AK1751" s="15"/>
      <c r="AL1751" s="15"/>
      <c r="AM1751" s="15"/>
      <c r="AN1751" s="15"/>
      <c r="AO1751" s="15"/>
      <c r="AP1751" s="15"/>
      <c r="AQ1751" s="15"/>
      <c r="AR1751" s="15"/>
      <c r="AS1751" s="15"/>
      <c r="AT1751" s="15"/>
      <c r="AU1751" s="15"/>
    </row>
    <row r="1752" ht="24.0" customHeight="1">
      <c r="A1752" s="45">
        <v>3176.0</v>
      </c>
      <c r="B1752" s="57"/>
      <c r="C1752" s="57"/>
      <c r="D1752" s="88" t="str">
        <f t="array" ref="D1752">IFERROR(
  LOOKUP(2, 1/((TRIM(IMS!$E$8:$E$2574)=TRIM(IMS!$E1752))*(IMS!$C$8:$C$2574&lt;IMS!$C1752)),
         IMS!$C$8:$C$2574),
"")</f>
        <v/>
      </c>
      <c r="E1752" s="57"/>
      <c r="F1752" s="57"/>
      <c r="G1752" s="77" t="str">
        <f t="shared" si="901"/>
        <v/>
      </c>
      <c r="H1752" s="78" t="str">
        <f t="shared" si="902"/>
        <v/>
      </c>
      <c r="I1752" s="79"/>
      <c r="J1752" s="80" t="str">
        <f t="shared" si="903"/>
        <v>#NAME?</v>
      </c>
      <c r="K1752" s="58"/>
      <c r="L1752" s="58"/>
      <c r="M1752" s="57"/>
      <c r="N1752" s="57"/>
      <c r="O1752" s="58"/>
      <c r="P1752" s="82"/>
      <c r="Q1752" s="81"/>
      <c r="R1752" s="81"/>
      <c r="S1752" s="57"/>
      <c r="T1752" s="82"/>
      <c r="U1752" s="82"/>
      <c r="V1752" s="57"/>
      <c r="W1752" s="57"/>
      <c r="X1752" s="57" t="str">
        <f t="shared" si="917"/>
        <v/>
      </c>
      <c r="Y1752" s="58" t="str">
        <f t="shared" ref="Y1752:AC1752" si="1592">TRIM(SUBSTITUTE(SUBSTITUTE(OFFSET($Q1752,0,COLUMN()-COLUMN($AL$1)),CHAR(160)," "),_xludf.UNICHAR(8239)," "))</f>
        <v>#NAME?</v>
      </c>
      <c r="Z1752" s="58" t="str">
        <f t="shared" si="1592"/>
        <v>#NAME?</v>
      </c>
      <c r="AA1752" s="58" t="str">
        <f t="shared" si="1592"/>
        <v>#NAME?</v>
      </c>
      <c r="AB1752" s="58" t="str">
        <f t="shared" si="1592"/>
        <v>#NAME?</v>
      </c>
      <c r="AC1752" s="58" t="str">
        <f t="shared" si="1592"/>
        <v>#NAME?</v>
      </c>
      <c r="AD1752" s="57">
        <f t="shared" si="906"/>
        <v>0</v>
      </c>
      <c r="AE1752" s="57" t="str">
        <f t="shared" si="907"/>
        <v/>
      </c>
      <c r="AF1752" s="57">
        <f t="shared" si="908"/>
        <v>0</v>
      </c>
      <c r="AG1752" s="59">
        <f t="shared" si="909"/>
        <v>0</v>
      </c>
      <c r="AH1752" s="15"/>
      <c r="AI1752" s="15"/>
      <c r="AJ1752" s="15"/>
      <c r="AK1752" s="15"/>
      <c r="AL1752" s="15"/>
      <c r="AM1752" s="15"/>
      <c r="AN1752" s="15"/>
      <c r="AO1752" s="15"/>
      <c r="AP1752" s="15"/>
      <c r="AQ1752" s="15"/>
      <c r="AR1752" s="15"/>
      <c r="AS1752" s="15"/>
      <c r="AT1752" s="15"/>
      <c r="AU1752" s="15"/>
    </row>
    <row r="1753" ht="24.0" customHeight="1">
      <c r="A1753" s="45">
        <v>3177.0</v>
      </c>
      <c r="B1753" s="57"/>
      <c r="C1753" s="57"/>
      <c r="D1753" s="88" t="str">
        <f t="array" ref="D1753">IFERROR(
  LOOKUP(2, 1/((TRIM(IMS!$E$8:$E$2574)=TRIM(IMS!$E1753))*(IMS!$C$8:$C$2574&lt;IMS!$C1753)),
         IMS!$C$8:$C$2574),
"")</f>
        <v/>
      </c>
      <c r="E1753" s="57"/>
      <c r="F1753" s="57"/>
      <c r="G1753" s="77" t="str">
        <f t="shared" si="901"/>
        <v/>
      </c>
      <c r="H1753" s="78" t="str">
        <f t="shared" si="902"/>
        <v/>
      </c>
      <c r="I1753" s="79"/>
      <c r="J1753" s="80" t="str">
        <f t="shared" si="903"/>
        <v>#NAME?</v>
      </c>
      <c r="K1753" s="58"/>
      <c r="L1753" s="58"/>
      <c r="M1753" s="57"/>
      <c r="N1753" s="57"/>
      <c r="O1753" s="58"/>
      <c r="P1753" s="82"/>
      <c r="Q1753" s="81"/>
      <c r="R1753" s="81"/>
      <c r="S1753" s="57"/>
      <c r="T1753" s="82"/>
      <c r="U1753" s="82"/>
      <c r="V1753" s="57"/>
      <c r="W1753" s="57"/>
      <c r="X1753" s="57" t="str">
        <f t="shared" si="917"/>
        <v/>
      </c>
      <c r="Y1753" s="58" t="str">
        <f t="shared" ref="Y1753:AC1753" si="1593">TRIM(SUBSTITUTE(SUBSTITUTE(OFFSET($Q1753,0,COLUMN()-COLUMN($AL$1)),CHAR(160)," "),_xludf.UNICHAR(8239)," "))</f>
        <v>#NAME?</v>
      </c>
      <c r="Z1753" s="58" t="str">
        <f t="shared" si="1593"/>
        <v>#NAME?</v>
      </c>
      <c r="AA1753" s="58" t="str">
        <f t="shared" si="1593"/>
        <v>#NAME?</v>
      </c>
      <c r="AB1753" s="58" t="str">
        <f t="shared" si="1593"/>
        <v>#NAME?</v>
      </c>
      <c r="AC1753" s="58" t="str">
        <f t="shared" si="1593"/>
        <v>#NAME?</v>
      </c>
      <c r="AD1753" s="57">
        <f t="shared" si="906"/>
        <v>0</v>
      </c>
      <c r="AE1753" s="57" t="str">
        <f t="shared" si="907"/>
        <v/>
      </c>
      <c r="AF1753" s="57">
        <f t="shared" si="908"/>
        <v>0</v>
      </c>
      <c r="AG1753" s="59">
        <f t="shared" si="909"/>
        <v>0</v>
      </c>
      <c r="AH1753" s="15"/>
      <c r="AI1753" s="15"/>
      <c r="AJ1753" s="15"/>
      <c r="AK1753" s="15"/>
      <c r="AL1753" s="15"/>
      <c r="AM1753" s="15"/>
      <c r="AN1753" s="15"/>
      <c r="AO1753" s="15"/>
      <c r="AP1753" s="15"/>
      <c r="AQ1753" s="15"/>
      <c r="AR1753" s="15"/>
      <c r="AS1753" s="15"/>
      <c r="AT1753" s="15"/>
      <c r="AU1753" s="15"/>
    </row>
    <row r="1754" ht="24.0" customHeight="1">
      <c r="A1754" s="45">
        <v>3178.0</v>
      </c>
      <c r="B1754" s="57"/>
      <c r="C1754" s="57"/>
      <c r="D1754" s="88" t="str">
        <f t="array" ref="D1754">IFERROR(
  LOOKUP(2, 1/((TRIM(IMS!$E$8:$E$2574)=TRIM(IMS!$E1754))*(IMS!$C$8:$C$2574&lt;IMS!$C1754)),
         IMS!$C$8:$C$2574),
"")</f>
        <v/>
      </c>
      <c r="E1754" s="57"/>
      <c r="F1754" s="57"/>
      <c r="G1754" s="77" t="str">
        <f t="shared" si="901"/>
        <v/>
      </c>
      <c r="H1754" s="78" t="str">
        <f t="shared" si="902"/>
        <v/>
      </c>
      <c r="I1754" s="79"/>
      <c r="J1754" s="80" t="str">
        <f t="shared" si="903"/>
        <v>#NAME?</v>
      </c>
      <c r="K1754" s="58"/>
      <c r="L1754" s="58"/>
      <c r="M1754" s="57"/>
      <c r="N1754" s="57"/>
      <c r="O1754" s="58"/>
      <c r="P1754" s="82"/>
      <c r="Q1754" s="81"/>
      <c r="R1754" s="81"/>
      <c r="S1754" s="57"/>
      <c r="T1754" s="82"/>
      <c r="U1754" s="82"/>
      <c r="V1754" s="57"/>
      <c r="W1754" s="57"/>
      <c r="X1754" s="57" t="str">
        <f t="shared" si="917"/>
        <v/>
      </c>
      <c r="Y1754" s="58" t="str">
        <f t="shared" ref="Y1754:AC1754" si="1594">TRIM(SUBSTITUTE(SUBSTITUTE(OFFSET($Q1754,0,COLUMN()-COLUMN($AL$1)),CHAR(160)," "),_xludf.UNICHAR(8239)," "))</f>
        <v>#NAME?</v>
      </c>
      <c r="Z1754" s="58" t="str">
        <f t="shared" si="1594"/>
        <v>#NAME?</v>
      </c>
      <c r="AA1754" s="58" t="str">
        <f t="shared" si="1594"/>
        <v>#NAME?</v>
      </c>
      <c r="AB1754" s="58" t="str">
        <f t="shared" si="1594"/>
        <v>#NAME?</v>
      </c>
      <c r="AC1754" s="58" t="str">
        <f t="shared" si="1594"/>
        <v>#NAME?</v>
      </c>
      <c r="AD1754" s="57">
        <f t="shared" si="906"/>
        <v>0</v>
      </c>
      <c r="AE1754" s="57" t="str">
        <f t="shared" si="907"/>
        <v/>
      </c>
      <c r="AF1754" s="57">
        <f t="shared" si="908"/>
        <v>0</v>
      </c>
      <c r="AG1754" s="59">
        <f t="shared" si="909"/>
        <v>0</v>
      </c>
      <c r="AH1754" s="15"/>
      <c r="AI1754" s="15"/>
      <c r="AJ1754" s="15"/>
      <c r="AK1754" s="15"/>
      <c r="AL1754" s="15"/>
      <c r="AM1754" s="15"/>
      <c r="AN1754" s="15"/>
      <c r="AO1754" s="15"/>
      <c r="AP1754" s="15"/>
      <c r="AQ1754" s="15"/>
      <c r="AR1754" s="15"/>
      <c r="AS1754" s="15"/>
      <c r="AT1754" s="15"/>
      <c r="AU1754" s="15"/>
    </row>
    <row r="1755" ht="24.0" customHeight="1">
      <c r="A1755" s="45">
        <v>3179.0</v>
      </c>
      <c r="B1755" s="57"/>
      <c r="C1755" s="57"/>
      <c r="D1755" s="88" t="str">
        <f t="array" ref="D1755">IFERROR(
  LOOKUP(2, 1/((TRIM(IMS!$E$8:$E$2574)=TRIM(IMS!$E1755))*(IMS!$C$8:$C$2574&lt;IMS!$C1755)),
         IMS!$C$8:$C$2574),
"")</f>
        <v/>
      </c>
      <c r="E1755" s="57"/>
      <c r="F1755" s="57"/>
      <c r="G1755" s="77" t="str">
        <f t="shared" si="901"/>
        <v/>
      </c>
      <c r="H1755" s="78" t="str">
        <f t="shared" si="902"/>
        <v/>
      </c>
      <c r="I1755" s="79"/>
      <c r="J1755" s="80" t="str">
        <f t="shared" si="903"/>
        <v>#NAME?</v>
      </c>
      <c r="K1755" s="58"/>
      <c r="L1755" s="58"/>
      <c r="M1755" s="57"/>
      <c r="N1755" s="57"/>
      <c r="O1755" s="58"/>
      <c r="P1755" s="82"/>
      <c r="Q1755" s="81"/>
      <c r="R1755" s="81"/>
      <c r="S1755" s="57"/>
      <c r="T1755" s="82"/>
      <c r="U1755" s="82"/>
      <c r="V1755" s="57"/>
      <c r="W1755" s="57"/>
      <c r="X1755" s="57" t="str">
        <f t="shared" si="917"/>
        <v/>
      </c>
      <c r="Y1755" s="58" t="str">
        <f t="shared" ref="Y1755:AC1755" si="1595">TRIM(SUBSTITUTE(SUBSTITUTE(OFFSET($Q1755,0,COLUMN()-COLUMN($AL$1)),CHAR(160)," "),_xludf.UNICHAR(8239)," "))</f>
        <v>#NAME?</v>
      </c>
      <c r="Z1755" s="58" t="str">
        <f t="shared" si="1595"/>
        <v>#NAME?</v>
      </c>
      <c r="AA1755" s="58" t="str">
        <f t="shared" si="1595"/>
        <v>#NAME?</v>
      </c>
      <c r="AB1755" s="58" t="str">
        <f t="shared" si="1595"/>
        <v>#NAME?</v>
      </c>
      <c r="AC1755" s="58" t="str">
        <f t="shared" si="1595"/>
        <v>#NAME?</v>
      </c>
      <c r="AD1755" s="57">
        <f t="shared" si="906"/>
        <v>0</v>
      </c>
      <c r="AE1755" s="57" t="str">
        <f t="shared" si="907"/>
        <v/>
      </c>
      <c r="AF1755" s="57">
        <f t="shared" si="908"/>
        <v>0</v>
      </c>
      <c r="AG1755" s="59">
        <f t="shared" si="909"/>
        <v>0</v>
      </c>
      <c r="AH1755" s="15"/>
      <c r="AI1755" s="15"/>
      <c r="AJ1755" s="15"/>
      <c r="AK1755" s="15"/>
      <c r="AL1755" s="15"/>
      <c r="AM1755" s="15"/>
      <c r="AN1755" s="15"/>
      <c r="AO1755" s="15"/>
      <c r="AP1755" s="15"/>
      <c r="AQ1755" s="15"/>
      <c r="AR1755" s="15"/>
      <c r="AS1755" s="15"/>
      <c r="AT1755" s="15"/>
      <c r="AU1755" s="15"/>
    </row>
    <row r="1756" ht="24.0" customHeight="1">
      <c r="A1756" s="45">
        <v>3180.0</v>
      </c>
      <c r="B1756" s="57"/>
      <c r="C1756" s="57"/>
      <c r="D1756" s="88" t="str">
        <f t="array" ref="D1756">IFERROR(
  LOOKUP(2, 1/((TRIM(IMS!$E$8:$E$2574)=TRIM(IMS!$E1756))*(IMS!$C$8:$C$2574&lt;IMS!$C1756)),
         IMS!$C$8:$C$2574),
"")</f>
        <v/>
      </c>
      <c r="E1756" s="57"/>
      <c r="F1756" s="57"/>
      <c r="G1756" s="77" t="str">
        <f t="shared" si="901"/>
        <v/>
      </c>
      <c r="H1756" s="78" t="str">
        <f t="shared" si="902"/>
        <v/>
      </c>
      <c r="I1756" s="79"/>
      <c r="J1756" s="80" t="str">
        <f t="shared" si="903"/>
        <v>#NAME?</v>
      </c>
      <c r="K1756" s="58"/>
      <c r="L1756" s="58"/>
      <c r="M1756" s="57"/>
      <c r="N1756" s="57"/>
      <c r="O1756" s="58"/>
      <c r="P1756" s="82"/>
      <c r="Q1756" s="81"/>
      <c r="R1756" s="81"/>
      <c r="S1756" s="57"/>
      <c r="T1756" s="82"/>
      <c r="U1756" s="82"/>
      <c r="V1756" s="57"/>
      <c r="W1756" s="57"/>
      <c r="X1756" s="57" t="str">
        <f t="shared" si="917"/>
        <v/>
      </c>
      <c r="Y1756" s="58" t="str">
        <f t="shared" ref="Y1756:AC1756" si="1596">TRIM(SUBSTITUTE(SUBSTITUTE(OFFSET($Q1756,0,COLUMN()-COLUMN($AL$1)),CHAR(160)," "),_xludf.UNICHAR(8239)," "))</f>
        <v>#NAME?</v>
      </c>
      <c r="Z1756" s="58" t="str">
        <f t="shared" si="1596"/>
        <v>#NAME?</v>
      </c>
      <c r="AA1756" s="58" t="str">
        <f t="shared" si="1596"/>
        <v>#NAME?</v>
      </c>
      <c r="AB1756" s="58" t="str">
        <f t="shared" si="1596"/>
        <v>#NAME?</v>
      </c>
      <c r="AC1756" s="58" t="str">
        <f t="shared" si="1596"/>
        <v>#NAME?</v>
      </c>
      <c r="AD1756" s="57">
        <f t="shared" si="906"/>
        <v>0</v>
      </c>
      <c r="AE1756" s="57" t="str">
        <f t="shared" si="907"/>
        <v/>
      </c>
      <c r="AF1756" s="57">
        <f t="shared" si="908"/>
        <v>0</v>
      </c>
      <c r="AG1756" s="59">
        <f t="shared" si="909"/>
        <v>0</v>
      </c>
      <c r="AH1756" s="15"/>
      <c r="AI1756" s="15"/>
      <c r="AJ1756" s="15"/>
      <c r="AK1756" s="15"/>
      <c r="AL1756" s="15"/>
      <c r="AM1756" s="15"/>
      <c r="AN1756" s="15"/>
      <c r="AO1756" s="15"/>
      <c r="AP1756" s="15"/>
      <c r="AQ1756" s="15"/>
      <c r="AR1756" s="15"/>
      <c r="AS1756" s="15"/>
      <c r="AT1756" s="15"/>
      <c r="AU1756" s="15"/>
    </row>
    <row r="1757" ht="24.0" customHeight="1">
      <c r="A1757" s="45">
        <v>3181.0</v>
      </c>
      <c r="B1757" s="57"/>
      <c r="C1757" s="57"/>
      <c r="D1757" s="88" t="str">
        <f t="array" ref="D1757">IFERROR(
  LOOKUP(2, 1/((TRIM(IMS!$E$8:$E$2574)=TRIM(IMS!$E1757))*(IMS!$C$8:$C$2574&lt;IMS!$C1757)),
         IMS!$C$8:$C$2574),
"")</f>
        <v/>
      </c>
      <c r="E1757" s="57"/>
      <c r="F1757" s="57"/>
      <c r="G1757" s="77" t="str">
        <f t="shared" si="901"/>
        <v/>
      </c>
      <c r="H1757" s="78" t="str">
        <f t="shared" si="902"/>
        <v/>
      </c>
      <c r="I1757" s="79"/>
      <c r="J1757" s="80" t="str">
        <f t="shared" si="903"/>
        <v>#NAME?</v>
      </c>
      <c r="K1757" s="58"/>
      <c r="L1757" s="58"/>
      <c r="M1757" s="57"/>
      <c r="N1757" s="57"/>
      <c r="O1757" s="58"/>
      <c r="P1757" s="82"/>
      <c r="Q1757" s="81"/>
      <c r="R1757" s="81"/>
      <c r="S1757" s="57"/>
      <c r="T1757" s="82"/>
      <c r="U1757" s="82"/>
      <c r="V1757" s="57"/>
      <c r="W1757" s="57"/>
      <c r="X1757" s="57" t="str">
        <f t="shared" si="917"/>
        <v/>
      </c>
      <c r="Y1757" s="58" t="str">
        <f t="shared" ref="Y1757:AC1757" si="1597">TRIM(SUBSTITUTE(SUBSTITUTE(OFFSET($Q1757,0,COLUMN()-COLUMN($AL$1)),CHAR(160)," "),_xludf.UNICHAR(8239)," "))</f>
        <v>#NAME?</v>
      </c>
      <c r="Z1757" s="58" t="str">
        <f t="shared" si="1597"/>
        <v>#NAME?</v>
      </c>
      <c r="AA1757" s="58" t="str">
        <f t="shared" si="1597"/>
        <v>#NAME?</v>
      </c>
      <c r="AB1757" s="58" t="str">
        <f t="shared" si="1597"/>
        <v>#NAME?</v>
      </c>
      <c r="AC1757" s="58" t="str">
        <f t="shared" si="1597"/>
        <v>#NAME?</v>
      </c>
      <c r="AD1757" s="57">
        <f t="shared" si="906"/>
        <v>0</v>
      </c>
      <c r="AE1757" s="57" t="str">
        <f t="shared" si="907"/>
        <v/>
      </c>
      <c r="AF1757" s="57">
        <f t="shared" si="908"/>
        <v>0</v>
      </c>
      <c r="AG1757" s="59">
        <f t="shared" si="909"/>
        <v>0</v>
      </c>
      <c r="AH1757" s="15"/>
      <c r="AI1757" s="15"/>
      <c r="AJ1757" s="15"/>
      <c r="AK1757" s="15"/>
      <c r="AL1757" s="15"/>
      <c r="AM1757" s="15"/>
      <c r="AN1757" s="15"/>
      <c r="AO1757" s="15"/>
      <c r="AP1757" s="15"/>
      <c r="AQ1757" s="15"/>
      <c r="AR1757" s="15"/>
      <c r="AS1757" s="15"/>
      <c r="AT1757" s="15"/>
      <c r="AU1757" s="15"/>
    </row>
    <row r="1758" ht="24.0" customHeight="1">
      <c r="A1758" s="45">
        <v>3182.0</v>
      </c>
      <c r="B1758" s="57"/>
      <c r="C1758" s="57"/>
      <c r="D1758" s="88" t="str">
        <f t="array" ref="D1758">IFERROR(
  LOOKUP(2, 1/((TRIM(IMS!$E$8:$E$2574)=TRIM(IMS!$E1758))*(IMS!$C$8:$C$2574&lt;IMS!$C1758)),
         IMS!$C$8:$C$2574),
"")</f>
        <v/>
      </c>
      <c r="E1758" s="57"/>
      <c r="F1758" s="57"/>
      <c r="G1758" s="77" t="str">
        <f t="shared" si="901"/>
        <v/>
      </c>
      <c r="H1758" s="78" t="str">
        <f t="shared" si="902"/>
        <v/>
      </c>
      <c r="I1758" s="79"/>
      <c r="J1758" s="80" t="str">
        <f t="shared" si="903"/>
        <v>#NAME?</v>
      </c>
      <c r="K1758" s="58"/>
      <c r="L1758" s="58"/>
      <c r="M1758" s="57"/>
      <c r="N1758" s="57"/>
      <c r="O1758" s="58"/>
      <c r="P1758" s="82"/>
      <c r="Q1758" s="81"/>
      <c r="R1758" s="81"/>
      <c r="S1758" s="57"/>
      <c r="T1758" s="82"/>
      <c r="U1758" s="82"/>
      <c r="V1758" s="57"/>
      <c r="W1758" s="57"/>
      <c r="X1758" s="57" t="str">
        <f t="shared" si="917"/>
        <v/>
      </c>
      <c r="Y1758" s="58" t="str">
        <f t="shared" ref="Y1758:AC1758" si="1598">TRIM(SUBSTITUTE(SUBSTITUTE(OFFSET($Q1758,0,COLUMN()-COLUMN($AL$1)),CHAR(160)," "),_xludf.UNICHAR(8239)," "))</f>
        <v>#NAME?</v>
      </c>
      <c r="Z1758" s="58" t="str">
        <f t="shared" si="1598"/>
        <v>#NAME?</v>
      </c>
      <c r="AA1758" s="58" t="str">
        <f t="shared" si="1598"/>
        <v>#NAME?</v>
      </c>
      <c r="AB1758" s="58" t="str">
        <f t="shared" si="1598"/>
        <v>#NAME?</v>
      </c>
      <c r="AC1758" s="58" t="str">
        <f t="shared" si="1598"/>
        <v>#NAME?</v>
      </c>
      <c r="AD1758" s="57">
        <f t="shared" si="906"/>
        <v>0</v>
      </c>
      <c r="AE1758" s="57" t="str">
        <f t="shared" si="907"/>
        <v/>
      </c>
      <c r="AF1758" s="57">
        <f t="shared" si="908"/>
        <v>0</v>
      </c>
      <c r="AG1758" s="59">
        <f t="shared" si="909"/>
        <v>0</v>
      </c>
      <c r="AH1758" s="15"/>
      <c r="AI1758" s="15"/>
      <c r="AJ1758" s="15"/>
      <c r="AK1758" s="15"/>
      <c r="AL1758" s="15"/>
      <c r="AM1758" s="15"/>
      <c r="AN1758" s="15"/>
      <c r="AO1758" s="15"/>
      <c r="AP1758" s="15"/>
      <c r="AQ1758" s="15"/>
      <c r="AR1758" s="15"/>
      <c r="AS1758" s="15"/>
      <c r="AT1758" s="15"/>
      <c r="AU1758" s="15"/>
    </row>
    <row r="1759" ht="24.0" customHeight="1">
      <c r="A1759" s="45">
        <v>3183.0</v>
      </c>
      <c r="B1759" s="57"/>
      <c r="C1759" s="57"/>
      <c r="D1759" s="88" t="str">
        <f t="array" ref="D1759">IFERROR(
  LOOKUP(2, 1/((TRIM(IMS!$E$8:$E$2574)=TRIM(IMS!$E1759))*(IMS!$C$8:$C$2574&lt;IMS!$C1759)),
         IMS!$C$8:$C$2574),
"")</f>
        <v/>
      </c>
      <c r="E1759" s="57"/>
      <c r="F1759" s="57"/>
      <c r="G1759" s="77" t="str">
        <f t="shared" si="901"/>
        <v/>
      </c>
      <c r="H1759" s="78" t="str">
        <f t="shared" si="902"/>
        <v/>
      </c>
      <c r="I1759" s="79"/>
      <c r="J1759" s="80" t="str">
        <f t="shared" si="903"/>
        <v>#NAME?</v>
      </c>
      <c r="K1759" s="58"/>
      <c r="L1759" s="58"/>
      <c r="M1759" s="57"/>
      <c r="N1759" s="57"/>
      <c r="O1759" s="58"/>
      <c r="P1759" s="82"/>
      <c r="Q1759" s="81"/>
      <c r="R1759" s="81"/>
      <c r="S1759" s="57"/>
      <c r="T1759" s="82"/>
      <c r="U1759" s="82"/>
      <c r="V1759" s="57"/>
      <c r="W1759" s="57"/>
      <c r="X1759" s="57" t="str">
        <f t="shared" si="917"/>
        <v/>
      </c>
      <c r="Y1759" s="58" t="str">
        <f t="shared" ref="Y1759:AC1759" si="1599">TRIM(SUBSTITUTE(SUBSTITUTE(OFFSET($Q1759,0,COLUMN()-COLUMN($AL$1)),CHAR(160)," "),_xludf.UNICHAR(8239)," "))</f>
        <v>#NAME?</v>
      </c>
      <c r="Z1759" s="58" t="str">
        <f t="shared" si="1599"/>
        <v>#NAME?</v>
      </c>
      <c r="AA1759" s="58" t="str">
        <f t="shared" si="1599"/>
        <v>#NAME?</v>
      </c>
      <c r="AB1759" s="58" t="str">
        <f t="shared" si="1599"/>
        <v>#NAME?</v>
      </c>
      <c r="AC1759" s="58" t="str">
        <f t="shared" si="1599"/>
        <v>#NAME?</v>
      </c>
      <c r="AD1759" s="57">
        <f t="shared" si="906"/>
        <v>0</v>
      </c>
      <c r="AE1759" s="57" t="str">
        <f t="shared" si="907"/>
        <v/>
      </c>
      <c r="AF1759" s="57">
        <f t="shared" si="908"/>
        <v>0</v>
      </c>
      <c r="AG1759" s="59">
        <f t="shared" si="909"/>
        <v>0</v>
      </c>
      <c r="AH1759" s="15"/>
      <c r="AI1759" s="15"/>
      <c r="AJ1759" s="15"/>
      <c r="AK1759" s="15"/>
      <c r="AL1759" s="15"/>
      <c r="AM1759" s="15"/>
      <c r="AN1759" s="15"/>
      <c r="AO1759" s="15"/>
      <c r="AP1759" s="15"/>
      <c r="AQ1759" s="15"/>
      <c r="AR1759" s="15"/>
      <c r="AS1759" s="15"/>
      <c r="AT1759" s="15"/>
      <c r="AU1759" s="15"/>
    </row>
    <row r="1760" ht="24.0" customHeight="1">
      <c r="A1760" s="45">
        <v>3184.0</v>
      </c>
      <c r="B1760" s="57"/>
      <c r="C1760" s="57"/>
      <c r="D1760" s="88" t="str">
        <f t="array" ref="D1760">IFERROR(
  LOOKUP(2, 1/((TRIM(IMS!$E$8:$E$2574)=TRIM(IMS!$E1760))*(IMS!$C$8:$C$2574&lt;IMS!$C1760)),
         IMS!$C$8:$C$2574),
"")</f>
        <v/>
      </c>
      <c r="E1760" s="57"/>
      <c r="F1760" s="57"/>
      <c r="G1760" s="77" t="str">
        <f t="shared" si="901"/>
        <v/>
      </c>
      <c r="H1760" s="78" t="str">
        <f t="shared" si="902"/>
        <v/>
      </c>
      <c r="I1760" s="79"/>
      <c r="J1760" s="80" t="str">
        <f t="shared" si="903"/>
        <v>#NAME?</v>
      </c>
      <c r="K1760" s="58"/>
      <c r="L1760" s="58"/>
      <c r="M1760" s="57"/>
      <c r="N1760" s="57"/>
      <c r="O1760" s="58"/>
      <c r="P1760" s="82"/>
      <c r="Q1760" s="81"/>
      <c r="R1760" s="81"/>
      <c r="S1760" s="57"/>
      <c r="T1760" s="82"/>
      <c r="U1760" s="82"/>
      <c r="V1760" s="57"/>
      <c r="W1760" s="57"/>
      <c r="X1760" s="57" t="str">
        <f t="shared" si="917"/>
        <v/>
      </c>
      <c r="Y1760" s="58" t="str">
        <f t="shared" ref="Y1760:AC1760" si="1600">TRIM(SUBSTITUTE(SUBSTITUTE(OFFSET($Q1760,0,COLUMN()-COLUMN($AL$1)),CHAR(160)," "),_xludf.UNICHAR(8239)," "))</f>
        <v>#NAME?</v>
      </c>
      <c r="Z1760" s="58" t="str">
        <f t="shared" si="1600"/>
        <v>#NAME?</v>
      </c>
      <c r="AA1760" s="58" t="str">
        <f t="shared" si="1600"/>
        <v>#NAME?</v>
      </c>
      <c r="AB1760" s="58" t="str">
        <f t="shared" si="1600"/>
        <v>#NAME?</v>
      </c>
      <c r="AC1760" s="58" t="str">
        <f t="shared" si="1600"/>
        <v>#NAME?</v>
      </c>
      <c r="AD1760" s="57">
        <f t="shared" si="906"/>
        <v>0</v>
      </c>
      <c r="AE1760" s="57" t="str">
        <f t="shared" si="907"/>
        <v/>
      </c>
      <c r="AF1760" s="57">
        <f t="shared" si="908"/>
        <v>0</v>
      </c>
      <c r="AG1760" s="59">
        <f t="shared" si="909"/>
        <v>0</v>
      </c>
      <c r="AH1760" s="15"/>
      <c r="AI1760" s="15"/>
      <c r="AJ1760" s="15"/>
      <c r="AK1760" s="15"/>
      <c r="AL1760" s="15"/>
      <c r="AM1760" s="15"/>
      <c r="AN1760" s="15"/>
      <c r="AO1760" s="15"/>
      <c r="AP1760" s="15"/>
      <c r="AQ1760" s="15"/>
      <c r="AR1760" s="15"/>
      <c r="AS1760" s="15"/>
      <c r="AT1760" s="15"/>
      <c r="AU1760" s="15"/>
    </row>
    <row r="1761" ht="24.0" customHeight="1">
      <c r="A1761" s="45">
        <v>3185.0</v>
      </c>
      <c r="B1761" s="57"/>
      <c r="C1761" s="57"/>
      <c r="D1761" s="88" t="str">
        <f t="array" ref="D1761">IFERROR(
  LOOKUP(2, 1/((TRIM(IMS!$E$8:$E$2574)=TRIM(IMS!$E1761))*(IMS!$C$8:$C$2574&lt;IMS!$C1761)),
         IMS!$C$8:$C$2574),
"")</f>
        <v/>
      </c>
      <c r="E1761" s="57"/>
      <c r="F1761" s="57"/>
      <c r="G1761" s="77" t="str">
        <f t="shared" si="901"/>
        <v/>
      </c>
      <c r="H1761" s="78" t="str">
        <f t="shared" si="902"/>
        <v/>
      </c>
      <c r="I1761" s="79"/>
      <c r="J1761" s="80" t="str">
        <f t="shared" si="903"/>
        <v>#NAME?</v>
      </c>
      <c r="K1761" s="58"/>
      <c r="L1761" s="58"/>
      <c r="M1761" s="57"/>
      <c r="N1761" s="57"/>
      <c r="O1761" s="58"/>
      <c r="P1761" s="82"/>
      <c r="Q1761" s="81"/>
      <c r="R1761" s="81"/>
      <c r="S1761" s="57"/>
      <c r="T1761" s="82"/>
      <c r="U1761" s="82"/>
      <c r="V1761" s="57"/>
      <c r="W1761" s="57"/>
      <c r="X1761" s="57" t="str">
        <f t="shared" si="917"/>
        <v/>
      </c>
      <c r="Y1761" s="58" t="str">
        <f t="shared" ref="Y1761:AC1761" si="1601">TRIM(SUBSTITUTE(SUBSTITUTE(OFFSET($Q1761,0,COLUMN()-COLUMN($AL$1)),CHAR(160)," "),_xludf.UNICHAR(8239)," "))</f>
        <v>#NAME?</v>
      </c>
      <c r="Z1761" s="58" t="str">
        <f t="shared" si="1601"/>
        <v>#NAME?</v>
      </c>
      <c r="AA1761" s="58" t="str">
        <f t="shared" si="1601"/>
        <v>#NAME?</v>
      </c>
      <c r="AB1761" s="58" t="str">
        <f t="shared" si="1601"/>
        <v>#NAME?</v>
      </c>
      <c r="AC1761" s="58" t="str">
        <f t="shared" si="1601"/>
        <v>#NAME?</v>
      </c>
      <c r="AD1761" s="57">
        <f t="shared" si="906"/>
        <v>0</v>
      </c>
      <c r="AE1761" s="57" t="str">
        <f t="shared" si="907"/>
        <v/>
      </c>
      <c r="AF1761" s="57">
        <f t="shared" si="908"/>
        <v>0</v>
      </c>
      <c r="AG1761" s="59">
        <f t="shared" si="909"/>
        <v>0</v>
      </c>
      <c r="AH1761" s="15"/>
      <c r="AI1761" s="15"/>
      <c r="AJ1761" s="15"/>
      <c r="AK1761" s="15"/>
      <c r="AL1761" s="15"/>
      <c r="AM1761" s="15"/>
      <c r="AN1761" s="15"/>
      <c r="AO1761" s="15"/>
      <c r="AP1761" s="15"/>
      <c r="AQ1761" s="15"/>
      <c r="AR1761" s="15"/>
      <c r="AS1761" s="15"/>
      <c r="AT1761" s="15"/>
      <c r="AU1761" s="15"/>
    </row>
    <row r="1762" ht="24.0" customHeight="1">
      <c r="A1762" s="45">
        <v>3186.0</v>
      </c>
      <c r="B1762" s="57"/>
      <c r="C1762" s="57"/>
      <c r="D1762" s="88" t="str">
        <f t="array" ref="D1762">IFERROR(
  LOOKUP(2, 1/((TRIM(IMS!$E$8:$E$2574)=TRIM(IMS!$E1762))*(IMS!$C$8:$C$2574&lt;IMS!$C1762)),
         IMS!$C$8:$C$2574),
"")</f>
        <v/>
      </c>
      <c r="E1762" s="57"/>
      <c r="F1762" s="57"/>
      <c r="G1762" s="77" t="str">
        <f t="shared" si="901"/>
        <v/>
      </c>
      <c r="H1762" s="78" t="str">
        <f t="shared" si="902"/>
        <v/>
      </c>
      <c r="I1762" s="79"/>
      <c r="J1762" s="80" t="str">
        <f t="shared" si="903"/>
        <v>#NAME?</v>
      </c>
      <c r="K1762" s="58"/>
      <c r="L1762" s="58"/>
      <c r="M1762" s="57"/>
      <c r="N1762" s="57"/>
      <c r="O1762" s="58"/>
      <c r="P1762" s="82"/>
      <c r="Q1762" s="81"/>
      <c r="R1762" s="81"/>
      <c r="S1762" s="57"/>
      <c r="T1762" s="82"/>
      <c r="U1762" s="82"/>
      <c r="V1762" s="57"/>
      <c r="W1762" s="57"/>
      <c r="X1762" s="57" t="str">
        <f t="shared" si="917"/>
        <v/>
      </c>
      <c r="Y1762" s="58" t="str">
        <f t="shared" ref="Y1762:AC1762" si="1602">TRIM(SUBSTITUTE(SUBSTITUTE(OFFSET($Q1762,0,COLUMN()-COLUMN($AL$1)),CHAR(160)," "),_xludf.UNICHAR(8239)," "))</f>
        <v>#NAME?</v>
      </c>
      <c r="Z1762" s="58" t="str">
        <f t="shared" si="1602"/>
        <v>#NAME?</v>
      </c>
      <c r="AA1762" s="58" t="str">
        <f t="shared" si="1602"/>
        <v>#NAME?</v>
      </c>
      <c r="AB1762" s="58" t="str">
        <f t="shared" si="1602"/>
        <v>#NAME?</v>
      </c>
      <c r="AC1762" s="58" t="str">
        <f t="shared" si="1602"/>
        <v>#NAME?</v>
      </c>
      <c r="AD1762" s="57">
        <f t="shared" si="906"/>
        <v>0</v>
      </c>
      <c r="AE1762" s="57" t="str">
        <f t="shared" si="907"/>
        <v/>
      </c>
      <c r="AF1762" s="57">
        <f t="shared" si="908"/>
        <v>0</v>
      </c>
      <c r="AG1762" s="59">
        <f t="shared" si="909"/>
        <v>0</v>
      </c>
      <c r="AH1762" s="15"/>
      <c r="AI1762" s="15"/>
      <c r="AJ1762" s="15"/>
      <c r="AK1762" s="15"/>
      <c r="AL1762" s="15"/>
      <c r="AM1762" s="15"/>
      <c r="AN1762" s="15"/>
      <c r="AO1762" s="15"/>
      <c r="AP1762" s="15"/>
      <c r="AQ1762" s="15"/>
      <c r="AR1762" s="15"/>
      <c r="AS1762" s="15"/>
      <c r="AT1762" s="15"/>
      <c r="AU1762" s="15"/>
    </row>
    <row r="1763" ht="24.0" customHeight="1">
      <c r="A1763" s="45">
        <v>3187.0</v>
      </c>
      <c r="B1763" s="57"/>
      <c r="C1763" s="57"/>
      <c r="D1763" s="88" t="str">
        <f t="array" ref="D1763">IFERROR(
  LOOKUP(2, 1/((TRIM(IMS!$E$8:$E$2574)=TRIM(IMS!$E1763))*(IMS!$C$8:$C$2574&lt;IMS!$C1763)),
         IMS!$C$8:$C$2574),
"")</f>
        <v/>
      </c>
      <c r="E1763" s="57"/>
      <c r="F1763" s="57"/>
      <c r="G1763" s="77" t="str">
        <f t="shared" si="901"/>
        <v/>
      </c>
      <c r="H1763" s="78" t="str">
        <f t="shared" si="902"/>
        <v/>
      </c>
      <c r="I1763" s="79"/>
      <c r="J1763" s="80" t="str">
        <f t="shared" si="903"/>
        <v>#NAME?</v>
      </c>
      <c r="K1763" s="58"/>
      <c r="L1763" s="58"/>
      <c r="M1763" s="57"/>
      <c r="N1763" s="57"/>
      <c r="O1763" s="58"/>
      <c r="P1763" s="82"/>
      <c r="Q1763" s="81"/>
      <c r="R1763" s="81"/>
      <c r="S1763" s="57"/>
      <c r="T1763" s="82"/>
      <c r="U1763" s="82"/>
      <c r="V1763" s="57"/>
      <c r="W1763" s="57"/>
      <c r="X1763" s="57" t="str">
        <f t="shared" si="917"/>
        <v/>
      </c>
      <c r="Y1763" s="58" t="str">
        <f t="shared" ref="Y1763:AC1763" si="1603">TRIM(SUBSTITUTE(SUBSTITUTE(OFFSET($Q1763,0,COLUMN()-COLUMN($AL$1)),CHAR(160)," "),_xludf.UNICHAR(8239)," "))</f>
        <v>#NAME?</v>
      </c>
      <c r="Z1763" s="58" t="str">
        <f t="shared" si="1603"/>
        <v>#NAME?</v>
      </c>
      <c r="AA1763" s="58" t="str">
        <f t="shared" si="1603"/>
        <v>#NAME?</v>
      </c>
      <c r="AB1763" s="58" t="str">
        <f t="shared" si="1603"/>
        <v>#NAME?</v>
      </c>
      <c r="AC1763" s="58" t="str">
        <f t="shared" si="1603"/>
        <v>#NAME?</v>
      </c>
      <c r="AD1763" s="57">
        <f t="shared" si="906"/>
        <v>0</v>
      </c>
      <c r="AE1763" s="57" t="str">
        <f t="shared" si="907"/>
        <v/>
      </c>
      <c r="AF1763" s="57">
        <f t="shared" si="908"/>
        <v>0</v>
      </c>
      <c r="AG1763" s="59">
        <f t="shared" si="909"/>
        <v>0</v>
      </c>
      <c r="AH1763" s="15"/>
      <c r="AI1763" s="15"/>
      <c r="AJ1763" s="15"/>
      <c r="AK1763" s="15"/>
      <c r="AL1763" s="15"/>
      <c r="AM1763" s="15"/>
      <c r="AN1763" s="15"/>
      <c r="AO1763" s="15"/>
      <c r="AP1763" s="15"/>
      <c r="AQ1763" s="15"/>
      <c r="AR1763" s="15"/>
      <c r="AS1763" s="15"/>
      <c r="AT1763" s="15"/>
      <c r="AU1763" s="15"/>
    </row>
    <row r="1764" ht="24.0" customHeight="1">
      <c r="A1764" s="45">
        <v>3188.0</v>
      </c>
      <c r="B1764" s="57"/>
      <c r="C1764" s="57"/>
      <c r="D1764" s="88" t="str">
        <f t="array" ref="D1764">IFERROR(
  LOOKUP(2, 1/((TRIM(IMS!$E$8:$E$2574)=TRIM(IMS!$E1764))*(IMS!$C$8:$C$2574&lt;IMS!$C1764)),
         IMS!$C$8:$C$2574),
"")</f>
        <v/>
      </c>
      <c r="E1764" s="57"/>
      <c r="F1764" s="57"/>
      <c r="G1764" s="77" t="str">
        <f t="shared" si="901"/>
        <v/>
      </c>
      <c r="H1764" s="78" t="str">
        <f t="shared" si="902"/>
        <v/>
      </c>
      <c r="I1764" s="79"/>
      <c r="J1764" s="80" t="str">
        <f t="shared" si="903"/>
        <v>#NAME?</v>
      </c>
      <c r="K1764" s="58"/>
      <c r="L1764" s="58"/>
      <c r="M1764" s="57"/>
      <c r="N1764" s="57"/>
      <c r="O1764" s="58"/>
      <c r="P1764" s="82"/>
      <c r="Q1764" s="81"/>
      <c r="R1764" s="81"/>
      <c r="S1764" s="57"/>
      <c r="T1764" s="82"/>
      <c r="U1764" s="82"/>
      <c r="V1764" s="57"/>
      <c r="W1764" s="57"/>
      <c r="X1764" s="57" t="str">
        <f t="shared" si="917"/>
        <v/>
      </c>
      <c r="Y1764" s="58" t="str">
        <f t="shared" ref="Y1764:AC1764" si="1604">TRIM(SUBSTITUTE(SUBSTITUTE(OFFSET($Q1764,0,COLUMN()-COLUMN($AL$1)),CHAR(160)," "),_xludf.UNICHAR(8239)," "))</f>
        <v>#NAME?</v>
      </c>
      <c r="Z1764" s="58" t="str">
        <f t="shared" si="1604"/>
        <v>#NAME?</v>
      </c>
      <c r="AA1764" s="58" t="str">
        <f t="shared" si="1604"/>
        <v>#NAME?</v>
      </c>
      <c r="AB1764" s="58" t="str">
        <f t="shared" si="1604"/>
        <v>#NAME?</v>
      </c>
      <c r="AC1764" s="58" t="str">
        <f t="shared" si="1604"/>
        <v>#NAME?</v>
      </c>
      <c r="AD1764" s="57">
        <f t="shared" si="906"/>
        <v>0</v>
      </c>
      <c r="AE1764" s="57" t="str">
        <f t="shared" si="907"/>
        <v/>
      </c>
      <c r="AF1764" s="57">
        <f t="shared" si="908"/>
        <v>0</v>
      </c>
      <c r="AG1764" s="59">
        <f t="shared" si="909"/>
        <v>0</v>
      </c>
      <c r="AH1764" s="15"/>
      <c r="AI1764" s="15"/>
      <c r="AJ1764" s="15"/>
      <c r="AK1764" s="15"/>
      <c r="AL1764" s="15"/>
      <c r="AM1764" s="15"/>
      <c r="AN1764" s="15"/>
      <c r="AO1764" s="15"/>
      <c r="AP1764" s="15"/>
      <c r="AQ1764" s="15"/>
      <c r="AR1764" s="15"/>
      <c r="AS1764" s="15"/>
      <c r="AT1764" s="15"/>
      <c r="AU1764" s="15"/>
    </row>
    <row r="1765" ht="24.0" customHeight="1">
      <c r="A1765" s="45">
        <v>3189.0</v>
      </c>
      <c r="B1765" s="57"/>
      <c r="C1765" s="57"/>
      <c r="D1765" s="88" t="str">
        <f t="array" ref="D1765">IFERROR(
  LOOKUP(2, 1/((TRIM(IMS!$E$8:$E$2574)=TRIM(IMS!$E1765))*(IMS!$C$8:$C$2574&lt;IMS!$C1765)),
         IMS!$C$8:$C$2574),
"")</f>
        <v/>
      </c>
      <c r="E1765" s="57"/>
      <c r="F1765" s="57"/>
      <c r="G1765" s="77" t="str">
        <f t="shared" si="901"/>
        <v/>
      </c>
      <c r="H1765" s="78" t="str">
        <f t="shared" si="902"/>
        <v/>
      </c>
      <c r="I1765" s="79"/>
      <c r="J1765" s="80" t="str">
        <f t="shared" si="903"/>
        <v>#NAME?</v>
      </c>
      <c r="K1765" s="58"/>
      <c r="L1765" s="58"/>
      <c r="M1765" s="57"/>
      <c r="N1765" s="57"/>
      <c r="O1765" s="58"/>
      <c r="P1765" s="82"/>
      <c r="Q1765" s="81"/>
      <c r="R1765" s="81"/>
      <c r="S1765" s="57"/>
      <c r="T1765" s="82"/>
      <c r="U1765" s="82"/>
      <c r="V1765" s="57"/>
      <c r="W1765" s="57"/>
      <c r="X1765" s="57" t="str">
        <f t="shared" si="917"/>
        <v/>
      </c>
      <c r="Y1765" s="58" t="str">
        <f t="shared" ref="Y1765:AC1765" si="1605">TRIM(SUBSTITUTE(SUBSTITUTE(OFFSET($Q1765,0,COLUMN()-COLUMN($AL$1)),CHAR(160)," "),_xludf.UNICHAR(8239)," "))</f>
        <v>#NAME?</v>
      </c>
      <c r="Z1765" s="58" t="str">
        <f t="shared" si="1605"/>
        <v>#NAME?</v>
      </c>
      <c r="AA1765" s="58" t="str">
        <f t="shared" si="1605"/>
        <v>#NAME?</v>
      </c>
      <c r="AB1765" s="58" t="str">
        <f t="shared" si="1605"/>
        <v>#NAME?</v>
      </c>
      <c r="AC1765" s="58" t="str">
        <f t="shared" si="1605"/>
        <v>#NAME?</v>
      </c>
      <c r="AD1765" s="57">
        <f t="shared" si="906"/>
        <v>0</v>
      </c>
      <c r="AE1765" s="57" t="str">
        <f t="shared" si="907"/>
        <v/>
      </c>
      <c r="AF1765" s="57">
        <f t="shared" si="908"/>
        <v>0</v>
      </c>
      <c r="AG1765" s="59">
        <f t="shared" si="909"/>
        <v>0</v>
      </c>
      <c r="AH1765" s="15"/>
      <c r="AI1765" s="15"/>
      <c r="AJ1765" s="15"/>
      <c r="AK1765" s="15"/>
      <c r="AL1765" s="15"/>
      <c r="AM1765" s="15"/>
      <c r="AN1765" s="15"/>
      <c r="AO1765" s="15"/>
      <c r="AP1765" s="15"/>
      <c r="AQ1765" s="15"/>
      <c r="AR1765" s="15"/>
      <c r="AS1765" s="15"/>
      <c r="AT1765" s="15"/>
      <c r="AU1765" s="15"/>
    </row>
    <row r="1766" ht="24.0" customHeight="1">
      <c r="A1766" s="45">
        <v>3190.0</v>
      </c>
      <c r="B1766" s="57"/>
      <c r="C1766" s="57"/>
      <c r="D1766" s="88" t="str">
        <f t="array" ref="D1766">IFERROR(
  LOOKUP(2, 1/((TRIM(IMS!$E$8:$E$2574)=TRIM(IMS!$E1766))*(IMS!$C$8:$C$2574&lt;IMS!$C1766)),
         IMS!$C$8:$C$2574),
"")</f>
        <v/>
      </c>
      <c r="E1766" s="57"/>
      <c r="F1766" s="57"/>
      <c r="G1766" s="77" t="str">
        <f t="shared" si="901"/>
        <v/>
      </c>
      <c r="H1766" s="78" t="str">
        <f t="shared" si="902"/>
        <v/>
      </c>
      <c r="I1766" s="79"/>
      <c r="J1766" s="80" t="str">
        <f t="shared" si="903"/>
        <v>#NAME?</v>
      </c>
      <c r="K1766" s="58"/>
      <c r="L1766" s="58"/>
      <c r="M1766" s="57"/>
      <c r="N1766" s="57"/>
      <c r="O1766" s="58"/>
      <c r="P1766" s="82"/>
      <c r="Q1766" s="81"/>
      <c r="R1766" s="81"/>
      <c r="S1766" s="57"/>
      <c r="T1766" s="82"/>
      <c r="U1766" s="82"/>
      <c r="V1766" s="57"/>
      <c r="W1766" s="57"/>
      <c r="X1766" s="57" t="str">
        <f t="shared" si="917"/>
        <v/>
      </c>
      <c r="Y1766" s="58" t="str">
        <f t="shared" ref="Y1766:AC1766" si="1606">TRIM(SUBSTITUTE(SUBSTITUTE(OFFSET($Q1766,0,COLUMN()-COLUMN($AL$1)),CHAR(160)," "),_xludf.UNICHAR(8239)," "))</f>
        <v>#NAME?</v>
      </c>
      <c r="Z1766" s="58" t="str">
        <f t="shared" si="1606"/>
        <v>#NAME?</v>
      </c>
      <c r="AA1766" s="58" t="str">
        <f t="shared" si="1606"/>
        <v>#NAME?</v>
      </c>
      <c r="AB1766" s="58" t="str">
        <f t="shared" si="1606"/>
        <v>#NAME?</v>
      </c>
      <c r="AC1766" s="58" t="str">
        <f t="shared" si="1606"/>
        <v>#NAME?</v>
      </c>
      <c r="AD1766" s="57">
        <f t="shared" si="906"/>
        <v>0</v>
      </c>
      <c r="AE1766" s="57" t="str">
        <f t="shared" si="907"/>
        <v/>
      </c>
      <c r="AF1766" s="57">
        <f t="shared" si="908"/>
        <v>0</v>
      </c>
      <c r="AG1766" s="59">
        <f t="shared" si="909"/>
        <v>0</v>
      </c>
      <c r="AH1766" s="15"/>
      <c r="AI1766" s="15"/>
      <c r="AJ1766" s="15"/>
      <c r="AK1766" s="15"/>
      <c r="AL1766" s="15"/>
      <c r="AM1766" s="15"/>
      <c r="AN1766" s="15"/>
      <c r="AO1766" s="15"/>
      <c r="AP1766" s="15"/>
      <c r="AQ1766" s="15"/>
      <c r="AR1766" s="15"/>
      <c r="AS1766" s="15"/>
      <c r="AT1766" s="15"/>
      <c r="AU1766" s="15"/>
    </row>
    <row r="1767" ht="24.0" customHeight="1">
      <c r="A1767" s="45">
        <v>3191.0</v>
      </c>
      <c r="B1767" s="57"/>
      <c r="C1767" s="57"/>
      <c r="D1767" s="88" t="str">
        <f t="array" ref="D1767">IFERROR(
  LOOKUP(2, 1/((TRIM(IMS!$E$8:$E$2574)=TRIM(IMS!$E1767))*(IMS!$C$8:$C$2574&lt;IMS!$C1767)),
         IMS!$C$8:$C$2574),
"")</f>
        <v/>
      </c>
      <c r="E1767" s="57"/>
      <c r="F1767" s="57"/>
      <c r="G1767" s="77" t="str">
        <f t="shared" si="901"/>
        <v/>
      </c>
      <c r="H1767" s="78" t="str">
        <f t="shared" si="902"/>
        <v/>
      </c>
      <c r="I1767" s="79"/>
      <c r="J1767" s="80" t="str">
        <f t="shared" si="903"/>
        <v>#NAME?</v>
      </c>
      <c r="K1767" s="58"/>
      <c r="L1767" s="58"/>
      <c r="M1767" s="57"/>
      <c r="N1767" s="57"/>
      <c r="O1767" s="58"/>
      <c r="P1767" s="82"/>
      <c r="Q1767" s="81"/>
      <c r="R1767" s="81"/>
      <c r="S1767" s="57"/>
      <c r="T1767" s="82"/>
      <c r="U1767" s="82"/>
      <c r="V1767" s="57"/>
      <c r="W1767" s="57"/>
      <c r="X1767" s="57" t="str">
        <f t="shared" si="917"/>
        <v/>
      </c>
      <c r="Y1767" s="58" t="str">
        <f t="shared" ref="Y1767:AC1767" si="1607">TRIM(SUBSTITUTE(SUBSTITUTE(OFFSET($Q1767,0,COLUMN()-COLUMN($AL$1)),CHAR(160)," "),_xludf.UNICHAR(8239)," "))</f>
        <v>#NAME?</v>
      </c>
      <c r="Z1767" s="58" t="str">
        <f t="shared" si="1607"/>
        <v>#NAME?</v>
      </c>
      <c r="AA1767" s="58" t="str">
        <f t="shared" si="1607"/>
        <v>#NAME?</v>
      </c>
      <c r="AB1767" s="58" t="str">
        <f t="shared" si="1607"/>
        <v>#NAME?</v>
      </c>
      <c r="AC1767" s="58" t="str">
        <f t="shared" si="1607"/>
        <v>#NAME?</v>
      </c>
      <c r="AD1767" s="57">
        <f t="shared" si="906"/>
        <v>0</v>
      </c>
      <c r="AE1767" s="57" t="str">
        <f t="shared" si="907"/>
        <v/>
      </c>
      <c r="AF1767" s="57">
        <f t="shared" si="908"/>
        <v>0</v>
      </c>
      <c r="AG1767" s="59">
        <f t="shared" si="909"/>
        <v>0</v>
      </c>
      <c r="AH1767" s="15"/>
      <c r="AI1767" s="15"/>
      <c r="AJ1767" s="15"/>
      <c r="AK1767" s="15"/>
      <c r="AL1767" s="15"/>
      <c r="AM1767" s="15"/>
      <c r="AN1767" s="15"/>
      <c r="AO1767" s="15"/>
      <c r="AP1767" s="15"/>
      <c r="AQ1767" s="15"/>
      <c r="AR1767" s="15"/>
      <c r="AS1767" s="15"/>
      <c r="AT1767" s="15"/>
      <c r="AU1767" s="15"/>
    </row>
    <row r="1768" ht="24.0" customHeight="1">
      <c r="A1768" s="45">
        <v>3192.0</v>
      </c>
      <c r="B1768" s="57"/>
      <c r="C1768" s="57"/>
      <c r="D1768" s="88" t="str">
        <f t="array" ref="D1768">IFERROR(
  LOOKUP(2, 1/((TRIM(IMS!$E$8:$E$2574)=TRIM(IMS!$E1768))*(IMS!$C$8:$C$2574&lt;IMS!$C1768)),
         IMS!$C$8:$C$2574),
"")</f>
        <v/>
      </c>
      <c r="E1768" s="57"/>
      <c r="F1768" s="57"/>
      <c r="G1768" s="77" t="str">
        <f t="shared" si="901"/>
        <v/>
      </c>
      <c r="H1768" s="78" t="str">
        <f t="shared" si="902"/>
        <v/>
      </c>
      <c r="I1768" s="79"/>
      <c r="J1768" s="80" t="str">
        <f t="shared" si="903"/>
        <v>#NAME?</v>
      </c>
      <c r="K1768" s="58"/>
      <c r="L1768" s="58"/>
      <c r="M1768" s="57"/>
      <c r="N1768" s="57"/>
      <c r="O1768" s="58"/>
      <c r="P1768" s="82"/>
      <c r="Q1768" s="81"/>
      <c r="R1768" s="81"/>
      <c r="S1768" s="57"/>
      <c r="T1768" s="82"/>
      <c r="U1768" s="82"/>
      <c r="V1768" s="57"/>
      <c r="W1768" s="57"/>
      <c r="X1768" s="57" t="str">
        <f t="shared" si="917"/>
        <v/>
      </c>
      <c r="Y1768" s="58" t="str">
        <f t="shared" ref="Y1768:AC1768" si="1608">TRIM(SUBSTITUTE(SUBSTITUTE(OFFSET($Q1768,0,COLUMN()-COLUMN($AL$1)),CHAR(160)," "),_xludf.UNICHAR(8239)," "))</f>
        <v>#NAME?</v>
      </c>
      <c r="Z1768" s="58" t="str">
        <f t="shared" si="1608"/>
        <v>#NAME?</v>
      </c>
      <c r="AA1768" s="58" t="str">
        <f t="shared" si="1608"/>
        <v>#NAME?</v>
      </c>
      <c r="AB1768" s="58" t="str">
        <f t="shared" si="1608"/>
        <v>#NAME?</v>
      </c>
      <c r="AC1768" s="58" t="str">
        <f t="shared" si="1608"/>
        <v>#NAME?</v>
      </c>
      <c r="AD1768" s="57">
        <f t="shared" si="906"/>
        <v>0</v>
      </c>
      <c r="AE1768" s="57" t="str">
        <f t="shared" si="907"/>
        <v/>
      </c>
      <c r="AF1768" s="57">
        <f t="shared" si="908"/>
        <v>0</v>
      </c>
      <c r="AG1768" s="59">
        <f t="shared" si="909"/>
        <v>0</v>
      </c>
      <c r="AH1768" s="15"/>
      <c r="AI1768" s="15"/>
      <c r="AJ1768" s="15"/>
      <c r="AK1768" s="15"/>
      <c r="AL1768" s="15"/>
      <c r="AM1768" s="15"/>
      <c r="AN1768" s="15"/>
      <c r="AO1768" s="15"/>
      <c r="AP1768" s="15"/>
      <c r="AQ1768" s="15"/>
      <c r="AR1768" s="15"/>
      <c r="AS1768" s="15"/>
      <c r="AT1768" s="15"/>
      <c r="AU1768" s="15"/>
    </row>
    <row r="1769" ht="24.0" customHeight="1">
      <c r="A1769" s="45">
        <v>3193.0</v>
      </c>
      <c r="B1769" s="57"/>
      <c r="C1769" s="57"/>
      <c r="D1769" s="88" t="str">
        <f t="array" ref="D1769">IFERROR(
  LOOKUP(2, 1/((TRIM(IMS!$E$8:$E$2574)=TRIM(IMS!$E1769))*(IMS!$C$8:$C$2574&lt;IMS!$C1769)),
         IMS!$C$8:$C$2574),
"")</f>
        <v/>
      </c>
      <c r="E1769" s="57"/>
      <c r="F1769" s="57"/>
      <c r="G1769" s="77" t="str">
        <f t="shared" si="901"/>
        <v/>
      </c>
      <c r="H1769" s="78" t="str">
        <f t="shared" si="902"/>
        <v/>
      </c>
      <c r="I1769" s="79"/>
      <c r="J1769" s="80" t="str">
        <f t="shared" si="903"/>
        <v>#NAME?</v>
      </c>
      <c r="K1769" s="58"/>
      <c r="L1769" s="58"/>
      <c r="M1769" s="57"/>
      <c r="N1769" s="57"/>
      <c r="O1769" s="58"/>
      <c r="P1769" s="82"/>
      <c r="Q1769" s="81"/>
      <c r="R1769" s="81"/>
      <c r="S1769" s="57"/>
      <c r="T1769" s="82"/>
      <c r="U1769" s="82"/>
      <c r="V1769" s="57"/>
      <c r="W1769" s="57"/>
      <c r="X1769" s="57" t="str">
        <f t="shared" si="917"/>
        <v/>
      </c>
      <c r="Y1769" s="58" t="str">
        <f t="shared" ref="Y1769:AC1769" si="1609">TRIM(SUBSTITUTE(SUBSTITUTE(OFFSET($Q1769,0,COLUMN()-COLUMN($AL$1)),CHAR(160)," "),_xludf.UNICHAR(8239)," "))</f>
        <v>#NAME?</v>
      </c>
      <c r="Z1769" s="58" t="str">
        <f t="shared" si="1609"/>
        <v>#NAME?</v>
      </c>
      <c r="AA1769" s="58" t="str">
        <f t="shared" si="1609"/>
        <v>#NAME?</v>
      </c>
      <c r="AB1769" s="58" t="str">
        <f t="shared" si="1609"/>
        <v>#NAME?</v>
      </c>
      <c r="AC1769" s="58" t="str">
        <f t="shared" si="1609"/>
        <v>#NAME?</v>
      </c>
      <c r="AD1769" s="57">
        <f t="shared" si="906"/>
        <v>0</v>
      </c>
      <c r="AE1769" s="57" t="str">
        <f t="shared" si="907"/>
        <v/>
      </c>
      <c r="AF1769" s="57">
        <f t="shared" si="908"/>
        <v>0</v>
      </c>
      <c r="AG1769" s="59">
        <f t="shared" si="909"/>
        <v>0</v>
      </c>
      <c r="AH1769" s="15"/>
      <c r="AI1769" s="15"/>
      <c r="AJ1769" s="15"/>
      <c r="AK1769" s="15"/>
      <c r="AL1769" s="15"/>
      <c r="AM1769" s="15"/>
      <c r="AN1769" s="15"/>
      <c r="AO1769" s="15"/>
      <c r="AP1769" s="15"/>
      <c r="AQ1769" s="15"/>
      <c r="AR1769" s="15"/>
      <c r="AS1769" s="15"/>
      <c r="AT1769" s="15"/>
      <c r="AU1769" s="15"/>
    </row>
    <row r="1770" ht="24.0" customHeight="1">
      <c r="A1770" s="45">
        <v>3194.0</v>
      </c>
      <c r="B1770" s="57"/>
      <c r="C1770" s="57"/>
      <c r="D1770" s="88" t="str">
        <f t="array" ref="D1770">IFERROR(
  LOOKUP(2, 1/((TRIM(IMS!$E$8:$E$2574)=TRIM(IMS!$E1770))*(IMS!$C$8:$C$2574&lt;IMS!$C1770)),
         IMS!$C$8:$C$2574),
"")</f>
        <v/>
      </c>
      <c r="E1770" s="57"/>
      <c r="F1770" s="57"/>
      <c r="G1770" s="77" t="str">
        <f t="shared" si="901"/>
        <v/>
      </c>
      <c r="H1770" s="78" t="str">
        <f t="shared" si="902"/>
        <v/>
      </c>
      <c r="I1770" s="79"/>
      <c r="J1770" s="80" t="str">
        <f t="shared" si="903"/>
        <v>#NAME?</v>
      </c>
      <c r="K1770" s="58"/>
      <c r="L1770" s="58"/>
      <c r="M1770" s="57"/>
      <c r="N1770" s="57"/>
      <c r="O1770" s="58"/>
      <c r="P1770" s="82"/>
      <c r="Q1770" s="81"/>
      <c r="R1770" s="81"/>
      <c r="S1770" s="57"/>
      <c r="T1770" s="82"/>
      <c r="U1770" s="82"/>
      <c r="V1770" s="57"/>
      <c r="W1770" s="57"/>
      <c r="X1770" s="57" t="str">
        <f t="shared" si="917"/>
        <v/>
      </c>
      <c r="Y1770" s="58" t="str">
        <f t="shared" ref="Y1770:AC1770" si="1610">TRIM(SUBSTITUTE(SUBSTITUTE(OFFSET($Q1770,0,COLUMN()-COLUMN($AL$1)),CHAR(160)," "),_xludf.UNICHAR(8239)," "))</f>
        <v>#NAME?</v>
      </c>
      <c r="Z1770" s="58" t="str">
        <f t="shared" si="1610"/>
        <v>#NAME?</v>
      </c>
      <c r="AA1770" s="58" t="str">
        <f t="shared" si="1610"/>
        <v>#NAME?</v>
      </c>
      <c r="AB1770" s="58" t="str">
        <f t="shared" si="1610"/>
        <v>#NAME?</v>
      </c>
      <c r="AC1770" s="58" t="str">
        <f t="shared" si="1610"/>
        <v>#NAME?</v>
      </c>
      <c r="AD1770" s="57">
        <f t="shared" si="906"/>
        <v>0</v>
      </c>
      <c r="AE1770" s="57" t="str">
        <f t="shared" si="907"/>
        <v/>
      </c>
      <c r="AF1770" s="57">
        <f t="shared" si="908"/>
        <v>0</v>
      </c>
      <c r="AG1770" s="59">
        <f t="shared" si="909"/>
        <v>0</v>
      </c>
      <c r="AH1770" s="15"/>
      <c r="AI1770" s="15"/>
      <c r="AJ1770" s="15"/>
      <c r="AK1770" s="15"/>
      <c r="AL1770" s="15"/>
      <c r="AM1770" s="15"/>
      <c r="AN1770" s="15"/>
      <c r="AO1770" s="15"/>
      <c r="AP1770" s="15"/>
      <c r="AQ1770" s="15"/>
      <c r="AR1770" s="15"/>
      <c r="AS1770" s="15"/>
      <c r="AT1770" s="15"/>
      <c r="AU1770" s="15"/>
    </row>
    <row r="1771" ht="24.0" customHeight="1">
      <c r="A1771" s="45">
        <v>3195.0</v>
      </c>
      <c r="B1771" s="57"/>
      <c r="C1771" s="57"/>
      <c r="D1771" s="88" t="str">
        <f t="array" ref="D1771">IFERROR(
  LOOKUP(2, 1/((TRIM(IMS!$E$8:$E$2574)=TRIM(IMS!$E1771))*(IMS!$C$8:$C$2574&lt;IMS!$C1771)),
         IMS!$C$8:$C$2574),
"")</f>
        <v/>
      </c>
      <c r="E1771" s="57"/>
      <c r="F1771" s="57"/>
      <c r="G1771" s="77" t="str">
        <f t="shared" si="901"/>
        <v/>
      </c>
      <c r="H1771" s="78" t="str">
        <f t="shared" si="902"/>
        <v/>
      </c>
      <c r="I1771" s="79"/>
      <c r="J1771" s="80" t="str">
        <f t="shared" si="903"/>
        <v>#NAME?</v>
      </c>
      <c r="K1771" s="58"/>
      <c r="L1771" s="58"/>
      <c r="M1771" s="57"/>
      <c r="N1771" s="57"/>
      <c r="O1771" s="58"/>
      <c r="P1771" s="82"/>
      <c r="Q1771" s="81"/>
      <c r="R1771" s="81"/>
      <c r="S1771" s="57"/>
      <c r="T1771" s="82"/>
      <c r="U1771" s="82"/>
      <c r="V1771" s="57"/>
      <c r="W1771" s="57"/>
      <c r="X1771" s="57" t="str">
        <f t="shared" si="917"/>
        <v/>
      </c>
      <c r="Y1771" s="58" t="str">
        <f t="shared" ref="Y1771:AC1771" si="1611">TRIM(SUBSTITUTE(SUBSTITUTE(OFFSET($Q1771,0,COLUMN()-COLUMN($AL$1)),CHAR(160)," "),_xludf.UNICHAR(8239)," "))</f>
        <v>#NAME?</v>
      </c>
      <c r="Z1771" s="58" t="str">
        <f t="shared" si="1611"/>
        <v>#NAME?</v>
      </c>
      <c r="AA1771" s="58" t="str">
        <f t="shared" si="1611"/>
        <v>#NAME?</v>
      </c>
      <c r="AB1771" s="58" t="str">
        <f t="shared" si="1611"/>
        <v>#NAME?</v>
      </c>
      <c r="AC1771" s="58" t="str">
        <f t="shared" si="1611"/>
        <v>#NAME?</v>
      </c>
      <c r="AD1771" s="57">
        <f t="shared" si="906"/>
        <v>0</v>
      </c>
      <c r="AE1771" s="57" t="str">
        <f t="shared" si="907"/>
        <v/>
      </c>
      <c r="AF1771" s="57">
        <f t="shared" si="908"/>
        <v>0</v>
      </c>
      <c r="AG1771" s="59">
        <f t="shared" si="909"/>
        <v>0</v>
      </c>
      <c r="AH1771" s="15"/>
      <c r="AI1771" s="15"/>
      <c r="AJ1771" s="15"/>
      <c r="AK1771" s="15"/>
      <c r="AL1771" s="15"/>
      <c r="AM1771" s="15"/>
      <c r="AN1771" s="15"/>
      <c r="AO1771" s="15"/>
      <c r="AP1771" s="15"/>
      <c r="AQ1771" s="15"/>
      <c r="AR1771" s="15"/>
      <c r="AS1771" s="15"/>
      <c r="AT1771" s="15"/>
      <c r="AU1771" s="15"/>
    </row>
    <row r="1772" ht="24.0" customHeight="1">
      <c r="A1772" s="45">
        <v>3196.0</v>
      </c>
      <c r="B1772" s="57"/>
      <c r="C1772" s="57"/>
      <c r="D1772" s="88" t="str">
        <f t="array" ref="D1772">IFERROR(
  LOOKUP(2, 1/((TRIM(IMS!$E$8:$E$2574)=TRIM(IMS!$E1772))*(IMS!$C$8:$C$2574&lt;IMS!$C1772)),
         IMS!$C$8:$C$2574),
"")</f>
        <v/>
      </c>
      <c r="E1772" s="57"/>
      <c r="F1772" s="57"/>
      <c r="G1772" s="77" t="str">
        <f t="shared" si="901"/>
        <v/>
      </c>
      <c r="H1772" s="78" t="str">
        <f t="shared" si="902"/>
        <v/>
      </c>
      <c r="I1772" s="79"/>
      <c r="J1772" s="80" t="str">
        <f t="shared" si="903"/>
        <v>#NAME?</v>
      </c>
      <c r="K1772" s="58"/>
      <c r="L1772" s="58"/>
      <c r="M1772" s="57"/>
      <c r="N1772" s="57"/>
      <c r="O1772" s="58"/>
      <c r="P1772" s="82"/>
      <c r="Q1772" s="81"/>
      <c r="R1772" s="81"/>
      <c r="S1772" s="57"/>
      <c r="T1772" s="82"/>
      <c r="U1772" s="82"/>
      <c r="V1772" s="57"/>
      <c r="W1772" s="57"/>
      <c r="X1772" s="57" t="str">
        <f t="shared" si="917"/>
        <v/>
      </c>
      <c r="Y1772" s="58" t="str">
        <f t="shared" ref="Y1772:AC1772" si="1612">TRIM(SUBSTITUTE(SUBSTITUTE(OFFSET($Q1772,0,COLUMN()-COLUMN($AL$1)),CHAR(160)," "),_xludf.UNICHAR(8239)," "))</f>
        <v>#NAME?</v>
      </c>
      <c r="Z1772" s="58" t="str">
        <f t="shared" si="1612"/>
        <v>#NAME?</v>
      </c>
      <c r="AA1772" s="58" t="str">
        <f t="shared" si="1612"/>
        <v>#NAME?</v>
      </c>
      <c r="AB1772" s="58" t="str">
        <f t="shared" si="1612"/>
        <v>#NAME?</v>
      </c>
      <c r="AC1772" s="58" t="str">
        <f t="shared" si="1612"/>
        <v>#NAME?</v>
      </c>
      <c r="AD1772" s="57">
        <f t="shared" si="906"/>
        <v>0</v>
      </c>
      <c r="AE1772" s="57" t="str">
        <f t="shared" si="907"/>
        <v/>
      </c>
      <c r="AF1772" s="57">
        <f t="shared" si="908"/>
        <v>0</v>
      </c>
      <c r="AG1772" s="59">
        <f t="shared" si="909"/>
        <v>0</v>
      </c>
      <c r="AH1772" s="15"/>
      <c r="AI1772" s="15"/>
      <c r="AJ1772" s="15"/>
      <c r="AK1772" s="15"/>
      <c r="AL1772" s="15"/>
      <c r="AM1772" s="15"/>
      <c r="AN1772" s="15"/>
      <c r="AO1772" s="15"/>
      <c r="AP1772" s="15"/>
      <c r="AQ1772" s="15"/>
      <c r="AR1772" s="15"/>
      <c r="AS1772" s="15"/>
      <c r="AT1772" s="15"/>
      <c r="AU1772" s="15"/>
    </row>
    <row r="1773" ht="24.0" customHeight="1">
      <c r="A1773" s="45">
        <v>3197.0</v>
      </c>
      <c r="B1773" s="57"/>
      <c r="C1773" s="57"/>
      <c r="D1773" s="88" t="str">
        <f t="array" ref="D1773">IFERROR(
  LOOKUP(2, 1/((TRIM(IMS!$E$8:$E$2574)=TRIM(IMS!$E1773))*(IMS!$C$8:$C$2574&lt;IMS!$C1773)),
         IMS!$C$8:$C$2574),
"")</f>
        <v/>
      </c>
      <c r="E1773" s="57"/>
      <c r="F1773" s="57"/>
      <c r="G1773" s="77" t="str">
        <f t="shared" si="901"/>
        <v/>
      </c>
      <c r="H1773" s="78" t="str">
        <f t="shared" si="902"/>
        <v/>
      </c>
      <c r="I1773" s="79"/>
      <c r="J1773" s="80" t="str">
        <f t="shared" si="903"/>
        <v>#NAME?</v>
      </c>
      <c r="K1773" s="58"/>
      <c r="L1773" s="58"/>
      <c r="M1773" s="57"/>
      <c r="N1773" s="57"/>
      <c r="O1773" s="58"/>
      <c r="P1773" s="82"/>
      <c r="Q1773" s="81"/>
      <c r="R1773" s="81"/>
      <c r="S1773" s="57"/>
      <c r="T1773" s="82"/>
      <c r="U1773" s="82"/>
      <c r="V1773" s="57"/>
      <c r="W1773" s="57"/>
      <c r="X1773" s="57" t="str">
        <f t="shared" si="917"/>
        <v/>
      </c>
      <c r="Y1773" s="58" t="str">
        <f t="shared" ref="Y1773:AC1773" si="1613">TRIM(SUBSTITUTE(SUBSTITUTE(OFFSET($Q1773,0,COLUMN()-COLUMN($AL$1)),CHAR(160)," "),_xludf.UNICHAR(8239)," "))</f>
        <v>#NAME?</v>
      </c>
      <c r="Z1773" s="58" t="str">
        <f t="shared" si="1613"/>
        <v>#NAME?</v>
      </c>
      <c r="AA1773" s="58" t="str">
        <f t="shared" si="1613"/>
        <v>#NAME?</v>
      </c>
      <c r="AB1773" s="58" t="str">
        <f t="shared" si="1613"/>
        <v>#NAME?</v>
      </c>
      <c r="AC1773" s="58" t="str">
        <f t="shared" si="1613"/>
        <v>#NAME?</v>
      </c>
      <c r="AD1773" s="57">
        <f t="shared" si="906"/>
        <v>0</v>
      </c>
      <c r="AE1773" s="57" t="str">
        <f t="shared" si="907"/>
        <v/>
      </c>
      <c r="AF1773" s="57">
        <f t="shared" si="908"/>
        <v>0</v>
      </c>
      <c r="AG1773" s="59">
        <f t="shared" si="909"/>
        <v>0</v>
      </c>
      <c r="AH1773" s="15"/>
      <c r="AI1773" s="15"/>
      <c r="AJ1773" s="15"/>
      <c r="AK1773" s="15"/>
      <c r="AL1773" s="15"/>
      <c r="AM1773" s="15"/>
      <c r="AN1773" s="15"/>
      <c r="AO1773" s="15"/>
      <c r="AP1773" s="15"/>
      <c r="AQ1773" s="15"/>
      <c r="AR1773" s="15"/>
      <c r="AS1773" s="15"/>
      <c r="AT1773" s="15"/>
      <c r="AU1773" s="15"/>
    </row>
    <row r="1774" ht="24.0" customHeight="1">
      <c r="A1774" s="45">
        <v>3198.0</v>
      </c>
      <c r="B1774" s="57"/>
      <c r="C1774" s="57"/>
      <c r="D1774" s="88" t="str">
        <f t="array" ref="D1774">IFERROR(
  LOOKUP(2, 1/((TRIM(IMS!$E$8:$E$2574)=TRIM(IMS!$E1774))*(IMS!$C$8:$C$2574&lt;IMS!$C1774)),
         IMS!$C$8:$C$2574),
"")</f>
        <v/>
      </c>
      <c r="E1774" s="57"/>
      <c r="F1774" s="57"/>
      <c r="G1774" s="77" t="str">
        <f t="shared" si="901"/>
        <v/>
      </c>
      <c r="H1774" s="78" t="str">
        <f t="shared" si="902"/>
        <v/>
      </c>
      <c r="I1774" s="79"/>
      <c r="J1774" s="80" t="str">
        <f t="shared" si="903"/>
        <v>#NAME?</v>
      </c>
      <c r="K1774" s="58"/>
      <c r="L1774" s="58"/>
      <c r="M1774" s="57"/>
      <c r="N1774" s="57"/>
      <c r="O1774" s="58"/>
      <c r="P1774" s="82"/>
      <c r="Q1774" s="81"/>
      <c r="R1774" s="81"/>
      <c r="S1774" s="57"/>
      <c r="T1774" s="82"/>
      <c r="U1774" s="82"/>
      <c r="V1774" s="57"/>
      <c r="W1774" s="57"/>
      <c r="X1774" s="57" t="str">
        <f t="shared" si="917"/>
        <v/>
      </c>
      <c r="Y1774" s="58" t="str">
        <f t="shared" ref="Y1774:AC1774" si="1614">TRIM(SUBSTITUTE(SUBSTITUTE(OFFSET($Q1774,0,COLUMN()-COLUMN($AL$1)),CHAR(160)," "),_xludf.UNICHAR(8239)," "))</f>
        <v>#NAME?</v>
      </c>
      <c r="Z1774" s="58" t="str">
        <f t="shared" si="1614"/>
        <v>#NAME?</v>
      </c>
      <c r="AA1774" s="58" t="str">
        <f t="shared" si="1614"/>
        <v>#NAME?</v>
      </c>
      <c r="AB1774" s="58" t="str">
        <f t="shared" si="1614"/>
        <v>#NAME?</v>
      </c>
      <c r="AC1774" s="58" t="str">
        <f t="shared" si="1614"/>
        <v>#NAME?</v>
      </c>
      <c r="AD1774" s="57">
        <f t="shared" si="906"/>
        <v>0</v>
      </c>
      <c r="AE1774" s="57" t="str">
        <f t="shared" si="907"/>
        <v/>
      </c>
      <c r="AF1774" s="57">
        <f t="shared" si="908"/>
        <v>0</v>
      </c>
      <c r="AG1774" s="59">
        <f t="shared" si="909"/>
        <v>0</v>
      </c>
      <c r="AH1774" s="15"/>
      <c r="AI1774" s="15"/>
      <c r="AJ1774" s="15"/>
      <c r="AK1774" s="15"/>
      <c r="AL1774" s="15"/>
      <c r="AM1774" s="15"/>
      <c r="AN1774" s="15"/>
      <c r="AO1774" s="15"/>
      <c r="AP1774" s="15"/>
      <c r="AQ1774" s="15"/>
      <c r="AR1774" s="15"/>
      <c r="AS1774" s="15"/>
      <c r="AT1774" s="15"/>
      <c r="AU1774" s="15"/>
    </row>
    <row r="1775" ht="24.0" customHeight="1">
      <c r="A1775" s="45">
        <v>3199.0</v>
      </c>
      <c r="B1775" s="57"/>
      <c r="C1775" s="57"/>
      <c r="D1775" s="88" t="str">
        <f t="array" ref="D1775">IFERROR(
  LOOKUP(2, 1/((TRIM(IMS!$E$8:$E$2574)=TRIM(IMS!$E1775))*(IMS!$C$8:$C$2574&lt;IMS!$C1775)),
         IMS!$C$8:$C$2574),
"")</f>
        <v/>
      </c>
      <c r="E1775" s="57"/>
      <c r="F1775" s="57"/>
      <c r="G1775" s="77" t="str">
        <f t="shared" si="901"/>
        <v/>
      </c>
      <c r="H1775" s="78" t="str">
        <f t="shared" si="902"/>
        <v/>
      </c>
      <c r="I1775" s="79"/>
      <c r="J1775" s="80" t="str">
        <f t="shared" si="903"/>
        <v>#NAME?</v>
      </c>
      <c r="K1775" s="58"/>
      <c r="L1775" s="58"/>
      <c r="M1775" s="57"/>
      <c r="N1775" s="57"/>
      <c r="O1775" s="58"/>
      <c r="P1775" s="82"/>
      <c r="Q1775" s="81"/>
      <c r="R1775" s="81"/>
      <c r="S1775" s="57"/>
      <c r="T1775" s="82"/>
      <c r="U1775" s="82"/>
      <c r="V1775" s="57"/>
      <c r="W1775" s="57"/>
      <c r="X1775" s="57" t="str">
        <f t="shared" si="917"/>
        <v/>
      </c>
      <c r="Y1775" s="58" t="str">
        <f t="shared" ref="Y1775:AC1775" si="1615">TRIM(SUBSTITUTE(SUBSTITUTE(OFFSET($Q1775,0,COLUMN()-COLUMN($AL$1)),CHAR(160)," "),_xludf.UNICHAR(8239)," "))</f>
        <v>#NAME?</v>
      </c>
      <c r="Z1775" s="58" t="str">
        <f t="shared" si="1615"/>
        <v>#NAME?</v>
      </c>
      <c r="AA1775" s="58" t="str">
        <f t="shared" si="1615"/>
        <v>#NAME?</v>
      </c>
      <c r="AB1775" s="58" t="str">
        <f t="shared" si="1615"/>
        <v>#NAME?</v>
      </c>
      <c r="AC1775" s="58" t="str">
        <f t="shared" si="1615"/>
        <v>#NAME?</v>
      </c>
      <c r="AD1775" s="57">
        <f t="shared" si="906"/>
        <v>0</v>
      </c>
      <c r="AE1775" s="57" t="str">
        <f t="shared" si="907"/>
        <v/>
      </c>
      <c r="AF1775" s="57">
        <f t="shared" si="908"/>
        <v>0</v>
      </c>
      <c r="AG1775" s="59">
        <f t="shared" si="909"/>
        <v>0</v>
      </c>
      <c r="AH1775" s="15"/>
      <c r="AI1775" s="15"/>
      <c r="AJ1775" s="15"/>
      <c r="AK1775" s="15"/>
      <c r="AL1775" s="15"/>
      <c r="AM1775" s="15"/>
      <c r="AN1775" s="15"/>
      <c r="AO1775" s="15"/>
      <c r="AP1775" s="15"/>
      <c r="AQ1775" s="15"/>
      <c r="AR1775" s="15"/>
      <c r="AS1775" s="15"/>
      <c r="AT1775" s="15"/>
      <c r="AU1775" s="15"/>
    </row>
    <row r="1776" ht="24.0" customHeight="1">
      <c r="A1776" s="45">
        <v>3200.0</v>
      </c>
      <c r="B1776" s="57"/>
      <c r="C1776" s="57"/>
      <c r="D1776" s="88" t="str">
        <f t="array" ref="D1776">IFERROR(
  LOOKUP(2, 1/((TRIM(IMS!$E$8:$E$2574)=TRIM(IMS!$E1776))*(IMS!$C$8:$C$2574&lt;IMS!$C1776)),
         IMS!$C$8:$C$2574),
"")</f>
        <v/>
      </c>
      <c r="E1776" s="57"/>
      <c r="F1776" s="57"/>
      <c r="G1776" s="77" t="str">
        <f t="shared" si="901"/>
        <v/>
      </c>
      <c r="H1776" s="78" t="str">
        <f t="shared" si="902"/>
        <v/>
      </c>
      <c r="I1776" s="79"/>
      <c r="J1776" s="80" t="str">
        <f t="shared" si="903"/>
        <v>#NAME?</v>
      </c>
      <c r="K1776" s="58"/>
      <c r="L1776" s="58"/>
      <c r="M1776" s="57"/>
      <c r="N1776" s="57"/>
      <c r="O1776" s="58"/>
      <c r="P1776" s="82"/>
      <c r="Q1776" s="81"/>
      <c r="R1776" s="81"/>
      <c r="S1776" s="57"/>
      <c r="T1776" s="82"/>
      <c r="U1776" s="82"/>
      <c r="V1776" s="57"/>
      <c r="W1776" s="57"/>
      <c r="X1776" s="57" t="str">
        <f t="shared" si="917"/>
        <v/>
      </c>
      <c r="Y1776" s="58" t="str">
        <f t="shared" ref="Y1776:AC1776" si="1616">TRIM(SUBSTITUTE(SUBSTITUTE(OFFSET($Q1776,0,COLUMN()-COLUMN($AL$1)),CHAR(160)," "),_xludf.UNICHAR(8239)," "))</f>
        <v>#NAME?</v>
      </c>
      <c r="Z1776" s="58" t="str">
        <f t="shared" si="1616"/>
        <v>#NAME?</v>
      </c>
      <c r="AA1776" s="58" t="str">
        <f t="shared" si="1616"/>
        <v>#NAME?</v>
      </c>
      <c r="AB1776" s="58" t="str">
        <f t="shared" si="1616"/>
        <v>#NAME?</v>
      </c>
      <c r="AC1776" s="58" t="str">
        <f t="shared" si="1616"/>
        <v>#NAME?</v>
      </c>
      <c r="AD1776" s="57">
        <f t="shared" si="906"/>
        <v>0</v>
      </c>
      <c r="AE1776" s="57" t="str">
        <f t="shared" si="907"/>
        <v/>
      </c>
      <c r="AF1776" s="57">
        <f t="shared" si="908"/>
        <v>0</v>
      </c>
      <c r="AG1776" s="59">
        <f t="shared" si="909"/>
        <v>0</v>
      </c>
      <c r="AH1776" s="15"/>
      <c r="AI1776" s="15"/>
      <c r="AJ1776" s="15"/>
      <c r="AK1776" s="15"/>
      <c r="AL1776" s="15"/>
      <c r="AM1776" s="15"/>
      <c r="AN1776" s="15"/>
      <c r="AO1776" s="15"/>
      <c r="AP1776" s="15"/>
      <c r="AQ1776" s="15"/>
      <c r="AR1776" s="15"/>
      <c r="AS1776" s="15"/>
      <c r="AT1776" s="15"/>
      <c r="AU1776" s="15"/>
    </row>
    <row r="1777" ht="24.0" customHeight="1">
      <c r="A1777" s="45">
        <v>3201.0</v>
      </c>
      <c r="B1777" s="57"/>
      <c r="C1777" s="57"/>
      <c r="D1777" s="88" t="str">
        <f t="array" ref="D1777">IFERROR(
  LOOKUP(2, 1/((TRIM(IMS!$E$8:$E$2574)=TRIM(IMS!$E1777))*(IMS!$C$8:$C$2574&lt;IMS!$C1777)),
         IMS!$C$8:$C$2574),
"")</f>
        <v/>
      </c>
      <c r="E1777" s="57"/>
      <c r="F1777" s="57"/>
      <c r="G1777" s="77" t="str">
        <f t="shared" si="901"/>
        <v/>
      </c>
      <c r="H1777" s="78" t="str">
        <f t="shared" si="902"/>
        <v/>
      </c>
      <c r="I1777" s="79"/>
      <c r="J1777" s="80" t="str">
        <f t="shared" si="903"/>
        <v>#NAME?</v>
      </c>
      <c r="K1777" s="58"/>
      <c r="L1777" s="58"/>
      <c r="M1777" s="57"/>
      <c r="N1777" s="57"/>
      <c r="O1777" s="58"/>
      <c r="P1777" s="82"/>
      <c r="Q1777" s="81"/>
      <c r="R1777" s="81"/>
      <c r="S1777" s="57"/>
      <c r="T1777" s="82"/>
      <c r="U1777" s="82"/>
      <c r="V1777" s="57"/>
      <c r="W1777" s="57"/>
      <c r="X1777" s="57" t="str">
        <f t="shared" si="917"/>
        <v/>
      </c>
      <c r="Y1777" s="58" t="str">
        <f t="shared" ref="Y1777:AC1777" si="1617">TRIM(SUBSTITUTE(SUBSTITUTE(OFFSET($Q1777,0,COLUMN()-COLUMN($AL$1)),CHAR(160)," "),_xludf.UNICHAR(8239)," "))</f>
        <v>#NAME?</v>
      </c>
      <c r="Z1777" s="58" t="str">
        <f t="shared" si="1617"/>
        <v>#NAME?</v>
      </c>
      <c r="AA1777" s="58" t="str">
        <f t="shared" si="1617"/>
        <v>#NAME?</v>
      </c>
      <c r="AB1777" s="58" t="str">
        <f t="shared" si="1617"/>
        <v>#NAME?</v>
      </c>
      <c r="AC1777" s="58" t="str">
        <f t="shared" si="1617"/>
        <v>#NAME?</v>
      </c>
      <c r="AD1777" s="57">
        <f t="shared" si="906"/>
        <v>0</v>
      </c>
      <c r="AE1777" s="57" t="str">
        <f t="shared" si="907"/>
        <v/>
      </c>
      <c r="AF1777" s="57">
        <f t="shared" si="908"/>
        <v>0</v>
      </c>
      <c r="AG1777" s="59">
        <f t="shared" si="909"/>
        <v>0</v>
      </c>
      <c r="AH1777" s="15"/>
      <c r="AI1777" s="15"/>
      <c r="AJ1777" s="15"/>
      <c r="AK1777" s="15"/>
      <c r="AL1777" s="15"/>
      <c r="AM1777" s="15"/>
      <c r="AN1777" s="15"/>
      <c r="AO1777" s="15"/>
      <c r="AP1777" s="15"/>
      <c r="AQ1777" s="15"/>
      <c r="AR1777" s="15"/>
      <c r="AS1777" s="15"/>
      <c r="AT1777" s="15"/>
      <c r="AU1777" s="15"/>
    </row>
    <row r="1778" ht="24.0" customHeight="1">
      <c r="A1778" s="45">
        <v>3202.0</v>
      </c>
      <c r="B1778" s="57"/>
      <c r="C1778" s="57"/>
      <c r="D1778" s="88" t="str">
        <f t="array" ref="D1778">IFERROR(
  LOOKUP(2, 1/((TRIM(IMS!$E$8:$E$2574)=TRIM(IMS!$E1778))*(IMS!$C$8:$C$2574&lt;IMS!$C1778)),
         IMS!$C$8:$C$2574),
"")</f>
        <v/>
      </c>
      <c r="E1778" s="57"/>
      <c r="F1778" s="57"/>
      <c r="G1778" s="77" t="str">
        <f t="shared" si="901"/>
        <v/>
      </c>
      <c r="H1778" s="78" t="str">
        <f t="shared" si="902"/>
        <v/>
      </c>
      <c r="I1778" s="79"/>
      <c r="J1778" s="80" t="str">
        <f t="shared" si="903"/>
        <v>#NAME?</v>
      </c>
      <c r="K1778" s="58"/>
      <c r="L1778" s="58"/>
      <c r="M1778" s="57"/>
      <c r="N1778" s="57"/>
      <c r="O1778" s="58"/>
      <c r="P1778" s="82"/>
      <c r="Q1778" s="81"/>
      <c r="R1778" s="81"/>
      <c r="S1778" s="57"/>
      <c r="T1778" s="82"/>
      <c r="U1778" s="82"/>
      <c r="V1778" s="57"/>
      <c r="W1778" s="57"/>
      <c r="X1778" s="57" t="str">
        <f t="shared" si="917"/>
        <v/>
      </c>
      <c r="Y1778" s="58" t="str">
        <f t="shared" ref="Y1778:AC1778" si="1618">TRIM(SUBSTITUTE(SUBSTITUTE(OFFSET($Q1778,0,COLUMN()-COLUMN($AL$1)),CHAR(160)," "),_xludf.UNICHAR(8239)," "))</f>
        <v>#NAME?</v>
      </c>
      <c r="Z1778" s="58" t="str">
        <f t="shared" si="1618"/>
        <v>#NAME?</v>
      </c>
      <c r="AA1778" s="58" t="str">
        <f t="shared" si="1618"/>
        <v>#NAME?</v>
      </c>
      <c r="AB1778" s="58" t="str">
        <f t="shared" si="1618"/>
        <v>#NAME?</v>
      </c>
      <c r="AC1778" s="58" t="str">
        <f t="shared" si="1618"/>
        <v>#NAME?</v>
      </c>
      <c r="AD1778" s="57">
        <f t="shared" si="906"/>
        <v>0</v>
      </c>
      <c r="AE1778" s="57" t="str">
        <f t="shared" si="907"/>
        <v/>
      </c>
      <c r="AF1778" s="57">
        <f t="shared" si="908"/>
        <v>0</v>
      </c>
      <c r="AG1778" s="59">
        <f t="shared" si="909"/>
        <v>0</v>
      </c>
      <c r="AH1778" s="15"/>
      <c r="AI1778" s="15"/>
      <c r="AJ1778" s="15"/>
      <c r="AK1778" s="15"/>
      <c r="AL1778" s="15"/>
      <c r="AM1778" s="15"/>
      <c r="AN1778" s="15"/>
      <c r="AO1778" s="15"/>
      <c r="AP1778" s="15"/>
      <c r="AQ1778" s="15"/>
      <c r="AR1778" s="15"/>
      <c r="AS1778" s="15"/>
      <c r="AT1778" s="15"/>
      <c r="AU1778" s="15"/>
    </row>
    <row r="1779" ht="24.0" customHeight="1">
      <c r="A1779" s="45">
        <v>3203.0</v>
      </c>
      <c r="B1779" s="57"/>
      <c r="C1779" s="57"/>
      <c r="D1779" s="88" t="str">
        <f t="array" ref="D1779">IFERROR(
  LOOKUP(2, 1/((TRIM(IMS!$E$8:$E$2574)=TRIM(IMS!$E1779))*(IMS!$C$8:$C$2574&lt;IMS!$C1779)),
         IMS!$C$8:$C$2574),
"")</f>
        <v/>
      </c>
      <c r="E1779" s="57"/>
      <c r="F1779" s="57"/>
      <c r="G1779" s="77" t="str">
        <f t="shared" si="901"/>
        <v/>
      </c>
      <c r="H1779" s="78" t="str">
        <f t="shared" si="902"/>
        <v/>
      </c>
      <c r="I1779" s="79"/>
      <c r="J1779" s="80" t="str">
        <f t="shared" si="903"/>
        <v>#NAME?</v>
      </c>
      <c r="K1779" s="58"/>
      <c r="L1779" s="58"/>
      <c r="M1779" s="57"/>
      <c r="N1779" s="57"/>
      <c r="O1779" s="58"/>
      <c r="P1779" s="82"/>
      <c r="Q1779" s="81"/>
      <c r="R1779" s="81"/>
      <c r="S1779" s="57"/>
      <c r="T1779" s="82"/>
      <c r="U1779" s="82"/>
      <c r="V1779" s="57"/>
      <c r="W1779" s="57"/>
      <c r="X1779" s="57" t="str">
        <f t="shared" si="917"/>
        <v/>
      </c>
      <c r="Y1779" s="58" t="str">
        <f t="shared" ref="Y1779:AC1779" si="1619">TRIM(SUBSTITUTE(SUBSTITUTE(OFFSET($Q1779,0,COLUMN()-COLUMN($AL$1)),CHAR(160)," "),_xludf.UNICHAR(8239)," "))</f>
        <v>#NAME?</v>
      </c>
      <c r="Z1779" s="58" t="str">
        <f t="shared" si="1619"/>
        <v>#NAME?</v>
      </c>
      <c r="AA1779" s="58" t="str">
        <f t="shared" si="1619"/>
        <v>#NAME?</v>
      </c>
      <c r="AB1779" s="58" t="str">
        <f t="shared" si="1619"/>
        <v>#NAME?</v>
      </c>
      <c r="AC1779" s="58" t="str">
        <f t="shared" si="1619"/>
        <v>#NAME?</v>
      </c>
      <c r="AD1779" s="57">
        <f t="shared" si="906"/>
        <v>0</v>
      </c>
      <c r="AE1779" s="57" t="str">
        <f t="shared" si="907"/>
        <v/>
      </c>
      <c r="AF1779" s="57">
        <f t="shared" si="908"/>
        <v>0</v>
      </c>
      <c r="AG1779" s="59">
        <f t="shared" si="909"/>
        <v>0</v>
      </c>
      <c r="AH1779" s="15"/>
      <c r="AI1779" s="15"/>
      <c r="AJ1779" s="15"/>
      <c r="AK1779" s="15"/>
      <c r="AL1779" s="15"/>
      <c r="AM1779" s="15"/>
      <c r="AN1779" s="15"/>
      <c r="AO1779" s="15"/>
      <c r="AP1779" s="15"/>
      <c r="AQ1779" s="15"/>
      <c r="AR1779" s="15"/>
      <c r="AS1779" s="15"/>
      <c r="AT1779" s="15"/>
      <c r="AU1779" s="15"/>
    </row>
    <row r="1780" ht="24.0" customHeight="1">
      <c r="A1780" s="45">
        <v>3204.0</v>
      </c>
      <c r="B1780" s="57"/>
      <c r="C1780" s="57"/>
      <c r="D1780" s="88" t="str">
        <f t="array" ref="D1780">IFERROR(
  LOOKUP(2, 1/((TRIM(IMS!$E$8:$E$2574)=TRIM(IMS!$E1780))*(IMS!$C$8:$C$2574&lt;IMS!$C1780)),
         IMS!$C$8:$C$2574),
"")</f>
        <v/>
      </c>
      <c r="E1780" s="57"/>
      <c r="F1780" s="57"/>
      <c r="G1780" s="77" t="str">
        <f t="shared" si="901"/>
        <v/>
      </c>
      <c r="H1780" s="78" t="str">
        <f t="shared" si="902"/>
        <v/>
      </c>
      <c r="I1780" s="79"/>
      <c r="J1780" s="80" t="str">
        <f t="shared" si="903"/>
        <v>#NAME?</v>
      </c>
      <c r="K1780" s="58"/>
      <c r="L1780" s="58"/>
      <c r="M1780" s="57"/>
      <c r="N1780" s="57"/>
      <c r="O1780" s="58"/>
      <c r="P1780" s="82"/>
      <c r="Q1780" s="81"/>
      <c r="R1780" s="81"/>
      <c r="S1780" s="57"/>
      <c r="T1780" s="82"/>
      <c r="U1780" s="82"/>
      <c r="V1780" s="57"/>
      <c r="W1780" s="57"/>
      <c r="X1780" s="57" t="str">
        <f t="shared" si="917"/>
        <v/>
      </c>
      <c r="Y1780" s="58" t="str">
        <f t="shared" ref="Y1780:AC1780" si="1620">TRIM(SUBSTITUTE(SUBSTITUTE(OFFSET($Q1780,0,COLUMN()-COLUMN($AL$1)),CHAR(160)," "),_xludf.UNICHAR(8239)," "))</f>
        <v>#NAME?</v>
      </c>
      <c r="Z1780" s="58" t="str">
        <f t="shared" si="1620"/>
        <v>#NAME?</v>
      </c>
      <c r="AA1780" s="58" t="str">
        <f t="shared" si="1620"/>
        <v>#NAME?</v>
      </c>
      <c r="AB1780" s="58" t="str">
        <f t="shared" si="1620"/>
        <v>#NAME?</v>
      </c>
      <c r="AC1780" s="58" t="str">
        <f t="shared" si="1620"/>
        <v>#NAME?</v>
      </c>
      <c r="AD1780" s="57">
        <f t="shared" si="906"/>
        <v>0</v>
      </c>
      <c r="AE1780" s="57" t="str">
        <f t="shared" si="907"/>
        <v/>
      </c>
      <c r="AF1780" s="57">
        <f t="shared" si="908"/>
        <v>0</v>
      </c>
      <c r="AG1780" s="59">
        <f t="shared" si="909"/>
        <v>0</v>
      </c>
      <c r="AH1780" s="15"/>
      <c r="AI1780" s="15"/>
      <c r="AJ1780" s="15"/>
      <c r="AK1780" s="15"/>
      <c r="AL1780" s="15"/>
      <c r="AM1780" s="15"/>
      <c r="AN1780" s="15"/>
      <c r="AO1780" s="15"/>
      <c r="AP1780" s="15"/>
      <c r="AQ1780" s="15"/>
      <c r="AR1780" s="15"/>
      <c r="AS1780" s="15"/>
      <c r="AT1780" s="15"/>
      <c r="AU1780" s="15"/>
    </row>
    <row r="1781" ht="24.0" customHeight="1">
      <c r="A1781" s="45">
        <v>3205.0</v>
      </c>
      <c r="B1781" s="57"/>
      <c r="C1781" s="57"/>
      <c r="D1781" s="88" t="str">
        <f t="array" ref="D1781">IFERROR(
  LOOKUP(2, 1/((TRIM(IMS!$E$8:$E$2574)=TRIM(IMS!$E1781))*(IMS!$C$8:$C$2574&lt;IMS!$C1781)),
         IMS!$C$8:$C$2574),
"")</f>
        <v/>
      </c>
      <c r="E1781" s="57"/>
      <c r="F1781" s="57"/>
      <c r="G1781" s="77" t="str">
        <f t="shared" si="901"/>
        <v/>
      </c>
      <c r="H1781" s="78" t="str">
        <f t="shared" si="902"/>
        <v/>
      </c>
      <c r="I1781" s="79"/>
      <c r="J1781" s="80" t="str">
        <f t="shared" si="903"/>
        <v>#NAME?</v>
      </c>
      <c r="K1781" s="58"/>
      <c r="L1781" s="58"/>
      <c r="M1781" s="57"/>
      <c r="N1781" s="57"/>
      <c r="O1781" s="58"/>
      <c r="P1781" s="82"/>
      <c r="Q1781" s="81"/>
      <c r="R1781" s="81"/>
      <c r="S1781" s="57"/>
      <c r="T1781" s="82"/>
      <c r="U1781" s="82"/>
      <c r="V1781" s="57"/>
      <c r="W1781" s="57"/>
      <c r="X1781" s="57" t="str">
        <f t="shared" si="917"/>
        <v/>
      </c>
      <c r="Y1781" s="58" t="str">
        <f t="shared" ref="Y1781:AC1781" si="1621">TRIM(SUBSTITUTE(SUBSTITUTE(OFFSET($Q1781,0,COLUMN()-COLUMN($AL$1)),CHAR(160)," "),_xludf.UNICHAR(8239)," "))</f>
        <v>#NAME?</v>
      </c>
      <c r="Z1781" s="58" t="str">
        <f t="shared" si="1621"/>
        <v>#NAME?</v>
      </c>
      <c r="AA1781" s="58" t="str">
        <f t="shared" si="1621"/>
        <v>#NAME?</v>
      </c>
      <c r="AB1781" s="58" t="str">
        <f t="shared" si="1621"/>
        <v>#NAME?</v>
      </c>
      <c r="AC1781" s="58" t="str">
        <f t="shared" si="1621"/>
        <v>#NAME?</v>
      </c>
      <c r="AD1781" s="57">
        <f t="shared" si="906"/>
        <v>0</v>
      </c>
      <c r="AE1781" s="57" t="str">
        <f t="shared" si="907"/>
        <v/>
      </c>
      <c r="AF1781" s="57">
        <f t="shared" si="908"/>
        <v>0</v>
      </c>
      <c r="AG1781" s="59">
        <f t="shared" si="909"/>
        <v>0</v>
      </c>
      <c r="AH1781" s="15"/>
      <c r="AI1781" s="15"/>
      <c r="AJ1781" s="15"/>
      <c r="AK1781" s="15"/>
      <c r="AL1781" s="15"/>
      <c r="AM1781" s="15"/>
      <c r="AN1781" s="15"/>
      <c r="AO1781" s="15"/>
      <c r="AP1781" s="15"/>
      <c r="AQ1781" s="15"/>
      <c r="AR1781" s="15"/>
      <c r="AS1781" s="15"/>
      <c r="AT1781" s="15"/>
      <c r="AU1781" s="15"/>
    </row>
    <row r="1782" ht="24.0" customHeight="1">
      <c r="A1782" s="45">
        <v>3206.0</v>
      </c>
      <c r="B1782" s="57"/>
      <c r="C1782" s="57"/>
      <c r="D1782" s="88" t="str">
        <f t="array" ref="D1782">IFERROR(
  LOOKUP(2, 1/((TRIM(IMS!$E$8:$E$2574)=TRIM(IMS!$E1782))*(IMS!$C$8:$C$2574&lt;IMS!$C1782)),
         IMS!$C$8:$C$2574),
"")</f>
        <v/>
      </c>
      <c r="E1782" s="57"/>
      <c r="F1782" s="57"/>
      <c r="G1782" s="77" t="str">
        <f t="shared" si="901"/>
        <v/>
      </c>
      <c r="H1782" s="78" t="str">
        <f t="shared" si="902"/>
        <v/>
      </c>
      <c r="I1782" s="79"/>
      <c r="J1782" s="80" t="str">
        <f t="shared" si="903"/>
        <v>#NAME?</v>
      </c>
      <c r="K1782" s="58"/>
      <c r="L1782" s="58"/>
      <c r="M1782" s="57"/>
      <c r="N1782" s="57"/>
      <c r="O1782" s="58"/>
      <c r="P1782" s="82"/>
      <c r="Q1782" s="81"/>
      <c r="R1782" s="81"/>
      <c r="S1782" s="57"/>
      <c r="T1782" s="82"/>
      <c r="U1782" s="82"/>
      <c r="V1782" s="57"/>
      <c r="W1782" s="57"/>
      <c r="X1782" s="57" t="str">
        <f t="shared" si="917"/>
        <v/>
      </c>
      <c r="Y1782" s="58" t="str">
        <f t="shared" ref="Y1782:AC1782" si="1622">TRIM(SUBSTITUTE(SUBSTITUTE(OFFSET($Q1782,0,COLUMN()-COLUMN($AL$1)),CHAR(160)," "),_xludf.UNICHAR(8239)," "))</f>
        <v>#NAME?</v>
      </c>
      <c r="Z1782" s="58" t="str">
        <f t="shared" si="1622"/>
        <v>#NAME?</v>
      </c>
      <c r="AA1782" s="58" t="str">
        <f t="shared" si="1622"/>
        <v>#NAME?</v>
      </c>
      <c r="AB1782" s="58" t="str">
        <f t="shared" si="1622"/>
        <v>#NAME?</v>
      </c>
      <c r="AC1782" s="58" t="str">
        <f t="shared" si="1622"/>
        <v>#NAME?</v>
      </c>
      <c r="AD1782" s="57">
        <f t="shared" si="906"/>
        <v>0</v>
      </c>
      <c r="AE1782" s="57" t="str">
        <f t="shared" si="907"/>
        <v/>
      </c>
      <c r="AF1782" s="57">
        <f t="shared" si="908"/>
        <v>0</v>
      </c>
      <c r="AG1782" s="59">
        <f t="shared" si="909"/>
        <v>0</v>
      </c>
      <c r="AH1782" s="15"/>
      <c r="AI1782" s="15"/>
      <c r="AJ1782" s="15"/>
      <c r="AK1782" s="15"/>
      <c r="AL1782" s="15"/>
      <c r="AM1782" s="15"/>
      <c r="AN1782" s="15"/>
      <c r="AO1782" s="15"/>
      <c r="AP1782" s="15"/>
      <c r="AQ1782" s="15"/>
      <c r="AR1782" s="15"/>
      <c r="AS1782" s="15"/>
      <c r="AT1782" s="15"/>
      <c r="AU1782" s="15"/>
    </row>
    <row r="1783" ht="24.0" customHeight="1">
      <c r="A1783" s="45">
        <v>3207.0</v>
      </c>
      <c r="B1783" s="57"/>
      <c r="C1783" s="57"/>
      <c r="D1783" s="88" t="str">
        <f t="array" ref="D1783">IFERROR(
  LOOKUP(2, 1/((TRIM(IMS!$E$8:$E$2574)=TRIM(IMS!$E1783))*(IMS!$C$8:$C$2574&lt;IMS!$C1783)),
         IMS!$C$8:$C$2574),
"")</f>
        <v/>
      </c>
      <c r="E1783" s="57"/>
      <c r="F1783" s="57"/>
      <c r="G1783" s="77" t="str">
        <f t="shared" si="901"/>
        <v/>
      </c>
      <c r="H1783" s="78" t="str">
        <f t="shared" si="902"/>
        <v/>
      </c>
      <c r="I1783" s="79"/>
      <c r="J1783" s="80" t="str">
        <f t="shared" si="903"/>
        <v>#NAME?</v>
      </c>
      <c r="K1783" s="58"/>
      <c r="L1783" s="58"/>
      <c r="M1783" s="57"/>
      <c r="N1783" s="57"/>
      <c r="O1783" s="58"/>
      <c r="P1783" s="82"/>
      <c r="Q1783" s="81"/>
      <c r="R1783" s="81"/>
      <c r="S1783" s="57"/>
      <c r="T1783" s="82"/>
      <c r="U1783" s="82"/>
      <c r="V1783" s="57"/>
      <c r="W1783" s="57"/>
      <c r="X1783" s="57" t="str">
        <f t="shared" si="917"/>
        <v/>
      </c>
      <c r="Y1783" s="58" t="str">
        <f t="shared" ref="Y1783:AC1783" si="1623">TRIM(SUBSTITUTE(SUBSTITUTE(OFFSET($Q1783,0,COLUMN()-COLUMN($AL$1)),CHAR(160)," "),_xludf.UNICHAR(8239)," "))</f>
        <v>#NAME?</v>
      </c>
      <c r="Z1783" s="58" t="str">
        <f t="shared" si="1623"/>
        <v>#NAME?</v>
      </c>
      <c r="AA1783" s="58" t="str">
        <f t="shared" si="1623"/>
        <v>#NAME?</v>
      </c>
      <c r="AB1783" s="58" t="str">
        <f t="shared" si="1623"/>
        <v>#NAME?</v>
      </c>
      <c r="AC1783" s="58" t="str">
        <f t="shared" si="1623"/>
        <v>#NAME?</v>
      </c>
      <c r="AD1783" s="57">
        <f t="shared" si="906"/>
        <v>0</v>
      </c>
      <c r="AE1783" s="57" t="str">
        <f t="shared" si="907"/>
        <v/>
      </c>
      <c r="AF1783" s="57">
        <f t="shared" si="908"/>
        <v>0</v>
      </c>
      <c r="AG1783" s="59">
        <f t="shared" si="909"/>
        <v>0</v>
      </c>
      <c r="AH1783" s="15"/>
      <c r="AI1783" s="15"/>
      <c r="AJ1783" s="15"/>
      <c r="AK1783" s="15"/>
      <c r="AL1783" s="15"/>
      <c r="AM1783" s="15"/>
      <c r="AN1783" s="15"/>
      <c r="AO1783" s="15"/>
      <c r="AP1783" s="15"/>
      <c r="AQ1783" s="15"/>
      <c r="AR1783" s="15"/>
      <c r="AS1783" s="15"/>
      <c r="AT1783" s="15"/>
      <c r="AU1783" s="15"/>
    </row>
    <row r="1784" ht="24.0" customHeight="1">
      <c r="A1784" s="45">
        <v>3208.0</v>
      </c>
      <c r="B1784" s="57"/>
      <c r="C1784" s="57"/>
      <c r="D1784" s="88" t="str">
        <f t="array" ref="D1784">IFERROR(
  LOOKUP(2, 1/((TRIM(IMS!$E$8:$E$2574)=TRIM(IMS!$E1784))*(IMS!$C$8:$C$2574&lt;IMS!$C1784)),
         IMS!$C$8:$C$2574),
"")</f>
        <v/>
      </c>
      <c r="E1784" s="57"/>
      <c r="F1784" s="57"/>
      <c r="G1784" s="77" t="str">
        <f t="shared" si="901"/>
        <v/>
      </c>
      <c r="H1784" s="78" t="str">
        <f t="shared" si="902"/>
        <v/>
      </c>
      <c r="I1784" s="79"/>
      <c r="J1784" s="80" t="str">
        <f t="shared" si="903"/>
        <v>#NAME?</v>
      </c>
      <c r="K1784" s="58"/>
      <c r="L1784" s="58"/>
      <c r="M1784" s="57"/>
      <c r="N1784" s="57"/>
      <c r="O1784" s="58"/>
      <c r="P1784" s="82"/>
      <c r="Q1784" s="81"/>
      <c r="R1784" s="81"/>
      <c r="S1784" s="57"/>
      <c r="T1784" s="82"/>
      <c r="U1784" s="82"/>
      <c r="V1784" s="57"/>
      <c r="W1784" s="57"/>
      <c r="X1784" s="57" t="str">
        <f t="shared" si="917"/>
        <v/>
      </c>
      <c r="Y1784" s="58" t="str">
        <f t="shared" ref="Y1784:AC1784" si="1624">TRIM(SUBSTITUTE(SUBSTITUTE(OFFSET($Q1784,0,COLUMN()-COLUMN($AL$1)),CHAR(160)," "),_xludf.UNICHAR(8239)," "))</f>
        <v>#NAME?</v>
      </c>
      <c r="Z1784" s="58" t="str">
        <f t="shared" si="1624"/>
        <v>#NAME?</v>
      </c>
      <c r="AA1784" s="58" t="str">
        <f t="shared" si="1624"/>
        <v>#NAME?</v>
      </c>
      <c r="AB1784" s="58" t="str">
        <f t="shared" si="1624"/>
        <v>#NAME?</v>
      </c>
      <c r="AC1784" s="58" t="str">
        <f t="shared" si="1624"/>
        <v>#NAME?</v>
      </c>
      <c r="AD1784" s="57">
        <f t="shared" si="906"/>
        <v>0</v>
      </c>
      <c r="AE1784" s="57" t="str">
        <f t="shared" si="907"/>
        <v/>
      </c>
      <c r="AF1784" s="57">
        <f t="shared" si="908"/>
        <v>0</v>
      </c>
      <c r="AG1784" s="59">
        <f t="shared" si="909"/>
        <v>0</v>
      </c>
      <c r="AH1784" s="15"/>
      <c r="AI1784" s="15"/>
      <c r="AJ1784" s="15"/>
      <c r="AK1784" s="15"/>
      <c r="AL1784" s="15"/>
      <c r="AM1784" s="15"/>
      <c r="AN1784" s="15"/>
      <c r="AO1784" s="15"/>
      <c r="AP1784" s="15"/>
      <c r="AQ1784" s="15"/>
      <c r="AR1784" s="15"/>
      <c r="AS1784" s="15"/>
      <c r="AT1784" s="15"/>
      <c r="AU1784" s="15"/>
    </row>
    <row r="1785" ht="24.0" customHeight="1">
      <c r="A1785" s="45">
        <v>3209.0</v>
      </c>
      <c r="B1785" s="57"/>
      <c r="C1785" s="57"/>
      <c r="D1785" s="88" t="str">
        <f t="array" ref="D1785">IFERROR(
  LOOKUP(2, 1/((TRIM(IMS!$E$8:$E$2574)=TRIM(IMS!$E1785))*(IMS!$C$8:$C$2574&lt;IMS!$C1785)),
         IMS!$C$8:$C$2574),
"")</f>
        <v/>
      </c>
      <c r="E1785" s="57"/>
      <c r="F1785" s="57"/>
      <c r="G1785" s="77" t="str">
        <f t="shared" si="901"/>
        <v/>
      </c>
      <c r="H1785" s="78" t="str">
        <f t="shared" si="902"/>
        <v/>
      </c>
      <c r="I1785" s="79"/>
      <c r="J1785" s="80" t="str">
        <f t="shared" si="903"/>
        <v>#NAME?</v>
      </c>
      <c r="K1785" s="58"/>
      <c r="L1785" s="58"/>
      <c r="M1785" s="57"/>
      <c r="N1785" s="57"/>
      <c r="O1785" s="58"/>
      <c r="P1785" s="82"/>
      <c r="Q1785" s="81"/>
      <c r="R1785" s="81"/>
      <c r="S1785" s="57"/>
      <c r="T1785" s="82"/>
      <c r="U1785" s="82"/>
      <c r="V1785" s="57"/>
      <c r="W1785" s="57"/>
      <c r="X1785" s="57" t="str">
        <f t="shared" si="917"/>
        <v/>
      </c>
      <c r="Y1785" s="58" t="str">
        <f t="shared" ref="Y1785:AC1785" si="1625">TRIM(SUBSTITUTE(SUBSTITUTE(OFFSET($Q1785,0,COLUMN()-COLUMN($AL$1)),CHAR(160)," "),_xludf.UNICHAR(8239)," "))</f>
        <v>#NAME?</v>
      </c>
      <c r="Z1785" s="58" t="str">
        <f t="shared" si="1625"/>
        <v>#NAME?</v>
      </c>
      <c r="AA1785" s="58" t="str">
        <f t="shared" si="1625"/>
        <v>#NAME?</v>
      </c>
      <c r="AB1785" s="58" t="str">
        <f t="shared" si="1625"/>
        <v>#NAME?</v>
      </c>
      <c r="AC1785" s="58" t="str">
        <f t="shared" si="1625"/>
        <v>#NAME?</v>
      </c>
      <c r="AD1785" s="57">
        <f t="shared" si="906"/>
        <v>0</v>
      </c>
      <c r="AE1785" s="57" t="str">
        <f t="shared" si="907"/>
        <v/>
      </c>
      <c r="AF1785" s="57">
        <f t="shared" si="908"/>
        <v>0</v>
      </c>
      <c r="AG1785" s="59">
        <f t="shared" si="909"/>
        <v>0</v>
      </c>
      <c r="AH1785" s="15"/>
      <c r="AI1785" s="15"/>
      <c r="AJ1785" s="15"/>
      <c r="AK1785" s="15"/>
      <c r="AL1785" s="15"/>
      <c r="AM1785" s="15"/>
      <c r="AN1785" s="15"/>
      <c r="AO1785" s="15"/>
      <c r="AP1785" s="15"/>
      <c r="AQ1785" s="15"/>
      <c r="AR1785" s="15"/>
      <c r="AS1785" s="15"/>
      <c r="AT1785" s="15"/>
      <c r="AU1785" s="15"/>
    </row>
    <row r="1786" ht="24.0" customHeight="1">
      <c r="A1786" s="45">
        <v>3210.0</v>
      </c>
      <c r="B1786" s="57"/>
      <c r="C1786" s="57"/>
      <c r="D1786" s="88" t="str">
        <f t="array" ref="D1786">IFERROR(
  LOOKUP(2, 1/((TRIM(IMS!$E$8:$E$2574)=TRIM(IMS!$E1786))*(IMS!$C$8:$C$2574&lt;IMS!$C1786)),
         IMS!$C$8:$C$2574),
"")</f>
        <v/>
      </c>
      <c r="E1786" s="57"/>
      <c r="F1786" s="57"/>
      <c r="G1786" s="77" t="str">
        <f t="shared" si="901"/>
        <v/>
      </c>
      <c r="H1786" s="78" t="str">
        <f t="shared" si="902"/>
        <v/>
      </c>
      <c r="I1786" s="79"/>
      <c r="J1786" s="80" t="str">
        <f t="shared" si="903"/>
        <v>#NAME?</v>
      </c>
      <c r="K1786" s="58"/>
      <c r="L1786" s="58"/>
      <c r="M1786" s="57"/>
      <c r="N1786" s="57"/>
      <c r="O1786" s="58"/>
      <c r="P1786" s="82"/>
      <c r="Q1786" s="81"/>
      <c r="R1786" s="81"/>
      <c r="S1786" s="57"/>
      <c r="T1786" s="82"/>
      <c r="U1786" s="82"/>
      <c r="V1786" s="57"/>
      <c r="W1786" s="57"/>
      <c r="X1786" s="57" t="str">
        <f t="shared" si="917"/>
        <v/>
      </c>
      <c r="Y1786" s="58" t="str">
        <f t="shared" ref="Y1786:AC1786" si="1626">TRIM(SUBSTITUTE(SUBSTITUTE(OFFSET($Q1786,0,COLUMN()-COLUMN($AL$1)),CHAR(160)," "),_xludf.UNICHAR(8239)," "))</f>
        <v>#NAME?</v>
      </c>
      <c r="Z1786" s="58" t="str">
        <f t="shared" si="1626"/>
        <v>#NAME?</v>
      </c>
      <c r="AA1786" s="58" t="str">
        <f t="shared" si="1626"/>
        <v>#NAME?</v>
      </c>
      <c r="AB1786" s="58" t="str">
        <f t="shared" si="1626"/>
        <v>#NAME?</v>
      </c>
      <c r="AC1786" s="58" t="str">
        <f t="shared" si="1626"/>
        <v>#NAME?</v>
      </c>
      <c r="AD1786" s="57">
        <f t="shared" si="906"/>
        <v>0</v>
      </c>
      <c r="AE1786" s="57" t="str">
        <f t="shared" si="907"/>
        <v/>
      </c>
      <c r="AF1786" s="57">
        <f t="shared" si="908"/>
        <v>0</v>
      </c>
      <c r="AG1786" s="59">
        <f t="shared" si="909"/>
        <v>0</v>
      </c>
      <c r="AH1786" s="15"/>
      <c r="AI1786" s="15"/>
      <c r="AJ1786" s="15"/>
      <c r="AK1786" s="15"/>
      <c r="AL1786" s="15"/>
      <c r="AM1786" s="15"/>
      <c r="AN1786" s="15"/>
      <c r="AO1786" s="15"/>
      <c r="AP1786" s="15"/>
      <c r="AQ1786" s="15"/>
      <c r="AR1786" s="15"/>
      <c r="AS1786" s="15"/>
      <c r="AT1786" s="15"/>
      <c r="AU1786" s="15"/>
    </row>
    <row r="1787" ht="24.0" customHeight="1">
      <c r="A1787" s="45">
        <v>3211.0</v>
      </c>
      <c r="B1787" s="57"/>
      <c r="C1787" s="57"/>
      <c r="D1787" s="88" t="str">
        <f t="array" ref="D1787">IFERROR(
  LOOKUP(2, 1/((TRIM(IMS!$E$8:$E$2574)=TRIM(IMS!$E1787))*(IMS!$C$8:$C$2574&lt;IMS!$C1787)),
         IMS!$C$8:$C$2574),
"")</f>
        <v/>
      </c>
      <c r="E1787" s="57"/>
      <c r="F1787" s="57"/>
      <c r="G1787" s="77" t="str">
        <f t="shared" si="901"/>
        <v/>
      </c>
      <c r="H1787" s="78" t="str">
        <f t="shared" si="902"/>
        <v/>
      </c>
      <c r="I1787" s="79"/>
      <c r="J1787" s="80" t="str">
        <f t="shared" si="903"/>
        <v>#NAME?</v>
      </c>
      <c r="K1787" s="58"/>
      <c r="L1787" s="58"/>
      <c r="M1787" s="57"/>
      <c r="N1787" s="57"/>
      <c r="O1787" s="58"/>
      <c r="P1787" s="82"/>
      <c r="Q1787" s="81"/>
      <c r="R1787" s="81"/>
      <c r="S1787" s="57"/>
      <c r="T1787" s="82"/>
      <c r="U1787" s="82"/>
      <c r="V1787" s="57"/>
      <c r="W1787" s="57"/>
      <c r="X1787" s="57" t="str">
        <f t="shared" si="917"/>
        <v/>
      </c>
      <c r="Y1787" s="58" t="str">
        <f t="shared" ref="Y1787:AC1787" si="1627">TRIM(SUBSTITUTE(SUBSTITUTE(OFFSET($Q1787,0,COLUMN()-COLUMN($AL$1)),CHAR(160)," "),_xludf.UNICHAR(8239)," "))</f>
        <v>#NAME?</v>
      </c>
      <c r="Z1787" s="58" t="str">
        <f t="shared" si="1627"/>
        <v>#NAME?</v>
      </c>
      <c r="AA1787" s="58" t="str">
        <f t="shared" si="1627"/>
        <v>#NAME?</v>
      </c>
      <c r="AB1787" s="58" t="str">
        <f t="shared" si="1627"/>
        <v>#NAME?</v>
      </c>
      <c r="AC1787" s="58" t="str">
        <f t="shared" si="1627"/>
        <v>#NAME?</v>
      </c>
      <c r="AD1787" s="57">
        <f t="shared" si="906"/>
        <v>0</v>
      </c>
      <c r="AE1787" s="57" t="str">
        <f t="shared" si="907"/>
        <v/>
      </c>
      <c r="AF1787" s="57">
        <f t="shared" si="908"/>
        <v>0</v>
      </c>
      <c r="AG1787" s="59">
        <f t="shared" si="909"/>
        <v>0</v>
      </c>
      <c r="AH1787" s="15"/>
      <c r="AI1787" s="15"/>
      <c r="AJ1787" s="15"/>
      <c r="AK1787" s="15"/>
      <c r="AL1787" s="15"/>
      <c r="AM1787" s="15"/>
      <c r="AN1787" s="15"/>
      <c r="AO1787" s="15"/>
      <c r="AP1787" s="15"/>
      <c r="AQ1787" s="15"/>
      <c r="AR1787" s="15"/>
      <c r="AS1787" s="15"/>
      <c r="AT1787" s="15"/>
      <c r="AU1787" s="15"/>
    </row>
    <row r="1788" ht="24.0" customHeight="1">
      <c r="A1788" s="45">
        <v>3212.0</v>
      </c>
      <c r="B1788" s="57"/>
      <c r="C1788" s="57"/>
      <c r="D1788" s="88" t="str">
        <f t="array" ref="D1788">IFERROR(
  LOOKUP(2, 1/((TRIM(IMS!$E$8:$E$2574)=TRIM(IMS!$E1788))*(IMS!$C$8:$C$2574&lt;IMS!$C1788)),
         IMS!$C$8:$C$2574),
"")</f>
        <v/>
      </c>
      <c r="E1788" s="57"/>
      <c r="F1788" s="57"/>
      <c r="G1788" s="77" t="str">
        <f t="shared" si="901"/>
        <v/>
      </c>
      <c r="H1788" s="78" t="str">
        <f t="shared" si="902"/>
        <v/>
      </c>
      <c r="I1788" s="79"/>
      <c r="J1788" s="80" t="str">
        <f t="shared" si="903"/>
        <v>#NAME?</v>
      </c>
      <c r="K1788" s="58"/>
      <c r="L1788" s="58"/>
      <c r="M1788" s="57"/>
      <c r="N1788" s="57"/>
      <c r="O1788" s="58"/>
      <c r="P1788" s="82"/>
      <c r="Q1788" s="81"/>
      <c r="R1788" s="81"/>
      <c r="S1788" s="57"/>
      <c r="T1788" s="82"/>
      <c r="U1788" s="82"/>
      <c r="V1788" s="57"/>
      <c r="W1788" s="57"/>
      <c r="X1788" s="57" t="str">
        <f t="shared" si="917"/>
        <v/>
      </c>
      <c r="Y1788" s="58" t="str">
        <f t="shared" ref="Y1788:AC1788" si="1628">TRIM(SUBSTITUTE(SUBSTITUTE(OFFSET($Q1788,0,COLUMN()-COLUMN($AL$1)),CHAR(160)," "),_xludf.UNICHAR(8239)," "))</f>
        <v>#NAME?</v>
      </c>
      <c r="Z1788" s="58" t="str">
        <f t="shared" si="1628"/>
        <v>#NAME?</v>
      </c>
      <c r="AA1788" s="58" t="str">
        <f t="shared" si="1628"/>
        <v>#NAME?</v>
      </c>
      <c r="AB1788" s="58" t="str">
        <f t="shared" si="1628"/>
        <v>#NAME?</v>
      </c>
      <c r="AC1788" s="58" t="str">
        <f t="shared" si="1628"/>
        <v>#NAME?</v>
      </c>
      <c r="AD1788" s="57">
        <f t="shared" si="906"/>
        <v>0</v>
      </c>
      <c r="AE1788" s="57" t="str">
        <f t="shared" si="907"/>
        <v/>
      </c>
      <c r="AF1788" s="57">
        <f t="shared" si="908"/>
        <v>0</v>
      </c>
      <c r="AG1788" s="59">
        <f t="shared" si="909"/>
        <v>0</v>
      </c>
      <c r="AH1788" s="15"/>
      <c r="AI1788" s="15"/>
      <c r="AJ1788" s="15"/>
      <c r="AK1788" s="15"/>
      <c r="AL1788" s="15"/>
      <c r="AM1788" s="15"/>
      <c r="AN1788" s="15"/>
      <c r="AO1788" s="15"/>
      <c r="AP1788" s="15"/>
      <c r="AQ1788" s="15"/>
      <c r="AR1788" s="15"/>
      <c r="AS1788" s="15"/>
      <c r="AT1788" s="15"/>
      <c r="AU1788" s="15"/>
    </row>
    <row r="1789" ht="24.0" customHeight="1">
      <c r="A1789" s="45">
        <v>3213.0</v>
      </c>
      <c r="B1789" s="57"/>
      <c r="C1789" s="57"/>
      <c r="D1789" s="88" t="str">
        <f t="array" ref="D1789">IFERROR(
  LOOKUP(2, 1/((TRIM(IMS!$E$8:$E$2574)=TRIM(IMS!$E1789))*(IMS!$C$8:$C$2574&lt;IMS!$C1789)),
         IMS!$C$8:$C$2574),
"")</f>
        <v/>
      </c>
      <c r="E1789" s="57"/>
      <c r="F1789" s="57"/>
      <c r="G1789" s="77" t="str">
        <f t="shared" si="901"/>
        <v/>
      </c>
      <c r="H1789" s="78" t="str">
        <f t="shared" si="902"/>
        <v/>
      </c>
      <c r="I1789" s="79"/>
      <c r="J1789" s="80" t="str">
        <f t="shared" si="903"/>
        <v>#NAME?</v>
      </c>
      <c r="K1789" s="58"/>
      <c r="L1789" s="58"/>
      <c r="M1789" s="57"/>
      <c r="N1789" s="57"/>
      <c r="O1789" s="58"/>
      <c r="P1789" s="82"/>
      <c r="Q1789" s="81"/>
      <c r="R1789" s="81"/>
      <c r="S1789" s="57"/>
      <c r="T1789" s="82"/>
      <c r="U1789" s="82"/>
      <c r="V1789" s="57"/>
      <c r="W1789" s="57"/>
      <c r="X1789" s="57" t="str">
        <f t="shared" si="917"/>
        <v/>
      </c>
      <c r="Y1789" s="58" t="str">
        <f t="shared" ref="Y1789:AC1789" si="1629">TRIM(SUBSTITUTE(SUBSTITUTE(OFFSET($Q1789,0,COLUMN()-COLUMN($AL$1)),CHAR(160)," "),_xludf.UNICHAR(8239)," "))</f>
        <v>#NAME?</v>
      </c>
      <c r="Z1789" s="58" t="str">
        <f t="shared" si="1629"/>
        <v>#NAME?</v>
      </c>
      <c r="AA1789" s="58" t="str">
        <f t="shared" si="1629"/>
        <v>#NAME?</v>
      </c>
      <c r="AB1789" s="58" t="str">
        <f t="shared" si="1629"/>
        <v>#NAME?</v>
      </c>
      <c r="AC1789" s="58" t="str">
        <f t="shared" si="1629"/>
        <v>#NAME?</v>
      </c>
      <c r="AD1789" s="57">
        <f t="shared" si="906"/>
        <v>0</v>
      </c>
      <c r="AE1789" s="57" t="str">
        <f t="shared" si="907"/>
        <v/>
      </c>
      <c r="AF1789" s="57">
        <f t="shared" si="908"/>
        <v>0</v>
      </c>
      <c r="AG1789" s="59">
        <f t="shared" si="909"/>
        <v>0</v>
      </c>
      <c r="AH1789" s="15"/>
      <c r="AI1789" s="15"/>
      <c r="AJ1789" s="15"/>
      <c r="AK1789" s="15"/>
      <c r="AL1789" s="15"/>
      <c r="AM1789" s="15"/>
      <c r="AN1789" s="15"/>
      <c r="AO1789" s="15"/>
      <c r="AP1789" s="15"/>
      <c r="AQ1789" s="15"/>
      <c r="AR1789" s="15"/>
      <c r="AS1789" s="15"/>
      <c r="AT1789" s="15"/>
      <c r="AU1789" s="15"/>
    </row>
    <row r="1790" ht="24.0" customHeight="1">
      <c r="A1790" s="45">
        <v>3214.0</v>
      </c>
      <c r="B1790" s="57"/>
      <c r="C1790" s="57"/>
      <c r="D1790" s="88" t="str">
        <f t="array" ref="D1790">IFERROR(
  LOOKUP(2, 1/((TRIM(IMS!$E$8:$E$2574)=TRIM(IMS!$E1790))*(IMS!$C$8:$C$2574&lt;IMS!$C1790)),
         IMS!$C$8:$C$2574),
"")</f>
        <v/>
      </c>
      <c r="E1790" s="57"/>
      <c r="F1790" s="57"/>
      <c r="G1790" s="77" t="str">
        <f t="shared" si="901"/>
        <v/>
      </c>
      <c r="H1790" s="78" t="str">
        <f t="shared" si="902"/>
        <v/>
      </c>
      <c r="I1790" s="79"/>
      <c r="J1790" s="80" t="str">
        <f t="shared" si="903"/>
        <v>#NAME?</v>
      </c>
      <c r="K1790" s="58"/>
      <c r="L1790" s="58"/>
      <c r="M1790" s="57"/>
      <c r="N1790" s="57"/>
      <c r="O1790" s="58"/>
      <c r="P1790" s="82"/>
      <c r="Q1790" s="81"/>
      <c r="R1790" s="81"/>
      <c r="S1790" s="57"/>
      <c r="T1790" s="82"/>
      <c r="U1790" s="82"/>
      <c r="V1790" s="57"/>
      <c r="W1790" s="57"/>
      <c r="X1790" s="57" t="str">
        <f t="shared" si="917"/>
        <v/>
      </c>
      <c r="Y1790" s="58" t="str">
        <f t="shared" ref="Y1790:AC1790" si="1630">TRIM(SUBSTITUTE(SUBSTITUTE(OFFSET($Q1790,0,COLUMN()-COLUMN($AL$1)),CHAR(160)," "),_xludf.UNICHAR(8239)," "))</f>
        <v>#NAME?</v>
      </c>
      <c r="Z1790" s="58" t="str">
        <f t="shared" si="1630"/>
        <v>#NAME?</v>
      </c>
      <c r="AA1790" s="58" t="str">
        <f t="shared" si="1630"/>
        <v>#NAME?</v>
      </c>
      <c r="AB1790" s="58" t="str">
        <f t="shared" si="1630"/>
        <v>#NAME?</v>
      </c>
      <c r="AC1790" s="58" t="str">
        <f t="shared" si="1630"/>
        <v>#NAME?</v>
      </c>
      <c r="AD1790" s="57">
        <f t="shared" si="906"/>
        <v>0</v>
      </c>
      <c r="AE1790" s="57" t="str">
        <f t="shared" si="907"/>
        <v/>
      </c>
      <c r="AF1790" s="57">
        <f t="shared" si="908"/>
        <v>0</v>
      </c>
      <c r="AG1790" s="59">
        <f t="shared" si="909"/>
        <v>0</v>
      </c>
      <c r="AH1790" s="15"/>
      <c r="AI1790" s="15"/>
      <c r="AJ1790" s="15"/>
      <c r="AK1790" s="15"/>
      <c r="AL1790" s="15"/>
      <c r="AM1790" s="15"/>
      <c r="AN1790" s="15"/>
      <c r="AO1790" s="15"/>
      <c r="AP1790" s="15"/>
      <c r="AQ1790" s="15"/>
      <c r="AR1790" s="15"/>
      <c r="AS1790" s="15"/>
      <c r="AT1790" s="15"/>
      <c r="AU1790" s="15"/>
    </row>
    <row r="1791" ht="24.0" customHeight="1">
      <c r="A1791" s="45">
        <v>3215.0</v>
      </c>
      <c r="B1791" s="57"/>
      <c r="C1791" s="57"/>
      <c r="D1791" s="88" t="str">
        <f t="array" ref="D1791">IFERROR(
  LOOKUP(2, 1/((TRIM(IMS!$E$8:$E$2574)=TRIM(IMS!$E1791))*(IMS!$C$8:$C$2574&lt;IMS!$C1791)),
         IMS!$C$8:$C$2574),
"")</f>
        <v/>
      </c>
      <c r="E1791" s="57"/>
      <c r="F1791" s="57"/>
      <c r="G1791" s="77" t="str">
        <f t="shared" si="901"/>
        <v/>
      </c>
      <c r="H1791" s="78" t="str">
        <f t="shared" si="902"/>
        <v/>
      </c>
      <c r="I1791" s="79"/>
      <c r="J1791" s="80" t="str">
        <f t="shared" si="903"/>
        <v>#NAME?</v>
      </c>
      <c r="K1791" s="58"/>
      <c r="L1791" s="58"/>
      <c r="M1791" s="57"/>
      <c r="N1791" s="57"/>
      <c r="O1791" s="58"/>
      <c r="P1791" s="82"/>
      <c r="Q1791" s="81"/>
      <c r="R1791" s="81"/>
      <c r="S1791" s="57"/>
      <c r="T1791" s="82"/>
      <c r="U1791" s="82"/>
      <c r="V1791" s="57"/>
      <c r="W1791" s="57"/>
      <c r="X1791" s="57" t="str">
        <f t="shared" si="917"/>
        <v/>
      </c>
      <c r="Y1791" s="58" t="str">
        <f t="shared" ref="Y1791:AC1791" si="1631">TRIM(SUBSTITUTE(SUBSTITUTE(OFFSET($Q1791,0,COLUMN()-COLUMN($AL$1)),CHAR(160)," "),_xludf.UNICHAR(8239)," "))</f>
        <v>#NAME?</v>
      </c>
      <c r="Z1791" s="58" t="str">
        <f t="shared" si="1631"/>
        <v>#NAME?</v>
      </c>
      <c r="AA1791" s="58" t="str">
        <f t="shared" si="1631"/>
        <v>#NAME?</v>
      </c>
      <c r="AB1791" s="58" t="str">
        <f t="shared" si="1631"/>
        <v>#NAME?</v>
      </c>
      <c r="AC1791" s="58" t="str">
        <f t="shared" si="1631"/>
        <v>#NAME?</v>
      </c>
      <c r="AD1791" s="57">
        <f t="shared" si="906"/>
        <v>0</v>
      </c>
      <c r="AE1791" s="57" t="str">
        <f t="shared" si="907"/>
        <v/>
      </c>
      <c r="AF1791" s="57">
        <f t="shared" si="908"/>
        <v>0</v>
      </c>
      <c r="AG1791" s="59">
        <f t="shared" si="909"/>
        <v>0</v>
      </c>
      <c r="AH1791" s="15"/>
      <c r="AI1791" s="15"/>
      <c r="AJ1791" s="15"/>
      <c r="AK1791" s="15"/>
      <c r="AL1791" s="15"/>
      <c r="AM1791" s="15"/>
      <c r="AN1791" s="15"/>
      <c r="AO1791" s="15"/>
      <c r="AP1791" s="15"/>
      <c r="AQ1791" s="15"/>
      <c r="AR1791" s="15"/>
      <c r="AS1791" s="15"/>
      <c r="AT1791" s="15"/>
      <c r="AU1791" s="15"/>
    </row>
    <row r="1792" ht="24.0" customHeight="1">
      <c r="A1792" s="45">
        <v>3216.0</v>
      </c>
      <c r="B1792" s="57"/>
      <c r="C1792" s="57"/>
      <c r="D1792" s="88" t="str">
        <f t="array" ref="D1792">IFERROR(
  LOOKUP(2, 1/((TRIM(IMS!$E$8:$E$2574)=TRIM(IMS!$E1792))*(IMS!$C$8:$C$2574&lt;IMS!$C1792)),
         IMS!$C$8:$C$2574),
"")</f>
        <v/>
      </c>
      <c r="E1792" s="57"/>
      <c r="F1792" s="57"/>
      <c r="G1792" s="77" t="str">
        <f t="shared" si="901"/>
        <v/>
      </c>
      <c r="H1792" s="78" t="str">
        <f t="shared" si="902"/>
        <v/>
      </c>
      <c r="I1792" s="79"/>
      <c r="J1792" s="80" t="str">
        <f t="shared" si="903"/>
        <v>#NAME?</v>
      </c>
      <c r="K1792" s="58"/>
      <c r="L1792" s="58"/>
      <c r="M1792" s="57"/>
      <c r="N1792" s="57"/>
      <c r="O1792" s="58"/>
      <c r="P1792" s="82"/>
      <c r="Q1792" s="81"/>
      <c r="R1792" s="81"/>
      <c r="S1792" s="57"/>
      <c r="T1792" s="82"/>
      <c r="U1792" s="82"/>
      <c r="V1792" s="57"/>
      <c r="W1792" s="57"/>
      <c r="X1792" s="57" t="str">
        <f t="shared" si="917"/>
        <v/>
      </c>
      <c r="Y1792" s="58" t="str">
        <f t="shared" ref="Y1792:AC1792" si="1632">TRIM(SUBSTITUTE(SUBSTITUTE(OFFSET($Q1792,0,COLUMN()-COLUMN($AL$1)),CHAR(160)," "),_xludf.UNICHAR(8239)," "))</f>
        <v>#NAME?</v>
      </c>
      <c r="Z1792" s="58" t="str">
        <f t="shared" si="1632"/>
        <v>#NAME?</v>
      </c>
      <c r="AA1792" s="58" t="str">
        <f t="shared" si="1632"/>
        <v>#NAME?</v>
      </c>
      <c r="AB1792" s="58" t="str">
        <f t="shared" si="1632"/>
        <v>#NAME?</v>
      </c>
      <c r="AC1792" s="58" t="str">
        <f t="shared" si="1632"/>
        <v>#NAME?</v>
      </c>
      <c r="AD1792" s="57">
        <f t="shared" si="906"/>
        <v>0</v>
      </c>
      <c r="AE1792" s="57" t="str">
        <f t="shared" si="907"/>
        <v/>
      </c>
      <c r="AF1792" s="57">
        <f t="shared" si="908"/>
        <v>0</v>
      </c>
      <c r="AG1792" s="59">
        <f t="shared" si="909"/>
        <v>0</v>
      </c>
      <c r="AH1792" s="15"/>
      <c r="AI1792" s="15"/>
      <c r="AJ1792" s="15"/>
      <c r="AK1792" s="15"/>
      <c r="AL1792" s="15"/>
      <c r="AM1792" s="15"/>
      <c r="AN1792" s="15"/>
      <c r="AO1792" s="15"/>
      <c r="AP1792" s="15"/>
      <c r="AQ1792" s="15"/>
      <c r="AR1792" s="15"/>
      <c r="AS1792" s="15"/>
      <c r="AT1792" s="15"/>
      <c r="AU1792" s="15"/>
    </row>
    <row r="1793" ht="24.0" customHeight="1">
      <c r="A1793" s="45">
        <v>3217.0</v>
      </c>
      <c r="B1793" s="57"/>
      <c r="C1793" s="57"/>
      <c r="D1793" s="88" t="str">
        <f t="array" ref="D1793">IFERROR(
  LOOKUP(2, 1/((TRIM(IMS!$E$8:$E$2574)=TRIM(IMS!$E1793))*(IMS!$C$8:$C$2574&lt;IMS!$C1793)),
         IMS!$C$8:$C$2574),
"")</f>
        <v/>
      </c>
      <c r="E1793" s="57"/>
      <c r="F1793" s="57"/>
      <c r="G1793" s="77" t="str">
        <f t="shared" si="901"/>
        <v/>
      </c>
      <c r="H1793" s="78" t="str">
        <f t="shared" si="902"/>
        <v/>
      </c>
      <c r="I1793" s="79"/>
      <c r="J1793" s="80" t="str">
        <f t="shared" si="903"/>
        <v>#NAME?</v>
      </c>
      <c r="K1793" s="58"/>
      <c r="L1793" s="58"/>
      <c r="M1793" s="57"/>
      <c r="N1793" s="57"/>
      <c r="O1793" s="58"/>
      <c r="P1793" s="82"/>
      <c r="Q1793" s="81"/>
      <c r="R1793" s="81"/>
      <c r="S1793" s="57"/>
      <c r="T1793" s="82"/>
      <c r="U1793" s="82"/>
      <c r="V1793" s="57"/>
      <c r="W1793" s="57"/>
      <c r="X1793" s="57" t="str">
        <f t="shared" si="917"/>
        <v/>
      </c>
      <c r="Y1793" s="58" t="str">
        <f t="shared" ref="Y1793:AC1793" si="1633">TRIM(SUBSTITUTE(SUBSTITUTE(OFFSET($Q1793,0,COLUMN()-COLUMN($AL$1)),CHAR(160)," "),_xludf.UNICHAR(8239)," "))</f>
        <v>#NAME?</v>
      </c>
      <c r="Z1793" s="58" t="str">
        <f t="shared" si="1633"/>
        <v>#NAME?</v>
      </c>
      <c r="AA1793" s="58" t="str">
        <f t="shared" si="1633"/>
        <v>#NAME?</v>
      </c>
      <c r="AB1793" s="58" t="str">
        <f t="shared" si="1633"/>
        <v>#NAME?</v>
      </c>
      <c r="AC1793" s="58" t="str">
        <f t="shared" si="1633"/>
        <v>#NAME?</v>
      </c>
      <c r="AD1793" s="57">
        <f t="shared" si="906"/>
        <v>0</v>
      </c>
      <c r="AE1793" s="57" t="str">
        <f t="shared" si="907"/>
        <v/>
      </c>
      <c r="AF1793" s="57">
        <f t="shared" si="908"/>
        <v>0</v>
      </c>
      <c r="AG1793" s="59">
        <f t="shared" si="909"/>
        <v>0</v>
      </c>
      <c r="AH1793" s="15"/>
      <c r="AI1793" s="15"/>
      <c r="AJ1793" s="15"/>
      <c r="AK1793" s="15"/>
      <c r="AL1793" s="15"/>
      <c r="AM1793" s="15"/>
      <c r="AN1793" s="15"/>
      <c r="AO1793" s="15"/>
      <c r="AP1793" s="15"/>
      <c r="AQ1793" s="15"/>
      <c r="AR1793" s="15"/>
      <c r="AS1793" s="15"/>
      <c r="AT1793" s="15"/>
      <c r="AU1793" s="15"/>
    </row>
    <row r="1794" ht="24.0" customHeight="1">
      <c r="A1794" s="45">
        <v>3218.0</v>
      </c>
      <c r="B1794" s="57"/>
      <c r="C1794" s="57"/>
      <c r="D1794" s="88" t="str">
        <f t="array" ref="D1794">IFERROR(
  LOOKUP(2, 1/((TRIM(IMS!$E$8:$E$2574)=TRIM(IMS!$E1794))*(IMS!$C$8:$C$2574&lt;IMS!$C1794)),
         IMS!$C$8:$C$2574),
"")</f>
        <v/>
      </c>
      <c r="E1794" s="57"/>
      <c r="F1794" s="57"/>
      <c r="G1794" s="77" t="str">
        <f t="shared" si="901"/>
        <v/>
      </c>
      <c r="H1794" s="78" t="str">
        <f t="shared" si="902"/>
        <v/>
      </c>
      <c r="I1794" s="79"/>
      <c r="J1794" s="80" t="str">
        <f t="shared" si="903"/>
        <v>#NAME?</v>
      </c>
      <c r="K1794" s="58"/>
      <c r="L1794" s="58"/>
      <c r="M1794" s="57"/>
      <c r="N1794" s="57"/>
      <c r="O1794" s="58"/>
      <c r="P1794" s="82"/>
      <c r="Q1794" s="81"/>
      <c r="R1794" s="81"/>
      <c r="S1794" s="57"/>
      <c r="T1794" s="82"/>
      <c r="U1794" s="82"/>
      <c r="V1794" s="57"/>
      <c r="W1794" s="57"/>
      <c r="X1794" s="57" t="str">
        <f t="shared" si="917"/>
        <v/>
      </c>
      <c r="Y1794" s="58" t="str">
        <f t="shared" ref="Y1794:AC1794" si="1634">TRIM(SUBSTITUTE(SUBSTITUTE(OFFSET($Q1794,0,COLUMN()-COLUMN($AL$1)),CHAR(160)," "),_xludf.UNICHAR(8239)," "))</f>
        <v>#NAME?</v>
      </c>
      <c r="Z1794" s="58" t="str">
        <f t="shared" si="1634"/>
        <v>#NAME?</v>
      </c>
      <c r="AA1794" s="58" t="str">
        <f t="shared" si="1634"/>
        <v>#NAME?</v>
      </c>
      <c r="AB1794" s="58" t="str">
        <f t="shared" si="1634"/>
        <v>#NAME?</v>
      </c>
      <c r="AC1794" s="58" t="str">
        <f t="shared" si="1634"/>
        <v>#NAME?</v>
      </c>
      <c r="AD1794" s="57">
        <f t="shared" si="906"/>
        <v>0</v>
      </c>
      <c r="AE1794" s="57" t="str">
        <f t="shared" si="907"/>
        <v/>
      </c>
      <c r="AF1794" s="57">
        <f t="shared" si="908"/>
        <v>0</v>
      </c>
      <c r="AG1794" s="59">
        <f t="shared" si="909"/>
        <v>0</v>
      </c>
      <c r="AH1794" s="15"/>
      <c r="AI1794" s="15"/>
      <c r="AJ1794" s="15"/>
      <c r="AK1794" s="15"/>
      <c r="AL1794" s="15"/>
      <c r="AM1794" s="15"/>
      <c r="AN1794" s="15"/>
      <c r="AO1794" s="15"/>
      <c r="AP1794" s="15"/>
      <c r="AQ1794" s="15"/>
      <c r="AR1794" s="15"/>
      <c r="AS1794" s="15"/>
      <c r="AT1794" s="15"/>
      <c r="AU1794" s="15"/>
    </row>
    <row r="1795" ht="24.0" customHeight="1">
      <c r="A1795" s="45">
        <v>3219.0</v>
      </c>
      <c r="B1795" s="57"/>
      <c r="C1795" s="57"/>
      <c r="D1795" s="88" t="str">
        <f t="array" ref="D1795">IFERROR(
  LOOKUP(2, 1/((TRIM(IMS!$E$8:$E$2574)=TRIM(IMS!$E1795))*(IMS!$C$8:$C$2574&lt;IMS!$C1795)),
         IMS!$C$8:$C$2574),
"")</f>
        <v/>
      </c>
      <c r="E1795" s="57"/>
      <c r="F1795" s="57"/>
      <c r="G1795" s="77" t="str">
        <f t="shared" si="901"/>
        <v/>
      </c>
      <c r="H1795" s="78" t="str">
        <f t="shared" si="902"/>
        <v/>
      </c>
      <c r="I1795" s="79"/>
      <c r="J1795" s="80" t="str">
        <f t="shared" si="903"/>
        <v>#NAME?</v>
      </c>
      <c r="K1795" s="58"/>
      <c r="L1795" s="58"/>
      <c r="M1795" s="57"/>
      <c r="N1795" s="57"/>
      <c r="O1795" s="58"/>
      <c r="P1795" s="82"/>
      <c r="Q1795" s="81"/>
      <c r="R1795" s="81"/>
      <c r="S1795" s="57"/>
      <c r="T1795" s="82"/>
      <c r="U1795" s="82"/>
      <c r="V1795" s="57"/>
      <c r="W1795" s="57"/>
      <c r="X1795" s="57" t="str">
        <f t="shared" si="917"/>
        <v/>
      </c>
      <c r="Y1795" s="58" t="str">
        <f t="shared" ref="Y1795:AC1795" si="1635">TRIM(SUBSTITUTE(SUBSTITUTE(OFFSET($Q1795,0,COLUMN()-COLUMN($AL$1)),CHAR(160)," "),_xludf.UNICHAR(8239)," "))</f>
        <v>#NAME?</v>
      </c>
      <c r="Z1795" s="58" t="str">
        <f t="shared" si="1635"/>
        <v>#NAME?</v>
      </c>
      <c r="AA1795" s="58" t="str">
        <f t="shared" si="1635"/>
        <v>#NAME?</v>
      </c>
      <c r="AB1795" s="58" t="str">
        <f t="shared" si="1635"/>
        <v>#NAME?</v>
      </c>
      <c r="AC1795" s="58" t="str">
        <f t="shared" si="1635"/>
        <v>#NAME?</v>
      </c>
      <c r="AD1795" s="57">
        <f t="shared" si="906"/>
        <v>0</v>
      </c>
      <c r="AE1795" s="57" t="str">
        <f t="shared" si="907"/>
        <v/>
      </c>
      <c r="AF1795" s="57">
        <f t="shared" si="908"/>
        <v>0</v>
      </c>
      <c r="AG1795" s="59">
        <f t="shared" si="909"/>
        <v>0</v>
      </c>
      <c r="AH1795" s="15"/>
      <c r="AI1795" s="15"/>
      <c r="AJ1795" s="15"/>
      <c r="AK1795" s="15"/>
      <c r="AL1795" s="15"/>
      <c r="AM1795" s="15"/>
      <c r="AN1795" s="15"/>
      <c r="AO1795" s="15"/>
      <c r="AP1795" s="15"/>
      <c r="AQ1795" s="15"/>
      <c r="AR1795" s="15"/>
      <c r="AS1795" s="15"/>
      <c r="AT1795" s="15"/>
      <c r="AU1795" s="15"/>
    </row>
    <row r="1796" ht="24.0" customHeight="1">
      <c r="A1796" s="45">
        <v>3220.0</v>
      </c>
      <c r="B1796" s="57"/>
      <c r="C1796" s="57"/>
      <c r="D1796" s="88" t="str">
        <f t="array" ref="D1796">IFERROR(
  LOOKUP(2, 1/((TRIM(IMS!$E$8:$E$2574)=TRIM(IMS!$E1796))*(IMS!$C$8:$C$2574&lt;IMS!$C1796)),
         IMS!$C$8:$C$2574),
"")</f>
        <v/>
      </c>
      <c r="E1796" s="57"/>
      <c r="F1796" s="57"/>
      <c r="G1796" s="77" t="str">
        <f t="shared" si="901"/>
        <v/>
      </c>
      <c r="H1796" s="78" t="str">
        <f t="shared" si="902"/>
        <v/>
      </c>
      <c r="I1796" s="79"/>
      <c r="J1796" s="80" t="str">
        <f t="shared" si="903"/>
        <v>#NAME?</v>
      </c>
      <c r="K1796" s="58"/>
      <c r="L1796" s="58"/>
      <c r="M1796" s="57"/>
      <c r="N1796" s="57"/>
      <c r="O1796" s="58"/>
      <c r="P1796" s="82"/>
      <c r="Q1796" s="81"/>
      <c r="R1796" s="81"/>
      <c r="S1796" s="57"/>
      <c r="T1796" s="82"/>
      <c r="U1796" s="82"/>
      <c r="V1796" s="57"/>
      <c r="W1796" s="57"/>
      <c r="X1796" s="57" t="str">
        <f t="shared" si="917"/>
        <v/>
      </c>
      <c r="Y1796" s="58" t="str">
        <f t="shared" ref="Y1796:AC1796" si="1636">TRIM(SUBSTITUTE(SUBSTITUTE(OFFSET($Q1796,0,COLUMN()-COLUMN($AL$1)),CHAR(160)," "),_xludf.UNICHAR(8239)," "))</f>
        <v>#NAME?</v>
      </c>
      <c r="Z1796" s="58" t="str">
        <f t="shared" si="1636"/>
        <v>#NAME?</v>
      </c>
      <c r="AA1796" s="58" t="str">
        <f t="shared" si="1636"/>
        <v>#NAME?</v>
      </c>
      <c r="AB1796" s="58" t="str">
        <f t="shared" si="1636"/>
        <v>#NAME?</v>
      </c>
      <c r="AC1796" s="58" t="str">
        <f t="shared" si="1636"/>
        <v>#NAME?</v>
      </c>
      <c r="AD1796" s="57">
        <f t="shared" si="906"/>
        <v>0</v>
      </c>
      <c r="AE1796" s="57" t="str">
        <f t="shared" si="907"/>
        <v/>
      </c>
      <c r="AF1796" s="57">
        <f t="shared" si="908"/>
        <v>0</v>
      </c>
      <c r="AG1796" s="59">
        <f t="shared" si="909"/>
        <v>0</v>
      </c>
      <c r="AH1796" s="15"/>
      <c r="AI1796" s="15"/>
      <c r="AJ1796" s="15"/>
      <c r="AK1796" s="15"/>
      <c r="AL1796" s="15"/>
      <c r="AM1796" s="15"/>
      <c r="AN1796" s="15"/>
      <c r="AO1796" s="15"/>
      <c r="AP1796" s="15"/>
      <c r="AQ1796" s="15"/>
      <c r="AR1796" s="15"/>
      <c r="AS1796" s="15"/>
      <c r="AT1796" s="15"/>
      <c r="AU1796" s="15"/>
    </row>
    <row r="1797" ht="24.0" customHeight="1">
      <c r="A1797" s="45">
        <v>3221.0</v>
      </c>
      <c r="B1797" s="57"/>
      <c r="C1797" s="57"/>
      <c r="D1797" s="88" t="str">
        <f t="array" ref="D1797">IFERROR(
  LOOKUP(2, 1/((TRIM(IMS!$E$8:$E$2574)=TRIM(IMS!$E1797))*(IMS!$C$8:$C$2574&lt;IMS!$C1797)),
         IMS!$C$8:$C$2574),
"")</f>
        <v/>
      </c>
      <c r="E1797" s="57"/>
      <c r="F1797" s="57"/>
      <c r="G1797" s="77" t="str">
        <f t="shared" si="901"/>
        <v/>
      </c>
      <c r="H1797" s="78" t="str">
        <f t="shared" si="902"/>
        <v/>
      </c>
      <c r="I1797" s="79"/>
      <c r="J1797" s="80" t="str">
        <f t="shared" si="903"/>
        <v>#NAME?</v>
      </c>
      <c r="K1797" s="58"/>
      <c r="L1797" s="58"/>
      <c r="M1797" s="57"/>
      <c r="N1797" s="57"/>
      <c r="O1797" s="58"/>
      <c r="P1797" s="82"/>
      <c r="Q1797" s="81"/>
      <c r="R1797" s="81"/>
      <c r="S1797" s="57"/>
      <c r="T1797" s="82"/>
      <c r="U1797" s="82"/>
      <c r="V1797" s="57"/>
      <c r="W1797" s="57"/>
      <c r="X1797" s="57" t="str">
        <f t="shared" si="917"/>
        <v/>
      </c>
      <c r="Y1797" s="58" t="str">
        <f t="shared" ref="Y1797:AC1797" si="1637">TRIM(SUBSTITUTE(SUBSTITUTE(OFFSET($Q1797,0,COLUMN()-COLUMN($AL$1)),CHAR(160)," "),_xludf.UNICHAR(8239)," "))</f>
        <v>#NAME?</v>
      </c>
      <c r="Z1797" s="58" t="str">
        <f t="shared" si="1637"/>
        <v>#NAME?</v>
      </c>
      <c r="AA1797" s="58" t="str">
        <f t="shared" si="1637"/>
        <v>#NAME?</v>
      </c>
      <c r="AB1797" s="58" t="str">
        <f t="shared" si="1637"/>
        <v>#NAME?</v>
      </c>
      <c r="AC1797" s="58" t="str">
        <f t="shared" si="1637"/>
        <v>#NAME?</v>
      </c>
      <c r="AD1797" s="57">
        <f t="shared" si="906"/>
        <v>0</v>
      </c>
      <c r="AE1797" s="57" t="str">
        <f t="shared" si="907"/>
        <v/>
      </c>
      <c r="AF1797" s="57">
        <f t="shared" si="908"/>
        <v>0</v>
      </c>
      <c r="AG1797" s="59">
        <f t="shared" si="909"/>
        <v>0</v>
      </c>
      <c r="AH1797" s="15"/>
      <c r="AI1797" s="15"/>
      <c r="AJ1797" s="15"/>
      <c r="AK1797" s="15"/>
      <c r="AL1797" s="15"/>
      <c r="AM1797" s="15"/>
      <c r="AN1797" s="15"/>
      <c r="AO1797" s="15"/>
      <c r="AP1797" s="15"/>
      <c r="AQ1797" s="15"/>
      <c r="AR1797" s="15"/>
      <c r="AS1797" s="15"/>
      <c r="AT1797" s="15"/>
      <c r="AU1797" s="15"/>
    </row>
    <row r="1798" ht="24.0" customHeight="1">
      <c r="A1798" s="45">
        <v>3222.0</v>
      </c>
      <c r="B1798" s="57"/>
      <c r="C1798" s="57"/>
      <c r="D1798" s="88" t="str">
        <f t="array" ref="D1798">IFERROR(
  LOOKUP(2, 1/((TRIM(IMS!$E$8:$E$2574)=TRIM(IMS!$E1798))*(IMS!$C$8:$C$2574&lt;IMS!$C1798)),
         IMS!$C$8:$C$2574),
"")</f>
        <v/>
      </c>
      <c r="E1798" s="57"/>
      <c r="F1798" s="57"/>
      <c r="G1798" s="77" t="str">
        <f t="shared" si="901"/>
        <v/>
      </c>
      <c r="H1798" s="78" t="str">
        <f t="shared" si="902"/>
        <v/>
      </c>
      <c r="I1798" s="79"/>
      <c r="J1798" s="80" t="str">
        <f t="shared" si="903"/>
        <v>#NAME?</v>
      </c>
      <c r="K1798" s="58"/>
      <c r="L1798" s="58"/>
      <c r="M1798" s="57"/>
      <c r="N1798" s="57"/>
      <c r="O1798" s="58"/>
      <c r="P1798" s="82"/>
      <c r="Q1798" s="81"/>
      <c r="R1798" s="81"/>
      <c r="S1798" s="57"/>
      <c r="T1798" s="82"/>
      <c r="U1798" s="82"/>
      <c r="V1798" s="57"/>
      <c r="W1798" s="57"/>
      <c r="X1798" s="57" t="str">
        <f t="shared" si="917"/>
        <v/>
      </c>
      <c r="Y1798" s="58" t="str">
        <f t="shared" ref="Y1798:AC1798" si="1638">TRIM(SUBSTITUTE(SUBSTITUTE(OFFSET($Q1798,0,COLUMN()-COLUMN($AL$1)),CHAR(160)," "),_xludf.UNICHAR(8239)," "))</f>
        <v>#NAME?</v>
      </c>
      <c r="Z1798" s="58" t="str">
        <f t="shared" si="1638"/>
        <v>#NAME?</v>
      </c>
      <c r="AA1798" s="58" t="str">
        <f t="shared" si="1638"/>
        <v>#NAME?</v>
      </c>
      <c r="AB1798" s="58" t="str">
        <f t="shared" si="1638"/>
        <v>#NAME?</v>
      </c>
      <c r="AC1798" s="58" t="str">
        <f t="shared" si="1638"/>
        <v>#NAME?</v>
      </c>
      <c r="AD1798" s="57">
        <f t="shared" si="906"/>
        <v>0</v>
      </c>
      <c r="AE1798" s="57" t="str">
        <f t="shared" si="907"/>
        <v/>
      </c>
      <c r="AF1798" s="57">
        <f t="shared" si="908"/>
        <v>0</v>
      </c>
      <c r="AG1798" s="59">
        <f t="shared" si="909"/>
        <v>0</v>
      </c>
      <c r="AH1798" s="15"/>
      <c r="AI1798" s="15"/>
      <c r="AJ1798" s="15"/>
      <c r="AK1798" s="15"/>
      <c r="AL1798" s="15"/>
      <c r="AM1798" s="15"/>
      <c r="AN1798" s="15"/>
      <c r="AO1798" s="15"/>
      <c r="AP1798" s="15"/>
      <c r="AQ1798" s="15"/>
      <c r="AR1798" s="15"/>
      <c r="AS1798" s="15"/>
      <c r="AT1798" s="15"/>
      <c r="AU1798" s="15"/>
    </row>
    <row r="1799" ht="24.0" customHeight="1">
      <c r="A1799" s="45">
        <v>3223.0</v>
      </c>
      <c r="B1799" s="57"/>
      <c r="C1799" s="57"/>
      <c r="D1799" s="88" t="str">
        <f t="array" ref="D1799">IFERROR(
  LOOKUP(2, 1/((TRIM(IMS!$E$8:$E$2574)=TRIM(IMS!$E1799))*(IMS!$C$8:$C$2574&lt;IMS!$C1799)),
         IMS!$C$8:$C$2574),
"")</f>
        <v/>
      </c>
      <c r="E1799" s="57"/>
      <c r="F1799" s="57"/>
      <c r="G1799" s="77" t="str">
        <f t="shared" si="901"/>
        <v/>
      </c>
      <c r="H1799" s="78" t="str">
        <f t="shared" si="902"/>
        <v/>
      </c>
      <c r="I1799" s="79"/>
      <c r="J1799" s="80" t="str">
        <f t="shared" si="903"/>
        <v>#NAME?</v>
      </c>
      <c r="K1799" s="58"/>
      <c r="L1799" s="58"/>
      <c r="M1799" s="57"/>
      <c r="N1799" s="57"/>
      <c r="O1799" s="58"/>
      <c r="P1799" s="82"/>
      <c r="Q1799" s="81"/>
      <c r="R1799" s="81"/>
      <c r="S1799" s="57"/>
      <c r="T1799" s="82"/>
      <c r="U1799" s="82"/>
      <c r="V1799" s="57"/>
      <c r="W1799" s="57"/>
      <c r="X1799" s="57" t="str">
        <f t="shared" si="917"/>
        <v/>
      </c>
      <c r="Y1799" s="58" t="str">
        <f t="shared" ref="Y1799:AC1799" si="1639">TRIM(SUBSTITUTE(SUBSTITUTE(OFFSET($Q1799,0,COLUMN()-COLUMN($AL$1)),CHAR(160)," "),_xludf.UNICHAR(8239)," "))</f>
        <v>#NAME?</v>
      </c>
      <c r="Z1799" s="58" t="str">
        <f t="shared" si="1639"/>
        <v>#NAME?</v>
      </c>
      <c r="AA1799" s="58" t="str">
        <f t="shared" si="1639"/>
        <v>#NAME?</v>
      </c>
      <c r="AB1799" s="58" t="str">
        <f t="shared" si="1639"/>
        <v>#NAME?</v>
      </c>
      <c r="AC1799" s="58" t="str">
        <f t="shared" si="1639"/>
        <v>#NAME?</v>
      </c>
      <c r="AD1799" s="57">
        <f t="shared" si="906"/>
        <v>0</v>
      </c>
      <c r="AE1799" s="57" t="str">
        <f t="shared" si="907"/>
        <v/>
      </c>
      <c r="AF1799" s="57">
        <f t="shared" si="908"/>
        <v>0</v>
      </c>
      <c r="AG1799" s="59">
        <f t="shared" si="909"/>
        <v>0</v>
      </c>
      <c r="AH1799" s="15"/>
      <c r="AI1799" s="15"/>
      <c r="AJ1799" s="15"/>
      <c r="AK1799" s="15"/>
      <c r="AL1799" s="15"/>
      <c r="AM1799" s="15"/>
      <c r="AN1799" s="15"/>
      <c r="AO1799" s="15"/>
      <c r="AP1799" s="15"/>
      <c r="AQ1799" s="15"/>
      <c r="AR1799" s="15"/>
      <c r="AS1799" s="15"/>
      <c r="AT1799" s="15"/>
      <c r="AU1799" s="15"/>
    </row>
    <row r="1800" ht="24.0" customHeight="1">
      <c r="A1800" s="45">
        <v>3224.0</v>
      </c>
      <c r="B1800" s="57"/>
      <c r="C1800" s="57"/>
      <c r="D1800" s="88" t="str">
        <f t="array" ref="D1800">IFERROR(
  LOOKUP(2, 1/((TRIM(IMS!$E$8:$E$2574)=TRIM(IMS!$E1800))*(IMS!$C$8:$C$2574&lt;IMS!$C1800)),
         IMS!$C$8:$C$2574),
"")</f>
        <v/>
      </c>
      <c r="E1800" s="57"/>
      <c r="F1800" s="57"/>
      <c r="G1800" s="77" t="str">
        <f t="shared" si="901"/>
        <v/>
      </c>
      <c r="H1800" s="78" t="str">
        <f t="shared" si="902"/>
        <v/>
      </c>
      <c r="I1800" s="79"/>
      <c r="J1800" s="80" t="str">
        <f t="shared" si="903"/>
        <v>#NAME?</v>
      </c>
      <c r="K1800" s="58"/>
      <c r="L1800" s="58"/>
      <c r="M1800" s="57"/>
      <c r="N1800" s="57"/>
      <c r="O1800" s="58"/>
      <c r="P1800" s="82"/>
      <c r="Q1800" s="81"/>
      <c r="R1800" s="81"/>
      <c r="S1800" s="57"/>
      <c r="T1800" s="82"/>
      <c r="U1800" s="82"/>
      <c r="V1800" s="57"/>
      <c r="W1800" s="57"/>
      <c r="X1800" s="57" t="str">
        <f t="shared" si="917"/>
        <v/>
      </c>
      <c r="Y1800" s="58" t="str">
        <f t="shared" ref="Y1800:AC1800" si="1640">TRIM(SUBSTITUTE(SUBSTITUTE(OFFSET($Q1800,0,COLUMN()-COLUMN($AL$1)),CHAR(160)," "),_xludf.UNICHAR(8239)," "))</f>
        <v>#NAME?</v>
      </c>
      <c r="Z1800" s="58" t="str">
        <f t="shared" si="1640"/>
        <v>#NAME?</v>
      </c>
      <c r="AA1800" s="58" t="str">
        <f t="shared" si="1640"/>
        <v>#NAME?</v>
      </c>
      <c r="AB1800" s="58" t="str">
        <f t="shared" si="1640"/>
        <v>#NAME?</v>
      </c>
      <c r="AC1800" s="58" t="str">
        <f t="shared" si="1640"/>
        <v>#NAME?</v>
      </c>
      <c r="AD1800" s="57">
        <f t="shared" si="906"/>
        <v>0</v>
      </c>
      <c r="AE1800" s="57" t="str">
        <f t="shared" si="907"/>
        <v/>
      </c>
      <c r="AF1800" s="57">
        <f t="shared" si="908"/>
        <v>0</v>
      </c>
      <c r="AG1800" s="59">
        <f t="shared" si="909"/>
        <v>0</v>
      </c>
      <c r="AH1800" s="15"/>
      <c r="AI1800" s="15"/>
      <c r="AJ1800" s="15"/>
      <c r="AK1800" s="15"/>
      <c r="AL1800" s="15"/>
      <c r="AM1800" s="15"/>
      <c r="AN1800" s="15"/>
      <c r="AO1800" s="15"/>
      <c r="AP1800" s="15"/>
      <c r="AQ1800" s="15"/>
      <c r="AR1800" s="15"/>
      <c r="AS1800" s="15"/>
      <c r="AT1800" s="15"/>
      <c r="AU1800" s="15"/>
    </row>
    <row r="1801" ht="24.0" customHeight="1">
      <c r="A1801" s="45">
        <v>3225.0</v>
      </c>
      <c r="B1801" s="57"/>
      <c r="C1801" s="57"/>
      <c r="D1801" s="88" t="str">
        <f t="array" ref="D1801">IFERROR(
  LOOKUP(2, 1/((TRIM(IMS!$E$8:$E$2574)=TRIM(IMS!$E1801))*(IMS!$C$8:$C$2574&lt;IMS!$C1801)),
         IMS!$C$8:$C$2574),
"")</f>
        <v/>
      </c>
      <c r="E1801" s="57"/>
      <c r="F1801" s="57"/>
      <c r="G1801" s="77" t="str">
        <f t="shared" si="901"/>
        <v/>
      </c>
      <c r="H1801" s="78" t="str">
        <f t="shared" si="902"/>
        <v/>
      </c>
      <c r="I1801" s="79"/>
      <c r="J1801" s="80" t="str">
        <f t="shared" si="903"/>
        <v>#NAME?</v>
      </c>
      <c r="K1801" s="58"/>
      <c r="L1801" s="58"/>
      <c r="M1801" s="57"/>
      <c r="N1801" s="57"/>
      <c r="O1801" s="58"/>
      <c r="P1801" s="82"/>
      <c r="Q1801" s="81"/>
      <c r="R1801" s="81"/>
      <c r="S1801" s="57"/>
      <c r="T1801" s="82"/>
      <c r="U1801" s="82"/>
      <c r="V1801" s="57"/>
      <c r="W1801" s="57"/>
      <c r="X1801" s="57" t="str">
        <f t="shared" si="917"/>
        <v/>
      </c>
      <c r="Y1801" s="58" t="str">
        <f t="shared" ref="Y1801:AC1801" si="1641">TRIM(SUBSTITUTE(SUBSTITUTE(OFFSET($Q1801,0,COLUMN()-COLUMN($AL$1)),CHAR(160)," "),_xludf.UNICHAR(8239)," "))</f>
        <v>#NAME?</v>
      </c>
      <c r="Z1801" s="58" t="str">
        <f t="shared" si="1641"/>
        <v>#NAME?</v>
      </c>
      <c r="AA1801" s="58" t="str">
        <f t="shared" si="1641"/>
        <v>#NAME?</v>
      </c>
      <c r="AB1801" s="58" t="str">
        <f t="shared" si="1641"/>
        <v>#NAME?</v>
      </c>
      <c r="AC1801" s="58" t="str">
        <f t="shared" si="1641"/>
        <v>#NAME?</v>
      </c>
      <c r="AD1801" s="57">
        <f t="shared" si="906"/>
        <v>0</v>
      </c>
      <c r="AE1801" s="57" t="str">
        <f t="shared" si="907"/>
        <v/>
      </c>
      <c r="AF1801" s="57">
        <f t="shared" si="908"/>
        <v>0</v>
      </c>
      <c r="AG1801" s="59">
        <f t="shared" si="909"/>
        <v>0</v>
      </c>
      <c r="AH1801" s="15"/>
      <c r="AI1801" s="15"/>
      <c r="AJ1801" s="15"/>
      <c r="AK1801" s="15"/>
      <c r="AL1801" s="15"/>
      <c r="AM1801" s="15"/>
      <c r="AN1801" s="15"/>
      <c r="AO1801" s="15"/>
      <c r="AP1801" s="15"/>
      <c r="AQ1801" s="15"/>
      <c r="AR1801" s="15"/>
      <c r="AS1801" s="15"/>
      <c r="AT1801" s="15"/>
      <c r="AU1801" s="15"/>
    </row>
    <row r="1802" ht="24.0" customHeight="1">
      <c r="A1802" s="45">
        <v>3226.0</v>
      </c>
      <c r="B1802" s="57"/>
      <c r="C1802" s="57"/>
      <c r="D1802" s="88" t="str">
        <f t="array" ref="D1802">IFERROR(
  LOOKUP(2, 1/((TRIM(IMS!$E$8:$E$2574)=TRIM(IMS!$E1802))*(IMS!$C$8:$C$2574&lt;IMS!$C1802)),
         IMS!$C$8:$C$2574),
"")</f>
        <v/>
      </c>
      <c r="E1802" s="57"/>
      <c r="F1802" s="57"/>
      <c r="G1802" s="77" t="str">
        <f t="shared" si="901"/>
        <v/>
      </c>
      <c r="H1802" s="78" t="str">
        <f t="shared" si="902"/>
        <v/>
      </c>
      <c r="I1802" s="79"/>
      <c r="J1802" s="80" t="str">
        <f t="shared" si="903"/>
        <v>#NAME?</v>
      </c>
      <c r="K1802" s="58"/>
      <c r="L1802" s="58"/>
      <c r="M1802" s="57"/>
      <c r="N1802" s="57"/>
      <c r="O1802" s="58"/>
      <c r="P1802" s="82"/>
      <c r="Q1802" s="81"/>
      <c r="R1802" s="81"/>
      <c r="S1802" s="57"/>
      <c r="T1802" s="82"/>
      <c r="U1802" s="82"/>
      <c r="V1802" s="57"/>
      <c r="W1802" s="57"/>
      <c r="X1802" s="57" t="str">
        <f t="shared" si="917"/>
        <v/>
      </c>
      <c r="Y1802" s="58" t="str">
        <f t="shared" ref="Y1802:AC1802" si="1642">TRIM(SUBSTITUTE(SUBSTITUTE(OFFSET($Q1802,0,COLUMN()-COLUMN($AL$1)),CHAR(160)," "),_xludf.UNICHAR(8239)," "))</f>
        <v>#NAME?</v>
      </c>
      <c r="Z1802" s="58" t="str">
        <f t="shared" si="1642"/>
        <v>#NAME?</v>
      </c>
      <c r="AA1802" s="58" t="str">
        <f t="shared" si="1642"/>
        <v>#NAME?</v>
      </c>
      <c r="AB1802" s="58" t="str">
        <f t="shared" si="1642"/>
        <v>#NAME?</v>
      </c>
      <c r="AC1802" s="58" t="str">
        <f t="shared" si="1642"/>
        <v>#NAME?</v>
      </c>
      <c r="AD1802" s="57">
        <f t="shared" si="906"/>
        <v>0</v>
      </c>
      <c r="AE1802" s="57" t="str">
        <f t="shared" si="907"/>
        <v/>
      </c>
      <c r="AF1802" s="57">
        <f t="shared" si="908"/>
        <v>0</v>
      </c>
      <c r="AG1802" s="59">
        <f t="shared" si="909"/>
        <v>0</v>
      </c>
      <c r="AH1802" s="15"/>
      <c r="AI1802" s="15"/>
      <c r="AJ1802" s="15"/>
      <c r="AK1802" s="15"/>
      <c r="AL1802" s="15"/>
      <c r="AM1802" s="15"/>
      <c r="AN1802" s="15"/>
      <c r="AO1802" s="15"/>
      <c r="AP1802" s="15"/>
      <c r="AQ1802" s="15"/>
      <c r="AR1802" s="15"/>
      <c r="AS1802" s="15"/>
      <c r="AT1802" s="15"/>
      <c r="AU1802" s="15"/>
    </row>
    <row r="1803" ht="24.0" customHeight="1">
      <c r="A1803" s="45">
        <v>3227.0</v>
      </c>
      <c r="B1803" s="57"/>
      <c r="C1803" s="57"/>
      <c r="D1803" s="88" t="str">
        <f t="array" ref="D1803">IFERROR(
  LOOKUP(2, 1/((TRIM(IMS!$E$8:$E$2574)=TRIM(IMS!$E1803))*(IMS!$C$8:$C$2574&lt;IMS!$C1803)),
         IMS!$C$8:$C$2574),
"")</f>
        <v/>
      </c>
      <c r="E1803" s="57"/>
      <c r="F1803" s="57"/>
      <c r="G1803" s="77" t="str">
        <f t="shared" si="901"/>
        <v/>
      </c>
      <c r="H1803" s="78" t="str">
        <f t="shared" si="902"/>
        <v/>
      </c>
      <c r="I1803" s="79"/>
      <c r="J1803" s="80" t="str">
        <f t="shared" si="903"/>
        <v>#NAME?</v>
      </c>
      <c r="K1803" s="58"/>
      <c r="L1803" s="58"/>
      <c r="M1803" s="57"/>
      <c r="N1803" s="57"/>
      <c r="O1803" s="58"/>
      <c r="P1803" s="82"/>
      <c r="Q1803" s="81"/>
      <c r="R1803" s="81"/>
      <c r="S1803" s="57"/>
      <c r="T1803" s="82"/>
      <c r="U1803" s="82"/>
      <c r="V1803" s="57"/>
      <c r="W1803" s="57"/>
      <c r="X1803" s="57" t="str">
        <f t="shared" si="917"/>
        <v/>
      </c>
      <c r="Y1803" s="58" t="str">
        <f t="shared" ref="Y1803:AC1803" si="1643">TRIM(SUBSTITUTE(SUBSTITUTE(OFFSET($Q1803,0,COLUMN()-COLUMN($AL$1)),CHAR(160)," "),_xludf.UNICHAR(8239)," "))</f>
        <v>#NAME?</v>
      </c>
      <c r="Z1803" s="58" t="str">
        <f t="shared" si="1643"/>
        <v>#NAME?</v>
      </c>
      <c r="AA1803" s="58" t="str">
        <f t="shared" si="1643"/>
        <v>#NAME?</v>
      </c>
      <c r="AB1803" s="58" t="str">
        <f t="shared" si="1643"/>
        <v>#NAME?</v>
      </c>
      <c r="AC1803" s="58" t="str">
        <f t="shared" si="1643"/>
        <v>#NAME?</v>
      </c>
      <c r="AD1803" s="57">
        <f t="shared" si="906"/>
        <v>0</v>
      </c>
      <c r="AE1803" s="57" t="str">
        <f t="shared" si="907"/>
        <v/>
      </c>
      <c r="AF1803" s="57">
        <f t="shared" si="908"/>
        <v>0</v>
      </c>
      <c r="AG1803" s="59">
        <f t="shared" si="909"/>
        <v>0</v>
      </c>
      <c r="AH1803" s="15"/>
      <c r="AI1803" s="15"/>
      <c r="AJ1803" s="15"/>
      <c r="AK1803" s="15"/>
      <c r="AL1803" s="15"/>
      <c r="AM1803" s="15"/>
      <c r="AN1803" s="15"/>
      <c r="AO1803" s="15"/>
      <c r="AP1803" s="15"/>
      <c r="AQ1803" s="15"/>
      <c r="AR1803" s="15"/>
      <c r="AS1803" s="15"/>
      <c r="AT1803" s="15"/>
      <c r="AU1803" s="15"/>
    </row>
    <row r="1804" ht="24.0" customHeight="1">
      <c r="A1804" s="45">
        <v>3228.0</v>
      </c>
      <c r="B1804" s="57"/>
      <c r="C1804" s="57"/>
      <c r="D1804" s="88" t="str">
        <f t="array" ref="D1804">IFERROR(
  LOOKUP(2, 1/((TRIM(IMS!$E$8:$E$2574)=TRIM(IMS!$E1804))*(IMS!$C$8:$C$2574&lt;IMS!$C1804)),
         IMS!$C$8:$C$2574),
"")</f>
        <v/>
      </c>
      <c r="E1804" s="57"/>
      <c r="F1804" s="57"/>
      <c r="G1804" s="77" t="str">
        <f t="shared" si="901"/>
        <v/>
      </c>
      <c r="H1804" s="78" t="str">
        <f t="shared" si="902"/>
        <v/>
      </c>
      <c r="I1804" s="79"/>
      <c r="J1804" s="80" t="str">
        <f t="shared" si="903"/>
        <v>#NAME?</v>
      </c>
      <c r="K1804" s="58"/>
      <c r="L1804" s="58"/>
      <c r="M1804" s="57"/>
      <c r="N1804" s="57"/>
      <c r="O1804" s="58"/>
      <c r="P1804" s="82"/>
      <c r="Q1804" s="81"/>
      <c r="R1804" s="81"/>
      <c r="S1804" s="57"/>
      <c r="T1804" s="82"/>
      <c r="U1804" s="82"/>
      <c r="V1804" s="57"/>
      <c r="W1804" s="57"/>
      <c r="X1804" s="57" t="str">
        <f t="shared" si="917"/>
        <v/>
      </c>
      <c r="Y1804" s="58" t="str">
        <f t="shared" ref="Y1804:AC1804" si="1644">TRIM(SUBSTITUTE(SUBSTITUTE(OFFSET($Q1804,0,COLUMN()-COLUMN($AL$1)),CHAR(160)," "),_xludf.UNICHAR(8239)," "))</f>
        <v>#NAME?</v>
      </c>
      <c r="Z1804" s="58" t="str">
        <f t="shared" si="1644"/>
        <v>#NAME?</v>
      </c>
      <c r="AA1804" s="58" t="str">
        <f t="shared" si="1644"/>
        <v>#NAME?</v>
      </c>
      <c r="AB1804" s="58" t="str">
        <f t="shared" si="1644"/>
        <v>#NAME?</v>
      </c>
      <c r="AC1804" s="58" t="str">
        <f t="shared" si="1644"/>
        <v>#NAME?</v>
      </c>
      <c r="AD1804" s="57">
        <f t="shared" si="906"/>
        <v>0</v>
      </c>
      <c r="AE1804" s="57" t="str">
        <f t="shared" si="907"/>
        <v/>
      </c>
      <c r="AF1804" s="57">
        <f t="shared" si="908"/>
        <v>0</v>
      </c>
      <c r="AG1804" s="59">
        <f t="shared" si="909"/>
        <v>0</v>
      </c>
      <c r="AH1804" s="15"/>
      <c r="AI1804" s="15"/>
      <c r="AJ1804" s="15"/>
      <c r="AK1804" s="15"/>
      <c r="AL1804" s="15"/>
      <c r="AM1804" s="15"/>
      <c r="AN1804" s="15"/>
      <c r="AO1804" s="15"/>
      <c r="AP1804" s="15"/>
      <c r="AQ1804" s="15"/>
      <c r="AR1804" s="15"/>
      <c r="AS1804" s="15"/>
      <c r="AT1804" s="15"/>
      <c r="AU1804" s="15"/>
    </row>
    <row r="1805" ht="24.0" customHeight="1">
      <c r="A1805" s="45">
        <v>3229.0</v>
      </c>
      <c r="B1805" s="57"/>
      <c r="C1805" s="57"/>
      <c r="D1805" s="88" t="str">
        <f t="array" ref="D1805">IFERROR(
  LOOKUP(2, 1/((TRIM(IMS!$E$8:$E$2574)=TRIM(IMS!$E1805))*(IMS!$C$8:$C$2574&lt;IMS!$C1805)),
         IMS!$C$8:$C$2574),
"")</f>
        <v/>
      </c>
      <c r="E1805" s="57"/>
      <c r="F1805" s="57"/>
      <c r="G1805" s="77" t="str">
        <f t="shared" si="901"/>
        <v/>
      </c>
      <c r="H1805" s="78" t="str">
        <f t="shared" si="902"/>
        <v/>
      </c>
      <c r="I1805" s="79"/>
      <c r="J1805" s="80" t="str">
        <f t="shared" si="903"/>
        <v>#NAME?</v>
      </c>
      <c r="K1805" s="58"/>
      <c r="L1805" s="58"/>
      <c r="M1805" s="57"/>
      <c r="N1805" s="57"/>
      <c r="O1805" s="58"/>
      <c r="P1805" s="82"/>
      <c r="Q1805" s="81"/>
      <c r="R1805" s="81"/>
      <c r="S1805" s="57"/>
      <c r="T1805" s="82"/>
      <c r="U1805" s="82"/>
      <c r="V1805" s="57"/>
      <c r="W1805" s="57"/>
      <c r="X1805" s="57" t="str">
        <f t="shared" si="917"/>
        <v/>
      </c>
      <c r="Y1805" s="58" t="str">
        <f t="shared" ref="Y1805:AC1805" si="1645">TRIM(SUBSTITUTE(SUBSTITUTE(OFFSET($Q1805,0,COLUMN()-COLUMN($AL$1)),CHAR(160)," "),_xludf.UNICHAR(8239)," "))</f>
        <v>#NAME?</v>
      </c>
      <c r="Z1805" s="58" t="str">
        <f t="shared" si="1645"/>
        <v>#NAME?</v>
      </c>
      <c r="AA1805" s="58" t="str">
        <f t="shared" si="1645"/>
        <v>#NAME?</v>
      </c>
      <c r="AB1805" s="58" t="str">
        <f t="shared" si="1645"/>
        <v>#NAME?</v>
      </c>
      <c r="AC1805" s="58" t="str">
        <f t="shared" si="1645"/>
        <v>#NAME?</v>
      </c>
      <c r="AD1805" s="57">
        <f t="shared" si="906"/>
        <v>0</v>
      </c>
      <c r="AE1805" s="57" t="str">
        <f t="shared" si="907"/>
        <v/>
      </c>
      <c r="AF1805" s="57">
        <f t="shared" si="908"/>
        <v>0</v>
      </c>
      <c r="AG1805" s="59">
        <f t="shared" si="909"/>
        <v>0</v>
      </c>
      <c r="AH1805" s="15"/>
      <c r="AI1805" s="15"/>
      <c r="AJ1805" s="15"/>
      <c r="AK1805" s="15"/>
      <c r="AL1805" s="15"/>
      <c r="AM1805" s="15"/>
      <c r="AN1805" s="15"/>
      <c r="AO1805" s="15"/>
      <c r="AP1805" s="15"/>
      <c r="AQ1805" s="15"/>
      <c r="AR1805" s="15"/>
      <c r="AS1805" s="15"/>
      <c r="AT1805" s="15"/>
      <c r="AU1805" s="15"/>
    </row>
    <row r="1806" ht="24.0" customHeight="1">
      <c r="A1806" s="45">
        <v>3230.0</v>
      </c>
      <c r="B1806" s="57"/>
      <c r="C1806" s="57"/>
      <c r="D1806" s="88" t="str">
        <f t="array" ref="D1806">IFERROR(
  LOOKUP(2, 1/((TRIM(IMS!$E$8:$E$2574)=TRIM(IMS!$E1806))*(IMS!$C$8:$C$2574&lt;IMS!$C1806)),
         IMS!$C$8:$C$2574),
"")</f>
        <v/>
      </c>
      <c r="E1806" s="57"/>
      <c r="F1806" s="57"/>
      <c r="G1806" s="77" t="str">
        <f t="shared" si="901"/>
        <v/>
      </c>
      <c r="H1806" s="78" t="str">
        <f t="shared" si="902"/>
        <v/>
      </c>
      <c r="I1806" s="79"/>
      <c r="J1806" s="80" t="str">
        <f t="shared" si="903"/>
        <v>#NAME?</v>
      </c>
      <c r="K1806" s="58"/>
      <c r="L1806" s="58"/>
      <c r="M1806" s="57"/>
      <c r="N1806" s="57"/>
      <c r="O1806" s="58"/>
      <c r="P1806" s="82"/>
      <c r="Q1806" s="81"/>
      <c r="R1806" s="81"/>
      <c r="S1806" s="57"/>
      <c r="T1806" s="82"/>
      <c r="U1806" s="82"/>
      <c r="V1806" s="57"/>
      <c r="W1806" s="57"/>
      <c r="X1806" s="57" t="str">
        <f t="shared" si="917"/>
        <v/>
      </c>
      <c r="Y1806" s="58" t="str">
        <f t="shared" ref="Y1806:AC1806" si="1646">TRIM(SUBSTITUTE(SUBSTITUTE(OFFSET($Q1806,0,COLUMN()-COLUMN($AL$1)),CHAR(160)," "),_xludf.UNICHAR(8239)," "))</f>
        <v>#NAME?</v>
      </c>
      <c r="Z1806" s="58" t="str">
        <f t="shared" si="1646"/>
        <v>#NAME?</v>
      </c>
      <c r="AA1806" s="58" t="str">
        <f t="shared" si="1646"/>
        <v>#NAME?</v>
      </c>
      <c r="AB1806" s="58" t="str">
        <f t="shared" si="1646"/>
        <v>#NAME?</v>
      </c>
      <c r="AC1806" s="58" t="str">
        <f t="shared" si="1646"/>
        <v>#NAME?</v>
      </c>
      <c r="AD1806" s="57">
        <f t="shared" si="906"/>
        <v>0</v>
      </c>
      <c r="AE1806" s="57" t="str">
        <f t="shared" si="907"/>
        <v/>
      </c>
      <c r="AF1806" s="57">
        <f t="shared" si="908"/>
        <v>0</v>
      </c>
      <c r="AG1806" s="59">
        <f t="shared" si="909"/>
        <v>0</v>
      </c>
      <c r="AH1806" s="15"/>
      <c r="AI1806" s="15"/>
      <c r="AJ1806" s="15"/>
      <c r="AK1806" s="15"/>
      <c r="AL1806" s="15"/>
      <c r="AM1806" s="15"/>
      <c r="AN1806" s="15"/>
      <c r="AO1806" s="15"/>
      <c r="AP1806" s="15"/>
      <c r="AQ1806" s="15"/>
      <c r="AR1806" s="15"/>
      <c r="AS1806" s="15"/>
      <c r="AT1806" s="15"/>
      <c r="AU1806" s="15"/>
    </row>
    <row r="1807" ht="24.0" customHeight="1">
      <c r="A1807" s="45">
        <v>3231.0</v>
      </c>
      <c r="B1807" s="57"/>
      <c r="C1807" s="57"/>
      <c r="D1807" s="88" t="str">
        <f t="array" ref="D1807">IFERROR(
  LOOKUP(2, 1/((TRIM(IMS!$E$8:$E$2574)=TRIM(IMS!$E1807))*(IMS!$C$8:$C$2574&lt;IMS!$C1807)),
         IMS!$C$8:$C$2574),
"")</f>
        <v/>
      </c>
      <c r="E1807" s="57"/>
      <c r="F1807" s="57"/>
      <c r="G1807" s="77" t="str">
        <f t="shared" si="901"/>
        <v/>
      </c>
      <c r="H1807" s="78" t="str">
        <f t="shared" si="902"/>
        <v/>
      </c>
      <c r="I1807" s="79"/>
      <c r="J1807" s="80" t="str">
        <f t="shared" si="903"/>
        <v>#NAME?</v>
      </c>
      <c r="K1807" s="58"/>
      <c r="L1807" s="58"/>
      <c r="M1807" s="57"/>
      <c r="N1807" s="57"/>
      <c r="O1807" s="58"/>
      <c r="P1807" s="82"/>
      <c r="Q1807" s="81"/>
      <c r="R1807" s="81"/>
      <c r="S1807" s="57"/>
      <c r="T1807" s="82"/>
      <c r="U1807" s="82"/>
      <c r="V1807" s="57"/>
      <c r="W1807" s="57"/>
      <c r="X1807" s="57" t="str">
        <f t="shared" si="917"/>
        <v/>
      </c>
      <c r="Y1807" s="58" t="str">
        <f t="shared" ref="Y1807:AC1807" si="1647">TRIM(SUBSTITUTE(SUBSTITUTE(OFFSET($Q1807,0,COLUMN()-COLUMN($AL$1)),CHAR(160)," "),_xludf.UNICHAR(8239)," "))</f>
        <v>#NAME?</v>
      </c>
      <c r="Z1807" s="58" t="str">
        <f t="shared" si="1647"/>
        <v>#NAME?</v>
      </c>
      <c r="AA1807" s="58" t="str">
        <f t="shared" si="1647"/>
        <v>#NAME?</v>
      </c>
      <c r="AB1807" s="58" t="str">
        <f t="shared" si="1647"/>
        <v>#NAME?</v>
      </c>
      <c r="AC1807" s="58" t="str">
        <f t="shared" si="1647"/>
        <v>#NAME?</v>
      </c>
      <c r="AD1807" s="57">
        <f t="shared" si="906"/>
        <v>0</v>
      </c>
      <c r="AE1807" s="57" t="str">
        <f t="shared" si="907"/>
        <v/>
      </c>
      <c r="AF1807" s="57">
        <f t="shared" si="908"/>
        <v>0</v>
      </c>
      <c r="AG1807" s="59">
        <f t="shared" si="909"/>
        <v>0</v>
      </c>
      <c r="AH1807" s="15"/>
      <c r="AI1807" s="15"/>
      <c r="AJ1807" s="15"/>
      <c r="AK1807" s="15"/>
      <c r="AL1807" s="15"/>
      <c r="AM1807" s="15"/>
      <c r="AN1807" s="15"/>
      <c r="AO1807" s="15"/>
      <c r="AP1807" s="15"/>
      <c r="AQ1807" s="15"/>
      <c r="AR1807" s="15"/>
      <c r="AS1807" s="15"/>
      <c r="AT1807" s="15"/>
      <c r="AU1807" s="15"/>
    </row>
    <row r="1808" ht="24.0" customHeight="1">
      <c r="A1808" s="45">
        <v>3232.0</v>
      </c>
      <c r="B1808" s="57"/>
      <c r="C1808" s="57"/>
      <c r="D1808" s="88" t="str">
        <f t="array" ref="D1808">IFERROR(
  LOOKUP(2, 1/((TRIM(IMS!$E$8:$E$2574)=TRIM(IMS!$E1808))*(IMS!$C$8:$C$2574&lt;IMS!$C1808)),
         IMS!$C$8:$C$2574),
"")</f>
        <v/>
      </c>
      <c r="E1808" s="57"/>
      <c r="F1808" s="57"/>
      <c r="G1808" s="77" t="str">
        <f t="shared" si="901"/>
        <v/>
      </c>
      <c r="H1808" s="78" t="str">
        <f t="shared" si="902"/>
        <v/>
      </c>
      <c r="I1808" s="79"/>
      <c r="J1808" s="80" t="str">
        <f t="shared" si="903"/>
        <v>#NAME?</v>
      </c>
      <c r="K1808" s="58"/>
      <c r="L1808" s="58"/>
      <c r="M1808" s="57"/>
      <c r="N1808" s="57"/>
      <c r="O1808" s="58"/>
      <c r="P1808" s="82"/>
      <c r="Q1808" s="81"/>
      <c r="R1808" s="81"/>
      <c r="S1808" s="57"/>
      <c r="T1808" s="82"/>
      <c r="U1808" s="82"/>
      <c r="V1808" s="57"/>
      <c r="W1808" s="57"/>
      <c r="X1808" s="57" t="str">
        <f t="shared" si="917"/>
        <v/>
      </c>
      <c r="Y1808" s="58" t="str">
        <f t="shared" ref="Y1808:AC1808" si="1648">TRIM(SUBSTITUTE(SUBSTITUTE(OFFSET($Q1808,0,COLUMN()-COLUMN($AL$1)),CHAR(160)," "),_xludf.UNICHAR(8239)," "))</f>
        <v>#NAME?</v>
      </c>
      <c r="Z1808" s="58" t="str">
        <f t="shared" si="1648"/>
        <v>#NAME?</v>
      </c>
      <c r="AA1808" s="58" t="str">
        <f t="shared" si="1648"/>
        <v>#NAME?</v>
      </c>
      <c r="AB1808" s="58" t="str">
        <f t="shared" si="1648"/>
        <v>#NAME?</v>
      </c>
      <c r="AC1808" s="58" t="str">
        <f t="shared" si="1648"/>
        <v>#NAME?</v>
      </c>
      <c r="AD1808" s="57">
        <f t="shared" si="906"/>
        <v>0</v>
      </c>
      <c r="AE1808" s="57" t="str">
        <f t="shared" si="907"/>
        <v/>
      </c>
      <c r="AF1808" s="57">
        <f t="shared" si="908"/>
        <v>0</v>
      </c>
      <c r="AG1808" s="59">
        <f t="shared" si="909"/>
        <v>0</v>
      </c>
      <c r="AH1808" s="15"/>
      <c r="AI1808" s="15"/>
      <c r="AJ1808" s="15"/>
      <c r="AK1808" s="15"/>
      <c r="AL1808" s="15"/>
      <c r="AM1808" s="15"/>
      <c r="AN1808" s="15"/>
      <c r="AO1808" s="15"/>
      <c r="AP1808" s="15"/>
      <c r="AQ1808" s="15"/>
      <c r="AR1808" s="15"/>
      <c r="AS1808" s="15"/>
      <c r="AT1808" s="15"/>
      <c r="AU1808" s="15"/>
    </row>
    <row r="1809" ht="24.0" customHeight="1">
      <c r="A1809" s="45">
        <v>3233.0</v>
      </c>
      <c r="B1809" s="57"/>
      <c r="C1809" s="57"/>
      <c r="D1809" s="88" t="str">
        <f t="array" ref="D1809">IFERROR(
  LOOKUP(2, 1/((TRIM(IMS!$E$8:$E$2574)=TRIM(IMS!$E1809))*(IMS!$C$8:$C$2574&lt;IMS!$C1809)),
         IMS!$C$8:$C$2574),
"")</f>
        <v/>
      </c>
      <c r="E1809" s="57"/>
      <c r="F1809" s="57"/>
      <c r="G1809" s="77" t="str">
        <f t="shared" si="901"/>
        <v/>
      </c>
      <c r="H1809" s="78" t="str">
        <f t="shared" si="902"/>
        <v/>
      </c>
      <c r="I1809" s="79"/>
      <c r="J1809" s="80" t="str">
        <f t="shared" si="903"/>
        <v>#NAME?</v>
      </c>
      <c r="K1809" s="58"/>
      <c r="L1809" s="58"/>
      <c r="M1809" s="57"/>
      <c r="N1809" s="57"/>
      <c r="O1809" s="58"/>
      <c r="P1809" s="82"/>
      <c r="Q1809" s="81"/>
      <c r="R1809" s="81"/>
      <c r="S1809" s="57"/>
      <c r="T1809" s="82"/>
      <c r="U1809" s="82"/>
      <c r="V1809" s="57"/>
      <c r="W1809" s="57"/>
      <c r="X1809" s="57" t="str">
        <f t="shared" si="917"/>
        <v/>
      </c>
      <c r="Y1809" s="58" t="str">
        <f t="shared" ref="Y1809:AC1809" si="1649">TRIM(SUBSTITUTE(SUBSTITUTE(OFFSET($Q1809,0,COLUMN()-COLUMN($AL$1)),CHAR(160)," "),_xludf.UNICHAR(8239)," "))</f>
        <v>#NAME?</v>
      </c>
      <c r="Z1809" s="58" t="str">
        <f t="shared" si="1649"/>
        <v>#NAME?</v>
      </c>
      <c r="AA1809" s="58" t="str">
        <f t="shared" si="1649"/>
        <v>#NAME?</v>
      </c>
      <c r="AB1809" s="58" t="str">
        <f t="shared" si="1649"/>
        <v>#NAME?</v>
      </c>
      <c r="AC1809" s="58" t="str">
        <f t="shared" si="1649"/>
        <v>#NAME?</v>
      </c>
      <c r="AD1809" s="57">
        <f t="shared" si="906"/>
        <v>0</v>
      </c>
      <c r="AE1809" s="57" t="str">
        <f t="shared" si="907"/>
        <v/>
      </c>
      <c r="AF1809" s="57">
        <f t="shared" si="908"/>
        <v>0</v>
      </c>
      <c r="AG1809" s="59">
        <f t="shared" si="909"/>
        <v>0</v>
      </c>
      <c r="AH1809" s="15"/>
      <c r="AI1809" s="15"/>
      <c r="AJ1809" s="15"/>
      <c r="AK1809" s="15"/>
      <c r="AL1809" s="15"/>
      <c r="AM1809" s="15"/>
      <c r="AN1809" s="15"/>
      <c r="AO1809" s="15"/>
      <c r="AP1809" s="15"/>
      <c r="AQ1809" s="15"/>
      <c r="AR1809" s="15"/>
      <c r="AS1809" s="15"/>
      <c r="AT1809" s="15"/>
      <c r="AU1809" s="15"/>
    </row>
    <row r="1810" ht="24.0" customHeight="1">
      <c r="A1810" s="45">
        <v>3234.0</v>
      </c>
      <c r="B1810" s="57"/>
      <c r="C1810" s="57"/>
      <c r="D1810" s="88" t="str">
        <f t="array" ref="D1810">IFERROR(
  LOOKUP(2, 1/((TRIM(IMS!$E$8:$E$2574)=TRIM(IMS!$E1810))*(IMS!$C$8:$C$2574&lt;IMS!$C1810)),
         IMS!$C$8:$C$2574),
"")</f>
        <v/>
      </c>
      <c r="E1810" s="57"/>
      <c r="F1810" s="57"/>
      <c r="G1810" s="77" t="str">
        <f t="shared" si="901"/>
        <v/>
      </c>
      <c r="H1810" s="78" t="str">
        <f t="shared" si="902"/>
        <v/>
      </c>
      <c r="I1810" s="79"/>
      <c r="J1810" s="80" t="str">
        <f t="shared" si="903"/>
        <v>#NAME?</v>
      </c>
      <c r="K1810" s="58"/>
      <c r="L1810" s="58"/>
      <c r="M1810" s="57"/>
      <c r="N1810" s="57"/>
      <c r="O1810" s="58"/>
      <c r="P1810" s="82"/>
      <c r="Q1810" s="81"/>
      <c r="R1810" s="81"/>
      <c r="S1810" s="57"/>
      <c r="T1810" s="82"/>
      <c r="U1810" s="82"/>
      <c r="V1810" s="57"/>
      <c r="W1810" s="57"/>
      <c r="X1810" s="57" t="str">
        <f t="shared" si="917"/>
        <v/>
      </c>
      <c r="Y1810" s="58" t="str">
        <f t="shared" ref="Y1810:AC1810" si="1650">TRIM(SUBSTITUTE(SUBSTITUTE(OFFSET($Q1810,0,COLUMN()-COLUMN($AL$1)),CHAR(160)," "),_xludf.UNICHAR(8239)," "))</f>
        <v>#NAME?</v>
      </c>
      <c r="Z1810" s="58" t="str">
        <f t="shared" si="1650"/>
        <v>#NAME?</v>
      </c>
      <c r="AA1810" s="58" t="str">
        <f t="shared" si="1650"/>
        <v>#NAME?</v>
      </c>
      <c r="AB1810" s="58" t="str">
        <f t="shared" si="1650"/>
        <v>#NAME?</v>
      </c>
      <c r="AC1810" s="58" t="str">
        <f t="shared" si="1650"/>
        <v>#NAME?</v>
      </c>
      <c r="AD1810" s="57">
        <f t="shared" si="906"/>
        <v>0</v>
      </c>
      <c r="AE1810" s="57" t="str">
        <f t="shared" si="907"/>
        <v/>
      </c>
      <c r="AF1810" s="57">
        <f t="shared" si="908"/>
        <v>0</v>
      </c>
      <c r="AG1810" s="59">
        <f t="shared" si="909"/>
        <v>0</v>
      </c>
      <c r="AH1810" s="15"/>
      <c r="AI1810" s="15"/>
      <c r="AJ1810" s="15"/>
      <c r="AK1810" s="15"/>
      <c r="AL1810" s="15"/>
      <c r="AM1810" s="15"/>
      <c r="AN1810" s="15"/>
      <c r="AO1810" s="15"/>
      <c r="AP1810" s="15"/>
      <c r="AQ1810" s="15"/>
      <c r="AR1810" s="15"/>
      <c r="AS1810" s="15"/>
      <c r="AT1810" s="15"/>
      <c r="AU1810" s="15"/>
    </row>
    <row r="1811" ht="24.0" customHeight="1">
      <c r="A1811" s="45">
        <v>3235.0</v>
      </c>
      <c r="B1811" s="57"/>
      <c r="C1811" s="57"/>
      <c r="D1811" s="88" t="str">
        <f t="array" ref="D1811">IFERROR(
  LOOKUP(2, 1/((TRIM(IMS!$E$8:$E$2574)=TRIM(IMS!$E1811))*(IMS!$C$8:$C$2574&lt;IMS!$C1811)),
         IMS!$C$8:$C$2574),
"")</f>
        <v/>
      </c>
      <c r="E1811" s="57"/>
      <c r="F1811" s="57"/>
      <c r="G1811" s="77" t="str">
        <f t="shared" si="901"/>
        <v/>
      </c>
      <c r="H1811" s="78" t="str">
        <f t="shared" si="902"/>
        <v/>
      </c>
      <c r="I1811" s="79"/>
      <c r="J1811" s="80" t="str">
        <f t="shared" si="903"/>
        <v>#NAME?</v>
      </c>
      <c r="K1811" s="58"/>
      <c r="L1811" s="58"/>
      <c r="M1811" s="57"/>
      <c r="N1811" s="57"/>
      <c r="O1811" s="58"/>
      <c r="P1811" s="82"/>
      <c r="Q1811" s="81"/>
      <c r="R1811" s="81"/>
      <c r="S1811" s="57"/>
      <c r="T1811" s="82"/>
      <c r="U1811" s="82"/>
      <c r="V1811" s="57"/>
      <c r="W1811" s="57"/>
      <c r="X1811" s="57" t="str">
        <f t="shared" si="917"/>
        <v/>
      </c>
      <c r="Y1811" s="58" t="str">
        <f t="shared" ref="Y1811:AC1811" si="1651">TRIM(SUBSTITUTE(SUBSTITUTE(OFFSET($Q1811,0,COLUMN()-COLUMN($AL$1)),CHAR(160)," "),_xludf.UNICHAR(8239)," "))</f>
        <v>#NAME?</v>
      </c>
      <c r="Z1811" s="58" t="str">
        <f t="shared" si="1651"/>
        <v>#NAME?</v>
      </c>
      <c r="AA1811" s="58" t="str">
        <f t="shared" si="1651"/>
        <v>#NAME?</v>
      </c>
      <c r="AB1811" s="58" t="str">
        <f t="shared" si="1651"/>
        <v>#NAME?</v>
      </c>
      <c r="AC1811" s="58" t="str">
        <f t="shared" si="1651"/>
        <v>#NAME?</v>
      </c>
      <c r="AD1811" s="57">
        <f t="shared" si="906"/>
        <v>0</v>
      </c>
      <c r="AE1811" s="57" t="str">
        <f t="shared" si="907"/>
        <v/>
      </c>
      <c r="AF1811" s="57">
        <f t="shared" si="908"/>
        <v>0</v>
      </c>
      <c r="AG1811" s="59">
        <f t="shared" si="909"/>
        <v>0</v>
      </c>
      <c r="AH1811" s="15"/>
      <c r="AI1811" s="15"/>
      <c r="AJ1811" s="15"/>
      <c r="AK1811" s="15"/>
      <c r="AL1811" s="15"/>
      <c r="AM1811" s="15"/>
      <c r="AN1811" s="15"/>
      <c r="AO1811" s="15"/>
      <c r="AP1811" s="15"/>
      <c r="AQ1811" s="15"/>
      <c r="AR1811" s="15"/>
      <c r="AS1811" s="15"/>
      <c r="AT1811" s="15"/>
      <c r="AU1811" s="15"/>
    </row>
    <row r="1812" ht="24.0" customHeight="1">
      <c r="A1812" s="45">
        <v>3236.0</v>
      </c>
      <c r="B1812" s="57"/>
      <c r="C1812" s="57"/>
      <c r="D1812" s="88" t="str">
        <f t="array" ref="D1812">IFERROR(
  LOOKUP(2, 1/((TRIM(IMS!$E$8:$E$2574)=TRIM(IMS!$E1812))*(IMS!$C$8:$C$2574&lt;IMS!$C1812)),
         IMS!$C$8:$C$2574),
"")</f>
        <v/>
      </c>
      <c r="E1812" s="57"/>
      <c r="F1812" s="57"/>
      <c r="G1812" s="77" t="str">
        <f t="shared" si="901"/>
        <v/>
      </c>
      <c r="H1812" s="78" t="str">
        <f t="shared" si="902"/>
        <v/>
      </c>
      <c r="I1812" s="79"/>
      <c r="J1812" s="80" t="str">
        <f t="shared" si="903"/>
        <v>#NAME?</v>
      </c>
      <c r="K1812" s="58"/>
      <c r="L1812" s="58"/>
      <c r="M1812" s="57"/>
      <c r="N1812" s="57"/>
      <c r="O1812" s="58"/>
      <c r="P1812" s="82"/>
      <c r="Q1812" s="81"/>
      <c r="R1812" s="81"/>
      <c r="S1812" s="57"/>
      <c r="T1812" s="82"/>
      <c r="U1812" s="82"/>
      <c r="V1812" s="57"/>
      <c r="W1812" s="57"/>
      <c r="X1812" s="57" t="str">
        <f t="shared" si="917"/>
        <v/>
      </c>
      <c r="Y1812" s="58" t="str">
        <f t="shared" ref="Y1812:AC1812" si="1652">TRIM(SUBSTITUTE(SUBSTITUTE(OFFSET($Q1812,0,COLUMN()-COLUMN($AL$1)),CHAR(160)," "),_xludf.UNICHAR(8239)," "))</f>
        <v>#NAME?</v>
      </c>
      <c r="Z1812" s="58" t="str">
        <f t="shared" si="1652"/>
        <v>#NAME?</v>
      </c>
      <c r="AA1812" s="58" t="str">
        <f t="shared" si="1652"/>
        <v>#NAME?</v>
      </c>
      <c r="AB1812" s="58" t="str">
        <f t="shared" si="1652"/>
        <v>#NAME?</v>
      </c>
      <c r="AC1812" s="58" t="str">
        <f t="shared" si="1652"/>
        <v>#NAME?</v>
      </c>
      <c r="AD1812" s="57">
        <f t="shared" si="906"/>
        <v>0</v>
      </c>
      <c r="AE1812" s="57" t="str">
        <f t="shared" si="907"/>
        <v/>
      </c>
      <c r="AF1812" s="57">
        <f t="shared" si="908"/>
        <v>0</v>
      </c>
      <c r="AG1812" s="59">
        <f t="shared" si="909"/>
        <v>0</v>
      </c>
      <c r="AH1812" s="15"/>
      <c r="AI1812" s="15"/>
      <c r="AJ1812" s="15"/>
      <c r="AK1812" s="15"/>
      <c r="AL1812" s="15"/>
      <c r="AM1812" s="15"/>
      <c r="AN1812" s="15"/>
      <c r="AO1812" s="15"/>
      <c r="AP1812" s="15"/>
      <c r="AQ1812" s="15"/>
      <c r="AR1812" s="15"/>
      <c r="AS1812" s="15"/>
      <c r="AT1812" s="15"/>
      <c r="AU1812" s="15"/>
    </row>
    <row r="1813" ht="24.0" customHeight="1">
      <c r="A1813" s="45">
        <v>3237.0</v>
      </c>
      <c r="B1813" s="57"/>
      <c r="C1813" s="57"/>
      <c r="D1813" s="88" t="str">
        <f t="array" ref="D1813">IFERROR(
  LOOKUP(2, 1/((TRIM(IMS!$E$8:$E$2574)=TRIM(IMS!$E1813))*(IMS!$C$8:$C$2574&lt;IMS!$C1813)),
         IMS!$C$8:$C$2574),
"")</f>
        <v/>
      </c>
      <c r="E1813" s="57"/>
      <c r="F1813" s="57"/>
      <c r="G1813" s="77" t="str">
        <f t="shared" si="901"/>
        <v/>
      </c>
      <c r="H1813" s="78" t="str">
        <f t="shared" si="902"/>
        <v/>
      </c>
      <c r="I1813" s="79"/>
      <c r="J1813" s="80" t="str">
        <f t="shared" si="903"/>
        <v>#NAME?</v>
      </c>
      <c r="K1813" s="58"/>
      <c r="L1813" s="58"/>
      <c r="M1813" s="57"/>
      <c r="N1813" s="57"/>
      <c r="O1813" s="58"/>
      <c r="P1813" s="82"/>
      <c r="Q1813" s="81"/>
      <c r="R1813" s="81"/>
      <c r="S1813" s="57"/>
      <c r="T1813" s="82"/>
      <c r="U1813" s="82"/>
      <c r="V1813" s="57"/>
      <c r="W1813" s="57"/>
      <c r="X1813" s="57" t="str">
        <f t="shared" si="917"/>
        <v/>
      </c>
      <c r="Y1813" s="58" t="str">
        <f t="shared" ref="Y1813:AC1813" si="1653">TRIM(SUBSTITUTE(SUBSTITUTE(OFFSET($Q1813,0,COLUMN()-COLUMN($AL$1)),CHAR(160)," "),_xludf.UNICHAR(8239)," "))</f>
        <v>#NAME?</v>
      </c>
      <c r="Z1813" s="58" t="str">
        <f t="shared" si="1653"/>
        <v>#NAME?</v>
      </c>
      <c r="AA1813" s="58" t="str">
        <f t="shared" si="1653"/>
        <v>#NAME?</v>
      </c>
      <c r="AB1813" s="58" t="str">
        <f t="shared" si="1653"/>
        <v>#NAME?</v>
      </c>
      <c r="AC1813" s="58" t="str">
        <f t="shared" si="1653"/>
        <v>#NAME?</v>
      </c>
      <c r="AD1813" s="57">
        <f t="shared" si="906"/>
        <v>0</v>
      </c>
      <c r="AE1813" s="57" t="str">
        <f t="shared" si="907"/>
        <v/>
      </c>
      <c r="AF1813" s="57">
        <f t="shared" si="908"/>
        <v>0</v>
      </c>
      <c r="AG1813" s="59">
        <f t="shared" si="909"/>
        <v>0</v>
      </c>
      <c r="AH1813" s="15"/>
      <c r="AI1813" s="15"/>
      <c r="AJ1813" s="15"/>
      <c r="AK1813" s="15"/>
      <c r="AL1813" s="15"/>
      <c r="AM1813" s="15"/>
      <c r="AN1813" s="15"/>
      <c r="AO1813" s="15"/>
      <c r="AP1813" s="15"/>
      <c r="AQ1813" s="15"/>
      <c r="AR1813" s="15"/>
      <c r="AS1813" s="15"/>
      <c r="AT1813" s="15"/>
      <c r="AU1813" s="15"/>
    </row>
    <row r="1814" ht="24.0" customHeight="1">
      <c r="A1814" s="45">
        <v>3238.0</v>
      </c>
      <c r="B1814" s="57"/>
      <c r="C1814" s="57"/>
      <c r="D1814" s="88" t="str">
        <f t="array" ref="D1814">IFERROR(
  LOOKUP(2, 1/((TRIM(IMS!$E$8:$E$2574)=TRIM(IMS!$E1814))*(IMS!$C$8:$C$2574&lt;IMS!$C1814)),
         IMS!$C$8:$C$2574),
"")</f>
        <v/>
      </c>
      <c r="E1814" s="57"/>
      <c r="F1814" s="57"/>
      <c r="G1814" s="77" t="str">
        <f t="shared" si="901"/>
        <v/>
      </c>
      <c r="H1814" s="78" t="str">
        <f t="shared" si="902"/>
        <v/>
      </c>
      <c r="I1814" s="79"/>
      <c r="J1814" s="80" t="str">
        <f t="shared" si="903"/>
        <v>#NAME?</v>
      </c>
      <c r="K1814" s="58"/>
      <c r="L1814" s="58"/>
      <c r="M1814" s="57"/>
      <c r="N1814" s="57"/>
      <c r="O1814" s="58"/>
      <c r="P1814" s="82"/>
      <c r="Q1814" s="81"/>
      <c r="R1814" s="81"/>
      <c r="S1814" s="57"/>
      <c r="T1814" s="82"/>
      <c r="U1814" s="82"/>
      <c r="V1814" s="57"/>
      <c r="W1814" s="57"/>
      <c r="X1814" s="57" t="str">
        <f t="shared" si="917"/>
        <v/>
      </c>
      <c r="Y1814" s="58" t="str">
        <f t="shared" ref="Y1814:AC1814" si="1654">TRIM(SUBSTITUTE(SUBSTITUTE(OFFSET($Q1814,0,COLUMN()-COLUMN($AL$1)),CHAR(160)," "),_xludf.UNICHAR(8239)," "))</f>
        <v>#NAME?</v>
      </c>
      <c r="Z1814" s="58" t="str">
        <f t="shared" si="1654"/>
        <v>#NAME?</v>
      </c>
      <c r="AA1814" s="58" t="str">
        <f t="shared" si="1654"/>
        <v>#NAME?</v>
      </c>
      <c r="AB1814" s="58" t="str">
        <f t="shared" si="1654"/>
        <v>#NAME?</v>
      </c>
      <c r="AC1814" s="58" t="str">
        <f t="shared" si="1654"/>
        <v>#NAME?</v>
      </c>
      <c r="AD1814" s="57">
        <f t="shared" si="906"/>
        <v>0</v>
      </c>
      <c r="AE1814" s="57" t="str">
        <f t="shared" si="907"/>
        <v/>
      </c>
      <c r="AF1814" s="57">
        <f t="shared" si="908"/>
        <v>0</v>
      </c>
      <c r="AG1814" s="59">
        <f t="shared" si="909"/>
        <v>0</v>
      </c>
      <c r="AH1814" s="15"/>
      <c r="AI1814" s="15"/>
      <c r="AJ1814" s="15"/>
      <c r="AK1814" s="15"/>
      <c r="AL1814" s="15"/>
      <c r="AM1814" s="15"/>
      <c r="AN1814" s="15"/>
      <c r="AO1814" s="15"/>
      <c r="AP1814" s="15"/>
      <c r="AQ1814" s="15"/>
      <c r="AR1814" s="15"/>
      <c r="AS1814" s="15"/>
      <c r="AT1814" s="15"/>
      <c r="AU1814" s="15"/>
    </row>
    <row r="1815" ht="24.0" customHeight="1">
      <c r="A1815" s="45">
        <v>3239.0</v>
      </c>
      <c r="B1815" s="57"/>
      <c r="C1815" s="57"/>
      <c r="D1815" s="88" t="str">
        <f t="array" ref="D1815">IFERROR(
  LOOKUP(2, 1/((TRIM(IMS!$E$8:$E$2574)=TRIM(IMS!$E1815))*(IMS!$C$8:$C$2574&lt;IMS!$C1815)),
         IMS!$C$8:$C$2574),
"")</f>
        <v/>
      </c>
      <c r="E1815" s="57"/>
      <c r="F1815" s="57"/>
      <c r="G1815" s="77" t="str">
        <f t="shared" si="901"/>
        <v/>
      </c>
      <c r="H1815" s="78" t="str">
        <f t="shared" si="902"/>
        <v/>
      </c>
      <c r="I1815" s="79"/>
      <c r="J1815" s="80" t="str">
        <f t="shared" si="903"/>
        <v>#NAME?</v>
      </c>
      <c r="K1815" s="58"/>
      <c r="L1815" s="58"/>
      <c r="M1815" s="57"/>
      <c r="N1815" s="57"/>
      <c r="O1815" s="58"/>
      <c r="P1815" s="82"/>
      <c r="Q1815" s="81"/>
      <c r="R1815" s="81"/>
      <c r="S1815" s="57"/>
      <c r="T1815" s="82"/>
      <c r="U1815" s="82"/>
      <c r="V1815" s="57"/>
      <c r="W1815" s="57"/>
      <c r="X1815" s="57" t="str">
        <f t="shared" si="917"/>
        <v/>
      </c>
      <c r="Y1815" s="58" t="str">
        <f t="shared" ref="Y1815:AC1815" si="1655">TRIM(SUBSTITUTE(SUBSTITUTE(OFFSET($Q1815,0,COLUMN()-COLUMN($AL$1)),CHAR(160)," "),_xludf.UNICHAR(8239)," "))</f>
        <v>#NAME?</v>
      </c>
      <c r="Z1815" s="58" t="str">
        <f t="shared" si="1655"/>
        <v>#NAME?</v>
      </c>
      <c r="AA1815" s="58" t="str">
        <f t="shared" si="1655"/>
        <v>#NAME?</v>
      </c>
      <c r="AB1815" s="58" t="str">
        <f t="shared" si="1655"/>
        <v>#NAME?</v>
      </c>
      <c r="AC1815" s="58" t="str">
        <f t="shared" si="1655"/>
        <v>#NAME?</v>
      </c>
      <c r="AD1815" s="57">
        <f t="shared" si="906"/>
        <v>0</v>
      </c>
      <c r="AE1815" s="57" t="str">
        <f t="shared" si="907"/>
        <v/>
      </c>
      <c r="AF1815" s="57">
        <f t="shared" si="908"/>
        <v>0</v>
      </c>
      <c r="AG1815" s="59">
        <f t="shared" si="909"/>
        <v>0</v>
      </c>
      <c r="AH1815" s="15"/>
      <c r="AI1815" s="15"/>
      <c r="AJ1815" s="15"/>
      <c r="AK1815" s="15"/>
      <c r="AL1815" s="15"/>
      <c r="AM1815" s="15"/>
      <c r="AN1815" s="15"/>
      <c r="AO1815" s="15"/>
      <c r="AP1815" s="15"/>
      <c r="AQ1815" s="15"/>
      <c r="AR1815" s="15"/>
      <c r="AS1815" s="15"/>
      <c r="AT1815" s="15"/>
      <c r="AU1815" s="15"/>
    </row>
    <row r="1816" ht="24.0" customHeight="1">
      <c r="A1816" s="45">
        <v>3240.0</v>
      </c>
      <c r="B1816" s="57"/>
      <c r="C1816" s="57"/>
      <c r="D1816" s="88" t="str">
        <f t="array" ref="D1816">IFERROR(
  LOOKUP(2, 1/((TRIM(IMS!$E$8:$E$2574)=TRIM(IMS!$E1816))*(IMS!$C$8:$C$2574&lt;IMS!$C1816)),
         IMS!$C$8:$C$2574),
"")</f>
        <v/>
      </c>
      <c r="E1816" s="57"/>
      <c r="F1816" s="57"/>
      <c r="G1816" s="77" t="str">
        <f t="shared" si="901"/>
        <v/>
      </c>
      <c r="H1816" s="78" t="str">
        <f t="shared" si="902"/>
        <v/>
      </c>
      <c r="I1816" s="79"/>
      <c r="J1816" s="80" t="str">
        <f t="shared" si="903"/>
        <v>#NAME?</v>
      </c>
      <c r="K1816" s="58"/>
      <c r="L1816" s="58"/>
      <c r="M1816" s="57"/>
      <c r="N1816" s="57"/>
      <c r="O1816" s="58"/>
      <c r="P1816" s="82"/>
      <c r="Q1816" s="81"/>
      <c r="R1816" s="81"/>
      <c r="S1816" s="57"/>
      <c r="T1816" s="82"/>
      <c r="U1816" s="82"/>
      <c r="V1816" s="57"/>
      <c r="W1816" s="57"/>
      <c r="X1816" s="57" t="str">
        <f t="shared" si="917"/>
        <v/>
      </c>
      <c r="Y1816" s="58" t="str">
        <f t="shared" ref="Y1816:AC1816" si="1656">TRIM(SUBSTITUTE(SUBSTITUTE(OFFSET($Q1816,0,COLUMN()-COLUMN($AL$1)),CHAR(160)," "),_xludf.UNICHAR(8239)," "))</f>
        <v>#NAME?</v>
      </c>
      <c r="Z1816" s="58" t="str">
        <f t="shared" si="1656"/>
        <v>#NAME?</v>
      </c>
      <c r="AA1816" s="58" t="str">
        <f t="shared" si="1656"/>
        <v>#NAME?</v>
      </c>
      <c r="AB1816" s="58" t="str">
        <f t="shared" si="1656"/>
        <v>#NAME?</v>
      </c>
      <c r="AC1816" s="58" t="str">
        <f t="shared" si="1656"/>
        <v>#NAME?</v>
      </c>
      <c r="AD1816" s="57">
        <f t="shared" si="906"/>
        <v>0</v>
      </c>
      <c r="AE1816" s="57" t="str">
        <f t="shared" si="907"/>
        <v/>
      </c>
      <c r="AF1816" s="57">
        <f t="shared" si="908"/>
        <v>0</v>
      </c>
      <c r="AG1816" s="59">
        <f t="shared" si="909"/>
        <v>0</v>
      </c>
      <c r="AH1816" s="15"/>
      <c r="AI1816" s="15"/>
      <c r="AJ1816" s="15"/>
      <c r="AK1816" s="15"/>
      <c r="AL1816" s="15"/>
      <c r="AM1816" s="15"/>
      <c r="AN1816" s="15"/>
      <c r="AO1816" s="15"/>
      <c r="AP1816" s="15"/>
      <c r="AQ1816" s="15"/>
      <c r="AR1816" s="15"/>
      <c r="AS1816" s="15"/>
      <c r="AT1816" s="15"/>
      <c r="AU1816" s="15"/>
    </row>
    <row r="1817" ht="24.0" customHeight="1">
      <c r="A1817" s="45">
        <v>3241.0</v>
      </c>
      <c r="B1817" s="57"/>
      <c r="C1817" s="57"/>
      <c r="D1817" s="88" t="str">
        <f t="array" ref="D1817">IFERROR(
  LOOKUP(2, 1/((TRIM(IMS!$E$8:$E$2574)=TRIM(IMS!$E1817))*(IMS!$C$8:$C$2574&lt;IMS!$C1817)),
         IMS!$C$8:$C$2574),
"")</f>
        <v/>
      </c>
      <c r="E1817" s="57"/>
      <c r="F1817" s="57"/>
      <c r="G1817" s="77" t="str">
        <f t="shared" si="901"/>
        <v/>
      </c>
      <c r="H1817" s="78" t="str">
        <f t="shared" si="902"/>
        <v/>
      </c>
      <c r="I1817" s="79"/>
      <c r="J1817" s="80" t="str">
        <f t="shared" si="903"/>
        <v>#NAME?</v>
      </c>
      <c r="K1817" s="58"/>
      <c r="L1817" s="58"/>
      <c r="M1817" s="57"/>
      <c r="N1817" s="57"/>
      <c r="O1817" s="58"/>
      <c r="P1817" s="82"/>
      <c r="Q1817" s="81"/>
      <c r="R1817" s="81"/>
      <c r="S1817" s="57"/>
      <c r="T1817" s="82"/>
      <c r="U1817" s="82"/>
      <c r="V1817" s="57"/>
      <c r="W1817" s="57"/>
      <c r="X1817" s="57" t="str">
        <f t="shared" si="917"/>
        <v/>
      </c>
      <c r="Y1817" s="58" t="str">
        <f t="shared" ref="Y1817:AC1817" si="1657">TRIM(SUBSTITUTE(SUBSTITUTE(OFFSET($Q1817,0,COLUMN()-COLUMN($AL$1)),CHAR(160)," "),_xludf.UNICHAR(8239)," "))</f>
        <v>#NAME?</v>
      </c>
      <c r="Z1817" s="58" t="str">
        <f t="shared" si="1657"/>
        <v>#NAME?</v>
      </c>
      <c r="AA1817" s="58" t="str">
        <f t="shared" si="1657"/>
        <v>#NAME?</v>
      </c>
      <c r="AB1817" s="58" t="str">
        <f t="shared" si="1657"/>
        <v>#NAME?</v>
      </c>
      <c r="AC1817" s="58" t="str">
        <f t="shared" si="1657"/>
        <v>#NAME?</v>
      </c>
      <c r="AD1817" s="57">
        <f t="shared" si="906"/>
        <v>0</v>
      </c>
      <c r="AE1817" s="57" t="str">
        <f t="shared" si="907"/>
        <v/>
      </c>
      <c r="AF1817" s="57">
        <f t="shared" si="908"/>
        <v>0</v>
      </c>
      <c r="AG1817" s="59">
        <f t="shared" si="909"/>
        <v>0</v>
      </c>
      <c r="AH1817" s="15"/>
      <c r="AI1817" s="15"/>
      <c r="AJ1817" s="15"/>
      <c r="AK1817" s="15"/>
      <c r="AL1817" s="15"/>
      <c r="AM1817" s="15"/>
      <c r="AN1817" s="15"/>
      <c r="AO1817" s="15"/>
      <c r="AP1817" s="15"/>
      <c r="AQ1817" s="15"/>
      <c r="AR1817" s="15"/>
      <c r="AS1817" s="15"/>
      <c r="AT1817" s="15"/>
      <c r="AU1817" s="15"/>
    </row>
    <row r="1818" ht="24.0" customHeight="1">
      <c r="A1818" s="45">
        <v>3242.0</v>
      </c>
      <c r="B1818" s="57"/>
      <c r="C1818" s="57"/>
      <c r="D1818" s="88" t="str">
        <f t="array" ref="D1818">IFERROR(
  LOOKUP(2, 1/((TRIM(IMS!$E$8:$E$2574)=TRIM(IMS!$E1818))*(IMS!$C$8:$C$2574&lt;IMS!$C1818)),
         IMS!$C$8:$C$2574),
"")</f>
        <v/>
      </c>
      <c r="E1818" s="57"/>
      <c r="F1818" s="57"/>
      <c r="G1818" s="77" t="str">
        <f t="shared" si="901"/>
        <v/>
      </c>
      <c r="H1818" s="78" t="str">
        <f t="shared" si="902"/>
        <v/>
      </c>
      <c r="I1818" s="79"/>
      <c r="J1818" s="80" t="str">
        <f t="shared" si="903"/>
        <v>#NAME?</v>
      </c>
      <c r="K1818" s="58"/>
      <c r="L1818" s="58"/>
      <c r="M1818" s="57"/>
      <c r="N1818" s="57"/>
      <c r="O1818" s="58"/>
      <c r="P1818" s="82"/>
      <c r="Q1818" s="81"/>
      <c r="R1818" s="81"/>
      <c r="S1818" s="57"/>
      <c r="T1818" s="82"/>
      <c r="U1818" s="82"/>
      <c r="V1818" s="57"/>
      <c r="W1818" s="57"/>
      <c r="X1818" s="57" t="str">
        <f t="shared" si="917"/>
        <v/>
      </c>
      <c r="Y1818" s="58" t="str">
        <f t="shared" ref="Y1818:AC1818" si="1658">TRIM(SUBSTITUTE(SUBSTITUTE(OFFSET($Q1818,0,COLUMN()-COLUMN($AL$1)),CHAR(160)," "),_xludf.UNICHAR(8239)," "))</f>
        <v>#NAME?</v>
      </c>
      <c r="Z1818" s="58" t="str">
        <f t="shared" si="1658"/>
        <v>#NAME?</v>
      </c>
      <c r="AA1818" s="58" t="str">
        <f t="shared" si="1658"/>
        <v>#NAME?</v>
      </c>
      <c r="AB1818" s="58" t="str">
        <f t="shared" si="1658"/>
        <v>#NAME?</v>
      </c>
      <c r="AC1818" s="58" t="str">
        <f t="shared" si="1658"/>
        <v>#NAME?</v>
      </c>
      <c r="AD1818" s="57">
        <f t="shared" si="906"/>
        <v>0</v>
      </c>
      <c r="AE1818" s="57" t="str">
        <f t="shared" si="907"/>
        <v/>
      </c>
      <c r="AF1818" s="57">
        <f t="shared" si="908"/>
        <v>0</v>
      </c>
      <c r="AG1818" s="59">
        <f t="shared" si="909"/>
        <v>0</v>
      </c>
      <c r="AH1818" s="15"/>
      <c r="AI1818" s="15"/>
      <c r="AJ1818" s="15"/>
      <c r="AK1818" s="15"/>
      <c r="AL1818" s="15"/>
      <c r="AM1818" s="15"/>
      <c r="AN1818" s="15"/>
      <c r="AO1818" s="15"/>
      <c r="AP1818" s="15"/>
      <c r="AQ1818" s="15"/>
      <c r="AR1818" s="15"/>
      <c r="AS1818" s="15"/>
      <c r="AT1818" s="15"/>
      <c r="AU1818" s="15"/>
    </row>
    <row r="1819" ht="24.0" customHeight="1">
      <c r="A1819" s="45">
        <v>3243.0</v>
      </c>
      <c r="B1819" s="57"/>
      <c r="C1819" s="57"/>
      <c r="D1819" s="88" t="str">
        <f t="array" ref="D1819">IFERROR(
  LOOKUP(2, 1/((TRIM(IMS!$E$8:$E$2574)=TRIM(IMS!$E1819))*(IMS!$C$8:$C$2574&lt;IMS!$C1819)),
         IMS!$C$8:$C$2574),
"")</f>
        <v/>
      </c>
      <c r="E1819" s="57"/>
      <c r="F1819" s="57"/>
      <c r="G1819" s="77" t="str">
        <f t="shared" si="901"/>
        <v/>
      </c>
      <c r="H1819" s="78" t="str">
        <f t="shared" si="902"/>
        <v/>
      </c>
      <c r="I1819" s="79"/>
      <c r="J1819" s="80" t="str">
        <f t="shared" si="903"/>
        <v>#NAME?</v>
      </c>
      <c r="K1819" s="58"/>
      <c r="L1819" s="58"/>
      <c r="M1819" s="57"/>
      <c r="N1819" s="57"/>
      <c r="O1819" s="58"/>
      <c r="P1819" s="82"/>
      <c r="Q1819" s="81"/>
      <c r="R1819" s="81"/>
      <c r="S1819" s="57"/>
      <c r="T1819" s="82"/>
      <c r="U1819" s="82"/>
      <c r="V1819" s="57"/>
      <c r="W1819" s="57"/>
      <c r="X1819" s="57" t="str">
        <f t="shared" si="917"/>
        <v/>
      </c>
      <c r="Y1819" s="58" t="str">
        <f t="shared" ref="Y1819:AC1819" si="1659">TRIM(SUBSTITUTE(SUBSTITUTE(OFFSET($Q1819,0,COLUMN()-COLUMN($AL$1)),CHAR(160)," "),_xludf.UNICHAR(8239)," "))</f>
        <v>#NAME?</v>
      </c>
      <c r="Z1819" s="58" t="str">
        <f t="shared" si="1659"/>
        <v>#NAME?</v>
      </c>
      <c r="AA1819" s="58" t="str">
        <f t="shared" si="1659"/>
        <v>#NAME?</v>
      </c>
      <c r="AB1819" s="58" t="str">
        <f t="shared" si="1659"/>
        <v>#NAME?</v>
      </c>
      <c r="AC1819" s="58" t="str">
        <f t="shared" si="1659"/>
        <v>#NAME?</v>
      </c>
      <c r="AD1819" s="57">
        <f t="shared" si="906"/>
        <v>0</v>
      </c>
      <c r="AE1819" s="57" t="str">
        <f t="shared" si="907"/>
        <v/>
      </c>
      <c r="AF1819" s="57">
        <f t="shared" si="908"/>
        <v>0</v>
      </c>
      <c r="AG1819" s="59">
        <f t="shared" si="909"/>
        <v>0</v>
      </c>
      <c r="AH1819" s="15"/>
      <c r="AI1819" s="15"/>
      <c r="AJ1819" s="15"/>
      <c r="AK1819" s="15"/>
      <c r="AL1819" s="15"/>
      <c r="AM1819" s="15"/>
      <c r="AN1819" s="15"/>
      <c r="AO1819" s="15"/>
      <c r="AP1819" s="15"/>
      <c r="AQ1819" s="15"/>
      <c r="AR1819" s="15"/>
      <c r="AS1819" s="15"/>
      <c r="AT1819" s="15"/>
      <c r="AU1819" s="15"/>
    </row>
    <row r="1820" ht="24.0" customHeight="1">
      <c r="A1820" s="45">
        <v>3244.0</v>
      </c>
      <c r="B1820" s="57"/>
      <c r="C1820" s="57"/>
      <c r="D1820" s="88" t="str">
        <f t="array" ref="D1820">IFERROR(
  LOOKUP(2, 1/((TRIM(IMS!$E$8:$E$2574)=TRIM(IMS!$E1820))*(IMS!$C$8:$C$2574&lt;IMS!$C1820)),
         IMS!$C$8:$C$2574),
"")</f>
        <v/>
      </c>
      <c r="E1820" s="57"/>
      <c r="F1820" s="57"/>
      <c r="G1820" s="77" t="str">
        <f t="shared" si="901"/>
        <v/>
      </c>
      <c r="H1820" s="78" t="str">
        <f t="shared" si="902"/>
        <v/>
      </c>
      <c r="I1820" s="79"/>
      <c r="J1820" s="80" t="str">
        <f t="shared" si="903"/>
        <v>#NAME?</v>
      </c>
      <c r="K1820" s="58"/>
      <c r="L1820" s="58"/>
      <c r="M1820" s="57"/>
      <c r="N1820" s="57"/>
      <c r="O1820" s="58"/>
      <c r="P1820" s="82"/>
      <c r="Q1820" s="81"/>
      <c r="R1820" s="81"/>
      <c r="S1820" s="57"/>
      <c r="T1820" s="82"/>
      <c r="U1820" s="82"/>
      <c r="V1820" s="57"/>
      <c r="W1820" s="57"/>
      <c r="X1820" s="57" t="str">
        <f t="shared" si="917"/>
        <v/>
      </c>
      <c r="Y1820" s="58" t="str">
        <f t="shared" ref="Y1820:AC1820" si="1660">TRIM(SUBSTITUTE(SUBSTITUTE(OFFSET($Q1820,0,COLUMN()-COLUMN($AL$1)),CHAR(160)," "),_xludf.UNICHAR(8239)," "))</f>
        <v>#NAME?</v>
      </c>
      <c r="Z1820" s="58" t="str">
        <f t="shared" si="1660"/>
        <v>#NAME?</v>
      </c>
      <c r="AA1820" s="58" t="str">
        <f t="shared" si="1660"/>
        <v>#NAME?</v>
      </c>
      <c r="AB1820" s="58" t="str">
        <f t="shared" si="1660"/>
        <v>#NAME?</v>
      </c>
      <c r="AC1820" s="58" t="str">
        <f t="shared" si="1660"/>
        <v>#NAME?</v>
      </c>
      <c r="AD1820" s="57">
        <f t="shared" si="906"/>
        <v>0</v>
      </c>
      <c r="AE1820" s="57" t="str">
        <f t="shared" si="907"/>
        <v/>
      </c>
      <c r="AF1820" s="57">
        <f t="shared" si="908"/>
        <v>0</v>
      </c>
      <c r="AG1820" s="59">
        <f t="shared" si="909"/>
        <v>0</v>
      </c>
      <c r="AH1820" s="15"/>
      <c r="AI1820" s="15"/>
      <c r="AJ1820" s="15"/>
      <c r="AK1820" s="15"/>
      <c r="AL1820" s="15"/>
      <c r="AM1820" s="15"/>
      <c r="AN1820" s="15"/>
      <c r="AO1820" s="15"/>
      <c r="AP1820" s="15"/>
      <c r="AQ1820" s="15"/>
      <c r="AR1820" s="15"/>
      <c r="AS1820" s="15"/>
      <c r="AT1820" s="15"/>
      <c r="AU1820" s="15"/>
    </row>
    <row r="1821" ht="24.0" customHeight="1">
      <c r="A1821" s="45">
        <v>3245.0</v>
      </c>
      <c r="B1821" s="57"/>
      <c r="C1821" s="57"/>
      <c r="D1821" s="88" t="str">
        <f t="array" ref="D1821">IFERROR(
  LOOKUP(2, 1/((TRIM(IMS!$E$8:$E$2574)=TRIM(IMS!$E1821))*(IMS!$C$8:$C$2574&lt;IMS!$C1821)),
         IMS!$C$8:$C$2574),
"")</f>
        <v/>
      </c>
      <c r="E1821" s="57"/>
      <c r="F1821" s="57"/>
      <c r="G1821" s="77" t="str">
        <f t="shared" si="901"/>
        <v/>
      </c>
      <c r="H1821" s="78" t="str">
        <f t="shared" si="902"/>
        <v/>
      </c>
      <c r="I1821" s="79"/>
      <c r="J1821" s="80" t="str">
        <f t="shared" si="903"/>
        <v>#NAME?</v>
      </c>
      <c r="K1821" s="58"/>
      <c r="L1821" s="58"/>
      <c r="M1821" s="57"/>
      <c r="N1821" s="57"/>
      <c r="O1821" s="58"/>
      <c r="P1821" s="82"/>
      <c r="Q1821" s="81"/>
      <c r="R1821" s="81"/>
      <c r="S1821" s="57"/>
      <c r="T1821" s="82"/>
      <c r="U1821" s="82"/>
      <c r="V1821" s="57"/>
      <c r="W1821" s="57"/>
      <c r="X1821" s="57" t="str">
        <f t="shared" si="917"/>
        <v/>
      </c>
      <c r="Y1821" s="58" t="str">
        <f t="shared" ref="Y1821:AC1821" si="1661">TRIM(SUBSTITUTE(SUBSTITUTE(OFFSET($Q1821,0,COLUMN()-COLUMN($AL$1)),CHAR(160)," "),_xludf.UNICHAR(8239)," "))</f>
        <v>#NAME?</v>
      </c>
      <c r="Z1821" s="58" t="str">
        <f t="shared" si="1661"/>
        <v>#NAME?</v>
      </c>
      <c r="AA1821" s="58" t="str">
        <f t="shared" si="1661"/>
        <v>#NAME?</v>
      </c>
      <c r="AB1821" s="58" t="str">
        <f t="shared" si="1661"/>
        <v>#NAME?</v>
      </c>
      <c r="AC1821" s="58" t="str">
        <f t="shared" si="1661"/>
        <v>#NAME?</v>
      </c>
      <c r="AD1821" s="57">
        <f t="shared" si="906"/>
        <v>0</v>
      </c>
      <c r="AE1821" s="57" t="str">
        <f t="shared" si="907"/>
        <v/>
      </c>
      <c r="AF1821" s="57">
        <f t="shared" si="908"/>
        <v>0</v>
      </c>
      <c r="AG1821" s="59">
        <f t="shared" si="909"/>
        <v>0</v>
      </c>
      <c r="AH1821" s="15"/>
      <c r="AI1821" s="15"/>
      <c r="AJ1821" s="15"/>
      <c r="AK1821" s="15"/>
      <c r="AL1821" s="15"/>
      <c r="AM1821" s="15"/>
      <c r="AN1821" s="15"/>
      <c r="AO1821" s="15"/>
      <c r="AP1821" s="15"/>
      <c r="AQ1821" s="15"/>
      <c r="AR1821" s="15"/>
      <c r="AS1821" s="15"/>
      <c r="AT1821" s="15"/>
      <c r="AU1821" s="15"/>
    </row>
    <row r="1822" ht="24.0" customHeight="1">
      <c r="A1822" s="45">
        <v>3246.0</v>
      </c>
      <c r="B1822" s="57"/>
      <c r="C1822" s="57"/>
      <c r="D1822" s="88" t="str">
        <f t="array" ref="D1822">IFERROR(
  LOOKUP(2, 1/((TRIM(IMS!$E$8:$E$2574)=TRIM(IMS!$E1822))*(IMS!$C$8:$C$2574&lt;IMS!$C1822)),
         IMS!$C$8:$C$2574),
"")</f>
        <v/>
      </c>
      <c r="E1822" s="57"/>
      <c r="F1822" s="57"/>
      <c r="G1822" s="77" t="str">
        <f t="shared" si="901"/>
        <v/>
      </c>
      <c r="H1822" s="78" t="str">
        <f t="shared" si="902"/>
        <v/>
      </c>
      <c r="I1822" s="79"/>
      <c r="J1822" s="80" t="str">
        <f t="shared" si="903"/>
        <v>#NAME?</v>
      </c>
      <c r="K1822" s="58"/>
      <c r="L1822" s="58"/>
      <c r="M1822" s="57"/>
      <c r="N1822" s="57"/>
      <c r="O1822" s="58"/>
      <c r="P1822" s="82"/>
      <c r="Q1822" s="81"/>
      <c r="R1822" s="81"/>
      <c r="S1822" s="57"/>
      <c r="T1822" s="82"/>
      <c r="U1822" s="82"/>
      <c r="V1822" s="57"/>
      <c r="W1822" s="57"/>
      <c r="X1822" s="57" t="str">
        <f t="shared" si="917"/>
        <v/>
      </c>
      <c r="Y1822" s="58" t="str">
        <f t="shared" ref="Y1822:AC1822" si="1662">TRIM(SUBSTITUTE(SUBSTITUTE(OFFSET($Q1822,0,COLUMN()-COLUMN($AL$1)),CHAR(160)," "),_xludf.UNICHAR(8239)," "))</f>
        <v>#NAME?</v>
      </c>
      <c r="Z1822" s="58" t="str">
        <f t="shared" si="1662"/>
        <v>#NAME?</v>
      </c>
      <c r="AA1822" s="58" t="str">
        <f t="shared" si="1662"/>
        <v>#NAME?</v>
      </c>
      <c r="AB1822" s="58" t="str">
        <f t="shared" si="1662"/>
        <v>#NAME?</v>
      </c>
      <c r="AC1822" s="58" t="str">
        <f t="shared" si="1662"/>
        <v>#NAME?</v>
      </c>
      <c r="AD1822" s="57">
        <f t="shared" si="906"/>
        <v>0</v>
      </c>
      <c r="AE1822" s="57" t="str">
        <f t="shared" si="907"/>
        <v/>
      </c>
      <c r="AF1822" s="57">
        <f t="shared" si="908"/>
        <v>0</v>
      </c>
      <c r="AG1822" s="59">
        <f t="shared" si="909"/>
        <v>0</v>
      </c>
      <c r="AH1822" s="15"/>
      <c r="AI1822" s="15"/>
      <c r="AJ1822" s="15"/>
      <c r="AK1822" s="15"/>
      <c r="AL1822" s="15"/>
      <c r="AM1822" s="15"/>
      <c r="AN1822" s="15"/>
      <c r="AO1822" s="15"/>
      <c r="AP1822" s="15"/>
      <c r="AQ1822" s="15"/>
      <c r="AR1822" s="15"/>
      <c r="AS1822" s="15"/>
      <c r="AT1822" s="15"/>
      <c r="AU1822" s="15"/>
    </row>
    <row r="1823" ht="24.0" customHeight="1">
      <c r="A1823" s="45">
        <v>3247.0</v>
      </c>
      <c r="B1823" s="57"/>
      <c r="C1823" s="57"/>
      <c r="D1823" s="88" t="str">
        <f t="array" ref="D1823">IFERROR(
  LOOKUP(2, 1/((TRIM(IMS!$E$8:$E$2574)=TRIM(IMS!$E1823))*(IMS!$C$8:$C$2574&lt;IMS!$C1823)),
         IMS!$C$8:$C$2574),
"")</f>
        <v/>
      </c>
      <c r="E1823" s="57"/>
      <c r="F1823" s="57"/>
      <c r="G1823" s="77" t="str">
        <f t="shared" si="901"/>
        <v/>
      </c>
      <c r="H1823" s="78" t="str">
        <f t="shared" si="902"/>
        <v/>
      </c>
      <c r="I1823" s="79"/>
      <c r="J1823" s="80" t="str">
        <f t="shared" si="903"/>
        <v>#NAME?</v>
      </c>
      <c r="K1823" s="58"/>
      <c r="L1823" s="58"/>
      <c r="M1823" s="57"/>
      <c r="N1823" s="57"/>
      <c r="O1823" s="58"/>
      <c r="P1823" s="82"/>
      <c r="Q1823" s="81"/>
      <c r="R1823" s="81"/>
      <c r="S1823" s="57"/>
      <c r="T1823" s="82"/>
      <c r="U1823" s="82"/>
      <c r="V1823" s="57"/>
      <c r="W1823" s="57"/>
      <c r="X1823" s="57" t="str">
        <f t="shared" si="917"/>
        <v/>
      </c>
      <c r="Y1823" s="58" t="str">
        <f t="shared" ref="Y1823:AC1823" si="1663">TRIM(SUBSTITUTE(SUBSTITUTE(OFFSET($Q1823,0,COLUMN()-COLUMN($AL$1)),CHAR(160)," "),_xludf.UNICHAR(8239)," "))</f>
        <v>#NAME?</v>
      </c>
      <c r="Z1823" s="58" t="str">
        <f t="shared" si="1663"/>
        <v>#NAME?</v>
      </c>
      <c r="AA1823" s="58" t="str">
        <f t="shared" si="1663"/>
        <v>#NAME?</v>
      </c>
      <c r="AB1823" s="58" t="str">
        <f t="shared" si="1663"/>
        <v>#NAME?</v>
      </c>
      <c r="AC1823" s="58" t="str">
        <f t="shared" si="1663"/>
        <v>#NAME?</v>
      </c>
      <c r="AD1823" s="57">
        <f t="shared" si="906"/>
        <v>0</v>
      </c>
      <c r="AE1823" s="57" t="str">
        <f t="shared" si="907"/>
        <v/>
      </c>
      <c r="AF1823" s="57">
        <f t="shared" si="908"/>
        <v>0</v>
      </c>
      <c r="AG1823" s="59">
        <f t="shared" si="909"/>
        <v>0</v>
      </c>
      <c r="AH1823" s="15"/>
      <c r="AI1823" s="15"/>
      <c r="AJ1823" s="15"/>
      <c r="AK1823" s="15"/>
      <c r="AL1823" s="15"/>
      <c r="AM1823" s="15"/>
      <c r="AN1823" s="15"/>
      <c r="AO1823" s="15"/>
      <c r="AP1823" s="15"/>
      <c r="AQ1823" s="15"/>
      <c r="AR1823" s="15"/>
      <c r="AS1823" s="15"/>
      <c r="AT1823" s="15"/>
      <c r="AU1823" s="15"/>
    </row>
    <row r="1824" ht="24.0" customHeight="1">
      <c r="A1824" s="45">
        <v>3248.0</v>
      </c>
      <c r="B1824" s="57"/>
      <c r="C1824" s="57"/>
      <c r="D1824" s="88" t="str">
        <f t="array" ref="D1824">IFERROR(
  LOOKUP(2, 1/((TRIM(IMS!$E$8:$E$2574)=TRIM(IMS!$E1824))*(IMS!$C$8:$C$2574&lt;IMS!$C1824)),
         IMS!$C$8:$C$2574),
"")</f>
        <v/>
      </c>
      <c r="E1824" s="57"/>
      <c r="F1824" s="57"/>
      <c r="G1824" s="77" t="str">
        <f t="shared" si="901"/>
        <v/>
      </c>
      <c r="H1824" s="78" t="str">
        <f t="shared" si="902"/>
        <v/>
      </c>
      <c r="I1824" s="79"/>
      <c r="J1824" s="80" t="str">
        <f t="shared" si="903"/>
        <v>#NAME?</v>
      </c>
      <c r="K1824" s="58"/>
      <c r="L1824" s="58"/>
      <c r="M1824" s="57"/>
      <c r="N1824" s="57"/>
      <c r="O1824" s="58"/>
      <c r="P1824" s="82"/>
      <c r="Q1824" s="81"/>
      <c r="R1824" s="81"/>
      <c r="S1824" s="57"/>
      <c r="T1824" s="82"/>
      <c r="U1824" s="82"/>
      <c r="V1824" s="57"/>
      <c r="W1824" s="57"/>
      <c r="X1824" s="57" t="str">
        <f t="shared" si="917"/>
        <v/>
      </c>
      <c r="Y1824" s="58" t="str">
        <f t="shared" ref="Y1824:AC1824" si="1664">TRIM(SUBSTITUTE(SUBSTITUTE(OFFSET($Q1824,0,COLUMN()-COLUMN($AL$1)),CHAR(160)," "),_xludf.UNICHAR(8239)," "))</f>
        <v>#NAME?</v>
      </c>
      <c r="Z1824" s="58" t="str">
        <f t="shared" si="1664"/>
        <v>#NAME?</v>
      </c>
      <c r="AA1824" s="58" t="str">
        <f t="shared" si="1664"/>
        <v>#NAME?</v>
      </c>
      <c r="AB1824" s="58" t="str">
        <f t="shared" si="1664"/>
        <v>#NAME?</v>
      </c>
      <c r="AC1824" s="58" t="str">
        <f t="shared" si="1664"/>
        <v>#NAME?</v>
      </c>
      <c r="AD1824" s="57">
        <f t="shared" si="906"/>
        <v>0</v>
      </c>
      <c r="AE1824" s="57" t="str">
        <f t="shared" si="907"/>
        <v/>
      </c>
      <c r="AF1824" s="57">
        <f t="shared" si="908"/>
        <v>0</v>
      </c>
      <c r="AG1824" s="59">
        <f t="shared" si="909"/>
        <v>0</v>
      </c>
      <c r="AH1824" s="15"/>
      <c r="AI1824" s="15"/>
      <c r="AJ1824" s="15"/>
      <c r="AK1824" s="15"/>
      <c r="AL1824" s="15"/>
      <c r="AM1824" s="15"/>
      <c r="AN1824" s="15"/>
      <c r="AO1824" s="15"/>
      <c r="AP1824" s="15"/>
      <c r="AQ1824" s="15"/>
      <c r="AR1824" s="15"/>
      <c r="AS1824" s="15"/>
      <c r="AT1824" s="15"/>
      <c r="AU1824" s="15"/>
    </row>
    <row r="1825" ht="24.0" customHeight="1">
      <c r="A1825" s="45">
        <v>3249.0</v>
      </c>
      <c r="B1825" s="57"/>
      <c r="C1825" s="57"/>
      <c r="D1825" s="88" t="str">
        <f t="array" ref="D1825">IFERROR(
  LOOKUP(2, 1/((TRIM(IMS!$E$8:$E$2574)=TRIM(IMS!$E1825))*(IMS!$C$8:$C$2574&lt;IMS!$C1825)),
         IMS!$C$8:$C$2574),
"")</f>
        <v/>
      </c>
      <c r="E1825" s="57"/>
      <c r="F1825" s="57"/>
      <c r="G1825" s="77" t="str">
        <f t="shared" si="901"/>
        <v/>
      </c>
      <c r="H1825" s="78" t="str">
        <f t="shared" si="902"/>
        <v/>
      </c>
      <c r="I1825" s="79"/>
      <c r="J1825" s="80" t="str">
        <f t="shared" si="903"/>
        <v>#NAME?</v>
      </c>
      <c r="K1825" s="58"/>
      <c r="L1825" s="58"/>
      <c r="M1825" s="57"/>
      <c r="N1825" s="57"/>
      <c r="O1825" s="58"/>
      <c r="P1825" s="82"/>
      <c r="Q1825" s="81"/>
      <c r="R1825" s="81"/>
      <c r="S1825" s="57"/>
      <c r="T1825" s="82"/>
      <c r="U1825" s="82"/>
      <c r="V1825" s="57"/>
      <c r="W1825" s="57"/>
      <c r="X1825" s="57" t="str">
        <f t="shared" si="917"/>
        <v/>
      </c>
      <c r="Y1825" s="58" t="str">
        <f t="shared" ref="Y1825:AC1825" si="1665">TRIM(SUBSTITUTE(SUBSTITUTE(OFFSET($Q1825,0,COLUMN()-COLUMN($AL$1)),CHAR(160)," "),_xludf.UNICHAR(8239)," "))</f>
        <v>#NAME?</v>
      </c>
      <c r="Z1825" s="58" t="str">
        <f t="shared" si="1665"/>
        <v>#NAME?</v>
      </c>
      <c r="AA1825" s="58" t="str">
        <f t="shared" si="1665"/>
        <v>#NAME?</v>
      </c>
      <c r="AB1825" s="58" t="str">
        <f t="shared" si="1665"/>
        <v>#NAME?</v>
      </c>
      <c r="AC1825" s="58" t="str">
        <f t="shared" si="1665"/>
        <v>#NAME?</v>
      </c>
      <c r="AD1825" s="57">
        <f t="shared" si="906"/>
        <v>0</v>
      </c>
      <c r="AE1825" s="57" t="str">
        <f t="shared" si="907"/>
        <v/>
      </c>
      <c r="AF1825" s="57">
        <f t="shared" si="908"/>
        <v>0</v>
      </c>
      <c r="AG1825" s="59">
        <f t="shared" si="909"/>
        <v>0</v>
      </c>
      <c r="AH1825" s="15"/>
      <c r="AI1825" s="15"/>
      <c r="AJ1825" s="15"/>
      <c r="AK1825" s="15"/>
      <c r="AL1825" s="15"/>
      <c r="AM1825" s="15"/>
      <c r="AN1825" s="15"/>
      <c r="AO1825" s="15"/>
      <c r="AP1825" s="15"/>
      <c r="AQ1825" s="15"/>
      <c r="AR1825" s="15"/>
      <c r="AS1825" s="15"/>
      <c r="AT1825" s="15"/>
      <c r="AU1825" s="15"/>
    </row>
    <row r="1826" ht="24.0" customHeight="1">
      <c r="A1826" s="45">
        <v>3250.0</v>
      </c>
      <c r="B1826" s="57"/>
      <c r="C1826" s="57"/>
      <c r="D1826" s="88" t="str">
        <f t="array" ref="D1826">IFERROR(
  LOOKUP(2, 1/((TRIM(IMS!$E$8:$E$2574)=TRIM(IMS!$E1826))*(IMS!$C$8:$C$2574&lt;IMS!$C1826)),
         IMS!$C$8:$C$2574),
"")</f>
        <v/>
      </c>
      <c r="E1826" s="57"/>
      <c r="F1826" s="57"/>
      <c r="G1826" s="77" t="str">
        <f t="shared" si="901"/>
        <v/>
      </c>
      <c r="H1826" s="78" t="str">
        <f t="shared" si="902"/>
        <v/>
      </c>
      <c r="I1826" s="79"/>
      <c r="J1826" s="80" t="str">
        <f t="shared" si="903"/>
        <v>#NAME?</v>
      </c>
      <c r="K1826" s="58"/>
      <c r="L1826" s="58"/>
      <c r="M1826" s="57"/>
      <c r="N1826" s="57"/>
      <c r="O1826" s="58"/>
      <c r="P1826" s="82"/>
      <c r="Q1826" s="81"/>
      <c r="R1826" s="81"/>
      <c r="S1826" s="57"/>
      <c r="T1826" s="82"/>
      <c r="U1826" s="82"/>
      <c r="V1826" s="57"/>
      <c r="W1826" s="57"/>
      <c r="X1826" s="57" t="str">
        <f t="shared" si="917"/>
        <v/>
      </c>
      <c r="Y1826" s="58" t="str">
        <f t="shared" ref="Y1826:AC1826" si="1666">TRIM(SUBSTITUTE(SUBSTITUTE(OFFSET($Q1826,0,COLUMN()-COLUMN($AL$1)),CHAR(160)," "),_xludf.UNICHAR(8239)," "))</f>
        <v>#NAME?</v>
      </c>
      <c r="Z1826" s="58" t="str">
        <f t="shared" si="1666"/>
        <v>#NAME?</v>
      </c>
      <c r="AA1826" s="58" t="str">
        <f t="shared" si="1666"/>
        <v>#NAME?</v>
      </c>
      <c r="AB1826" s="58" t="str">
        <f t="shared" si="1666"/>
        <v>#NAME?</v>
      </c>
      <c r="AC1826" s="58" t="str">
        <f t="shared" si="1666"/>
        <v>#NAME?</v>
      </c>
      <c r="AD1826" s="57">
        <f t="shared" si="906"/>
        <v>0</v>
      </c>
      <c r="AE1826" s="57" t="str">
        <f t="shared" si="907"/>
        <v/>
      </c>
      <c r="AF1826" s="57">
        <f t="shared" si="908"/>
        <v>0</v>
      </c>
      <c r="AG1826" s="59">
        <f t="shared" si="909"/>
        <v>0</v>
      </c>
      <c r="AH1826" s="15"/>
      <c r="AI1826" s="15"/>
      <c r="AJ1826" s="15"/>
      <c r="AK1826" s="15"/>
      <c r="AL1826" s="15"/>
      <c r="AM1826" s="15"/>
      <c r="AN1826" s="15"/>
      <c r="AO1826" s="15"/>
      <c r="AP1826" s="15"/>
      <c r="AQ1826" s="15"/>
      <c r="AR1826" s="15"/>
      <c r="AS1826" s="15"/>
      <c r="AT1826" s="15"/>
      <c r="AU1826" s="15"/>
    </row>
    <row r="1827" ht="24.0" customHeight="1">
      <c r="A1827" s="45">
        <v>3251.0</v>
      </c>
      <c r="B1827" s="57"/>
      <c r="C1827" s="57"/>
      <c r="D1827" s="88" t="str">
        <f t="array" ref="D1827">IFERROR(
  LOOKUP(2, 1/((TRIM(IMS!$E$8:$E$2574)=TRIM(IMS!$E1827))*(IMS!$C$8:$C$2574&lt;IMS!$C1827)),
         IMS!$C$8:$C$2574),
"")</f>
        <v/>
      </c>
      <c r="E1827" s="57"/>
      <c r="F1827" s="57"/>
      <c r="G1827" s="77" t="str">
        <f t="shared" si="901"/>
        <v/>
      </c>
      <c r="H1827" s="78" t="str">
        <f t="shared" si="902"/>
        <v/>
      </c>
      <c r="I1827" s="79"/>
      <c r="J1827" s="80" t="str">
        <f t="shared" si="903"/>
        <v>#NAME?</v>
      </c>
      <c r="K1827" s="58"/>
      <c r="L1827" s="58"/>
      <c r="M1827" s="57"/>
      <c r="N1827" s="57"/>
      <c r="O1827" s="58"/>
      <c r="P1827" s="82"/>
      <c r="Q1827" s="81"/>
      <c r="R1827" s="81"/>
      <c r="S1827" s="57"/>
      <c r="T1827" s="82"/>
      <c r="U1827" s="82"/>
      <c r="V1827" s="57"/>
      <c r="W1827" s="57"/>
      <c r="X1827" s="57" t="str">
        <f t="shared" si="917"/>
        <v/>
      </c>
      <c r="Y1827" s="58" t="str">
        <f t="shared" ref="Y1827:AC1827" si="1667">TRIM(SUBSTITUTE(SUBSTITUTE(OFFSET($Q1827,0,COLUMN()-COLUMN($AL$1)),CHAR(160)," "),_xludf.UNICHAR(8239)," "))</f>
        <v>#NAME?</v>
      </c>
      <c r="Z1827" s="58" t="str">
        <f t="shared" si="1667"/>
        <v>#NAME?</v>
      </c>
      <c r="AA1827" s="58" t="str">
        <f t="shared" si="1667"/>
        <v>#NAME?</v>
      </c>
      <c r="AB1827" s="58" t="str">
        <f t="shared" si="1667"/>
        <v>#NAME?</v>
      </c>
      <c r="AC1827" s="58" t="str">
        <f t="shared" si="1667"/>
        <v>#NAME?</v>
      </c>
      <c r="AD1827" s="57">
        <f t="shared" si="906"/>
        <v>0</v>
      </c>
      <c r="AE1827" s="57" t="str">
        <f t="shared" si="907"/>
        <v/>
      </c>
      <c r="AF1827" s="57">
        <f t="shared" si="908"/>
        <v>0</v>
      </c>
      <c r="AG1827" s="59">
        <f t="shared" si="909"/>
        <v>0</v>
      </c>
      <c r="AH1827" s="15"/>
      <c r="AI1827" s="15"/>
      <c r="AJ1827" s="15"/>
      <c r="AK1827" s="15"/>
      <c r="AL1827" s="15"/>
      <c r="AM1827" s="15"/>
      <c r="AN1827" s="15"/>
      <c r="AO1827" s="15"/>
      <c r="AP1827" s="15"/>
      <c r="AQ1827" s="15"/>
      <c r="AR1827" s="15"/>
      <c r="AS1827" s="15"/>
      <c r="AT1827" s="15"/>
      <c r="AU1827" s="15"/>
    </row>
    <row r="1828" ht="24.0" customHeight="1">
      <c r="A1828" s="45">
        <v>3252.0</v>
      </c>
      <c r="B1828" s="57"/>
      <c r="C1828" s="57"/>
      <c r="D1828" s="88" t="str">
        <f t="array" ref="D1828">IFERROR(
  LOOKUP(2, 1/((TRIM(IMS!$E$8:$E$2574)=TRIM(IMS!$E1828))*(IMS!$C$8:$C$2574&lt;IMS!$C1828)),
         IMS!$C$8:$C$2574),
"")</f>
        <v/>
      </c>
      <c r="E1828" s="57"/>
      <c r="F1828" s="57"/>
      <c r="G1828" s="77" t="str">
        <f t="shared" si="901"/>
        <v/>
      </c>
      <c r="H1828" s="78" t="str">
        <f t="shared" si="902"/>
        <v/>
      </c>
      <c r="I1828" s="79"/>
      <c r="J1828" s="80" t="str">
        <f t="shared" si="903"/>
        <v>#NAME?</v>
      </c>
      <c r="K1828" s="58"/>
      <c r="L1828" s="58"/>
      <c r="M1828" s="57"/>
      <c r="N1828" s="57"/>
      <c r="O1828" s="58"/>
      <c r="P1828" s="82"/>
      <c r="Q1828" s="81"/>
      <c r="R1828" s="81"/>
      <c r="S1828" s="57"/>
      <c r="T1828" s="82"/>
      <c r="U1828" s="82"/>
      <c r="V1828" s="57"/>
      <c r="W1828" s="57"/>
      <c r="X1828" s="57" t="str">
        <f t="shared" si="917"/>
        <v/>
      </c>
      <c r="Y1828" s="58" t="str">
        <f t="shared" ref="Y1828:AC1828" si="1668">TRIM(SUBSTITUTE(SUBSTITUTE(OFFSET($Q1828,0,COLUMN()-COLUMN($AL$1)),CHAR(160)," "),_xludf.UNICHAR(8239)," "))</f>
        <v>#NAME?</v>
      </c>
      <c r="Z1828" s="58" t="str">
        <f t="shared" si="1668"/>
        <v>#NAME?</v>
      </c>
      <c r="AA1828" s="58" t="str">
        <f t="shared" si="1668"/>
        <v>#NAME?</v>
      </c>
      <c r="AB1828" s="58" t="str">
        <f t="shared" si="1668"/>
        <v>#NAME?</v>
      </c>
      <c r="AC1828" s="58" t="str">
        <f t="shared" si="1668"/>
        <v>#NAME?</v>
      </c>
      <c r="AD1828" s="57">
        <f t="shared" si="906"/>
        <v>0</v>
      </c>
      <c r="AE1828" s="57" t="str">
        <f t="shared" si="907"/>
        <v/>
      </c>
      <c r="AF1828" s="57">
        <f t="shared" si="908"/>
        <v>0</v>
      </c>
      <c r="AG1828" s="59">
        <f t="shared" si="909"/>
        <v>0</v>
      </c>
      <c r="AH1828" s="15"/>
      <c r="AI1828" s="15"/>
      <c r="AJ1828" s="15"/>
      <c r="AK1828" s="15"/>
      <c r="AL1828" s="15"/>
      <c r="AM1828" s="15"/>
      <c r="AN1828" s="15"/>
      <c r="AO1828" s="15"/>
      <c r="AP1828" s="15"/>
      <c r="AQ1828" s="15"/>
      <c r="AR1828" s="15"/>
      <c r="AS1828" s="15"/>
      <c r="AT1828" s="15"/>
      <c r="AU1828" s="15"/>
    </row>
    <row r="1829" ht="24.0" customHeight="1">
      <c r="A1829" s="45">
        <v>3253.0</v>
      </c>
      <c r="B1829" s="57"/>
      <c r="C1829" s="57"/>
      <c r="D1829" s="88" t="str">
        <f t="array" ref="D1829">IFERROR(
  LOOKUP(2, 1/((TRIM(IMS!$E$8:$E$2574)=TRIM(IMS!$E1829))*(IMS!$C$8:$C$2574&lt;IMS!$C1829)),
         IMS!$C$8:$C$2574),
"")</f>
        <v/>
      </c>
      <c r="E1829" s="57"/>
      <c r="F1829" s="57"/>
      <c r="G1829" s="77" t="str">
        <f t="shared" si="901"/>
        <v/>
      </c>
      <c r="H1829" s="78" t="str">
        <f t="shared" si="902"/>
        <v/>
      </c>
      <c r="I1829" s="79"/>
      <c r="J1829" s="80" t="str">
        <f t="shared" si="903"/>
        <v>#NAME?</v>
      </c>
      <c r="K1829" s="58"/>
      <c r="L1829" s="58"/>
      <c r="M1829" s="57"/>
      <c r="N1829" s="57"/>
      <c r="O1829" s="58"/>
      <c r="P1829" s="82"/>
      <c r="Q1829" s="81"/>
      <c r="R1829" s="81"/>
      <c r="S1829" s="57"/>
      <c r="T1829" s="82"/>
      <c r="U1829" s="82"/>
      <c r="V1829" s="57"/>
      <c r="W1829" s="57"/>
      <c r="X1829" s="57" t="str">
        <f t="shared" si="917"/>
        <v/>
      </c>
      <c r="Y1829" s="58" t="str">
        <f t="shared" ref="Y1829:AC1829" si="1669">TRIM(SUBSTITUTE(SUBSTITUTE(OFFSET($Q1829,0,COLUMN()-COLUMN($AL$1)),CHAR(160)," "),_xludf.UNICHAR(8239)," "))</f>
        <v>#NAME?</v>
      </c>
      <c r="Z1829" s="58" t="str">
        <f t="shared" si="1669"/>
        <v>#NAME?</v>
      </c>
      <c r="AA1829" s="58" t="str">
        <f t="shared" si="1669"/>
        <v>#NAME?</v>
      </c>
      <c r="AB1829" s="58" t="str">
        <f t="shared" si="1669"/>
        <v>#NAME?</v>
      </c>
      <c r="AC1829" s="58" t="str">
        <f t="shared" si="1669"/>
        <v>#NAME?</v>
      </c>
      <c r="AD1829" s="57">
        <f t="shared" si="906"/>
        <v>0</v>
      </c>
      <c r="AE1829" s="57" t="str">
        <f t="shared" si="907"/>
        <v/>
      </c>
      <c r="AF1829" s="57">
        <f t="shared" si="908"/>
        <v>0</v>
      </c>
      <c r="AG1829" s="59">
        <f t="shared" si="909"/>
        <v>0</v>
      </c>
      <c r="AH1829" s="15"/>
      <c r="AI1829" s="15"/>
      <c r="AJ1829" s="15"/>
      <c r="AK1829" s="15"/>
      <c r="AL1829" s="15"/>
      <c r="AM1829" s="15"/>
      <c r="AN1829" s="15"/>
      <c r="AO1829" s="15"/>
      <c r="AP1829" s="15"/>
      <c r="AQ1829" s="15"/>
      <c r="AR1829" s="15"/>
      <c r="AS1829" s="15"/>
      <c r="AT1829" s="15"/>
      <c r="AU1829" s="15"/>
    </row>
    <row r="1830" ht="24.0" customHeight="1">
      <c r="A1830" s="45">
        <v>3254.0</v>
      </c>
      <c r="B1830" s="57"/>
      <c r="C1830" s="57"/>
      <c r="D1830" s="88" t="str">
        <f t="array" ref="D1830">IFERROR(
  LOOKUP(2, 1/((TRIM(IMS!$E$8:$E$2574)=TRIM(IMS!$E1830))*(IMS!$C$8:$C$2574&lt;IMS!$C1830)),
         IMS!$C$8:$C$2574),
"")</f>
        <v/>
      </c>
      <c r="E1830" s="57"/>
      <c r="F1830" s="57"/>
      <c r="G1830" s="77" t="str">
        <f t="shared" si="901"/>
        <v/>
      </c>
      <c r="H1830" s="78" t="str">
        <f t="shared" si="902"/>
        <v/>
      </c>
      <c r="I1830" s="79"/>
      <c r="J1830" s="80" t="str">
        <f t="shared" si="903"/>
        <v>#NAME?</v>
      </c>
      <c r="K1830" s="58"/>
      <c r="L1830" s="58"/>
      <c r="M1830" s="57"/>
      <c r="N1830" s="57"/>
      <c r="O1830" s="58"/>
      <c r="P1830" s="82"/>
      <c r="Q1830" s="81"/>
      <c r="R1830" s="81"/>
      <c r="S1830" s="57"/>
      <c r="T1830" s="82"/>
      <c r="U1830" s="82"/>
      <c r="V1830" s="57"/>
      <c r="W1830" s="57"/>
      <c r="X1830" s="57" t="str">
        <f t="shared" si="917"/>
        <v/>
      </c>
      <c r="Y1830" s="58" t="str">
        <f t="shared" ref="Y1830:AC1830" si="1670">TRIM(SUBSTITUTE(SUBSTITUTE(OFFSET($Q1830,0,COLUMN()-COLUMN($AL$1)),CHAR(160)," "),_xludf.UNICHAR(8239)," "))</f>
        <v>#NAME?</v>
      </c>
      <c r="Z1830" s="58" t="str">
        <f t="shared" si="1670"/>
        <v>#NAME?</v>
      </c>
      <c r="AA1830" s="58" t="str">
        <f t="shared" si="1670"/>
        <v>#NAME?</v>
      </c>
      <c r="AB1830" s="58" t="str">
        <f t="shared" si="1670"/>
        <v>#NAME?</v>
      </c>
      <c r="AC1830" s="58" t="str">
        <f t="shared" si="1670"/>
        <v>#NAME?</v>
      </c>
      <c r="AD1830" s="57">
        <f t="shared" si="906"/>
        <v>0</v>
      </c>
      <c r="AE1830" s="57" t="str">
        <f t="shared" si="907"/>
        <v/>
      </c>
      <c r="AF1830" s="57">
        <f t="shared" si="908"/>
        <v>0</v>
      </c>
      <c r="AG1830" s="59">
        <f t="shared" si="909"/>
        <v>0</v>
      </c>
      <c r="AH1830" s="15"/>
      <c r="AI1830" s="15"/>
      <c r="AJ1830" s="15"/>
      <c r="AK1830" s="15"/>
      <c r="AL1830" s="15"/>
      <c r="AM1830" s="15"/>
      <c r="AN1830" s="15"/>
      <c r="AO1830" s="15"/>
      <c r="AP1830" s="15"/>
      <c r="AQ1830" s="15"/>
      <c r="AR1830" s="15"/>
      <c r="AS1830" s="15"/>
      <c r="AT1830" s="15"/>
      <c r="AU1830" s="15"/>
    </row>
    <row r="1831" ht="24.0" customHeight="1">
      <c r="A1831" s="45">
        <v>3255.0</v>
      </c>
      <c r="B1831" s="57"/>
      <c r="C1831" s="57"/>
      <c r="D1831" s="88" t="str">
        <f t="array" ref="D1831">IFERROR(
  LOOKUP(2, 1/((TRIM(IMS!$E$8:$E$2574)=TRIM(IMS!$E1831))*(IMS!$C$8:$C$2574&lt;IMS!$C1831)),
         IMS!$C$8:$C$2574),
"")</f>
        <v/>
      </c>
      <c r="E1831" s="57"/>
      <c r="F1831" s="57"/>
      <c r="G1831" s="77" t="str">
        <f t="shared" si="901"/>
        <v/>
      </c>
      <c r="H1831" s="78" t="str">
        <f t="shared" si="902"/>
        <v/>
      </c>
      <c r="I1831" s="79"/>
      <c r="J1831" s="80" t="str">
        <f t="shared" si="903"/>
        <v>#NAME?</v>
      </c>
      <c r="K1831" s="58"/>
      <c r="L1831" s="58"/>
      <c r="M1831" s="57"/>
      <c r="N1831" s="57"/>
      <c r="O1831" s="58"/>
      <c r="P1831" s="82"/>
      <c r="Q1831" s="81"/>
      <c r="R1831" s="81"/>
      <c r="S1831" s="57"/>
      <c r="T1831" s="82"/>
      <c r="U1831" s="82"/>
      <c r="V1831" s="57"/>
      <c r="W1831" s="57"/>
      <c r="X1831" s="57" t="str">
        <f t="shared" si="917"/>
        <v/>
      </c>
      <c r="Y1831" s="58" t="str">
        <f t="shared" ref="Y1831:AC1831" si="1671">TRIM(SUBSTITUTE(SUBSTITUTE(OFFSET($Q1831,0,COLUMN()-COLUMN($AL$1)),CHAR(160)," "),_xludf.UNICHAR(8239)," "))</f>
        <v>#NAME?</v>
      </c>
      <c r="Z1831" s="58" t="str">
        <f t="shared" si="1671"/>
        <v>#NAME?</v>
      </c>
      <c r="AA1831" s="58" t="str">
        <f t="shared" si="1671"/>
        <v>#NAME?</v>
      </c>
      <c r="AB1831" s="58" t="str">
        <f t="shared" si="1671"/>
        <v>#NAME?</v>
      </c>
      <c r="AC1831" s="58" t="str">
        <f t="shared" si="1671"/>
        <v>#NAME?</v>
      </c>
      <c r="AD1831" s="57">
        <f t="shared" si="906"/>
        <v>0</v>
      </c>
      <c r="AE1831" s="57" t="str">
        <f t="shared" si="907"/>
        <v/>
      </c>
      <c r="AF1831" s="57">
        <f t="shared" si="908"/>
        <v>0</v>
      </c>
      <c r="AG1831" s="59">
        <f t="shared" si="909"/>
        <v>0</v>
      </c>
      <c r="AH1831" s="15"/>
      <c r="AI1831" s="15"/>
      <c r="AJ1831" s="15"/>
      <c r="AK1831" s="15"/>
      <c r="AL1831" s="15"/>
      <c r="AM1831" s="15"/>
      <c r="AN1831" s="15"/>
      <c r="AO1831" s="15"/>
      <c r="AP1831" s="15"/>
      <c r="AQ1831" s="15"/>
      <c r="AR1831" s="15"/>
      <c r="AS1831" s="15"/>
      <c r="AT1831" s="15"/>
      <c r="AU1831" s="15"/>
    </row>
    <row r="1832" ht="24.0" customHeight="1">
      <c r="A1832" s="45">
        <v>3256.0</v>
      </c>
      <c r="B1832" s="57"/>
      <c r="C1832" s="57"/>
      <c r="D1832" s="88" t="str">
        <f t="array" ref="D1832">IFERROR(
  LOOKUP(2, 1/((TRIM(IMS!$E$8:$E$2574)=TRIM(IMS!$E1832))*(IMS!$C$8:$C$2574&lt;IMS!$C1832)),
         IMS!$C$8:$C$2574),
"")</f>
        <v/>
      </c>
      <c r="E1832" s="57"/>
      <c r="F1832" s="57"/>
      <c r="G1832" s="77" t="str">
        <f t="shared" si="901"/>
        <v/>
      </c>
      <c r="H1832" s="78" t="str">
        <f t="shared" si="902"/>
        <v/>
      </c>
      <c r="I1832" s="79"/>
      <c r="J1832" s="80" t="str">
        <f t="shared" si="903"/>
        <v>#NAME?</v>
      </c>
      <c r="K1832" s="58"/>
      <c r="L1832" s="58"/>
      <c r="M1832" s="57"/>
      <c r="N1832" s="57"/>
      <c r="O1832" s="58"/>
      <c r="P1832" s="82"/>
      <c r="Q1832" s="81"/>
      <c r="R1832" s="81"/>
      <c r="S1832" s="57"/>
      <c r="T1832" s="82"/>
      <c r="U1832" s="82"/>
      <c r="V1832" s="57"/>
      <c r="W1832" s="57"/>
      <c r="X1832" s="57" t="str">
        <f t="shared" si="917"/>
        <v/>
      </c>
      <c r="Y1832" s="58" t="str">
        <f t="shared" ref="Y1832:AC1832" si="1672">TRIM(SUBSTITUTE(SUBSTITUTE(OFFSET($Q1832,0,COLUMN()-COLUMN($AL$1)),CHAR(160)," "),_xludf.UNICHAR(8239)," "))</f>
        <v>#NAME?</v>
      </c>
      <c r="Z1832" s="58" t="str">
        <f t="shared" si="1672"/>
        <v>#NAME?</v>
      </c>
      <c r="AA1832" s="58" t="str">
        <f t="shared" si="1672"/>
        <v>#NAME?</v>
      </c>
      <c r="AB1832" s="58" t="str">
        <f t="shared" si="1672"/>
        <v>#NAME?</v>
      </c>
      <c r="AC1832" s="58" t="str">
        <f t="shared" si="1672"/>
        <v>#NAME?</v>
      </c>
      <c r="AD1832" s="57">
        <f t="shared" si="906"/>
        <v>0</v>
      </c>
      <c r="AE1832" s="57" t="str">
        <f t="shared" si="907"/>
        <v/>
      </c>
      <c r="AF1832" s="57">
        <f t="shared" si="908"/>
        <v>0</v>
      </c>
      <c r="AG1832" s="59">
        <f t="shared" si="909"/>
        <v>0</v>
      </c>
      <c r="AH1832" s="15"/>
      <c r="AI1832" s="15"/>
      <c r="AJ1832" s="15"/>
      <c r="AK1832" s="15"/>
      <c r="AL1832" s="15"/>
      <c r="AM1832" s="15"/>
      <c r="AN1832" s="15"/>
      <c r="AO1832" s="15"/>
      <c r="AP1832" s="15"/>
      <c r="AQ1832" s="15"/>
      <c r="AR1832" s="15"/>
      <c r="AS1832" s="15"/>
      <c r="AT1832" s="15"/>
      <c r="AU1832" s="15"/>
    </row>
    <row r="1833" ht="24.0" customHeight="1">
      <c r="A1833" s="45">
        <v>3257.0</v>
      </c>
      <c r="B1833" s="57"/>
      <c r="C1833" s="57"/>
      <c r="D1833" s="88" t="str">
        <f t="array" ref="D1833">IFERROR(
  LOOKUP(2, 1/((TRIM(IMS!$E$8:$E$2574)=TRIM(IMS!$E1833))*(IMS!$C$8:$C$2574&lt;IMS!$C1833)),
         IMS!$C$8:$C$2574),
"")</f>
        <v/>
      </c>
      <c r="E1833" s="57"/>
      <c r="F1833" s="57"/>
      <c r="G1833" s="77" t="str">
        <f t="shared" si="901"/>
        <v/>
      </c>
      <c r="H1833" s="78" t="str">
        <f t="shared" si="902"/>
        <v/>
      </c>
      <c r="I1833" s="79"/>
      <c r="J1833" s="80" t="str">
        <f t="shared" si="903"/>
        <v>#NAME?</v>
      </c>
      <c r="K1833" s="58"/>
      <c r="L1833" s="58"/>
      <c r="M1833" s="57"/>
      <c r="N1833" s="57"/>
      <c r="O1833" s="58"/>
      <c r="P1833" s="82"/>
      <c r="Q1833" s="81"/>
      <c r="R1833" s="81"/>
      <c r="S1833" s="57"/>
      <c r="T1833" s="82"/>
      <c r="U1833" s="82"/>
      <c r="V1833" s="57"/>
      <c r="W1833" s="57"/>
      <c r="X1833" s="57" t="str">
        <f t="shared" si="917"/>
        <v/>
      </c>
      <c r="Y1833" s="58" t="str">
        <f t="shared" ref="Y1833:AC1833" si="1673">TRIM(SUBSTITUTE(SUBSTITUTE(OFFSET($Q1833,0,COLUMN()-COLUMN($AL$1)),CHAR(160)," "),_xludf.UNICHAR(8239)," "))</f>
        <v>#NAME?</v>
      </c>
      <c r="Z1833" s="58" t="str">
        <f t="shared" si="1673"/>
        <v>#NAME?</v>
      </c>
      <c r="AA1833" s="58" t="str">
        <f t="shared" si="1673"/>
        <v>#NAME?</v>
      </c>
      <c r="AB1833" s="58" t="str">
        <f t="shared" si="1673"/>
        <v>#NAME?</v>
      </c>
      <c r="AC1833" s="58" t="str">
        <f t="shared" si="1673"/>
        <v>#NAME?</v>
      </c>
      <c r="AD1833" s="57">
        <f t="shared" si="906"/>
        <v>0</v>
      </c>
      <c r="AE1833" s="57" t="str">
        <f t="shared" si="907"/>
        <v/>
      </c>
      <c r="AF1833" s="57">
        <f t="shared" si="908"/>
        <v>0</v>
      </c>
      <c r="AG1833" s="59">
        <f t="shared" si="909"/>
        <v>0</v>
      </c>
      <c r="AH1833" s="15"/>
      <c r="AI1833" s="15"/>
      <c r="AJ1833" s="15"/>
      <c r="AK1833" s="15"/>
      <c r="AL1833" s="15"/>
      <c r="AM1833" s="15"/>
      <c r="AN1833" s="15"/>
      <c r="AO1833" s="15"/>
      <c r="AP1833" s="15"/>
      <c r="AQ1833" s="15"/>
      <c r="AR1833" s="15"/>
      <c r="AS1833" s="15"/>
      <c r="AT1833" s="15"/>
      <c r="AU1833" s="15"/>
    </row>
    <row r="1834" ht="24.0" customHeight="1">
      <c r="A1834" s="45">
        <v>3258.0</v>
      </c>
      <c r="B1834" s="57"/>
      <c r="C1834" s="57"/>
      <c r="D1834" s="88" t="str">
        <f t="array" ref="D1834">IFERROR(
  LOOKUP(2, 1/((TRIM(IMS!$E$8:$E$2574)=TRIM(IMS!$E1834))*(IMS!$C$8:$C$2574&lt;IMS!$C1834)),
         IMS!$C$8:$C$2574),
"")</f>
        <v/>
      </c>
      <c r="E1834" s="57"/>
      <c r="F1834" s="57"/>
      <c r="G1834" s="77" t="str">
        <f t="shared" si="901"/>
        <v/>
      </c>
      <c r="H1834" s="78" t="str">
        <f t="shared" si="902"/>
        <v/>
      </c>
      <c r="I1834" s="79"/>
      <c r="J1834" s="80" t="str">
        <f t="shared" si="903"/>
        <v>#NAME?</v>
      </c>
      <c r="K1834" s="58"/>
      <c r="L1834" s="58"/>
      <c r="M1834" s="57"/>
      <c r="N1834" s="57"/>
      <c r="O1834" s="58"/>
      <c r="P1834" s="82"/>
      <c r="Q1834" s="81"/>
      <c r="R1834" s="81"/>
      <c r="S1834" s="57"/>
      <c r="T1834" s="82"/>
      <c r="U1834" s="82"/>
      <c r="V1834" s="57"/>
      <c r="W1834" s="57"/>
      <c r="X1834" s="57" t="str">
        <f t="shared" si="917"/>
        <v/>
      </c>
      <c r="Y1834" s="58" t="str">
        <f t="shared" ref="Y1834:AC1834" si="1674">TRIM(SUBSTITUTE(SUBSTITUTE(OFFSET($Q1834,0,COLUMN()-COLUMN($AL$1)),CHAR(160)," "),_xludf.UNICHAR(8239)," "))</f>
        <v>#NAME?</v>
      </c>
      <c r="Z1834" s="58" t="str">
        <f t="shared" si="1674"/>
        <v>#NAME?</v>
      </c>
      <c r="AA1834" s="58" t="str">
        <f t="shared" si="1674"/>
        <v>#NAME?</v>
      </c>
      <c r="AB1834" s="58" t="str">
        <f t="shared" si="1674"/>
        <v>#NAME?</v>
      </c>
      <c r="AC1834" s="58" t="str">
        <f t="shared" si="1674"/>
        <v>#NAME?</v>
      </c>
      <c r="AD1834" s="57">
        <f t="shared" si="906"/>
        <v>0</v>
      </c>
      <c r="AE1834" s="57" t="str">
        <f t="shared" si="907"/>
        <v/>
      </c>
      <c r="AF1834" s="57">
        <f t="shared" si="908"/>
        <v>0</v>
      </c>
      <c r="AG1834" s="59">
        <f t="shared" si="909"/>
        <v>0</v>
      </c>
      <c r="AH1834" s="15"/>
      <c r="AI1834" s="15"/>
      <c r="AJ1834" s="15"/>
      <c r="AK1834" s="15"/>
      <c r="AL1834" s="15"/>
      <c r="AM1834" s="15"/>
      <c r="AN1834" s="15"/>
      <c r="AO1834" s="15"/>
      <c r="AP1834" s="15"/>
      <c r="AQ1834" s="15"/>
      <c r="AR1834" s="15"/>
      <c r="AS1834" s="15"/>
      <c r="AT1834" s="15"/>
      <c r="AU1834" s="15"/>
    </row>
    <row r="1835" ht="24.0" customHeight="1">
      <c r="A1835" s="45">
        <v>3259.0</v>
      </c>
      <c r="B1835" s="57"/>
      <c r="C1835" s="57"/>
      <c r="D1835" s="88" t="str">
        <f t="array" ref="D1835">IFERROR(
  LOOKUP(2, 1/((TRIM(IMS!$E$8:$E$2574)=TRIM(IMS!$E1835))*(IMS!$C$8:$C$2574&lt;IMS!$C1835)),
         IMS!$C$8:$C$2574),
"")</f>
        <v/>
      </c>
      <c r="E1835" s="57"/>
      <c r="F1835" s="57"/>
      <c r="G1835" s="77" t="str">
        <f t="shared" si="901"/>
        <v/>
      </c>
      <c r="H1835" s="78" t="str">
        <f t="shared" si="902"/>
        <v/>
      </c>
      <c r="I1835" s="79"/>
      <c r="J1835" s="80" t="str">
        <f t="shared" si="903"/>
        <v>#NAME?</v>
      </c>
      <c r="K1835" s="58"/>
      <c r="L1835" s="58"/>
      <c r="M1835" s="57"/>
      <c r="N1835" s="57"/>
      <c r="O1835" s="58"/>
      <c r="P1835" s="82"/>
      <c r="Q1835" s="81"/>
      <c r="R1835" s="81"/>
      <c r="S1835" s="57"/>
      <c r="T1835" s="82"/>
      <c r="U1835" s="82"/>
      <c r="V1835" s="57"/>
      <c r="W1835" s="57"/>
      <c r="X1835" s="57" t="str">
        <f t="shared" si="917"/>
        <v/>
      </c>
      <c r="Y1835" s="58" t="str">
        <f t="shared" ref="Y1835:AC1835" si="1675">TRIM(SUBSTITUTE(SUBSTITUTE(OFFSET($Q1835,0,COLUMN()-COLUMN($AL$1)),CHAR(160)," "),_xludf.UNICHAR(8239)," "))</f>
        <v>#NAME?</v>
      </c>
      <c r="Z1835" s="58" t="str">
        <f t="shared" si="1675"/>
        <v>#NAME?</v>
      </c>
      <c r="AA1835" s="58" t="str">
        <f t="shared" si="1675"/>
        <v>#NAME?</v>
      </c>
      <c r="AB1835" s="58" t="str">
        <f t="shared" si="1675"/>
        <v>#NAME?</v>
      </c>
      <c r="AC1835" s="58" t="str">
        <f t="shared" si="1675"/>
        <v>#NAME?</v>
      </c>
      <c r="AD1835" s="57">
        <f t="shared" si="906"/>
        <v>0</v>
      </c>
      <c r="AE1835" s="57" t="str">
        <f t="shared" si="907"/>
        <v/>
      </c>
      <c r="AF1835" s="57">
        <f t="shared" si="908"/>
        <v>0</v>
      </c>
      <c r="AG1835" s="59">
        <f t="shared" si="909"/>
        <v>0</v>
      </c>
      <c r="AH1835" s="15"/>
      <c r="AI1835" s="15"/>
      <c r="AJ1835" s="15"/>
      <c r="AK1835" s="15"/>
      <c r="AL1835" s="15"/>
      <c r="AM1835" s="15"/>
      <c r="AN1835" s="15"/>
      <c r="AO1835" s="15"/>
      <c r="AP1835" s="15"/>
      <c r="AQ1835" s="15"/>
      <c r="AR1835" s="15"/>
      <c r="AS1835" s="15"/>
      <c r="AT1835" s="15"/>
      <c r="AU1835" s="15"/>
    </row>
    <row r="1836" ht="24.0" customHeight="1">
      <c r="A1836" s="45">
        <v>3260.0</v>
      </c>
      <c r="B1836" s="57"/>
      <c r="C1836" s="57"/>
      <c r="D1836" s="88" t="str">
        <f t="array" ref="D1836">IFERROR(
  LOOKUP(2, 1/((TRIM(IMS!$E$8:$E$2574)=TRIM(IMS!$E1836))*(IMS!$C$8:$C$2574&lt;IMS!$C1836)),
         IMS!$C$8:$C$2574),
"")</f>
        <v/>
      </c>
      <c r="E1836" s="57"/>
      <c r="F1836" s="57"/>
      <c r="G1836" s="77" t="str">
        <f t="shared" si="901"/>
        <v/>
      </c>
      <c r="H1836" s="78" t="str">
        <f t="shared" si="902"/>
        <v/>
      </c>
      <c r="I1836" s="79"/>
      <c r="J1836" s="80" t="str">
        <f t="shared" si="903"/>
        <v>#NAME?</v>
      </c>
      <c r="K1836" s="58"/>
      <c r="L1836" s="58"/>
      <c r="M1836" s="57"/>
      <c r="N1836" s="57"/>
      <c r="O1836" s="58"/>
      <c r="P1836" s="82"/>
      <c r="Q1836" s="81"/>
      <c r="R1836" s="81"/>
      <c r="S1836" s="57"/>
      <c r="T1836" s="82"/>
      <c r="U1836" s="82"/>
      <c r="V1836" s="57"/>
      <c r="W1836" s="57"/>
      <c r="X1836" s="57" t="str">
        <f t="shared" si="917"/>
        <v/>
      </c>
      <c r="Y1836" s="58" t="str">
        <f t="shared" ref="Y1836:AC1836" si="1676">TRIM(SUBSTITUTE(SUBSTITUTE(OFFSET($Q1836,0,COLUMN()-COLUMN($AL$1)),CHAR(160)," "),_xludf.UNICHAR(8239)," "))</f>
        <v>#NAME?</v>
      </c>
      <c r="Z1836" s="58" t="str">
        <f t="shared" si="1676"/>
        <v>#NAME?</v>
      </c>
      <c r="AA1836" s="58" t="str">
        <f t="shared" si="1676"/>
        <v>#NAME?</v>
      </c>
      <c r="AB1836" s="58" t="str">
        <f t="shared" si="1676"/>
        <v>#NAME?</v>
      </c>
      <c r="AC1836" s="58" t="str">
        <f t="shared" si="1676"/>
        <v>#NAME?</v>
      </c>
      <c r="AD1836" s="57">
        <f t="shared" si="906"/>
        <v>0</v>
      </c>
      <c r="AE1836" s="57" t="str">
        <f t="shared" si="907"/>
        <v/>
      </c>
      <c r="AF1836" s="57">
        <f t="shared" si="908"/>
        <v>0</v>
      </c>
      <c r="AG1836" s="59">
        <f t="shared" si="909"/>
        <v>0</v>
      </c>
      <c r="AH1836" s="15"/>
      <c r="AI1836" s="15"/>
      <c r="AJ1836" s="15"/>
      <c r="AK1836" s="15"/>
      <c r="AL1836" s="15"/>
      <c r="AM1836" s="15"/>
      <c r="AN1836" s="15"/>
      <c r="AO1836" s="15"/>
      <c r="AP1836" s="15"/>
      <c r="AQ1836" s="15"/>
      <c r="AR1836" s="15"/>
      <c r="AS1836" s="15"/>
      <c r="AT1836" s="15"/>
      <c r="AU1836" s="15"/>
    </row>
    <row r="1837" ht="24.0" customHeight="1">
      <c r="A1837" s="45">
        <v>3261.0</v>
      </c>
      <c r="B1837" s="57"/>
      <c r="C1837" s="57"/>
      <c r="D1837" s="88" t="str">
        <f t="array" ref="D1837">IFERROR(
  LOOKUP(2, 1/((TRIM(IMS!$E$8:$E$2574)=TRIM(IMS!$E1837))*(IMS!$C$8:$C$2574&lt;IMS!$C1837)),
         IMS!$C$8:$C$2574),
"")</f>
        <v/>
      </c>
      <c r="E1837" s="57"/>
      <c r="F1837" s="57"/>
      <c r="G1837" s="77" t="str">
        <f t="shared" si="901"/>
        <v/>
      </c>
      <c r="H1837" s="78" t="str">
        <f t="shared" si="902"/>
        <v/>
      </c>
      <c r="I1837" s="79"/>
      <c r="J1837" s="80" t="str">
        <f t="shared" si="903"/>
        <v>#NAME?</v>
      </c>
      <c r="K1837" s="58"/>
      <c r="L1837" s="58"/>
      <c r="M1837" s="57"/>
      <c r="N1837" s="57"/>
      <c r="O1837" s="58"/>
      <c r="P1837" s="82"/>
      <c r="Q1837" s="81"/>
      <c r="R1837" s="81"/>
      <c r="S1837" s="57"/>
      <c r="T1837" s="82"/>
      <c r="U1837" s="82"/>
      <c r="V1837" s="57"/>
      <c r="W1837" s="57"/>
      <c r="X1837" s="57" t="str">
        <f t="shared" si="917"/>
        <v/>
      </c>
      <c r="Y1837" s="58" t="str">
        <f t="shared" ref="Y1837:AC1837" si="1677">TRIM(SUBSTITUTE(SUBSTITUTE(OFFSET($Q1837,0,COLUMN()-COLUMN($AL$1)),CHAR(160)," "),_xludf.UNICHAR(8239)," "))</f>
        <v>#NAME?</v>
      </c>
      <c r="Z1837" s="58" t="str">
        <f t="shared" si="1677"/>
        <v>#NAME?</v>
      </c>
      <c r="AA1837" s="58" t="str">
        <f t="shared" si="1677"/>
        <v>#NAME?</v>
      </c>
      <c r="AB1837" s="58" t="str">
        <f t="shared" si="1677"/>
        <v>#NAME?</v>
      </c>
      <c r="AC1837" s="58" t="str">
        <f t="shared" si="1677"/>
        <v>#NAME?</v>
      </c>
      <c r="AD1837" s="57">
        <f t="shared" si="906"/>
        <v>0</v>
      </c>
      <c r="AE1837" s="57" t="str">
        <f t="shared" si="907"/>
        <v/>
      </c>
      <c r="AF1837" s="57">
        <f t="shared" si="908"/>
        <v>0</v>
      </c>
      <c r="AG1837" s="59">
        <f t="shared" si="909"/>
        <v>0</v>
      </c>
      <c r="AH1837" s="15"/>
      <c r="AI1837" s="15"/>
      <c r="AJ1837" s="15"/>
      <c r="AK1837" s="15"/>
      <c r="AL1837" s="15"/>
      <c r="AM1837" s="15"/>
      <c r="AN1837" s="15"/>
      <c r="AO1837" s="15"/>
      <c r="AP1837" s="15"/>
      <c r="AQ1837" s="15"/>
      <c r="AR1837" s="15"/>
      <c r="AS1837" s="15"/>
      <c r="AT1837" s="15"/>
      <c r="AU1837" s="15"/>
    </row>
    <row r="1838" ht="24.0" customHeight="1">
      <c r="A1838" s="45">
        <v>3262.0</v>
      </c>
      <c r="B1838" s="57"/>
      <c r="C1838" s="57"/>
      <c r="D1838" s="88" t="str">
        <f t="array" ref="D1838">IFERROR(
  LOOKUP(2, 1/((TRIM(IMS!$E$8:$E$2574)=TRIM(IMS!$E1838))*(IMS!$C$8:$C$2574&lt;IMS!$C1838)),
         IMS!$C$8:$C$2574),
"")</f>
        <v/>
      </c>
      <c r="E1838" s="57"/>
      <c r="F1838" s="57"/>
      <c r="G1838" s="77" t="str">
        <f t="shared" si="901"/>
        <v/>
      </c>
      <c r="H1838" s="78" t="str">
        <f t="shared" si="902"/>
        <v/>
      </c>
      <c r="I1838" s="79"/>
      <c r="J1838" s="80" t="str">
        <f t="shared" si="903"/>
        <v>#NAME?</v>
      </c>
      <c r="K1838" s="58"/>
      <c r="L1838" s="58"/>
      <c r="M1838" s="57"/>
      <c r="N1838" s="57"/>
      <c r="O1838" s="58"/>
      <c r="P1838" s="82"/>
      <c r="Q1838" s="81"/>
      <c r="R1838" s="81"/>
      <c r="S1838" s="57"/>
      <c r="T1838" s="82"/>
      <c r="U1838" s="82"/>
      <c r="V1838" s="57"/>
      <c r="W1838" s="57"/>
      <c r="X1838" s="57" t="str">
        <f t="shared" si="917"/>
        <v/>
      </c>
      <c r="Y1838" s="58" t="str">
        <f t="shared" ref="Y1838:AC1838" si="1678">TRIM(SUBSTITUTE(SUBSTITUTE(OFFSET($Q1838,0,COLUMN()-COLUMN($AL$1)),CHAR(160)," "),_xludf.UNICHAR(8239)," "))</f>
        <v>#NAME?</v>
      </c>
      <c r="Z1838" s="58" t="str">
        <f t="shared" si="1678"/>
        <v>#NAME?</v>
      </c>
      <c r="AA1838" s="58" t="str">
        <f t="shared" si="1678"/>
        <v>#NAME?</v>
      </c>
      <c r="AB1838" s="58" t="str">
        <f t="shared" si="1678"/>
        <v>#NAME?</v>
      </c>
      <c r="AC1838" s="58" t="str">
        <f t="shared" si="1678"/>
        <v>#NAME?</v>
      </c>
      <c r="AD1838" s="57">
        <f t="shared" si="906"/>
        <v>0</v>
      </c>
      <c r="AE1838" s="57" t="str">
        <f t="shared" si="907"/>
        <v/>
      </c>
      <c r="AF1838" s="57">
        <f t="shared" si="908"/>
        <v>0</v>
      </c>
      <c r="AG1838" s="59">
        <f t="shared" si="909"/>
        <v>0</v>
      </c>
      <c r="AH1838" s="15"/>
      <c r="AI1838" s="15"/>
      <c r="AJ1838" s="15"/>
      <c r="AK1838" s="15"/>
      <c r="AL1838" s="15"/>
      <c r="AM1838" s="15"/>
      <c r="AN1838" s="15"/>
      <c r="AO1838" s="15"/>
      <c r="AP1838" s="15"/>
      <c r="AQ1838" s="15"/>
      <c r="AR1838" s="15"/>
      <c r="AS1838" s="15"/>
      <c r="AT1838" s="15"/>
      <c r="AU1838" s="15"/>
    </row>
    <row r="1839" ht="24.0" customHeight="1">
      <c r="A1839" s="45">
        <v>3263.0</v>
      </c>
      <c r="B1839" s="57"/>
      <c r="C1839" s="57"/>
      <c r="D1839" s="88" t="str">
        <f t="array" ref="D1839">IFERROR(
  LOOKUP(2, 1/((TRIM(IMS!$E$8:$E$2574)=TRIM(IMS!$E1839))*(IMS!$C$8:$C$2574&lt;IMS!$C1839)),
         IMS!$C$8:$C$2574),
"")</f>
        <v/>
      </c>
      <c r="E1839" s="57"/>
      <c r="F1839" s="57"/>
      <c r="G1839" s="77" t="str">
        <f t="shared" si="901"/>
        <v/>
      </c>
      <c r="H1839" s="78" t="str">
        <f t="shared" si="902"/>
        <v/>
      </c>
      <c r="I1839" s="79"/>
      <c r="J1839" s="80" t="str">
        <f t="shared" si="903"/>
        <v>#NAME?</v>
      </c>
      <c r="K1839" s="58"/>
      <c r="L1839" s="58"/>
      <c r="M1839" s="57"/>
      <c r="N1839" s="57"/>
      <c r="O1839" s="58"/>
      <c r="P1839" s="82"/>
      <c r="Q1839" s="81"/>
      <c r="R1839" s="81"/>
      <c r="S1839" s="57"/>
      <c r="T1839" s="82"/>
      <c r="U1839" s="82"/>
      <c r="V1839" s="57"/>
      <c r="W1839" s="57"/>
      <c r="X1839" s="57" t="str">
        <f t="shared" si="917"/>
        <v/>
      </c>
      <c r="Y1839" s="58" t="str">
        <f t="shared" ref="Y1839:AC1839" si="1679">TRIM(SUBSTITUTE(SUBSTITUTE(OFFSET($Q1839,0,COLUMN()-COLUMN($AL$1)),CHAR(160)," "),_xludf.UNICHAR(8239)," "))</f>
        <v>#NAME?</v>
      </c>
      <c r="Z1839" s="58" t="str">
        <f t="shared" si="1679"/>
        <v>#NAME?</v>
      </c>
      <c r="AA1839" s="58" t="str">
        <f t="shared" si="1679"/>
        <v>#NAME?</v>
      </c>
      <c r="AB1839" s="58" t="str">
        <f t="shared" si="1679"/>
        <v>#NAME?</v>
      </c>
      <c r="AC1839" s="58" t="str">
        <f t="shared" si="1679"/>
        <v>#NAME?</v>
      </c>
      <c r="AD1839" s="57">
        <f t="shared" si="906"/>
        <v>0</v>
      </c>
      <c r="AE1839" s="57" t="str">
        <f t="shared" si="907"/>
        <v/>
      </c>
      <c r="AF1839" s="57">
        <f t="shared" si="908"/>
        <v>0</v>
      </c>
      <c r="AG1839" s="59">
        <f t="shared" si="909"/>
        <v>0</v>
      </c>
      <c r="AH1839" s="15"/>
      <c r="AI1839" s="15"/>
      <c r="AJ1839" s="15"/>
      <c r="AK1839" s="15"/>
      <c r="AL1839" s="15"/>
      <c r="AM1839" s="15"/>
      <c r="AN1839" s="15"/>
      <c r="AO1839" s="15"/>
      <c r="AP1839" s="15"/>
      <c r="AQ1839" s="15"/>
      <c r="AR1839" s="15"/>
      <c r="AS1839" s="15"/>
      <c r="AT1839" s="15"/>
      <c r="AU1839" s="15"/>
    </row>
    <row r="1840" ht="24.0" customHeight="1">
      <c r="A1840" s="45">
        <v>3264.0</v>
      </c>
      <c r="B1840" s="57"/>
      <c r="C1840" s="57"/>
      <c r="D1840" s="88" t="str">
        <f t="array" ref="D1840">IFERROR(
  LOOKUP(2, 1/((TRIM(IMS!$E$8:$E$2574)=TRIM(IMS!$E1840))*(IMS!$C$8:$C$2574&lt;IMS!$C1840)),
         IMS!$C$8:$C$2574),
"")</f>
        <v/>
      </c>
      <c r="E1840" s="57"/>
      <c r="F1840" s="57"/>
      <c r="G1840" s="77" t="str">
        <f t="shared" si="901"/>
        <v/>
      </c>
      <c r="H1840" s="78" t="str">
        <f t="shared" si="902"/>
        <v/>
      </c>
      <c r="I1840" s="79"/>
      <c r="J1840" s="80" t="str">
        <f t="shared" si="903"/>
        <v>#NAME?</v>
      </c>
      <c r="K1840" s="58"/>
      <c r="L1840" s="58"/>
      <c r="M1840" s="57"/>
      <c r="N1840" s="57"/>
      <c r="O1840" s="58"/>
      <c r="P1840" s="82"/>
      <c r="Q1840" s="81"/>
      <c r="R1840" s="81"/>
      <c r="S1840" s="57"/>
      <c r="T1840" s="82"/>
      <c r="U1840" s="82"/>
      <c r="V1840" s="57"/>
      <c r="W1840" s="57"/>
      <c r="X1840" s="57" t="str">
        <f t="shared" si="917"/>
        <v/>
      </c>
      <c r="Y1840" s="58" t="str">
        <f t="shared" ref="Y1840:AC1840" si="1680">TRIM(SUBSTITUTE(SUBSTITUTE(OFFSET($Q1840,0,COLUMN()-COLUMN($AL$1)),CHAR(160)," "),_xludf.UNICHAR(8239)," "))</f>
        <v>#NAME?</v>
      </c>
      <c r="Z1840" s="58" t="str">
        <f t="shared" si="1680"/>
        <v>#NAME?</v>
      </c>
      <c r="AA1840" s="58" t="str">
        <f t="shared" si="1680"/>
        <v>#NAME?</v>
      </c>
      <c r="AB1840" s="58" t="str">
        <f t="shared" si="1680"/>
        <v>#NAME?</v>
      </c>
      <c r="AC1840" s="58" t="str">
        <f t="shared" si="1680"/>
        <v>#NAME?</v>
      </c>
      <c r="AD1840" s="57">
        <f t="shared" si="906"/>
        <v>0</v>
      </c>
      <c r="AE1840" s="57" t="str">
        <f t="shared" si="907"/>
        <v/>
      </c>
      <c r="AF1840" s="57">
        <f t="shared" si="908"/>
        <v>0</v>
      </c>
      <c r="AG1840" s="59">
        <f t="shared" si="909"/>
        <v>0</v>
      </c>
      <c r="AH1840" s="15"/>
      <c r="AI1840" s="15"/>
      <c r="AJ1840" s="15"/>
      <c r="AK1840" s="15"/>
      <c r="AL1840" s="15"/>
      <c r="AM1840" s="15"/>
      <c r="AN1840" s="15"/>
      <c r="AO1840" s="15"/>
      <c r="AP1840" s="15"/>
      <c r="AQ1840" s="15"/>
      <c r="AR1840" s="15"/>
      <c r="AS1840" s="15"/>
      <c r="AT1840" s="15"/>
      <c r="AU1840" s="15"/>
    </row>
    <row r="1841" ht="24.0" customHeight="1">
      <c r="A1841" s="45">
        <v>3265.0</v>
      </c>
      <c r="B1841" s="57"/>
      <c r="C1841" s="57"/>
      <c r="D1841" s="88" t="str">
        <f t="array" ref="D1841">IFERROR(
  LOOKUP(2, 1/((TRIM(IMS!$E$8:$E$2574)=TRIM(IMS!$E1841))*(IMS!$C$8:$C$2574&lt;IMS!$C1841)),
         IMS!$C$8:$C$2574),
"")</f>
        <v/>
      </c>
      <c r="E1841" s="57"/>
      <c r="F1841" s="57"/>
      <c r="G1841" s="77" t="str">
        <f t="shared" si="901"/>
        <v/>
      </c>
      <c r="H1841" s="78" t="str">
        <f t="shared" si="902"/>
        <v/>
      </c>
      <c r="I1841" s="79"/>
      <c r="J1841" s="80" t="str">
        <f t="shared" si="903"/>
        <v>#NAME?</v>
      </c>
      <c r="K1841" s="58"/>
      <c r="L1841" s="58"/>
      <c r="M1841" s="57"/>
      <c r="N1841" s="57"/>
      <c r="O1841" s="58"/>
      <c r="P1841" s="82"/>
      <c r="Q1841" s="81"/>
      <c r="R1841" s="81"/>
      <c r="S1841" s="57"/>
      <c r="T1841" s="82"/>
      <c r="U1841" s="82"/>
      <c r="V1841" s="57"/>
      <c r="W1841" s="57"/>
      <c r="X1841" s="57" t="str">
        <f t="shared" si="917"/>
        <v/>
      </c>
      <c r="Y1841" s="58" t="str">
        <f t="shared" ref="Y1841:AC1841" si="1681">TRIM(SUBSTITUTE(SUBSTITUTE(OFFSET($Q1841,0,COLUMN()-COLUMN($AL$1)),CHAR(160)," "),_xludf.UNICHAR(8239)," "))</f>
        <v>#NAME?</v>
      </c>
      <c r="Z1841" s="58" t="str">
        <f t="shared" si="1681"/>
        <v>#NAME?</v>
      </c>
      <c r="AA1841" s="58" t="str">
        <f t="shared" si="1681"/>
        <v>#NAME?</v>
      </c>
      <c r="AB1841" s="58" t="str">
        <f t="shared" si="1681"/>
        <v>#NAME?</v>
      </c>
      <c r="AC1841" s="58" t="str">
        <f t="shared" si="1681"/>
        <v>#NAME?</v>
      </c>
      <c r="AD1841" s="57">
        <f t="shared" si="906"/>
        <v>0</v>
      </c>
      <c r="AE1841" s="57" t="str">
        <f t="shared" si="907"/>
        <v/>
      </c>
      <c r="AF1841" s="57">
        <f t="shared" si="908"/>
        <v>0</v>
      </c>
      <c r="AG1841" s="59">
        <f t="shared" si="909"/>
        <v>0</v>
      </c>
      <c r="AH1841" s="15"/>
      <c r="AI1841" s="15"/>
      <c r="AJ1841" s="15"/>
      <c r="AK1841" s="15"/>
      <c r="AL1841" s="15"/>
      <c r="AM1841" s="15"/>
      <c r="AN1841" s="15"/>
      <c r="AO1841" s="15"/>
      <c r="AP1841" s="15"/>
      <c r="AQ1841" s="15"/>
      <c r="AR1841" s="15"/>
      <c r="AS1841" s="15"/>
      <c r="AT1841" s="15"/>
      <c r="AU1841" s="15"/>
    </row>
    <row r="1842" ht="24.0" customHeight="1">
      <c r="A1842" s="45">
        <v>3266.0</v>
      </c>
      <c r="B1842" s="57"/>
      <c r="C1842" s="57"/>
      <c r="D1842" s="88" t="str">
        <f t="array" ref="D1842">IFERROR(
  LOOKUP(2, 1/((TRIM(IMS!$E$8:$E$2574)=TRIM(IMS!$E1842))*(IMS!$C$8:$C$2574&lt;IMS!$C1842)),
         IMS!$C$8:$C$2574),
"")</f>
        <v/>
      </c>
      <c r="E1842" s="57"/>
      <c r="F1842" s="57"/>
      <c r="G1842" s="77" t="str">
        <f t="shared" si="901"/>
        <v/>
      </c>
      <c r="H1842" s="78" t="str">
        <f t="shared" si="902"/>
        <v/>
      </c>
      <c r="I1842" s="79"/>
      <c r="J1842" s="80" t="str">
        <f t="shared" si="903"/>
        <v>#NAME?</v>
      </c>
      <c r="K1842" s="58"/>
      <c r="L1842" s="58"/>
      <c r="M1842" s="57"/>
      <c r="N1842" s="57"/>
      <c r="O1842" s="58"/>
      <c r="P1842" s="82"/>
      <c r="Q1842" s="81"/>
      <c r="R1842" s="81"/>
      <c r="S1842" s="57"/>
      <c r="T1842" s="82"/>
      <c r="U1842" s="82"/>
      <c r="V1842" s="57"/>
      <c r="W1842" s="57"/>
      <c r="X1842" s="57" t="str">
        <f t="shared" si="917"/>
        <v/>
      </c>
      <c r="Y1842" s="58" t="str">
        <f t="shared" ref="Y1842:AC1842" si="1682">TRIM(SUBSTITUTE(SUBSTITUTE(OFFSET($Q1842,0,COLUMN()-COLUMN($AL$1)),CHAR(160)," "),_xludf.UNICHAR(8239)," "))</f>
        <v>#NAME?</v>
      </c>
      <c r="Z1842" s="58" t="str">
        <f t="shared" si="1682"/>
        <v>#NAME?</v>
      </c>
      <c r="AA1842" s="58" t="str">
        <f t="shared" si="1682"/>
        <v>#NAME?</v>
      </c>
      <c r="AB1842" s="58" t="str">
        <f t="shared" si="1682"/>
        <v>#NAME?</v>
      </c>
      <c r="AC1842" s="58" t="str">
        <f t="shared" si="1682"/>
        <v>#NAME?</v>
      </c>
      <c r="AD1842" s="57">
        <f t="shared" si="906"/>
        <v>0</v>
      </c>
      <c r="AE1842" s="57" t="str">
        <f t="shared" si="907"/>
        <v/>
      </c>
      <c r="AF1842" s="57">
        <f t="shared" si="908"/>
        <v>0</v>
      </c>
      <c r="AG1842" s="59">
        <f t="shared" si="909"/>
        <v>0</v>
      </c>
      <c r="AH1842" s="15"/>
      <c r="AI1842" s="15"/>
      <c r="AJ1842" s="15"/>
      <c r="AK1842" s="15"/>
      <c r="AL1842" s="15"/>
      <c r="AM1842" s="15"/>
      <c r="AN1842" s="15"/>
      <c r="AO1842" s="15"/>
      <c r="AP1842" s="15"/>
      <c r="AQ1842" s="15"/>
      <c r="AR1842" s="15"/>
      <c r="AS1842" s="15"/>
      <c r="AT1842" s="15"/>
      <c r="AU1842" s="15"/>
    </row>
    <row r="1843" ht="24.0" customHeight="1">
      <c r="A1843" s="45">
        <v>3267.0</v>
      </c>
      <c r="B1843" s="57"/>
      <c r="C1843" s="57"/>
      <c r="D1843" s="88" t="str">
        <f t="array" ref="D1843">IFERROR(
  LOOKUP(2, 1/((TRIM(IMS!$E$8:$E$2574)=TRIM(IMS!$E1843))*(IMS!$C$8:$C$2574&lt;IMS!$C1843)),
         IMS!$C$8:$C$2574),
"")</f>
        <v/>
      </c>
      <c r="E1843" s="57"/>
      <c r="F1843" s="57"/>
      <c r="G1843" s="77" t="str">
        <f t="shared" si="901"/>
        <v/>
      </c>
      <c r="H1843" s="78" t="str">
        <f t="shared" si="902"/>
        <v/>
      </c>
      <c r="I1843" s="79"/>
      <c r="J1843" s="80" t="str">
        <f t="shared" si="903"/>
        <v>#NAME?</v>
      </c>
      <c r="K1843" s="58"/>
      <c r="L1843" s="58"/>
      <c r="M1843" s="57"/>
      <c r="N1843" s="57"/>
      <c r="O1843" s="58"/>
      <c r="P1843" s="82"/>
      <c r="Q1843" s="81"/>
      <c r="R1843" s="81"/>
      <c r="S1843" s="57"/>
      <c r="T1843" s="82"/>
      <c r="U1843" s="82"/>
      <c r="V1843" s="57"/>
      <c r="W1843" s="57"/>
      <c r="X1843" s="57" t="str">
        <f t="shared" si="917"/>
        <v/>
      </c>
      <c r="Y1843" s="58" t="str">
        <f t="shared" ref="Y1843:AC1843" si="1683">TRIM(SUBSTITUTE(SUBSTITUTE(OFFSET($Q1843,0,COLUMN()-COLUMN($AL$1)),CHAR(160)," "),_xludf.UNICHAR(8239)," "))</f>
        <v>#NAME?</v>
      </c>
      <c r="Z1843" s="58" t="str">
        <f t="shared" si="1683"/>
        <v>#NAME?</v>
      </c>
      <c r="AA1843" s="58" t="str">
        <f t="shared" si="1683"/>
        <v>#NAME?</v>
      </c>
      <c r="AB1843" s="58" t="str">
        <f t="shared" si="1683"/>
        <v>#NAME?</v>
      </c>
      <c r="AC1843" s="58" t="str">
        <f t="shared" si="1683"/>
        <v>#NAME?</v>
      </c>
      <c r="AD1843" s="57">
        <f t="shared" si="906"/>
        <v>0</v>
      </c>
      <c r="AE1843" s="57" t="str">
        <f t="shared" si="907"/>
        <v/>
      </c>
      <c r="AF1843" s="57">
        <f t="shared" si="908"/>
        <v>0</v>
      </c>
      <c r="AG1843" s="59">
        <f t="shared" si="909"/>
        <v>0</v>
      </c>
      <c r="AH1843" s="15"/>
      <c r="AI1843" s="15"/>
      <c r="AJ1843" s="15"/>
      <c r="AK1843" s="15"/>
      <c r="AL1843" s="15"/>
      <c r="AM1843" s="15"/>
      <c r="AN1843" s="15"/>
      <c r="AO1843" s="15"/>
      <c r="AP1843" s="15"/>
      <c r="AQ1843" s="15"/>
      <c r="AR1843" s="15"/>
      <c r="AS1843" s="15"/>
      <c r="AT1843" s="15"/>
      <c r="AU1843" s="15"/>
    </row>
    <row r="1844" ht="24.0" customHeight="1">
      <c r="A1844" s="45">
        <v>3268.0</v>
      </c>
      <c r="B1844" s="57"/>
      <c r="C1844" s="57"/>
      <c r="D1844" s="88" t="str">
        <f t="array" ref="D1844">IFERROR(
  LOOKUP(2, 1/((TRIM(IMS!$E$8:$E$2574)=TRIM(IMS!$E1844))*(IMS!$C$8:$C$2574&lt;IMS!$C1844)),
         IMS!$C$8:$C$2574),
"")</f>
        <v/>
      </c>
      <c r="E1844" s="57"/>
      <c r="F1844" s="57"/>
      <c r="G1844" s="77" t="str">
        <f t="shared" si="901"/>
        <v/>
      </c>
      <c r="H1844" s="78" t="str">
        <f t="shared" si="902"/>
        <v/>
      </c>
      <c r="I1844" s="79"/>
      <c r="J1844" s="80" t="str">
        <f t="shared" si="903"/>
        <v>#NAME?</v>
      </c>
      <c r="K1844" s="58"/>
      <c r="L1844" s="58"/>
      <c r="M1844" s="57"/>
      <c r="N1844" s="57"/>
      <c r="O1844" s="58"/>
      <c r="P1844" s="82"/>
      <c r="Q1844" s="81"/>
      <c r="R1844" s="81"/>
      <c r="S1844" s="57"/>
      <c r="T1844" s="82"/>
      <c r="U1844" s="82"/>
      <c r="V1844" s="57"/>
      <c r="W1844" s="57"/>
      <c r="X1844" s="57" t="str">
        <f t="shared" si="917"/>
        <v/>
      </c>
      <c r="Y1844" s="58" t="str">
        <f t="shared" ref="Y1844:AC1844" si="1684">TRIM(SUBSTITUTE(SUBSTITUTE(OFFSET($Q1844,0,COLUMN()-COLUMN($AL$1)),CHAR(160)," "),_xludf.UNICHAR(8239)," "))</f>
        <v>#NAME?</v>
      </c>
      <c r="Z1844" s="58" t="str">
        <f t="shared" si="1684"/>
        <v>#NAME?</v>
      </c>
      <c r="AA1844" s="58" t="str">
        <f t="shared" si="1684"/>
        <v>#NAME?</v>
      </c>
      <c r="AB1844" s="58" t="str">
        <f t="shared" si="1684"/>
        <v>#NAME?</v>
      </c>
      <c r="AC1844" s="58" t="str">
        <f t="shared" si="1684"/>
        <v>#NAME?</v>
      </c>
      <c r="AD1844" s="57">
        <f t="shared" si="906"/>
        <v>0</v>
      </c>
      <c r="AE1844" s="57" t="str">
        <f t="shared" si="907"/>
        <v/>
      </c>
      <c r="AF1844" s="57">
        <f t="shared" si="908"/>
        <v>0</v>
      </c>
      <c r="AG1844" s="59">
        <f t="shared" si="909"/>
        <v>0</v>
      </c>
      <c r="AH1844" s="15"/>
      <c r="AI1844" s="15"/>
      <c r="AJ1844" s="15"/>
      <c r="AK1844" s="15"/>
      <c r="AL1844" s="15"/>
      <c r="AM1844" s="15"/>
      <c r="AN1844" s="15"/>
      <c r="AO1844" s="15"/>
      <c r="AP1844" s="15"/>
      <c r="AQ1844" s="15"/>
      <c r="AR1844" s="15"/>
      <c r="AS1844" s="15"/>
      <c r="AT1844" s="15"/>
      <c r="AU1844" s="15"/>
    </row>
    <row r="1845" ht="24.0" customHeight="1">
      <c r="A1845" s="45">
        <v>3269.0</v>
      </c>
      <c r="B1845" s="57"/>
      <c r="C1845" s="57"/>
      <c r="D1845" s="88" t="str">
        <f t="array" ref="D1845">IFERROR(
  LOOKUP(2, 1/((TRIM(IMS!$E$8:$E$2574)=TRIM(IMS!$E1845))*(IMS!$C$8:$C$2574&lt;IMS!$C1845)),
         IMS!$C$8:$C$2574),
"")</f>
        <v/>
      </c>
      <c r="E1845" s="57"/>
      <c r="F1845" s="57"/>
      <c r="G1845" s="77" t="str">
        <f t="shared" si="901"/>
        <v/>
      </c>
      <c r="H1845" s="78" t="str">
        <f t="shared" si="902"/>
        <v/>
      </c>
      <c r="I1845" s="79"/>
      <c r="J1845" s="80" t="str">
        <f t="shared" si="903"/>
        <v>#NAME?</v>
      </c>
      <c r="K1845" s="58"/>
      <c r="L1845" s="58"/>
      <c r="M1845" s="57"/>
      <c r="N1845" s="57"/>
      <c r="O1845" s="58"/>
      <c r="P1845" s="82"/>
      <c r="Q1845" s="81"/>
      <c r="R1845" s="81"/>
      <c r="S1845" s="57"/>
      <c r="T1845" s="82"/>
      <c r="U1845" s="82"/>
      <c r="V1845" s="57"/>
      <c r="W1845" s="57"/>
      <c r="X1845" s="57" t="str">
        <f t="shared" si="917"/>
        <v/>
      </c>
      <c r="Y1845" s="58" t="str">
        <f t="shared" ref="Y1845:AC1845" si="1685">TRIM(SUBSTITUTE(SUBSTITUTE(OFFSET($Q1845,0,COLUMN()-COLUMN($AL$1)),CHAR(160)," "),_xludf.UNICHAR(8239)," "))</f>
        <v>#NAME?</v>
      </c>
      <c r="Z1845" s="58" t="str">
        <f t="shared" si="1685"/>
        <v>#NAME?</v>
      </c>
      <c r="AA1845" s="58" t="str">
        <f t="shared" si="1685"/>
        <v>#NAME?</v>
      </c>
      <c r="AB1845" s="58" t="str">
        <f t="shared" si="1685"/>
        <v>#NAME?</v>
      </c>
      <c r="AC1845" s="58" t="str">
        <f t="shared" si="1685"/>
        <v>#NAME?</v>
      </c>
      <c r="AD1845" s="57">
        <f t="shared" si="906"/>
        <v>0</v>
      </c>
      <c r="AE1845" s="57" t="str">
        <f t="shared" si="907"/>
        <v/>
      </c>
      <c r="AF1845" s="57">
        <f t="shared" si="908"/>
        <v>0</v>
      </c>
      <c r="AG1845" s="59">
        <f t="shared" si="909"/>
        <v>0</v>
      </c>
      <c r="AH1845" s="15"/>
      <c r="AI1845" s="15"/>
      <c r="AJ1845" s="15"/>
      <c r="AK1845" s="15"/>
      <c r="AL1845" s="15"/>
      <c r="AM1845" s="15"/>
      <c r="AN1845" s="15"/>
      <c r="AO1845" s="15"/>
      <c r="AP1845" s="15"/>
      <c r="AQ1845" s="15"/>
      <c r="AR1845" s="15"/>
      <c r="AS1845" s="15"/>
      <c r="AT1845" s="15"/>
      <c r="AU1845" s="15"/>
    </row>
    <row r="1846" ht="24.0" customHeight="1">
      <c r="A1846" s="45">
        <v>3270.0</v>
      </c>
      <c r="B1846" s="57"/>
      <c r="C1846" s="57"/>
      <c r="D1846" s="88" t="str">
        <f t="array" ref="D1846">IFERROR(
  LOOKUP(2, 1/((TRIM(IMS!$E$8:$E$2574)=TRIM(IMS!$E1846))*(IMS!$C$8:$C$2574&lt;IMS!$C1846)),
         IMS!$C$8:$C$2574),
"")</f>
        <v/>
      </c>
      <c r="E1846" s="57"/>
      <c r="F1846" s="57"/>
      <c r="G1846" s="77" t="str">
        <f t="shared" si="901"/>
        <v/>
      </c>
      <c r="H1846" s="78" t="str">
        <f t="shared" si="902"/>
        <v/>
      </c>
      <c r="I1846" s="79"/>
      <c r="J1846" s="80" t="str">
        <f t="shared" si="903"/>
        <v>#NAME?</v>
      </c>
      <c r="K1846" s="58"/>
      <c r="L1846" s="58"/>
      <c r="M1846" s="57"/>
      <c r="N1846" s="57"/>
      <c r="O1846" s="58"/>
      <c r="P1846" s="82"/>
      <c r="Q1846" s="81"/>
      <c r="R1846" s="81"/>
      <c r="S1846" s="57"/>
      <c r="T1846" s="82"/>
      <c r="U1846" s="82"/>
      <c r="V1846" s="57"/>
      <c r="W1846" s="57"/>
      <c r="X1846" s="57" t="str">
        <f t="shared" si="917"/>
        <v/>
      </c>
      <c r="Y1846" s="58" t="str">
        <f t="shared" ref="Y1846:AC1846" si="1686">TRIM(SUBSTITUTE(SUBSTITUTE(OFFSET($Q1846,0,COLUMN()-COLUMN($AL$1)),CHAR(160)," "),_xludf.UNICHAR(8239)," "))</f>
        <v>#NAME?</v>
      </c>
      <c r="Z1846" s="58" t="str">
        <f t="shared" si="1686"/>
        <v>#NAME?</v>
      </c>
      <c r="AA1846" s="58" t="str">
        <f t="shared" si="1686"/>
        <v>#NAME?</v>
      </c>
      <c r="AB1846" s="58" t="str">
        <f t="shared" si="1686"/>
        <v>#NAME?</v>
      </c>
      <c r="AC1846" s="58" t="str">
        <f t="shared" si="1686"/>
        <v>#NAME?</v>
      </c>
      <c r="AD1846" s="57">
        <f t="shared" si="906"/>
        <v>0</v>
      </c>
      <c r="AE1846" s="57" t="str">
        <f t="shared" si="907"/>
        <v/>
      </c>
      <c r="AF1846" s="57">
        <f t="shared" si="908"/>
        <v>0</v>
      </c>
      <c r="AG1846" s="59">
        <f t="shared" si="909"/>
        <v>0</v>
      </c>
      <c r="AH1846" s="15"/>
      <c r="AI1846" s="15"/>
      <c r="AJ1846" s="15"/>
      <c r="AK1846" s="15"/>
      <c r="AL1846" s="15"/>
      <c r="AM1846" s="15"/>
      <c r="AN1846" s="15"/>
      <c r="AO1846" s="15"/>
      <c r="AP1846" s="15"/>
      <c r="AQ1846" s="15"/>
      <c r="AR1846" s="15"/>
      <c r="AS1846" s="15"/>
      <c r="AT1846" s="15"/>
      <c r="AU1846" s="15"/>
    </row>
    <row r="1847" ht="24.0" customHeight="1">
      <c r="A1847" s="45">
        <v>3271.0</v>
      </c>
      <c r="B1847" s="57"/>
      <c r="C1847" s="57"/>
      <c r="D1847" s="88" t="str">
        <f t="array" ref="D1847">IFERROR(
  LOOKUP(2, 1/((TRIM(IMS!$E$8:$E$2574)=TRIM(IMS!$E1847))*(IMS!$C$8:$C$2574&lt;IMS!$C1847)),
         IMS!$C$8:$C$2574),
"")</f>
        <v/>
      </c>
      <c r="E1847" s="57"/>
      <c r="F1847" s="57"/>
      <c r="G1847" s="77" t="str">
        <f t="shared" si="901"/>
        <v/>
      </c>
      <c r="H1847" s="78" t="str">
        <f t="shared" si="902"/>
        <v/>
      </c>
      <c r="I1847" s="79"/>
      <c r="J1847" s="80" t="str">
        <f t="shared" si="903"/>
        <v>#NAME?</v>
      </c>
      <c r="K1847" s="58"/>
      <c r="L1847" s="58"/>
      <c r="M1847" s="57"/>
      <c r="N1847" s="57"/>
      <c r="O1847" s="58"/>
      <c r="P1847" s="82"/>
      <c r="Q1847" s="81"/>
      <c r="R1847" s="81"/>
      <c r="S1847" s="57"/>
      <c r="T1847" s="82"/>
      <c r="U1847" s="82"/>
      <c r="V1847" s="57"/>
      <c r="W1847" s="57"/>
      <c r="X1847" s="57" t="str">
        <f t="shared" si="917"/>
        <v/>
      </c>
      <c r="Y1847" s="58" t="str">
        <f t="shared" ref="Y1847:AC1847" si="1687">TRIM(SUBSTITUTE(SUBSTITUTE(OFFSET($Q1847,0,COLUMN()-COLUMN($AL$1)),CHAR(160)," "),_xludf.UNICHAR(8239)," "))</f>
        <v>#NAME?</v>
      </c>
      <c r="Z1847" s="58" t="str">
        <f t="shared" si="1687"/>
        <v>#NAME?</v>
      </c>
      <c r="AA1847" s="58" t="str">
        <f t="shared" si="1687"/>
        <v>#NAME?</v>
      </c>
      <c r="AB1847" s="58" t="str">
        <f t="shared" si="1687"/>
        <v>#NAME?</v>
      </c>
      <c r="AC1847" s="58" t="str">
        <f t="shared" si="1687"/>
        <v>#NAME?</v>
      </c>
      <c r="AD1847" s="57">
        <f t="shared" si="906"/>
        <v>0</v>
      </c>
      <c r="AE1847" s="57" t="str">
        <f t="shared" si="907"/>
        <v/>
      </c>
      <c r="AF1847" s="57">
        <f t="shared" si="908"/>
        <v>0</v>
      </c>
      <c r="AG1847" s="59">
        <f t="shared" si="909"/>
        <v>0</v>
      </c>
      <c r="AH1847" s="15"/>
      <c r="AI1847" s="15"/>
      <c r="AJ1847" s="15"/>
      <c r="AK1847" s="15"/>
      <c r="AL1847" s="15"/>
      <c r="AM1847" s="15"/>
      <c r="AN1847" s="15"/>
      <c r="AO1847" s="15"/>
      <c r="AP1847" s="15"/>
      <c r="AQ1847" s="15"/>
      <c r="AR1847" s="15"/>
      <c r="AS1847" s="15"/>
      <c r="AT1847" s="15"/>
      <c r="AU1847" s="15"/>
    </row>
    <row r="1848" ht="24.0" customHeight="1">
      <c r="A1848" s="45">
        <v>3272.0</v>
      </c>
      <c r="B1848" s="57"/>
      <c r="C1848" s="57"/>
      <c r="D1848" s="88" t="str">
        <f t="array" ref="D1848">IFERROR(
  LOOKUP(2, 1/((TRIM(IMS!$E$8:$E$2574)=TRIM(IMS!$E1848))*(IMS!$C$8:$C$2574&lt;IMS!$C1848)),
         IMS!$C$8:$C$2574),
"")</f>
        <v/>
      </c>
      <c r="E1848" s="57"/>
      <c r="F1848" s="57"/>
      <c r="G1848" s="77" t="str">
        <f t="shared" si="901"/>
        <v/>
      </c>
      <c r="H1848" s="78" t="str">
        <f t="shared" si="902"/>
        <v/>
      </c>
      <c r="I1848" s="79"/>
      <c r="J1848" s="80" t="str">
        <f t="shared" si="903"/>
        <v>#NAME?</v>
      </c>
      <c r="K1848" s="58"/>
      <c r="L1848" s="58"/>
      <c r="M1848" s="57"/>
      <c r="N1848" s="57"/>
      <c r="O1848" s="58"/>
      <c r="P1848" s="82"/>
      <c r="Q1848" s="81"/>
      <c r="R1848" s="81"/>
      <c r="S1848" s="57"/>
      <c r="T1848" s="82"/>
      <c r="U1848" s="82"/>
      <c r="V1848" s="57"/>
      <c r="W1848" s="57"/>
      <c r="X1848" s="57" t="str">
        <f t="shared" si="917"/>
        <v/>
      </c>
      <c r="Y1848" s="58" t="str">
        <f t="shared" ref="Y1848:AC1848" si="1688">TRIM(SUBSTITUTE(SUBSTITUTE(OFFSET($Q1848,0,COLUMN()-COLUMN($AL$1)),CHAR(160)," "),_xludf.UNICHAR(8239)," "))</f>
        <v>#NAME?</v>
      </c>
      <c r="Z1848" s="58" t="str">
        <f t="shared" si="1688"/>
        <v>#NAME?</v>
      </c>
      <c r="AA1848" s="58" t="str">
        <f t="shared" si="1688"/>
        <v>#NAME?</v>
      </c>
      <c r="AB1848" s="58" t="str">
        <f t="shared" si="1688"/>
        <v>#NAME?</v>
      </c>
      <c r="AC1848" s="58" t="str">
        <f t="shared" si="1688"/>
        <v>#NAME?</v>
      </c>
      <c r="AD1848" s="57">
        <f t="shared" si="906"/>
        <v>0</v>
      </c>
      <c r="AE1848" s="57" t="str">
        <f t="shared" si="907"/>
        <v/>
      </c>
      <c r="AF1848" s="57">
        <f t="shared" si="908"/>
        <v>0</v>
      </c>
      <c r="AG1848" s="59">
        <f t="shared" si="909"/>
        <v>0</v>
      </c>
      <c r="AH1848" s="15"/>
      <c r="AI1848" s="15"/>
      <c r="AJ1848" s="15"/>
      <c r="AK1848" s="15"/>
      <c r="AL1848" s="15"/>
      <c r="AM1848" s="15"/>
      <c r="AN1848" s="15"/>
      <c r="AO1848" s="15"/>
      <c r="AP1848" s="15"/>
      <c r="AQ1848" s="15"/>
      <c r="AR1848" s="15"/>
      <c r="AS1848" s="15"/>
      <c r="AT1848" s="15"/>
      <c r="AU1848" s="15"/>
    </row>
    <row r="1849" ht="24.0" customHeight="1">
      <c r="A1849" s="45">
        <v>3273.0</v>
      </c>
      <c r="B1849" s="57"/>
      <c r="C1849" s="57"/>
      <c r="D1849" s="88" t="str">
        <f t="array" ref="D1849">IFERROR(
  LOOKUP(2, 1/((TRIM(IMS!$E$8:$E$2574)=TRIM(IMS!$E1849))*(IMS!$C$8:$C$2574&lt;IMS!$C1849)),
         IMS!$C$8:$C$2574),
"")</f>
        <v/>
      </c>
      <c r="E1849" s="57"/>
      <c r="F1849" s="57"/>
      <c r="G1849" s="77" t="str">
        <f t="shared" si="901"/>
        <v/>
      </c>
      <c r="H1849" s="78" t="str">
        <f t="shared" si="902"/>
        <v/>
      </c>
      <c r="I1849" s="79"/>
      <c r="J1849" s="80" t="str">
        <f t="shared" si="903"/>
        <v>#NAME?</v>
      </c>
      <c r="K1849" s="58"/>
      <c r="L1849" s="58"/>
      <c r="M1849" s="57"/>
      <c r="N1849" s="57"/>
      <c r="O1849" s="58"/>
      <c r="P1849" s="82"/>
      <c r="Q1849" s="81"/>
      <c r="R1849" s="81"/>
      <c r="S1849" s="57"/>
      <c r="T1849" s="82"/>
      <c r="U1849" s="82"/>
      <c r="V1849" s="57"/>
      <c r="W1849" s="57"/>
      <c r="X1849" s="57" t="str">
        <f t="shared" si="917"/>
        <v/>
      </c>
      <c r="Y1849" s="58" t="str">
        <f t="shared" ref="Y1849:AC1849" si="1689">TRIM(SUBSTITUTE(SUBSTITUTE(OFFSET($Q1849,0,COLUMN()-COLUMN($AL$1)),CHAR(160)," "),_xludf.UNICHAR(8239)," "))</f>
        <v>#NAME?</v>
      </c>
      <c r="Z1849" s="58" t="str">
        <f t="shared" si="1689"/>
        <v>#NAME?</v>
      </c>
      <c r="AA1849" s="58" t="str">
        <f t="shared" si="1689"/>
        <v>#NAME?</v>
      </c>
      <c r="AB1849" s="58" t="str">
        <f t="shared" si="1689"/>
        <v>#NAME?</v>
      </c>
      <c r="AC1849" s="58" t="str">
        <f t="shared" si="1689"/>
        <v>#NAME?</v>
      </c>
      <c r="AD1849" s="57">
        <f t="shared" si="906"/>
        <v>0</v>
      </c>
      <c r="AE1849" s="57" t="str">
        <f t="shared" si="907"/>
        <v/>
      </c>
      <c r="AF1849" s="57">
        <f t="shared" si="908"/>
        <v>0</v>
      </c>
      <c r="AG1849" s="59">
        <f t="shared" si="909"/>
        <v>0</v>
      </c>
      <c r="AH1849" s="15"/>
      <c r="AI1849" s="15"/>
      <c r="AJ1849" s="15"/>
      <c r="AK1849" s="15"/>
      <c r="AL1849" s="15"/>
      <c r="AM1849" s="15"/>
      <c r="AN1849" s="15"/>
      <c r="AO1849" s="15"/>
      <c r="AP1849" s="15"/>
      <c r="AQ1849" s="15"/>
      <c r="AR1849" s="15"/>
      <c r="AS1849" s="15"/>
      <c r="AT1849" s="15"/>
      <c r="AU1849" s="15"/>
    </row>
    <row r="1850" ht="24.0" customHeight="1">
      <c r="A1850" s="45">
        <v>3274.0</v>
      </c>
      <c r="B1850" s="57"/>
      <c r="C1850" s="57"/>
      <c r="D1850" s="88" t="str">
        <f t="array" ref="D1850">IFERROR(
  LOOKUP(2, 1/((TRIM(IMS!$E$8:$E$2574)=TRIM(IMS!$E1850))*(IMS!$C$8:$C$2574&lt;IMS!$C1850)),
         IMS!$C$8:$C$2574),
"")</f>
        <v/>
      </c>
      <c r="E1850" s="57"/>
      <c r="F1850" s="57"/>
      <c r="G1850" s="77" t="str">
        <f t="shared" si="901"/>
        <v/>
      </c>
      <c r="H1850" s="78" t="str">
        <f t="shared" si="902"/>
        <v/>
      </c>
      <c r="I1850" s="79"/>
      <c r="J1850" s="80" t="str">
        <f t="shared" si="903"/>
        <v>#NAME?</v>
      </c>
      <c r="K1850" s="58"/>
      <c r="L1850" s="58"/>
      <c r="M1850" s="57"/>
      <c r="N1850" s="57"/>
      <c r="O1850" s="58"/>
      <c r="P1850" s="82"/>
      <c r="Q1850" s="81"/>
      <c r="R1850" s="81"/>
      <c r="S1850" s="57"/>
      <c r="T1850" s="82"/>
      <c r="U1850" s="82"/>
      <c r="V1850" s="57"/>
      <c r="W1850" s="57"/>
      <c r="X1850" s="57" t="str">
        <f t="shared" si="917"/>
        <v/>
      </c>
      <c r="Y1850" s="58" t="str">
        <f t="shared" ref="Y1850:AC1850" si="1690">TRIM(SUBSTITUTE(SUBSTITUTE(OFFSET($Q1850,0,COLUMN()-COLUMN($AL$1)),CHAR(160)," "),_xludf.UNICHAR(8239)," "))</f>
        <v>#NAME?</v>
      </c>
      <c r="Z1850" s="58" t="str">
        <f t="shared" si="1690"/>
        <v>#NAME?</v>
      </c>
      <c r="AA1850" s="58" t="str">
        <f t="shared" si="1690"/>
        <v>#NAME?</v>
      </c>
      <c r="AB1850" s="58" t="str">
        <f t="shared" si="1690"/>
        <v>#NAME?</v>
      </c>
      <c r="AC1850" s="58" t="str">
        <f t="shared" si="1690"/>
        <v>#NAME?</v>
      </c>
      <c r="AD1850" s="57">
        <f t="shared" si="906"/>
        <v>0</v>
      </c>
      <c r="AE1850" s="57" t="str">
        <f t="shared" si="907"/>
        <v/>
      </c>
      <c r="AF1850" s="57">
        <f t="shared" si="908"/>
        <v>0</v>
      </c>
      <c r="AG1850" s="59">
        <f t="shared" si="909"/>
        <v>0</v>
      </c>
      <c r="AH1850" s="15"/>
      <c r="AI1850" s="15"/>
      <c r="AJ1850" s="15"/>
      <c r="AK1850" s="15"/>
      <c r="AL1850" s="15"/>
      <c r="AM1850" s="15"/>
      <c r="AN1850" s="15"/>
      <c r="AO1850" s="15"/>
      <c r="AP1850" s="15"/>
      <c r="AQ1850" s="15"/>
      <c r="AR1850" s="15"/>
      <c r="AS1850" s="15"/>
      <c r="AT1850" s="15"/>
      <c r="AU1850" s="15"/>
    </row>
    <row r="1851" ht="24.0" customHeight="1">
      <c r="A1851" s="45">
        <v>3275.0</v>
      </c>
      <c r="B1851" s="57"/>
      <c r="C1851" s="57"/>
      <c r="D1851" s="88" t="str">
        <f t="array" ref="D1851">IFERROR(
  LOOKUP(2, 1/((TRIM(IMS!$E$8:$E$2574)=TRIM(IMS!$E1851))*(IMS!$C$8:$C$2574&lt;IMS!$C1851)),
         IMS!$C$8:$C$2574),
"")</f>
        <v/>
      </c>
      <c r="E1851" s="57"/>
      <c r="F1851" s="57"/>
      <c r="G1851" s="77" t="str">
        <f t="shared" si="901"/>
        <v/>
      </c>
      <c r="H1851" s="78" t="str">
        <f t="shared" si="902"/>
        <v/>
      </c>
      <c r="I1851" s="79"/>
      <c r="J1851" s="80" t="str">
        <f t="shared" si="903"/>
        <v>#NAME?</v>
      </c>
      <c r="K1851" s="58"/>
      <c r="L1851" s="58"/>
      <c r="M1851" s="57"/>
      <c r="N1851" s="57"/>
      <c r="O1851" s="58"/>
      <c r="P1851" s="82"/>
      <c r="Q1851" s="81"/>
      <c r="R1851" s="81"/>
      <c r="S1851" s="57"/>
      <c r="T1851" s="82"/>
      <c r="U1851" s="82"/>
      <c r="V1851" s="57"/>
      <c r="W1851" s="57"/>
      <c r="X1851" s="57" t="str">
        <f t="shared" si="917"/>
        <v/>
      </c>
      <c r="Y1851" s="58" t="str">
        <f t="shared" ref="Y1851:AC1851" si="1691">TRIM(SUBSTITUTE(SUBSTITUTE(OFFSET($Q1851,0,COLUMN()-COLUMN($AL$1)),CHAR(160)," "),_xludf.UNICHAR(8239)," "))</f>
        <v>#NAME?</v>
      </c>
      <c r="Z1851" s="58" t="str">
        <f t="shared" si="1691"/>
        <v>#NAME?</v>
      </c>
      <c r="AA1851" s="58" t="str">
        <f t="shared" si="1691"/>
        <v>#NAME?</v>
      </c>
      <c r="AB1851" s="58" t="str">
        <f t="shared" si="1691"/>
        <v>#NAME?</v>
      </c>
      <c r="AC1851" s="58" t="str">
        <f t="shared" si="1691"/>
        <v>#NAME?</v>
      </c>
      <c r="AD1851" s="57">
        <f t="shared" si="906"/>
        <v>0</v>
      </c>
      <c r="AE1851" s="57" t="str">
        <f t="shared" si="907"/>
        <v/>
      </c>
      <c r="AF1851" s="57">
        <f t="shared" si="908"/>
        <v>0</v>
      </c>
      <c r="AG1851" s="59">
        <f t="shared" si="909"/>
        <v>0</v>
      </c>
      <c r="AH1851" s="15"/>
      <c r="AI1851" s="15"/>
      <c r="AJ1851" s="15"/>
      <c r="AK1851" s="15"/>
      <c r="AL1851" s="15"/>
      <c r="AM1851" s="15"/>
      <c r="AN1851" s="15"/>
      <c r="AO1851" s="15"/>
      <c r="AP1851" s="15"/>
      <c r="AQ1851" s="15"/>
      <c r="AR1851" s="15"/>
      <c r="AS1851" s="15"/>
      <c r="AT1851" s="15"/>
      <c r="AU1851" s="15"/>
    </row>
    <row r="1852" ht="24.0" customHeight="1">
      <c r="A1852" s="45">
        <v>3276.0</v>
      </c>
      <c r="B1852" s="57"/>
      <c r="C1852" s="57"/>
      <c r="D1852" s="88" t="str">
        <f t="array" ref="D1852">IFERROR(
  LOOKUP(2, 1/((TRIM(IMS!$E$8:$E$2574)=TRIM(IMS!$E1852))*(IMS!$C$8:$C$2574&lt;IMS!$C1852)),
         IMS!$C$8:$C$2574),
"")</f>
        <v/>
      </c>
      <c r="E1852" s="57"/>
      <c r="F1852" s="57"/>
      <c r="G1852" s="77" t="str">
        <f t="shared" si="901"/>
        <v/>
      </c>
      <c r="H1852" s="78" t="str">
        <f t="shared" si="902"/>
        <v/>
      </c>
      <c r="I1852" s="79"/>
      <c r="J1852" s="80" t="str">
        <f t="shared" si="903"/>
        <v>#NAME?</v>
      </c>
      <c r="K1852" s="58"/>
      <c r="L1852" s="58"/>
      <c r="M1852" s="57"/>
      <c r="N1852" s="57"/>
      <c r="O1852" s="58"/>
      <c r="P1852" s="82"/>
      <c r="Q1852" s="81"/>
      <c r="R1852" s="81"/>
      <c r="S1852" s="57"/>
      <c r="T1852" s="82"/>
      <c r="U1852" s="82"/>
      <c r="V1852" s="57"/>
      <c r="W1852" s="57"/>
      <c r="X1852" s="57" t="str">
        <f t="shared" si="917"/>
        <v/>
      </c>
      <c r="Y1852" s="58" t="str">
        <f t="shared" ref="Y1852:AC1852" si="1692">TRIM(SUBSTITUTE(SUBSTITUTE(OFFSET($Q1852,0,COLUMN()-COLUMN($AL$1)),CHAR(160)," "),_xludf.UNICHAR(8239)," "))</f>
        <v>#NAME?</v>
      </c>
      <c r="Z1852" s="58" t="str">
        <f t="shared" si="1692"/>
        <v>#NAME?</v>
      </c>
      <c r="AA1852" s="58" t="str">
        <f t="shared" si="1692"/>
        <v>#NAME?</v>
      </c>
      <c r="AB1852" s="58" t="str">
        <f t="shared" si="1692"/>
        <v>#NAME?</v>
      </c>
      <c r="AC1852" s="58" t="str">
        <f t="shared" si="1692"/>
        <v>#NAME?</v>
      </c>
      <c r="AD1852" s="57">
        <f t="shared" si="906"/>
        <v>0</v>
      </c>
      <c r="AE1852" s="57" t="str">
        <f t="shared" si="907"/>
        <v/>
      </c>
      <c r="AF1852" s="57">
        <f t="shared" si="908"/>
        <v>0</v>
      </c>
      <c r="AG1852" s="59">
        <f t="shared" si="909"/>
        <v>0</v>
      </c>
      <c r="AH1852" s="15"/>
      <c r="AI1852" s="15"/>
      <c r="AJ1852" s="15"/>
      <c r="AK1852" s="15"/>
      <c r="AL1852" s="15"/>
      <c r="AM1852" s="15"/>
      <c r="AN1852" s="15"/>
      <c r="AO1852" s="15"/>
      <c r="AP1852" s="15"/>
      <c r="AQ1852" s="15"/>
      <c r="AR1852" s="15"/>
      <c r="AS1852" s="15"/>
      <c r="AT1852" s="15"/>
      <c r="AU1852" s="15"/>
    </row>
    <row r="1853" ht="24.0" customHeight="1">
      <c r="A1853" s="45">
        <v>3277.0</v>
      </c>
      <c r="B1853" s="57"/>
      <c r="C1853" s="57"/>
      <c r="D1853" s="88" t="str">
        <f t="array" ref="D1853">IFERROR(
  LOOKUP(2, 1/((TRIM(IMS!$E$8:$E$2574)=TRIM(IMS!$E1853))*(IMS!$C$8:$C$2574&lt;IMS!$C1853)),
         IMS!$C$8:$C$2574),
"")</f>
        <v/>
      </c>
      <c r="E1853" s="57"/>
      <c r="F1853" s="57"/>
      <c r="G1853" s="77" t="str">
        <f t="shared" si="901"/>
        <v/>
      </c>
      <c r="H1853" s="78" t="str">
        <f t="shared" si="902"/>
        <v/>
      </c>
      <c r="I1853" s="79"/>
      <c r="J1853" s="80" t="str">
        <f t="shared" si="903"/>
        <v>#NAME?</v>
      </c>
      <c r="K1853" s="58"/>
      <c r="L1853" s="58"/>
      <c r="M1853" s="57"/>
      <c r="N1853" s="57"/>
      <c r="O1853" s="58"/>
      <c r="P1853" s="82"/>
      <c r="Q1853" s="81"/>
      <c r="R1853" s="81"/>
      <c r="S1853" s="57"/>
      <c r="T1853" s="82"/>
      <c r="U1853" s="82"/>
      <c r="V1853" s="57"/>
      <c r="W1853" s="57"/>
      <c r="X1853" s="57" t="str">
        <f t="shared" si="917"/>
        <v/>
      </c>
      <c r="Y1853" s="58" t="str">
        <f t="shared" ref="Y1853:AC1853" si="1693">TRIM(SUBSTITUTE(SUBSTITUTE(OFFSET($Q1853,0,COLUMN()-COLUMN($AL$1)),CHAR(160)," "),_xludf.UNICHAR(8239)," "))</f>
        <v>#NAME?</v>
      </c>
      <c r="Z1853" s="58" t="str">
        <f t="shared" si="1693"/>
        <v>#NAME?</v>
      </c>
      <c r="AA1853" s="58" t="str">
        <f t="shared" si="1693"/>
        <v>#NAME?</v>
      </c>
      <c r="AB1853" s="58" t="str">
        <f t="shared" si="1693"/>
        <v>#NAME?</v>
      </c>
      <c r="AC1853" s="58" t="str">
        <f t="shared" si="1693"/>
        <v>#NAME?</v>
      </c>
      <c r="AD1853" s="57">
        <f t="shared" si="906"/>
        <v>0</v>
      </c>
      <c r="AE1853" s="57" t="str">
        <f t="shared" si="907"/>
        <v/>
      </c>
      <c r="AF1853" s="57">
        <f t="shared" si="908"/>
        <v>0</v>
      </c>
      <c r="AG1853" s="59">
        <f t="shared" si="909"/>
        <v>0</v>
      </c>
      <c r="AH1853" s="15"/>
      <c r="AI1853" s="15"/>
      <c r="AJ1853" s="15"/>
      <c r="AK1853" s="15"/>
      <c r="AL1853" s="15"/>
      <c r="AM1853" s="15"/>
      <c r="AN1853" s="15"/>
      <c r="AO1853" s="15"/>
      <c r="AP1853" s="15"/>
      <c r="AQ1853" s="15"/>
      <c r="AR1853" s="15"/>
      <c r="AS1853" s="15"/>
      <c r="AT1853" s="15"/>
      <c r="AU1853" s="15"/>
    </row>
    <row r="1854" ht="24.0" customHeight="1">
      <c r="A1854" s="45">
        <v>3278.0</v>
      </c>
      <c r="B1854" s="57"/>
      <c r="C1854" s="57"/>
      <c r="D1854" s="88" t="str">
        <f t="array" ref="D1854">IFERROR(
  LOOKUP(2, 1/((TRIM(IMS!$E$8:$E$2574)=TRIM(IMS!$E1854))*(IMS!$C$8:$C$2574&lt;IMS!$C1854)),
         IMS!$C$8:$C$2574),
"")</f>
        <v/>
      </c>
      <c r="E1854" s="57"/>
      <c r="F1854" s="57"/>
      <c r="G1854" s="77" t="str">
        <f t="shared" si="901"/>
        <v/>
      </c>
      <c r="H1854" s="78" t="str">
        <f t="shared" si="902"/>
        <v/>
      </c>
      <c r="I1854" s="79"/>
      <c r="J1854" s="80" t="str">
        <f t="shared" si="903"/>
        <v>#NAME?</v>
      </c>
      <c r="K1854" s="58"/>
      <c r="L1854" s="58"/>
      <c r="M1854" s="57"/>
      <c r="N1854" s="57"/>
      <c r="O1854" s="58"/>
      <c r="P1854" s="82"/>
      <c r="Q1854" s="81"/>
      <c r="R1854" s="81"/>
      <c r="S1854" s="57"/>
      <c r="T1854" s="82"/>
      <c r="U1854" s="82"/>
      <c r="V1854" s="57"/>
      <c r="W1854" s="57"/>
      <c r="X1854" s="57" t="str">
        <f t="shared" si="917"/>
        <v/>
      </c>
      <c r="Y1854" s="58" t="str">
        <f t="shared" ref="Y1854:AC1854" si="1694">TRIM(SUBSTITUTE(SUBSTITUTE(OFFSET($Q1854,0,COLUMN()-COLUMN($AL$1)),CHAR(160)," "),_xludf.UNICHAR(8239)," "))</f>
        <v>#NAME?</v>
      </c>
      <c r="Z1854" s="58" t="str">
        <f t="shared" si="1694"/>
        <v>#NAME?</v>
      </c>
      <c r="AA1854" s="58" t="str">
        <f t="shared" si="1694"/>
        <v>#NAME?</v>
      </c>
      <c r="AB1854" s="58" t="str">
        <f t="shared" si="1694"/>
        <v>#NAME?</v>
      </c>
      <c r="AC1854" s="58" t="str">
        <f t="shared" si="1694"/>
        <v>#NAME?</v>
      </c>
      <c r="AD1854" s="57">
        <f t="shared" si="906"/>
        <v>0</v>
      </c>
      <c r="AE1854" s="57" t="str">
        <f t="shared" si="907"/>
        <v/>
      </c>
      <c r="AF1854" s="57">
        <f t="shared" si="908"/>
        <v>0</v>
      </c>
      <c r="AG1854" s="59">
        <f t="shared" si="909"/>
        <v>0</v>
      </c>
      <c r="AH1854" s="15"/>
      <c r="AI1854" s="15"/>
      <c r="AJ1854" s="15"/>
      <c r="AK1854" s="15"/>
      <c r="AL1854" s="15"/>
      <c r="AM1854" s="15"/>
      <c r="AN1854" s="15"/>
      <c r="AO1854" s="15"/>
      <c r="AP1854" s="15"/>
      <c r="AQ1854" s="15"/>
      <c r="AR1854" s="15"/>
      <c r="AS1854" s="15"/>
      <c r="AT1854" s="15"/>
      <c r="AU1854" s="15"/>
    </row>
    <row r="1855" ht="24.0" customHeight="1">
      <c r="A1855" s="45">
        <v>3279.0</v>
      </c>
      <c r="B1855" s="57"/>
      <c r="C1855" s="57"/>
      <c r="D1855" s="88" t="str">
        <f t="array" ref="D1855">IFERROR(
  LOOKUP(2, 1/((TRIM(IMS!$E$8:$E$2574)=TRIM(IMS!$E1855))*(IMS!$C$8:$C$2574&lt;IMS!$C1855)),
         IMS!$C$8:$C$2574),
"")</f>
        <v/>
      </c>
      <c r="E1855" s="57"/>
      <c r="F1855" s="57"/>
      <c r="G1855" s="77" t="str">
        <f t="shared" si="901"/>
        <v/>
      </c>
      <c r="H1855" s="78" t="str">
        <f t="shared" si="902"/>
        <v/>
      </c>
      <c r="I1855" s="79"/>
      <c r="J1855" s="80" t="str">
        <f t="shared" si="903"/>
        <v>#NAME?</v>
      </c>
      <c r="K1855" s="58"/>
      <c r="L1855" s="58"/>
      <c r="M1855" s="57"/>
      <c r="N1855" s="57"/>
      <c r="O1855" s="58"/>
      <c r="P1855" s="82"/>
      <c r="Q1855" s="81"/>
      <c r="R1855" s="81"/>
      <c r="S1855" s="57"/>
      <c r="T1855" s="82"/>
      <c r="U1855" s="82"/>
      <c r="V1855" s="57"/>
      <c r="W1855" s="57"/>
      <c r="X1855" s="57" t="str">
        <f t="shared" si="917"/>
        <v/>
      </c>
      <c r="Y1855" s="58" t="str">
        <f t="shared" ref="Y1855:AC1855" si="1695">TRIM(SUBSTITUTE(SUBSTITUTE(OFFSET($Q1855,0,COLUMN()-COLUMN($AL$1)),CHAR(160)," "),_xludf.UNICHAR(8239)," "))</f>
        <v>#NAME?</v>
      </c>
      <c r="Z1855" s="58" t="str">
        <f t="shared" si="1695"/>
        <v>#NAME?</v>
      </c>
      <c r="AA1855" s="58" t="str">
        <f t="shared" si="1695"/>
        <v>#NAME?</v>
      </c>
      <c r="AB1855" s="58" t="str">
        <f t="shared" si="1695"/>
        <v>#NAME?</v>
      </c>
      <c r="AC1855" s="58" t="str">
        <f t="shared" si="1695"/>
        <v>#NAME?</v>
      </c>
      <c r="AD1855" s="57">
        <f t="shared" si="906"/>
        <v>0</v>
      </c>
      <c r="AE1855" s="57" t="str">
        <f t="shared" si="907"/>
        <v/>
      </c>
      <c r="AF1855" s="57">
        <f t="shared" si="908"/>
        <v>0</v>
      </c>
      <c r="AG1855" s="59">
        <f t="shared" si="909"/>
        <v>0</v>
      </c>
      <c r="AH1855" s="15"/>
      <c r="AI1855" s="15"/>
      <c r="AJ1855" s="15"/>
      <c r="AK1855" s="15"/>
      <c r="AL1855" s="15"/>
      <c r="AM1855" s="15"/>
      <c r="AN1855" s="15"/>
      <c r="AO1855" s="15"/>
      <c r="AP1855" s="15"/>
      <c r="AQ1855" s="15"/>
      <c r="AR1855" s="15"/>
      <c r="AS1855" s="15"/>
      <c r="AT1855" s="15"/>
      <c r="AU1855" s="15"/>
    </row>
    <row r="1856" ht="24.0" customHeight="1">
      <c r="A1856" s="45">
        <v>3280.0</v>
      </c>
      <c r="B1856" s="57"/>
      <c r="C1856" s="57"/>
      <c r="D1856" s="88" t="str">
        <f t="array" ref="D1856">IFERROR(
  LOOKUP(2, 1/((TRIM(IMS!$E$8:$E$2574)=TRIM(IMS!$E1856))*(IMS!$C$8:$C$2574&lt;IMS!$C1856)),
         IMS!$C$8:$C$2574),
"")</f>
        <v/>
      </c>
      <c r="E1856" s="57"/>
      <c r="F1856" s="57"/>
      <c r="G1856" s="77" t="str">
        <f t="shared" si="901"/>
        <v/>
      </c>
      <c r="H1856" s="78" t="str">
        <f t="shared" si="902"/>
        <v/>
      </c>
      <c r="I1856" s="79"/>
      <c r="J1856" s="80" t="str">
        <f t="shared" si="903"/>
        <v>#NAME?</v>
      </c>
      <c r="K1856" s="58"/>
      <c r="L1856" s="58"/>
      <c r="M1856" s="57"/>
      <c r="N1856" s="57"/>
      <c r="O1856" s="58"/>
      <c r="P1856" s="82"/>
      <c r="Q1856" s="81"/>
      <c r="R1856" s="81"/>
      <c r="S1856" s="57"/>
      <c r="T1856" s="82"/>
      <c r="U1856" s="82"/>
      <c r="V1856" s="57"/>
      <c r="W1856" s="57"/>
      <c r="X1856" s="57" t="str">
        <f t="shared" si="917"/>
        <v/>
      </c>
      <c r="Y1856" s="58" t="str">
        <f t="shared" ref="Y1856:AC1856" si="1696">TRIM(SUBSTITUTE(SUBSTITUTE(OFFSET($Q1856,0,COLUMN()-COLUMN($AL$1)),CHAR(160)," "),_xludf.UNICHAR(8239)," "))</f>
        <v>#NAME?</v>
      </c>
      <c r="Z1856" s="58" t="str">
        <f t="shared" si="1696"/>
        <v>#NAME?</v>
      </c>
      <c r="AA1856" s="58" t="str">
        <f t="shared" si="1696"/>
        <v>#NAME?</v>
      </c>
      <c r="AB1856" s="58" t="str">
        <f t="shared" si="1696"/>
        <v>#NAME?</v>
      </c>
      <c r="AC1856" s="58" t="str">
        <f t="shared" si="1696"/>
        <v>#NAME?</v>
      </c>
      <c r="AD1856" s="57">
        <f t="shared" si="906"/>
        <v>0</v>
      </c>
      <c r="AE1856" s="57" t="str">
        <f t="shared" si="907"/>
        <v/>
      </c>
      <c r="AF1856" s="57">
        <f t="shared" si="908"/>
        <v>0</v>
      </c>
      <c r="AG1856" s="59">
        <f t="shared" si="909"/>
        <v>0</v>
      </c>
      <c r="AH1856" s="15"/>
      <c r="AI1856" s="15"/>
      <c r="AJ1856" s="15"/>
      <c r="AK1856" s="15"/>
      <c r="AL1856" s="15"/>
      <c r="AM1856" s="15"/>
      <c r="AN1856" s="15"/>
      <c r="AO1856" s="15"/>
      <c r="AP1856" s="15"/>
      <c r="AQ1856" s="15"/>
      <c r="AR1856" s="15"/>
      <c r="AS1856" s="15"/>
      <c r="AT1856" s="15"/>
      <c r="AU1856" s="15"/>
    </row>
    <row r="1857" ht="24.0" customHeight="1">
      <c r="A1857" s="45">
        <v>3281.0</v>
      </c>
      <c r="B1857" s="57"/>
      <c r="C1857" s="57"/>
      <c r="D1857" s="88" t="str">
        <f t="array" ref="D1857">IFERROR(
  LOOKUP(2, 1/((TRIM(IMS!$E$8:$E$2574)=TRIM(IMS!$E1857))*(IMS!$C$8:$C$2574&lt;IMS!$C1857)),
         IMS!$C$8:$C$2574),
"")</f>
        <v/>
      </c>
      <c r="E1857" s="57"/>
      <c r="F1857" s="57"/>
      <c r="G1857" s="77" t="str">
        <f t="shared" si="901"/>
        <v/>
      </c>
      <c r="H1857" s="78" t="str">
        <f t="shared" si="902"/>
        <v/>
      </c>
      <c r="I1857" s="79"/>
      <c r="J1857" s="80" t="str">
        <f t="shared" si="903"/>
        <v>#NAME?</v>
      </c>
      <c r="K1857" s="58"/>
      <c r="L1857" s="58"/>
      <c r="M1857" s="57"/>
      <c r="N1857" s="57"/>
      <c r="O1857" s="58"/>
      <c r="P1857" s="82"/>
      <c r="Q1857" s="81"/>
      <c r="R1857" s="81"/>
      <c r="S1857" s="57"/>
      <c r="T1857" s="82"/>
      <c r="U1857" s="82"/>
      <c r="V1857" s="57"/>
      <c r="W1857" s="57"/>
      <c r="X1857" s="57" t="str">
        <f t="shared" si="917"/>
        <v/>
      </c>
      <c r="Y1857" s="58" t="str">
        <f t="shared" ref="Y1857:AC1857" si="1697">TRIM(SUBSTITUTE(SUBSTITUTE(OFFSET($Q1857,0,COLUMN()-COLUMN($AL$1)),CHAR(160)," "),_xludf.UNICHAR(8239)," "))</f>
        <v>#NAME?</v>
      </c>
      <c r="Z1857" s="58" t="str">
        <f t="shared" si="1697"/>
        <v>#NAME?</v>
      </c>
      <c r="AA1857" s="58" t="str">
        <f t="shared" si="1697"/>
        <v>#NAME?</v>
      </c>
      <c r="AB1857" s="58" t="str">
        <f t="shared" si="1697"/>
        <v>#NAME?</v>
      </c>
      <c r="AC1857" s="58" t="str">
        <f t="shared" si="1697"/>
        <v>#NAME?</v>
      </c>
      <c r="AD1857" s="57">
        <f t="shared" si="906"/>
        <v>0</v>
      </c>
      <c r="AE1857" s="57" t="str">
        <f t="shared" si="907"/>
        <v/>
      </c>
      <c r="AF1857" s="57">
        <f t="shared" si="908"/>
        <v>0</v>
      </c>
      <c r="AG1857" s="59">
        <f t="shared" si="909"/>
        <v>0</v>
      </c>
      <c r="AH1857" s="15"/>
      <c r="AI1857" s="15"/>
      <c r="AJ1857" s="15"/>
      <c r="AK1857" s="15"/>
      <c r="AL1857" s="15"/>
      <c r="AM1857" s="15"/>
      <c r="AN1857" s="15"/>
      <c r="AO1857" s="15"/>
      <c r="AP1857" s="15"/>
      <c r="AQ1857" s="15"/>
      <c r="AR1857" s="15"/>
      <c r="AS1857" s="15"/>
      <c r="AT1857" s="15"/>
      <c r="AU1857" s="15"/>
    </row>
    <row r="1858" ht="24.0" customHeight="1">
      <c r="A1858" s="45">
        <v>3282.0</v>
      </c>
      <c r="B1858" s="57"/>
      <c r="C1858" s="57"/>
      <c r="D1858" s="88" t="str">
        <f t="array" ref="D1858">IFERROR(
  LOOKUP(2, 1/((TRIM(IMS!$E$8:$E$2574)=TRIM(IMS!$E1858))*(IMS!$C$8:$C$2574&lt;IMS!$C1858)),
         IMS!$C$8:$C$2574),
"")</f>
        <v/>
      </c>
      <c r="E1858" s="57"/>
      <c r="F1858" s="57"/>
      <c r="G1858" s="77" t="str">
        <f t="shared" si="901"/>
        <v/>
      </c>
      <c r="H1858" s="78" t="str">
        <f t="shared" si="902"/>
        <v/>
      </c>
      <c r="I1858" s="79"/>
      <c r="J1858" s="80" t="str">
        <f t="shared" si="903"/>
        <v>#NAME?</v>
      </c>
      <c r="K1858" s="58"/>
      <c r="L1858" s="58"/>
      <c r="M1858" s="57"/>
      <c r="N1858" s="57"/>
      <c r="O1858" s="58"/>
      <c r="P1858" s="82"/>
      <c r="Q1858" s="81"/>
      <c r="R1858" s="81"/>
      <c r="S1858" s="57"/>
      <c r="T1858" s="82"/>
      <c r="U1858" s="82"/>
      <c r="V1858" s="57"/>
      <c r="W1858" s="57"/>
      <c r="X1858" s="57" t="str">
        <f t="shared" si="917"/>
        <v/>
      </c>
      <c r="Y1858" s="58" t="str">
        <f t="shared" ref="Y1858:AC1858" si="1698">TRIM(SUBSTITUTE(SUBSTITUTE(OFFSET($Q1858,0,COLUMN()-COLUMN($AL$1)),CHAR(160)," "),_xludf.UNICHAR(8239)," "))</f>
        <v>#NAME?</v>
      </c>
      <c r="Z1858" s="58" t="str">
        <f t="shared" si="1698"/>
        <v>#NAME?</v>
      </c>
      <c r="AA1858" s="58" t="str">
        <f t="shared" si="1698"/>
        <v>#NAME?</v>
      </c>
      <c r="AB1858" s="58" t="str">
        <f t="shared" si="1698"/>
        <v>#NAME?</v>
      </c>
      <c r="AC1858" s="58" t="str">
        <f t="shared" si="1698"/>
        <v>#NAME?</v>
      </c>
      <c r="AD1858" s="57">
        <f t="shared" si="906"/>
        <v>0</v>
      </c>
      <c r="AE1858" s="57" t="str">
        <f t="shared" si="907"/>
        <v/>
      </c>
      <c r="AF1858" s="57">
        <f t="shared" si="908"/>
        <v>0</v>
      </c>
      <c r="AG1858" s="59">
        <f t="shared" si="909"/>
        <v>0</v>
      </c>
      <c r="AH1858" s="15"/>
      <c r="AI1858" s="15"/>
      <c r="AJ1858" s="15"/>
      <c r="AK1858" s="15"/>
      <c r="AL1858" s="15"/>
      <c r="AM1858" s="15"/>
      <c r="AN1858" s="15"/>
      <c r="AO1858" s="15"/>
      <c r="AP1858" s="15"/>
      <c r="AQ1858" s="15"/>
      <c r="AR1858" s="15"/>
      <c r="AS1858" s="15"/>
      <c r="AT1858" s="15"/>
      <c r="AU1858" s="15"/>
    </row>
    <row r="1859" ht="24.0" customHeight="1">
      <c r="A1859" s="45">
        <v>3283.0</v>
      </c>
      <c r="B1859" s="57"/>
      <c r="C1859" s="57"/>
      <c r="D1859" s="88" t="str">
        <f t="array" ref="D1859">IFERROR(
  LOOKUP(2, 1/((TRIM(IMS!$E$8:$E$2574)=TRIM(IMS!$E1859))*(IMS!$C$8:$C$2574&lt;IMS!$C1859)),
         IMS!$C$8:$C$2574),
"")</f>
        <v/>
      </c>
      <c r="E1859" s="57"/>
      <c r="F1859" s="57"/>
      <c r="G1859" s="77" t="str">
        <f t="shared" si="901"/>
        <v/>
      </c>
      <c r="H1859" s="78" t="str">
        <f t="shared" si="902"/>
        <v/>
      </c>
      <c r="I1859" s="79"/>
      <c r="J1859" s="80" t="str">
        <f t="shared" si="903"/>
        <v>#NAME?</v>
      </c>
      <c r="K1859" s="58"/>
      <c r="L1859" s="58"/>
      <c r="M1859" s="57"/>
      <c r="N1859" s="57"/>
      <c r="O1859" s="58"/>
      <c r="P1859" s="82"/>
      <c r="Q1859" s="81"/>
      <c r="R1859" s="81"/>
      <c r="S1859" s="57"/>
      <c r="T1859" s="82"/>
      <c r="U1859" s="82"/>
      <c r="V1859" s="57"/>
      <c r="W1859" s="57"/>
      <c r="X1859" s="57" t="str">
        <f t="shared" si="917"/>
        <v/>
      </c>
      <c r="Y1859" s="58" t="str">
        <f t="shared" ref="Y1859:AC1859" si="1699">TRIM(SUBSTITUTE(SUBSTITUTE(OFFSET($Q1859,0,COLUMN()-COLUMN($AL$1)),CHAR(160)," "),_xludf.UNICHAR(8239)," "))</f>
        <v>#NAME?</v>
      </c>
      <c r="Z1859" s="58" t="str">
        <f t="shared" si="1699"/>
        <v>#NAME?</v>
      </c>
      <c r="AA1859" s="58" t="str">
        <f t="shared" si="1699"/>
        <v>#NAME?</v>
      </c>
      <c r="AB1859" s="58" t="str">
        <f t="shared" si="1699"/>
        <v>#NAME?</v>
      </c>
      <c r="AC1859" s="58" t="str">
        <f t="shared" si="1699"/>
        <v>#NAME?</v>
      </c>
      <c r="AD1859" s="57">
        <f t="shared" si="906"/>
        <v>0</v>
      </c>
      <c r="AE1859" s="57" t="str">
        <f t="shared" si="907"/>
        <v/>
      </c>
      <c r="AF1859" s="57">
        <f t="shared" si="908"/>
        <v>0</v>
      </c>
      <c r="AG1859" s="59">
        <f t="shared" si="909"/>
        <v>0</v>
      </c>
      <c r="AH1859" s="15"/>
      <c r="AI1859" s="15"/>
      <c r="AJ1859" s="15"/>
      <c r="AK1859" s="15"/>
      <c r="AL1859" s="15"/>
      <c r="AM1859" s="15"/>
      <c r="AN1859" s="15"/>
      <c r="AO1859" s="15"/>
      <c r="AP1859" s="15"/>
      <c r="AQ1859" s="15"/>
      <c r="AR1859" s="15"/>
      <c r="AS1859" s="15"/>
      <c r="AT1859" s="15"/>
      <c r="AU1859" s="15"/>
    </row>
    <row r="1860" ht="24.0" customHeight="1">
      <c r="A1860" s="45">
        <v>3284.0</v>
      </c>
      <c r="B1860" s="57"/>
      <c r="C1860" s="57"/>
      <c r="D1860" s="88" t="str">
        <f t="array" ref="D1860">IFERROR(
  LOOKUP(2, 1/((TRIM(IMS!$E$8:$E$2574)=TRIM(IMS!$E1860))*(IMS!$C$8:$C$2574&lt;IMS!$C1860)),
         IMS!$C$8:$C$2574),
"")</f>
        <v/>
      </c>
      <c r="E1860" s="57"/>
      <c r="F1860" s="57"/>
      <c r="G1860" s="77" t="str">
        <f t="shared" si="901"/>
        <v/>
      </c>
      <c r="H1860" s="78" t="str">
        <f t="shared" si="902"/>
        <v/>
      </c>
      <c r="I1860" s="79"/>
      <c r="J1860" s="80" t="str">
        <f t="shared" si="903"/>
        <v>#NAME?</v>
      </c>
      <c r="K1860" s="58"/>
      <c r="L1860" s="58"/>
      <c r="M1860" s="57"/>
      <c r="N1860" s="57"/>
      <c r="O1860" s="58"/>
      <c r="P1860" s="82"/>
      <c r="Q1860" s="81"/>
      <c r="R1860" s="81"/>
      <c r="S1860" s="57"/>
      <c r="T1860" s="82"/>
      <c r="U1860" s="82"/>
      <c r="V1860" s="57"/>
      <c r="W1860" s="57"/>
      <c r="X1860" s="57" t="str">
        <f t="shared" si="917"/>
        <v/>
      </c>
      <c r="Y1860" s="58" t="str">
        <f t="shared" ref="Y1860:AC1860" si="1700">TRIM(SUBSTITUTE(SUBSTITUTE(OFFSET($Q1860,0,COLUMN()-COLUMN($AL$1)),CHAR(160)," "),_xludf.UNICHAR(8239)," "))</f>
        <v>#NAME?</v>
      </c>
      <c r="Z1860" s="58" t="str">
        <f t="shared" si="1700"/>
        <v>#NAME?</v>
      </c>
      <c r="AA1860" s="58" t="str">
        <f t="shared" si="1700"/>
        <v>#NAME?</v>
      </c>
      <c r="AB1860" s="58" t="str">
        <f t="shared" si="1700"/>
        <v>#NAME?</v>
      </c>
      <c r="AC1860" s="58" t="str">
        <f t="shared" si="1700"/>
        <v>#NAME?</v>
      </c>
      <c r="AD1860" s="57">
        <f t="shared" si="906"/>
        <v>0</v>
      </c>
      <c r="AE1860" s="57" t="str">
        <f t="shared" si="907"/>
        <v/>
      </c>
      <c r="AF1860" s="57">
        <f t="shared" si="908"/>
        <v>0</v>
      </c>
      <c r="AG1860" s="59">
        <f t="shared" si="909"/>
        <v>0</v>
      </c>
      <c r="AH1860" s="15"/>
      <c r="AI1860" s="15"/>
      <c r="AJ1860" s="15"/>
      <c r="AK1860" s="15"/>
      <c r="AL1860" s="15"/>
      <c r="AM1860" s="15"/>
      <c r="AN1860" s="15"/>
      <c r="AO1860" s="15"/>
      <c r="AP1860" s="15"/>
      <c r="AQ1860" s="15"/>
      <c r="AR1860" s="15"/>
      <c r="AS1860" s="15"/>
      <c r="AT1860" s="15"/>
      <c r="AU1860" s="15"/>
    </row>
    <row r="1861" ht="24.0" customHeight="1">
      <c r="A1861" s="45">
        <v>3285.0</v>
      </c>
      <c r="B1861" s="57"/>
      <c r="C1861" s="57"/>
      <c r="D1861" s="88" t="str">
        <f t="array" ref="D1861">IFERROR(
  LOOKUP(2, 1/((TRIM(IMS!$E$8:$E$2574)=TRIM(IMS!$E1861))*(IMS!$C$8:$C$2574&lt;IMS!$C1861)),
         IMS!$C$8:$C$2574),
"")</f>
        <v/>
      </c>
      <c r="E1861" s="57"/>
      <c r="F1861" s="57"/>
      <c r="G1861" s="77" t="str">
        <f t="shared" si="901"/>
        <v/>
      </c>
      <c r="H1861" s="78" t="str">
        <f t="shared" si="902"/>
        <v/>
      </c>
      <c r="I1861" s="79"/>
      <c r="J1861" s="80" t="str">
        <f t="shared" si="903"/>
        <v>#NAME?</v>
      </c>
      <c r="K1861" s="58"/>
      <c r="L1861" s="58"/>
      <c r="M1861" s="57"/>
      <c r="N1861" s="57"/>
      <c r="O1861" s="58"/>
      <c r="P1861" s="82"/>
      <c r="Q1861" s="81"/>
      <c r="R1861" s="81"/>
      <c r="S1861" s="57"/>
      <c r="T1861" s="82"/>
      <c r="U1861" s="82"/>
      <c r="V1861" s="57"/>
      <c r="W1861" s="57"/>
      <c r="X1861" s="57" t="str">
        <f t="shared" si="917"/>
        <v/>
      </c>
      <c r="Y1861" s="58" t="str">
        <f t="shared" ref="Y1861:AC1861" si="1701">TRIM(SUBSTITUTE(SUBSTITUTE(OFFSET($Q1861,0,COLUMN()-COLUMN($AL$1)),CHAR(160)," "),_xludf.UNICHAR(8239)," "))</f>
        <v>#NAME?</v>
      </c>
      <c r="Z1861" s="58" t="str">
        <f t="shared" si="1701"/>
        <v>#NAME?</v>
      </c>
      <c r="AA1861" s="58" t="str">
        <f t="shared" si="1701"/>
        <v>#NAME?</v>
      </c>
      <c r="AB1861" s="58" t="str">
        <f t="shared" si="1701"/>
        <v>#NAME?</v>
      </c>
      <c r="AC1861" s="58" t="str">
        <f t="shared" si="1701"/>
        <v>#NAME?</v>
      </c>
      <c r="AD1861" s="57">
        <f t="shared" si="906"/>
        <v>0</v>
      </c>
      <c r="AE1861" s="57" t="str">
        <f t="shared" si="907"/>
        <v/>
      </c>
      <c r="AF1861" s="57">
        <f t="shared" si="908"/>
        <v>0</v>
      </c>
      <c r="AG1861" s="59">
        <f t="shared" si="909"/>
        <v>0</v>
      </c>
      <c r="AH1861" s="15"/>
      <c r="AI1861" s="15"/>
      <c r="AJ1861" s="15"/>
      <c r="AK1861" s="15"/>
      <c r="AL1861" s="15"/>
      <c r="AM1861" s="15"/>
      <c r="AN1861" s="15"/>
      <c r="AO1861" s="15"/>
      <c r="AP1861" s="15"/>
      <c r="AQ1861" s="15"/>
      <c r="AR1861" s="15"/>
      <c r="AS1861" s="15"/>
      <c r="AT1861" s="15"/>
      <c r="AU1861" s="15"/>
    </row>
    <row r="1862" ht="24.0" customHeight="1">
      <c r="A1862" s="45">
        <v>3286.0</v>
      </c>
      <c r="B1862" s="57"/>
      <c r="C1862" s="57"/>
      <c r="D1862" s="88" t="str">
        <f t="array" ref="D1862">IFERROR(
  LOOKUP(2, 1/((TRIM(IMS!$E$8:$E$2574)=TRIM(IMS!$E1862))*(IMS!$C$8:$C$2574&lt;IMS!$C1862)),
         IMS!$C$8:$C$2574),
"")</f>
        <v/>
      </c>
      <c r="E1862" s="57"/>
      <c r="F1862" s="57"/>
      <c r="G1862" s="77" t="str">
        <f t="shared" si="901"/>
        <v/>
      </c>
      <c r="H1862" s="78" t="str">
        <f t="shared" si="902"/>
        <v/>
      </c>
      <c r="I1862" s="79"/>
      <c r="J1862" s="80" t="str">
        <f t="shared" si="903"/>
        <v>#NAME?</v>
      </c>
      <c r="K1862" s="58"/>
      <c r="L1862" s="58"/>
      <c r="M1862" s="57"/>
      <c r="N1862" s="57"/>
      <c r="O1862" s="58"/>
      <c r="P1862" s="82"/>
      <c r="Q1862" s="81"/>
      <c r="R1862" s="81"/>
      <c r="S1862" s="57"/>
      <c r="T1862" s="82"/>
      <c r="U1862" s="82"/>
      <c r="V1862" s="57"/>
      <c r="W1862" s="57"/>
      <c r="X1862" s="57" t="str">
        <f t="shared" si="917"/>
        <v/>
      </c>
      <c r="Y1862" s="58" t="str">
        <f t="shared" ref="Y1862:AC1862" si="1702">TRIM(SUBSTITUTE(SUBSTITUTE(OFFSET($Q1862,0,COLUMN()-COLUMN($AL$1)),CHAR(160)," "),_xludf.UNICHAR(8239)," "))</f>
        <v>#NAME?</v>
      </c>
      <c r="Z1862" s="58" t="str">
        <f t="shared" si="1702"/>
        <v>#NAME?</v>
      </c>
      <c r="AA1862" s="58" t="str">
        <f t="shared" si="1702"/>
        <v>#NAME?</v>
      </c>
      <c r="AB1862" s="58" t="str">
        <f t="shared" si="1702"/>
        <v>#NAME?</v>
      </c>
      <c r="AC1862" s="58" t="str">
        <f t="shared" si="1702"/>
        <v>#NAME?</v>
      </c>
      <c r="AD1862" s="57">
        <f t="shared" si="906"/>
        <v>0</v>
      </c>
      <c r="AE1862" s="57" t="str">
        <f t="shared" si="907"/>
        <v/>
      </c>
      <c r="AF1862" s="57">
        <f t="shared" si="908"/>
        <v>0</v>
      </c>
      <c r="AG1862" s="59">
        <f t="shared" si="909"/>
        <v>0</v>
      </c>
      <c r="AH1862" s="15"/>
      <c r="AI1862" s="15"/>
      <c r="AJ1862" s="15"/>
      <c r="AK1862" s="15"/>
      <c r="AL1862" s="15"/>
      <c r="AM1862" s="15"/>
      <c r="AN1862" s="15"/>
      <c r="AO1862" s="15"/>
      <c r="AP1862" s="15"/>
      <c r="AQ1862" s="15"/>
      <c r="AR1862" s="15"/>
      <c r="AS1862" s="15"/>
      <c r="AT1862" s="15"/>
      <c r="AU1862" s="15"/>
    </row>
    <row r="1863" ht="24.0" customHeight="1">
      <c r="A1863" s="45">
        <v>3287.0</v>
      </c>
      <c r="B1863" s="57"/>
      <c r="C1863" s="57"/>
      <c r="D1863" s="88" t="str">
        <f t="array" ref="D1863">IFERROR(
  LOOKUP(2, 1/((TRIM(IMS!$E$8:$E$2574)=TRIM(IMS!$E1863))*(IMS!$C$8:$C$2574&lt;IMS!$C1863)),
         IMS!$C$8:$C$2574),
"")</f>
        <v/>
      </c>
      <c r="E1863" s="57"/>
      <c r="F1863" s="57"/>
      <c r="G1863" s="77" t="str">
        <f t="shared" si="901"/>
        <v/>
      </c>
      <c r="H1863" s="78" t="str">
        <f t="shared" si="902"/>
        <v/>
      </c>
      <c r="I1863" s="79"/>
      <c r="J1863" s="80" t="str">
        <f t="shared" si="903"/>
        <v>#NAME?</v>
      </c>
      <c r="K1863" s="58"/>
      <c r="L1863" s="58"/>
      <c r="M1863" s="57"/>
      <c r="N1863" s="57"/>
      <c r="O1863" s="58"/>
      <c r="P1863" s="82"/>
      <c r="Q1863" s="81"/>
      <c r="R1863" s="81"/>
      <c r="S1863" s="57"/>
      <c r="T1863" s="82"/>
      <c r="U1863" s="82"/>
      <c r="V1863" s="57"/>
      <c r="W1863" s="57"/>
      <c r="X1863" s="57" t="str">
        <f t="shared" si="917"/>
        <v/>
      </c>
      <c r="Y1863" s="58" t="str">
        <f t="shared" ref="Y1863:AC1863" si="1703">TRIM(SUBSTITUTE(SUBSTITUTE(OFFSET($Q1863,0,COLUMN()-COLUMN($AL$1)),CHAR(160)," "),_xludf.UNICHAR(8239)," "))</f>
        <v>#NAME?</v>
      </c>
      <c r="Z1863" s="58" t="str">
        <f t="shared" si="1703"/>
        <v>#NAME?</v>
      </c>
      <c r="AA1863" s="58" t="str">
        <f t="shared" si="1703"/>
        <v>#NAME?</v>
      </c>
      <c r="AB1863" s="58" t="str">
        <f t="shared" si="1703"/>
        <v>#NAME?</v>
      </c>
      <c r="AC1863" s="58" t="str">
        <f t="shared" si="1703"/>
        <v>#NAME?</v>
      </c>
      <c r="AD1863" s="57">
        <f t="shared" si="906"/>
        <v>0</v>
      </c>
      <c r="AE1863" s="57" t="str">
        <f t="shared" si="907"/>
        <v/>
      </c>
      <c r="AF1863" s="57">
        <f t="shared" si="908"/>
        <v>0</v>
      </c>
      <c r="AG1863" s="59">
        <f t="shared" si="909"/>
        <v>0</v>
      </c>
      <c r="AH1863" s="15"/>
      <c r="AI1863" s="15"/>
      <c r="AJ1863" s="15"/>
      <c r="AK1863" s="15"/>
      <c r="AL1863" s="15"/>
      <c r="AM1863" s="15"/>
      <c r="AN1863" s="15"/>
      <c r="AO1863" s="15"/>
      <c r="AP1863" s="15"/>
      <c r="AQ1863" s="15"/>
      <c r="AR1863" s="15"/>
      <c r="AS1863" s="15"/>
      <c r="AT1863" s="15"/>
      <c r="AU1863" s="15"/>
    </row>
    <row r="1864" ht="24.0" customHeight="1">
      <c r="A1864" s="45">
        <v>3288.0</v>
      </c>
      <c r="B1864" s="57"/>
      <c r="C1864" s="57"/>
      <c r="D1864" s="88" t="str">
        <f t="array" ref="D1864">IFERROR(
  LOOKUP(2, 1/((TRIM(IMS!$E$8:$E$2574)=TRIM(IMS!$E1864))*(IMS!$C$8:$C$2574&lt;IMS!$C1864)),
         IMS!$C$8:$C$2574),
"")</f>
        <v/>
      </c>
      <c r="E1864" s="57"/>
      <c r="F1864" s="57"/>
      <c r="G1864" s="77" t="str">
        <f t="shared" si="901"/>
        <v/>
      </c>
      <c r="H1864" s="78" t="str">
        <f t="shared" si="902"/>
        <v/>
      </c>
      <c r="I1864" s="79"/>
      <c r="J1864" s="80" t="str">
        <f t="shared" si="903"/>
        <v>#NAME?</v>
      </c>
      <c r="K1864" s="58"/>
      <c r="L1864" s="58"/>
      <c r="M1864" s="57"/>
      <c r="N1864" s="57"/>
      <c r="O1864" s="58"/>
      <c r="P1864" s="82"/>
      <c r="Q1864" s="81"/>
      <c r="R1864" s="81"/>
      <c r="S1864" s="57"/>
      <c r="T1864" s="82"/>
      <c r="U1864" s="82"/>
      <c r="V1864" s="57"/>
      <c r="W1864" s="57"/>
      <c r="X1864" s="57" t="str">
        <f t="shared" si="917"/>
        <v/>
      </c>
      <c r="Y1864" s="58" t="str">
        <f t="shared" ref="Y1864:AC1864" si="1704">TRIM(SUBSTITUTE(SUBSTITUTE(OFFSET($Q1864,0,COLUMN()-COLUMN($AL$1)),CHAR(160)," "),_xludf.UNICHAR(8239)," "))</f>
        <v>#NAME?</v>
      </c>
      <c r="Z1864" s="58" t="str">
        <f t="shared" si="1704"/>
        <v>#NAME?</v>
      </c>
      <c r="AA1864" s="58" t="str">
        <f t="shared" si="1704"/>
        <v>#NAME?</v>
      </c>
      <c r="AB1864" s="58" t="str">
        <f t="shared" si="1704"/>
        <v>#NAME?</v>
      </c>
      <c r="AC1864" s="58" t="str">
        <f t="shared" si="1704"/>
        <v>#NAME?</v>
      </c>
      <c r="AD1864" s="57">
        <f t="shared" si="906"/>
        <v>0</v>
      </c>
      <c r="AE1864" s="57" t="str">
        <f t="shared" si="907"/>
        <v/>
      </c>
      <c r="AF1864" s="57">
        <f t="shared" si="908"/>
        <v>0</v>
      </c>
      <c r="AG1864" s="59">
        <f t="shared" si="909"/>
        <v>0</v>
      </c>
      <c r="AH1864" s="15"/>
      <c r="AI1864" s="15"/>
      <c r="AJ1864" s="15"/>
      <c r="AK1864" s="15"/>
      <c r="AL1864" s="15"/>
      <c r="AM1864" s="15"/>
      <c r="AN1864" s="15"/>
      <c r="AO1864" s="15"/>
      <c r="AP1864" s="15"/>
      <c r="AQ1864" s="15"/>
      <c r="AR1864" s="15"/>
      <c r="AS1864" s="15"/>
      <c r="AT1864" s="15"/>
      <c r="AU1864" s="15"/>
    </row>
    <row r="1865" ht="24.0" customHeight="1">
      <c r="A1865" s="45">
        <v>3289.0</v>
      </c>
      <c r="B1865" s="57"/>
      <c r="C1865" s="57"/>
      <c r="D1865" s="88" t="str">
        <f t="array" ref="D1865">IFERROR(
  LOOKUP(2, 1/((TRIM(IMS!$E$8:$E$2574)=TRIM(IMS!$E1865))*(IMS!$C$8:$C$2574&lt;IMS!$C1865)),
         IMS!$C$8:$C$2574),
"")</f>
        <v/>
      </c>
      <c r="E1865" s="57"/>
      <c r="F1865" s="57"/>
      <c r="G1865" s="77" t="str">
        <f t="shared" si="901"/>
        <v/>
      </c>
      <c r="H1865" s="78" t="str">
        <f t="shared" si="902"/>
        <v/>
      </c>
      <c r="I1865" s="79"/>
      <c r="J1865" s="80" t="str">
        <f t="shared" si="903"/>
        <v>#NAME?</v>
      </c>
      <c r="K1865" s="58"/>
      <c r="L1865" s="58"/>
      <c r="M1865" s="57"/>
      <c r="N1865" s="57"/>
      <c r="O1865" s="58"/>
      <c r="P1865" s="82"/>
      <c r="Q1865" s="81"/>
      <c r="R1865" s="81"/>
      <c r="S1865" s="57"/>
      <c r="T1865" s="82"/>
      <c r="U1865" s="82"/>
      <c r="V1865" s="57"/>
      <c r="W1865" s="57"/>
      <c r="X1865" s="57" t="str">
        <f t="shared" si="917"/>
        <v/>
      </c>
      <c r="Y1865" s="58" t="str">
        <f t="shared" ref="Y1865:AC1865" si="1705">TRIM(SUBSTITUTE(SUBSTITUTE(OFFSET($Q1865,0,COLUMN()-COLUMN($AL$1)),CHAR(160)," "),_xludf.UNICHAR(8239)," "))</f>
        <v>#NAME?</v>
      </c>
      <c r="Z1865" s="58" t="str">
        <f t="shared" si="1705"/>
        <v>#NAME?</v>
      </c>
      <c r="AA1865" s="58" t="str">
        <f t="shared" si="1705"/>
        <v>#NAME?</v>
      </c>
      <c r="AB1865" s="58" t="str">
        <f t="shared" si="1705"/>
        <v>#NAME?</v>
      </c>
      <c r="AC1865" s="58" t="str">
        <f t="shared" si="1705"/>
        <v>#NAME?</v>
      </c>
      <c r="AD1865" s="57">
        <f t="shared" si="906"/>
        <v>0</v>
      </c>
      <c r="AE1865" s="57" t="str">
        <f t="shared" si="907"/>
        <v/>
      </c>
      <c r="AF1865" s="57">
        <f t="shared" si="908"/>
        <v>0</v>
      </c>
      <c r="AG1865" s="59">
        <f t="shared" si="909"/>
        <v>0</v>
      </c>
      <c r="AH1865" s="15"/>
      <c r="AI1865" s="15"/>
      <c r="AJ1865" s="15"/>
      <c r="AK1865" s="15"/>
      <c r="AL1865" s="15"/>
      <c r="AM1865" s="15"/>
      <c r="AN1865" s="15"/>
      <c r="AO1865" s="15"/>
      <c r="AP1865" s="15"/>
      <c r="AQ1865" s="15"/>
      <c r="AR1865" s="15"/>
      <c r="AS1865" s="15"/>
      <c r="AT1865" s="15"/>
      <c r="AU1865" s="15"/>
    </row>
    <row r="1866" ht="24.0" customHeight="1">
      <c r="A1866" s="45">
        <v>3290.0</v>
      </c>
      <c r="B1866" s="57"/>
      <c r="C1866" s="57"/>
      <c r="D1866" s="88" t="str">
        <f t="array" ref="D1866">IFERROR(
  LOOKUP(2, 1/((TRIM(IMS!$E$8:$E$2574)=TRIM(IMS!$E1866))*(IMS!$C$8:$C$2574&lt;IMS!$C1866)),
         IMS!$C$8:$C$2574),
"")</f>
        <v/>
      </c>
      <c r="E1866" s="57"/>
      <c r="F1866" s="57"/>
      <c r="G1866" s="77" t="str">
        <f t="shared" si="901"/>
        <v/>
      </c>
      <c r="H1866" s="78" t="str">
        <f t="shared" si="902"/>
        <v/>
      </c>
      <c r="I1866" s="79"/>
      <c r="J1866" s="80" t="str">
        <f t="shared" si="903"/>
        <v>#NAME?</v>
      </c>
      <c r="K1866" s="58"/>
      <c r="L1866" s="58"/>
      <c r="M1866" s="57"/>
      <c r="N1866" s="57"/>
      <c r="O1866" s="58"/>
      <c r="P1866" s="82"/>
      <c r="Q1866" s="81"/>
      <c r="R1866" s="81"/>
      <c r="S1866" s="57"/>
      <c r="T1866" s="82"/>
      <c r="U1866" s="82"/>
      <c r="V1866" s="57"/>
      <c r="W1866" s="57"/>
      <c r="X1866" s="57" t="str">
        <f t="shared" si="917"/>
        <v/>
      </c>
      <c r="Y1866" s="58" t="str">
        <f t="shared" ref="Y1866:AC1866" si="1706">TRIM(SUBSTITUTE(SUBSTITUTE(OFFSET($Q1866,0,COLUMN()-COLUMN($AL$1)),CHAR(160)," "),_xludf.UNICHAR(8239)," "))</f>
        <v>#NAME?</v>
      </c>
      <c r="Z1866" s="58" t="str">
        <f t="shared" si="1706"/>
        <v>#NAME?</v>
      </c>
      <c r="AA1866" s="58" t="str">
        <f t="shared" si="1706"/>
        <v>#NAME?</v>
      </c>
      <c r="AB1866" s="58" t="str">
        <f t="shared" si="1706"/>
        <v>#NAME?</v>
      </c>
      <c r="AC1866" s="58" t="str">
        <f t="shared" si="1706"/>
        <v>#NAME?</v>
      </c>
      <c r="AD1866" s="57">
        <f t="shared" si="906"/>
        <v>0</v>
      </c>
      <c r="AE1866" s="57" t="str">
        <f t="shared" si="907"/>
        <v/>
      </c>
      <c r="AF1866" s="57">
        <f t="shared" si="908"/>
        <v>0</v>
      </c>
      <c r="AG1866" s="59">
        <f t="shared" si="909"/>
        <v>0</v>
      </c>
      <c r="AH1866" s="15"/>
      <c r="AI1866" s="15"/>
      <c r="AJ1866" s="15"/>
      <c r="AK1866" s="15"/>
      <c r="AL1866" s="15"/>
      <c r="AM1866" s="15"/>
      <c r="AN1866" s="15"/>
      <c r="AO1866" s="15"/>
      <c r="AP1866" s="15"/>
      <c r="AQ1866" s="15"/>
      <c r="AR1866" s="15"/>
      <c r="AS1866" s="15"/>
      <c r="AT1866" s="15"/>
      <c r="AU1866" s="15"/>
    </row>
    <row r="1867" ht="24.0" customHeight="1">
      <c r="A1867" s="45">
        <v>3291.0</v>
      </c>
      <c r="B1867" s="57"/>
      <c r="C1867" s="57"/>
      <c r="D1867" s="88" t="str">
        <f t="array" ref="D1867">IFERROR(
  LOOKUP(2, 1/((TRIM(IMS!$E$8:$E$2574)=TRIM(IMS!$E1867))*(IMS!$C$8:$C$2574&lt;IMS!$C1867)),
         IMS!$C$8:$C$2574),
"")</f>
        <v/>
      </c>
      <c r="E1867" s="57"/>
      <c r="F1867" s="57"/>
      <c r="G1867" s="77" t="str">
        <f t="shared" si="901"/>
        <v/>
      </c>
      <c r="H1867" s="78" t="str">
        <f t="shared" si="902"/>
        <v/>
      </c>
      <c r="I1867" s="79"/>
      <c r="J1867" s="80" t="str">
        <f t="shared" si="903"/>
        <v>#NAME?</v>
      </c>
      <c r="K1867" s="58"/>
      <c r="L1867" s="58"/>
      <c r="M1867" s="57"/>
      <c r="N1867" s="57"/>
      <c r="O1867" s="58"/>
      <c r="P1867" s="82"/>
      <c r="Q1867" s="81"/>
      <c r="R1867" s="81"/>
      <c r="S1867" s="57"/>
      <c r="T1867" s="82"/>
      <c r="U1867" s="82"/>
      <c r="V1867" s="57"/>
      <c r="W1867" s="57"/>
      <c r="X1867" s="57" t="str">
        <f t="shared" si="917"/>
        <v/>
      </c>
      <c r="Y1867" s="58" t="str">
        <f t="shared" ref="Y1867:AC1867" si="1707">TRIM(SUBSTITUTE(SUBSTITUTE(OFFSET($Q1867,0,COLUMN()-COLUMN($AL$1)),CHAR(160)," "),_xludf.UNICHAR(8239)," "))</f>
        <v>#NAME?</v>
      </c>
      <c r="Z1867" s="58" t="str">
        <f t="shared" si="1707"/>
        <v>#NAME?</v>
      </c>
      <c r="AA1867" s="58" t="str">
        <f t="shared" si="1707"/>
        <v>#NAME?</v>
      </c>
      <c r="AB1867" s="58" t="str">
        <f t="shared" si="1707"/>
        <v>#NAME?</v>
      </c>
      <c r="AC1867" s="58" t="str">
        <f t="shared" si="1707"/>
        <v>#NAME?</v>
      </c>
      <c r="AD1867" s="57">
        <f t="shared" si="906"/>
        <v>0</v>
      </c>
      <c r="AE1867" s="57" t="str">
        <f t="shared" si="907"/>
        <v/>
      </c>
      <c r="AF1867" s="57">
        <f t="shared" si="908"/>
        <v>0</v>
      </c>
      <c r="AG1867" s="59">
        <f t="shared" si="909"/>
        <v>0</v>
      </c>
      <c r="AH1867" s="15"/>
      <c r="AI1867" s="15"/>
      <c r="AJ1867" s="15"/>
      <c r="AK1867" s="15"/>
      <c r="AL1867" s="15"/>
      <c r="AM1867" s="15"/>
      <c r="AN1867" s="15"/>
      <c r="AO1867" s="15"/>
      <c r="AP1867" s="15"/>
      <c r="AQ1867" s="15"/>
      <c r="AR1867" s="15"/>
      <c r="AS1867" s="15"/>
      <c r="AT1867" s="15"/>
      <c r="AU1867" s="15"/>
    </row>
    <row r="1868" ht="24.0" customHeight="1">
      <c r="A1868" s="45">
        <v>3292.0</v>
      </c>
      <c r="B1868" s="57"/>
      <c r="C1868" s="57"/>
      <c r="D1868" s="88" t="str">
        <f t="array" ref="D1868">IFERROR(
  LOOKUP(2, 1/((TRIM(IMS!$E$8:$E$2574)=TRIM(IMS!$E1868))*(IMS!$C$8:$C$2574&lt;IMS!$C1868)),
         IMS!$C$8:$C$2574),
"")</f>
        <v/>
      </c>
      <c r="E1868" s="57"/>
      <c r="F1868" s="57"/>
      <c r="G1868" s="77" t="str">
        <f t="shared" si="901"/>
        <v/>
      </c>
      <c r="H1868" s="78" t="str">
        <f t="shared" si="902"/>
        <v/>
      </c>
      <c r="I1868" s="79"/>
      <c r="J1868" s="80" t="str">
        <f t="shared" si="903"/>
        <v>#NAME?</v>
      </c>
      <c r="K1868" s="58"/>
      <c r="L1868" s="58"/>
      <c r="M1868" s="57"/>
      <c r="N1868" s="57"/>
      <c r="O1868" s="58"/>
      <c r="P1868" s="82"/>
      <c r="Q1868" s="81"/>
      <c r="R1868" s="81"/>
      <c r="S1868" s="57"/>
      <c r="T1868" s="82"/>
      <c r="U1868" s="82"/>
      <c r="V1868" s="57"/>
      <c r="W1868" s="57"/>
      <c r="X1868" s="57" t="str">
        <f t="shared" si="917"/>
        <v/>
      </c>
      <c r="Y1868" s="58" t="str">
        <f t="shared" ref="Y1868:AC1868" si="1708">TRIM(SUBSTITUTE(SUBSTITUTE(OFFSET($Q1868,0,COLUMN()-COLUMN($AL$1)),CHAR(160)," "),_xludf.UNICHAR(8239)," "))</f>
        <v>#NAME?</v>
      </c>
      <c r="Z1868" s="58" t="str">
        <f t="shared" si="1708"/>
        <v>#NAME?</v>
      </c>
      <c r="AA1868" s="58" t="str">
        <f t="shared" si="1708"/>
        <v>#NAME?</v>
      </c>
      <c r="AB1868" s="58" t="str">
        <f t="shared" si="1708"/>
        <v>#NAME?</v>
      </c>
      <c r="AC1868" s="58" t="str">
        <f t="shared" si="1708"/>
        <v>#NAME?</v>
      </c>
      <c r="AD1868" s="57">
        <f t="shared" si="906"/>
        <v>0</v>
      </c>
      <c r="AE1868" s="57" t="str">
        <f t="shared" si="907"/>
        <v/>
      </c>
      <c r="AF1868" s="57">
        <f t="shared" si="908"/>
        <v>0</v>
      </c>
      <c r="AG1868" s="59">
        <f t="shared" si="909"/>
        <v>0</v>
      </c>
      <c r="AH1868" s="15"/>
      <c r="AI1868" s="15"/>
      <c r="AJ1868" s="15"/>
      <c r="AK1868" s="15"/>
      <c r="AL1868" s="15"/>
      <c r="AM1868" s="15"/>
      <c r="AN1868" s="15"/>
      <c r="AO1868" s="15"/>
      <c r="AP1868" s="15"/>
      <c r="AQ1868" s="15"/>
      <c r="AR1868" s="15"/>
      <c r="AS1868" s="15"/>
      <c r="AT1868" s="15"/>
      <c r="AU1868" s="15"/>
    </row>
    <row r="1869" ht="24.0" customHeight="1">
      <c r="A1869" s="45">
        <v>3293.0</v>
      </c>
      <c r="B1869" s="57"/>
      <c r="C1869" s="57"/>
      <c r="D1869" s="88" t="str">
        <f t="array" ref="D1869">IFERROR(
  LOOKUP(2, 1/((TRIM(IMS!$E$8:$E$2574)=TRIM(IMS!$E1869))*(IMS!$C$8:$C$2574&lt;IMS!$C1869)),
         IMS!$C$8:$C$2574),
"")</f>
        <v/>
      </c>
      <c r="E1869" s="57"/>
      <c r="F1869" s="57"/>
      <c r="G1869" s="77" t="str">
        <f t="shared" si="901"/>
        <v/>
      </c>
      <c r="H1869" s="78" t="str">
        <f t="shared" si="902"/>
        <v/>
      </c>
      <c r="I1869" s="79"/>
      <c r="J1869" s="80" t="str">
        <f t="shared" si="903"/>
        <v>#NAME?</v>
      </c>
      <c r="K1869" s="58"/>
      <c r="L1869" s="58"/>
      <c r="M1869" s="57"/>
      <c r="N1869" s="57"/>
      <c r="O1869" s="58"/>
      <c r="P1869" s="82"/>
      <c r="Q1869" s="81"/>
      <c r="R1869" s="81"/>
      <c r="S1869" s="57"/>
      <c r="T1869" s="82"/>
      <c r="U1869" s="82"/>
      <c r="V1869" s="57"/>
      <c r="W1869" s="57"/>
      <c r="X1869" s="57" t="str">
        <f t="shared" si="917"/>
        <v/>
      </c>
      <c r="Y1869" s="58" t="str">
        <f t="shared" ref="Y1869:AC1869" si="1709">TRIM(SUBSTITUTE(SUBSTITUTE(OFFSET($Q1869,0,COLUMN()-COLUMN($AL$1)),CHAR(160)," "),_xludf.UNICHAR(8239)," "))</f>
        <v>#NAME?</v>
      </c>
      <c r="Z1869" s="58" t="str">
        <f t="shared" si="1709"/>
        <v>#NAME?</v>
      </c>
      <c r="AA1869" s="58" t="str">
        <f t="shared" si="1709"/>
        <v>#NAME?</v>
      </c>
      <c r="AB1869" s="58" t="str">
        <f t="shared" si="1709"/>
        <v>#NAME?</v>
      </c>
      <c r="AC1869" s="58" t="str">
        <f t="shared" si="1709"/>
        <v>#NAME?</v>
      </c>
      <c r="AD1869" s="57">
        <f t="shared" si="906"/>
        <v>0</v>
      </c>
      <c r="AE1869" s="57" t="str">
        <f t="shared" si="907"/>
        <v/>
      </c>
      <c r="AF1869" s="57">
        <f t="shared" si="908"/>
        <v>0</v>
      </c>
      <c r="AG1869" s="59">
        <f t="shared" si="909"/>
        <v>0</v>
      </c>
      <c r="AH1869" s="15"/>
      <c r="AI1869" s="15"/>
      <c r="AJ1869" s="15"/>
      <c r="AK1869" s="15"/>
      <c r="AL1869" s="15"/>
      <c r="AM1869" s="15"/>
      <c r="AN1869" s="15"/>
      <c r="AO1869" s="15"/>
      <c r="AP1869" s="15"/>
      <c r="AQ1869" s="15"/>
      <c r="AR1869" s="15"/>
      <c r="AS1869" s="15"/>
      <c r="AT1869" s="15"/>
      <c r="AU1869" s="15"/>
    </row>
    <row r="1870" ht="24.0" customHeight="1">
      <c r="A1870" s="45">
        <v>3294.0</v>
      </c>
      <c r="B1870" s="57"/>
      <c r="C1870" s="57"/>
      <c r="D1870" s="88" t="str">
        <f t="array" ref="D1870">IFERROR(
  LOOKUP(2, 1/((TRIM(IMS!$E$8:$E$2574)=TRIM(IMS!$E1870))*(IMS!$C$8:$C$2574&lt;IMS!$C1870)),
         IMS!$C$8:$C$2574),
"")</f>
        <v/>
      </c>
      <c r="E1870" s="57"/>
      <c r="F1870" s="57"/>
      <c r="G1870" s="77" t="str">
        <f t="shared" si="901"/>
        <v/>
      </c>
      <c r="H1870" s="78" t="str">
        <f t="shared" si="902"/>
        <v/>
      </c>
      <c r="I1870" s="79"/>
      <c r="J1870" s="80" t="str">
        <f t="shared" si="903"/>
        <v>#NAME?</v>
      </c>
      <c r="K1870" s="58"/>
      <c r="L1870" s="58"/>
      <c r="M1870" s="57"/>
      <c r="N1870" s="57"/>
      <c r="O1870" s="58"/>
      <c r="P1870" s="82"/>
      <c r="Q1870" s="81"/>
      <c r="R1870" s="81"/>
      <c r="S1870" s="57"/>
      <c r="T1870" s="82"/>
      <c r="U1870" s="82"/>
      <c r="V1870" s="57"/>
      <c r="W1870" s="57"/>
      <c r="X1870" s="57" t="str">
        <f t="shared" si="917"/>
        <v/>
      </c>
      <c r="Y1870" s="58" t="str">
        <f t="shared" ref="Y1870:AC1870" si="1710">TRIM(SUBSTITUTE(SUBSTITUTE(OFFSET($Q1870,0,COLUMN()-COLUMN($AL$1)),CHAR(160)," "),_xludf.UNICHAR(8239)," "))</f>
        <v>#NAME?</v>
      </c>
      <c r="Z1870" s="58" t="str">
        <f t="shared" si="1710"/>
        <v>#NAME?</v>
      </c>
      <c r="AA1870" s="58" t="str">
        <f t="shared" si="1710"/>
        <v>#NAME?</v>
      </c>
      <c r="AB1870" s="58" t="str">
        <f t="shared" si="1710"/>
        <v>#NAME?</v>
      </c>
      <c r="AC1870" s="58" t="str">
        <f t="shared" si="1710"/>
        <v>#NAME?</v>
      </c>
      <c r="AD1870" s="57">
        <f t="shared" si="906"/>
        <v>0</v>
      </c>
      <c r="AE1870" s="57" t="str">
        <f t="shared" si="907"/>
        <v/>
      </c>
      <c r="AF1870" s="57">
        <f t="shared" si="908"/>
        <v>0</v>
      </c>
      <c r="AG1870" s="59">
        <f t="shared" si="909"/>
        <v>0</v>
      </c>
      <c r="AH1870" s="15"/>
      <c r="AI1870" s="15"/>
      <c r="AJ1870" s="15"/>
      <c r="AK1870" s="15"/>
      <c r="AL1870" s="15"/>
      <c r="AM1870" s="15"/>
      <c r="AN1870" s="15"/>
      <c r="AO1870" s="15"/>
      <c r="AP1870" s="15"/>
      <c r="AQ1870" s="15"/>
      <c r="AR1870" s="15"/>
      <c r="AS1870" s="15"/>
      <c r="AT1870" s="15"/>
      <c r="AU1870" s="15"/>
    </row>
    <row r="1871" ht="24.0" customHeight="1">
      <c r="A1871" s="45">
        <v>3295.0</v>
      </c>
      <c r="B1871" s="57"/>
      <c r="C1871" s="57"/>
      <c r="D1871" s="88" t="str">
        <f t="array" ref="D1871">IFERROR(
  LOOKUP(2, 1/((TRIM(IMS!$E$8:$E$2574)=TRIM(IMS!$E1871))*(IMS!$C$8:$C$2574&lt;IMS!$C1871)),
         IMS!$C$8:$C$2574),
"")</f>
        <v/>
      </c>
      <c r="E1871" s="57"/>
      <c r="F1871" s="57"/>
      <c r="G1871" s="77" t="str">
        <f t="shared" si="901"/>
        <v/>
      </c>
      <c r="H1871" s="78" t="str">
        <f t="shared" si="902"/>
        <v/>
      </c>
      <c r="I1871" s="79"/>
      <c r="J1871" s="80" t="str">
        <f t="shared" si="903"/>
        <v>#NAME?</v>
      </c>
      <c r="K1871" s="58"/>
      <c r="L1871" s="58"/>
      <c r="M1871" s="57"/>
      <c r="N1871" s="57"/>
      <c r="O1871" s="58"/>
      <c r="P1871" s="82"/>
      <c r="Q1871" s="81"/>
      <c r="R1871" s="81"/>
      <c r="S1871" s="57"/>
      <c r="T1871" s="82"/>
      <c r="U1871" s="82"/>
      <c r="V1871" s="57"/>
      <c r="W1871" s="57"/>
      <c r="X1871" s="57" t="str">
        <f t="shared" si="917"/>
        <v/>
      </c>
      <c r="Y1871" s="58" t="str">
        <f t="shared" ref="Y1871:AC1871" si="1711">TRIM(SUBSTITUTE(SUBSTITUTE(OFFSET($Q1871,0,COLUMN()-COLUMN($AL$1)),CHAR(160)," "),_xludf.UNICHAR(8239)," "))</f>
        <v>#NAME?</v>
      </c>
      <c r="Z1871" s="58" t="str">
        <f t="shared" si="1711"/>
        <v>#NAME?</v>
      </c>
      <c r="AA1871" s="58" t="str">
        <f t="shared" si="1711"/>
        <v>#NAME?</v>
      </c>
      <c r="AB1871" s="58" t="str">
        <f t="shared" si="1711"/>
        <v>#NAME?</v>
      </c>
      <c r="AC1871" s="58" t="str">
        <f t="shared" si="1711"/>
        <v>#NAME?</v>
      </c>
      <c r="AD1871" s="57">
        <f t="shared" si="906"/>
        <v>0</v>
      </c>
      <c r="AE1871" s="57" t="str">
        <f t="shared" si="907"/>
        <v/>
      </c>
      <c r="AF1871" s="57">
        <f t="shared" si="908"/>
        <v>0</v>
      </c>
      <c r="AG1871" s="59">
        <f t="shared" si="909"/>
        <v>0</v>
      </c>
      <c r="AH1871" s="15"/>
      <c r="AI1871" s="15"/>
      <c r="AJ1871" s="15"/>
      <c r="AK1871" s="15"/>
      <c r="AL1871" s="15"/>
      <c r="AM1871" s="15"/>
      <c r="AN1871" s="15"/>
      <c r="AO1871" s="15"/>
      <c r="AP1871" s="15"/>
      <c r="AQ1871" s="15"/>
      <c r="AR1871" s="15"/>
      <c r="AS1871" s="15"/>
      <c r="AT1871" s="15"/>
      <c r="AU1871" s="15"/>
    </row>
    <row r="1872" ht="24.0" customHeight="1">
      <c r="A1872" s="45">
        <v>3296.0</v>
      </c>
      <c r="B1872" s="57"/>
      <c r="C1872" s="57"/>
      <c r="D1872" s="88" t="str">
        <f t="array" ref="D1872">IFERROR(
  LOOKUP(2, 1/((TRIM(IMS!$E$8:$E$2574)=TRIM(IMS!$E1872))*(IMS!$C$8:$C$2574&lt;IMS!$C1872)),
         IMS!$C$8:$C$2574),
"")</f>
        <v/>
      </c>
      <c r="E1872" s="57"/>
      <c r="F1872" s="57"/>
      <c r="G1872" s="77" t="str">
        <f t="shared" si="901"/>
        <v/>
      </c>
      <c r="H1872" s="78" t="str">
        <f t="shared" si="902"/>
        <v/>
      </c>
      <c r="I1872" s="79"/>
      <c r="J1872" s="80" t="str">
        <f t="shared" si="903"/>
        <v>#NAME?</v>
      </c>
      <c r="K1872" s="58"/>
      <c r="L1872" s="58"/>
      <c r="M1872" s="57"/>
      <c r="N1872" s="57"/>
      <c r="O1872" s="58"/>
      <c r="P1872" s="82"/>
      <c r="Q1872" s="81"/>
      <c r="R1872" s="81"/>
      <c r="S1872" s="57"/>
      <c r="T1872" s="82"/>
      <c r="U1872" s="82"/>
      <c r="V1872" s="57"/>
      <c r="W1872" s="57"/>
      <c r="X1872" s="57" t="str">
        <f t="shared" si="917"/>
        <v/>
      </c>
      <c r="Y1872" s="58" t="str">
        <f t="shared" ref="Y1872:AC1872" si="1712">TRIM(SUBSTITUTE(SUBSTITUTE(OFFSET($Q1872,0,COLUMN()-COLUMN($AL$1)),CHAR(160)," "),_xludf.UNICHAR(8239)," "))</f>
        <v>#NAME?</v>
      </c>
      <c r="Z1872" s="58" t="str">
        <f t="shared" si="1712"/>
        <v>#NAME?</v>
      </c>
      <c r="AA1872" s="58" t="str">
        <f t="shared" si="1712"/>
        <v>#NAME?</v>
      </c>
      <c r="AB1872" s="58" t="str">
        <f t="shared" si="1712"/>
        <v>#NAME?</v>
      </c>
      <c r="AC1872" s="58" t="str">
        <f t="shared" si="1712"/>
        <v>#NAME?</v>
      </c>
      <c r="AD1872" s="57">
        <f t="shared" si="906"/>
        <v>0</v>
      </c>
      <c r="AE1872" s="57" t="str">
        <f t="shared" si="907"/>
        <v/>
      </c>
      <c r="AF1872" s="57">
        <f t="shared" si="908"/>
        <v>0</v>
      </c>
      <c r="AG1872" s="59">
        <f t="shared" si="909"/>
        <v>0</v>
      </c>
      <c r="AH1872" s="15"/>
      <c r="AI1872" s="15"/>
      <c r="AJ1872" s="15"/>
      <c r="AK1872" s="15"/>
      <c r="AL1872" s="15"/>
      <c r="AM1872" s="15"/>
      <c r="AN1872" s="15"/>
      <c r="AO1872" s="15"/>
      <c r="AP1872" s="15"/>
      <c r="AQ1872" s="15"/>
      <c r="AR1872" s="15"/>
      <c r="AS1872" s="15"/>
      <c r="AT1872" s="15"/>
      <c r="AU1872" s="15"/>
    </row>
    <row r="1873" ht="24.0" customHeight="1">
      <c r="A1873" s="45">
        <v>3297.0</v>
      </c>
      <c r="B1873" s="57"/>
      <c r="C1873" s="57"/>
      <c r="D1873" s="88" t="str">
        <f t="array" ref="D1873">IFERROR(
  LOOKUP(2, 1/((TRIM(IMS!$E$8:$E$2574)=TRIM(IMS!$E1873))*(IMS!$C$8:$C$2574&lt;IMS!$C1873)),
         IMS!$C$8:$C$2574),
"")</f>
        <v/>
      </c>
      <c r="E1873" s="57"/>
      <c r="F1873" s="57"/>
      <c r="G1873" s="77" t="str">
        <f t="shared" si="901"/>
        <v/>
      </c>
      <c r="H1873" s="78" t="str">
        <f t="shared" si="902"/>
        <v/>
      </c>
      <c r="I1873" s="79"/>
      <c r="J1873" s="80" t="str">
        <f t="shared" si="903"/>
        <v>#NAME?</v>
      </c>
      <c r="K1873" s="58"/>
      <c r="L1873" s="58"/>
      <c r="M1873" s="57"/>
      <c r="N1873" s="57"/>
      <c r="O1873" s="58"/>
      <c r="P1873" s="82"/>
      <c r="Q1873" s="81"/>
      <c r="R1873" s="81"/>
      <c r="S1873" s="57"/>
      <c r="T1873" s="82"/>
      <c r="U1873" s="82"/>
      <c r="V1873" s="57"/>
      <c r="W1873" s="57"/>
      <c r="X1873" s="57" t="str">
        <f t="shared" si="917"/>
        <v/>
      </c>
      <c r="Y1873" s="58" t="str">
        <f t="shared" ref="Y1873:AC1873" si="1713">TRIM(SUBSTITUTE(SUBSTITUTE(OFFSET($Q1873,0,COLUMN()-COLUMN($AL$1)),CHAR(160)," "),_xludf.UNICHAR(8239)," "))</f>
        <v>#NAME?</v>
      </c>
      <c r="Z1873" s="58" t="str">
        <f t="shared" si="1713"/>
        <v>#NAME?</v>
      </c>
      <c r="AA1873" s="58" t="str">
        <f t="shared" si="1713"/>
        <v>#NAME?</v>
      </c>
      <c r="AB1873" s="58" t="str">
        <f t="shared" si="1713"/>
        <v>#NAME?</v>
      </c>
      <c r="AC1873" s="58" t="str">
        <f t="shared" si="1713"/>
        <v>#NAME?</v>
      </c>
      <c r="AD1873" s="57">
        <f t="shared" si="906"/>
        <v>0</v>
      </c>
      <c r="AE1873" s="57" t="str">
        <f t="shared" si="907"/>
        <v/>
      </c>
      <c r="AF1873" s="57">
        <f t="shared" si="908"/>
        <v>0</v>
      </c>
      <c r="AG1873" s="59">
        <f t="shared" si="909"/>
        <v>0</v>
      </c>
      <c r="AH1873" s="15"/>
      <c r="AI1873" s="15"/>
      <c r="AJ1873" s="15"/>
      <c r="AK1873" s="15"/>
      <c r="AL1873" s="15"/>
      <c r="AM1873" s="15"/>
      <c r="AN1873" s="15"/>
      <c r="AO1873" s="15"/>
      <c r="AP1873" s="15"/>
      <c r="AQ1873" s="15"/>
      <c r="AR1873" s="15"/>
      <c r="AS1873" s="15"/>
      <c r="AT1873" s="15"/>
      <c r="AU1873" s="15"/>
    </row>
    <row r="1874" ht="24.0" customHeight="1">
      <c r="A1874" s="45">
        <v>3298.0</v>
      </c>
      <c r="B1874" s="57"/>
      <c r="C1874" s="57"/>
      <c r="D1874" s="88" t="str">
        <f t="array" ref="D1874">IFERROR(
  LOOKUP(2, 1/((TRIM(IMS!$E$8:$E$2574)=TRIM(IMS!$E1874))*(IMS!$C$8:$C$2574&lt;IMS!$C1874)),
         IMS!$C$8:$C$2574),
"")</f>
        <v/>
      </c>
      <c r="E1874" s="57"/>
      <c r="F1874" s="57"/>
      <c r="G1874" s="77" t="str">
        <f t="shared" si="901"/>
        <v/>
      </c>
      <c r="H1874" s="78" t="str">
        <f t="shared" si="902"/>
        <v/>
      </c>
      <c r="I1874" s="79"/>
      <c r="J1874" s="80" t="str">
        <f t="shared" si="903"/>
        <v>#NAME?</v>
      </c>
      <c r="K1874" s="58"/>
      <c r="L1874" s="58"/>
      <c r="M1874" s="57"/>
      <c r="N1874" s="57"/>
      <c r="O1874" s="58"/>
      <c r="P1874" s="82"/>
      <c r="Q1874" s="81"/>
      <c r="R1874" s="81"/>
      <c r="S1874" s="57"/>
      <c r="T1874" s="82"/>
      <c r="U1874" s="82"/>
      <c r="V1874" s="57"/>
      <c r="W1874" s="57"/>
      <c r="X1874" s="57" t="str">
        <f t="shared" si="917"/>
        <v/>
      </c>
      <c r="Y1874" s="58" t="str">
        <f t="shared" ref="Y1874:AC1874" si="1714">TRIM(SUBSTITUTE(SUBSTITUTE(OFFSET($Q1874,0,COLUMN()-COLUMN($AL$1)),CHAR(160)," "),_xludf.UNICHAR(8239)," "))</f>
        <v>#NAME?</v>
      </c>
      <c r="Z1874" s="58" t="str">
        <f t="shared" si="1714"/>
        <v>#NAME?</v>
      </c>
      <c r="AA1874" s="58" t="str">
        <f t="shared" si="1714"/>
        <v>#NAME?</v>
      </c>
      <c r="AB1874" s="58" t="str">
        <f t="shared" si="1714"/>
        <v>#NAME?</v>
      </c>
      <c r="AC1874" s="58" t="str">
        <f t="shared" si="1714"/>
        <v>#NAME?</v>
      </c>
      <c r="AD1874" s="57">
        <f t="shared" si="906"/>
        <v>0</v>
      </c>
      <c r="AE1874" s="57" t="str">
        <f t="shared" si="907"/>
        <v/>
      </c>
      <c r="AF1874" s="57">
        <f t="shared" si="908"/>
        <v>0</v>
      </c>
      <c r="AG1874" s="59">
        <f t="shared" si="909"/>
        <v>0</v>
      </c>
      <c r="AH1874" s="15"/>
      <c r="AI1874" s="15"/>
      <c r="AJ1874" s="15"/>
      <c r="AK1874" s="15"/>
      <c r="AL1874" s="15"/>
      <c r="AM1874" s="15"/>
      <c r="AN1874" s="15"/>
      <c r="AO1874" s="15"/>
      <c r="AP1874" s="15"/>
      <c r="AQ1874" s="15"/>
      <c r="AR1874" s="15"/>
      <c r="AS1874" s="15"/>
      <c r="AT1874" s="15"/>
      <c r="AU1874" s="15"/>
    </row>
    <row r="1875" ht="24.0" customHeight="1">
      <c r="A1875" s="45">
        <v>3299.0</v>
      </c>
      <c r="B1875" s="57"/>
      <c r="C1875" s="57"/>
      <c r="D1875" s="88" t="str">
        <f t="array" ref="D1875">IFERROR(
  LOOKUP(2, 1/((TRIM(IMS!$E$8:$E$2574)=TRIM(IMS!$E1875))*(IMS!$C$8:$C$2574&lt;IMS!$C1875)),
         IMS!$C$8:$C$2574),
"")</f>
        <v/>
      </c>
      <c r="E1875" s="57"/>
      <c r="F1875" s="57"/>
      <c r="G1875" s="77" t="str">
        <f t="shared" si="901"/>
        <v/>
      </c>
      <c r="H1875" s="78" t="str">
        <f t="shared" si="902"/>
        <v/>
      </c>
      <c r="I1875" s="79"/>
      <c r="J1875" s="80" t="str">
        <f t="shared" si="903"/>
        <v>#NAME?</v>
      </c>
      <c r="K1875" s="58"/>
      <c r="L1875" s="58"/>
      <c r="M1875" s="57"/>
      <c r="N1875" s="57"/>
      <c r="O1875" s="58"/>
      <c r="P1875" s="82"/>
      <c r="Q1875" s="81"/>
      <c r="R1875" s="81"/>
      <c r="S1875" s="57"/>
      <c r="T1875" s="82"/>
      <c r="U1875" s="82"/>
      <c r="V1875" s="57"/>
      <c r="W1875" s="57"/>
      <c r="X1875" s="57" t="str">
        <f t="shared" si="917"/>
        <v/>
      </c>
      <c r="Y1875" s="58" t="str">
        <f t="shared" ref="Y1875:AC1875" si="1715">TRIM(SUBSTITUTE(SUBSTITUTE(OFFSET($Q1875,0,COLUMN()-COLUMN($AL$1)),CHAR(160)," "),_xludf.UNICHAR(8239)," "))</f>
        <v>#NAME?</v>
      </c>
      <c r="Z1875" s="58" t="str">
        <f t="shared" si="1715"/>
        <v>#NAME?</v>
      </c>
      <c r="AA1875" s="58" t="str">
        <f t="shared" si="1715"/>
        <v>#NAME?</v>
      </c>
      <c r="AB1875" s="58" t="str">
        <f t="shared" si="1715"/>
        <v>#NAME?</v>
      </c>
      <c r="AC1875" s="58" t="str">
        <f t="shared" si="1715"/>
        <v>#NAME?</v>
      </c>
      <c r="AD1875" s="57">
        <f t="shared" si="906"/>
        <v>0</v>
      </c>
      <c r="AE1875" s="57" t="str">
        <f t="shared" si="907"/>
        <v/>
      </c>
      <c r="AF1875" s="57">
        <f t="shared" si="908"/>
        <v>0</v>
      </c>
      <c r="AG1875" s="59">
        <f t="shared" si="909"/>
        <v>0</v>
      </c>
      <c r="AH1875" s="15"/>
      <c r="AI1875" s="15"/>
      <c r="AJ1875" s="15"/>
      <c r="AK1875" s="15"/>
      <c r="AL1875" s="15"/>
      <c r="AM1875" s="15"/>
      <c r="AN1875" s="15"/>
      <c r="AO1875" s="15"/>
      <c r="AP1875" s="15"/>
      <c r="AQ1875" s="15"/>
      <c r="AR1875" s="15"/>
      <c r="AS1875" s="15"/>
      <c r="AT1875" s="15"/>
      <c r="AU1875" s="15"/>
    </row>
    <row r="1876" ht="24.0" customHeight="1">
      <c r="A1876" s="45">
        <v>3300.0</v>
      </c>
      <c r="B1876" s="57"/>
      <c r="C1876" s="57"/>
      <c r="D1876" s="88" t="str">
        <f t="array" ref="D1876">IFERROR(
  LOOKUP(2, 1/((TRIM(IMS!$E$8:$E$2574)=TRIM(IMS!$E1876))*(IMS!$C$8:$C$2574&lt;IMS!$C1876)),
         IMS!$C$8:$C$2574),
"")</f>
        <v/>
      </c>
      <c r="E1876" s="57"/>
      <c r="F1876" s="57"/>
      <c r="G1876" s="77" t="str">
        <f t="shared" si="901"/>
        <v/>
      </c>
      <c r="H1876" s="78" t="str">
        <f t="shared" si="902"/>
        <v/>
      </c>
      <c r="I1876" s="79"/>
      <c r="J1876" s="80" t="str">
        <f t="shared" si="903"/>
        <v>#NAME?</v>
      </c>
      <c r="K1876" s="58"/>
      <c r="L1876" s="58"/>
      <c r="M1876" s="57"/>
      <c r="N1876" s="57"/>
      <c r="O1876" s="58"/>
      <c r="P1876" s="82"/>
      <c r="Q1876" s="81"/>
      <c r="R1876" s="81"/>
      <c r="S1876" s="57"/>
      <c r="T1876" s="82"/>
      <c r="U1876" s="82"/>
      <c r="V1876" s="57"/>
      <c r="W1876" s="57"/>
      <c r="X1876" s="57" t="str">
        <f t="shared" si="917"/>
        <v/>
      </c>
      <c r="Y1876" s="58" t="str">
        <f t="shared" ref="Y1876:AC1876" si="1716">TRIM(SUBSTITUTE(SUBSTITUTE(OFFSET($Q1876,0,COLUMN()-COLUMN($AL$1)),CHAR(160)," "),_xludf.UNICHAR(8239)," "))</f>
        <v>#NAME?</v>
      </c>
      <c r="Z1876" s="58" t="str">
        <f t="shared" si="1716"/>
        <v>#NAME?</v>
      </c>
      <c r="AA1876" s="58" t="str">
        <f t="shared" si="1716"/>
        <v>#NAME?</v>
      </c>
      <c r="AB1876" s="58" t="str">
        <f t="shared" si="1716"/>
        <v>#NAME?</v>
      </c>
      <c r="AC1876" s="58" t="str">
        <f t="shared" si="1716"/>
        <v>#NAME?</v>
      </c>
      <c r="AD1876" s="57">
        <f t="shared" si="906"/>
        <v>0</v>
      </c>
      <c r="AE1876" s="57" t="str">
        <f t="shared" si="907"/>
        <v/>
      </c>
      <c r="AF1876" s="57">
        <f t="shared" si="908"/>
        <v>0</v>
      </c>
      <c r="AG1876" s="59">
        <f t="shared" si="909"/>
        <v>0</v>
      </c>
      <c r="AH1876" s="15"/>
      <c r="AI1876" s="15"/>
      <c r="AJ1876" s="15"/>
      <c r="AK1876" s="15"/>
      <c r="AL1876" s="15"/>
      <c r="AM1876" s="15"/>
      <c r="AN1876" s="15"/>
      <c r="AO1876" s="15"/>
      <c r="AP1876" s="15"/>
      <c r="AQ1876" s="15"/>
      <c r="AR1876" s="15"/>
      <c r="AS1876" s="15"/>
      <c r="AT1876" s="15"/>
      <c r="AU1876" s="15"/>
    </row>
    <row r="1877" ht="24.0" customHeight="1">
      <c r="A1877" s="45">
        <v>3301.0</v>
      </c>
      <c r="B1877" s="57"/>
      <c r="C1877" s="57"/>
      <c r="D1877" s="88" t="str">
        <f t="array" ref="D1877">IFERROR(
  LOOKUP(2, 1/((TRIM(IMS!$E$8:$E$2574)=TRIM(IMS!$E1877))*(IMS!$C$8:$C$2574&lt;IMS!$C1877)),
         IMS!$C$8:$C$2574),
"")</f>
        <v/>
      </c>
      <c r="E1877" s="57"/>
      <c r="F1877" s="57"/>
      <c r="G1877" s="77" t="str">
        <f t="shared" si="901"/>
        <v/>
      </c>
      <c r="H1877" s="78" t="str">
        <f t="shared" si="902"/>
        <v/>
      </c>
      <c r="I1877" s="79"/>
      <c r="J1877" s="80" t="str">
        <f t="shared" si="903"/>
        <v>#NAME?</v>
      </c>
      <c r="K1877" s="58"/>
      <c r="L1877" s="58"/>
      <c r="M1877" s="57"/>
      <c r="N1877" s="57"/>
      <c r="O1877" s="58"/>
      <c r="P1877" s="82"/>
      <c r="Q1877" s="81"/>
      <c r="R1877" s="81"/>
      <c r="S1877" s="57"/>
      <c r="T1877" s="82"/>
      <c r="U1877" s="82"/>
      <c r="V1877" s="57"/>
      <c r="W1877" s="57"/>
      <c r="X1877" s="57" t="str">
        <f t="shared" si="917"/>
        <v/>
      </c>
      <c r="Y1877" s="58" t="str">
        <f t="shared" ref="Y1877:AC1877" si="1717">TRIM(SUBSTITUTE(SUBSTITUTE(OFFSET($Q1877,0,COLUMN()-COLUMN($AL$1)),CHAR(160)," "),_xludf.UNICHAR(8239)," "))</f>
        <v>#NAME?</v>
      </c>
      <c r="Z1877" s="58" t="str">
        <f t="shared" si="1717"/>
        <v>#NAME?</v>
      </c>
      <c r="AA1877" s="58" t="str">
        <f t="shared" si="1717"/>
        <v>#NAME?</v>
      </c>
      <c r="AB1877" s="58" t="str">
        <f t="shared" si="1717"/>
        <v>#NAME?</v>
      </c>
      <c r="AC1877" s="58" t="str">
        <f t="shared" si="1717"/>
        <v>#NAME?</v>
      </c>
      <c r="AD1877" s="57">
        <f t="shared" si="906"/>
        <v>0</v>
      </c>
      <c r="AE1877" s="57" t="str">
        <f t="shared" si="907"/>
        <v/>
      </c>
      <c r="AF1877" s="57">
        <f t="shared" si="908"/>
        <v>0</v>
      </c>
      <c r="AG1877" s="59">
        <f t="shared" si="909"/>
        <v>0</v>
      </c>
      <c r="AH1877" s="15"/>
      <c r="AI1877" s="15"/>
      <c r="AJ1877" s="15"/>
      <c r="AK1877" s="15"/>
      <c r="AL1877" s="15"/>
      <c r="AM1877" s="15"/>
      <c r="AN1877" s="15"/>
      <c r="AO1877" s="15"/>
      <c r="AP1877" s="15"/>
      <c r="AQ1877" s="15"/>
      <c r="AR1877" s="15"/>
      <c r="AS1877" s="15"/>
      <c r="AT1877" s="15"/>
      <c r="AU1877" s="15"/>
    </row>
    <row r="1878" ht="24.0" customHeight="1">
      <c r="A1878" s="45">
        <v>3302.0</v>
      </c>
      <c r="B1878" s="57"/>
      <c r="C1878" s="57"/>
      <c r="D1878" s="88" t="str">
        <f t="array" ref="D1878">IFERROR(
  LOOKUP(2, 1/((TRIM(IMS!$E$8:$E$2574)=TRIM(IMS!$E1878))*(IMS!$C$8:$C$2574&lt;IMS!$C1878)),
         IMS!$C$8:$C$2574),
"")</f>
        <v/>
      </c>
      <c r="E1878" s="57"/>
      <c r="F1878" s="57"/>
      <c r="G1878" s="77" t="str">
        <f t="shared" si="901"/>
        <v/>
      </c>
      <c r="H1878" s="78" t="str">
        <f t="shared" si="902"/>
        <v/>
      </c>
      <c r="I1878" s="79"/>
      <c r="J1878" s="80" t="str">
        <f t="shared" si="903"/>
        <v>#NAME?</v>
      </c>
      <c r="K1878" s="58"/>
      <c r="L1878" s="58"/>
      <c r="M1878" s="57"/>
      <c r="N1878" s="57"/>
      <c r="O1878" s="58"/>
      <c r="P1878" s="82"/>
      <c r="Q1878" s="81"/>
      <c r="R1878" s="81"/>
      <c r="S1878" s="57"/>
      <c r="T1878" s="82"/>
      <c r="U1878" s="82"/>
      <c r="V1878" s="57"/>
      <c r="W1878" s="57"/>
      <c r="X1878" s="57" t="str">
        <f t="shared" si="917"/>
        <v/>
      </c>
      <c r="Y1878" s="58" t="str">
        <f t="shared" ref="Y1878:AC1878" si="1718">TRIM(SUBSTITUTE(SUBSTITUTE(OFFSET($Q1878,0,COLUMN()-COLUMN($AL$1)),CHAR(160)," "),_xludf.UNICHAR(8239)," "))</f>
        <v>#NAME?</v>
      </c>
      <c r="Z1878" s="58" t="str">
        <f t="shared" si="1718"/>
        <v>#NAME?</v>
      </c>
      <c r="AA1878" s="58" t="str">
        <f t="shared" si="1718"/>
        <v>#NAME?</v>
      </c>
      <c r="AB1878" s="58" t="str">
        <f t="shared" si="1718"/>
        <v>#NAME?</v>
      </c>
      <c r="AC1878" s="58" t="str">
        <f t="shared" si="1718"/>
        <v>#NAME?</v>
      </c>
      <c r="AD1878" s="57">
        <f t="shared" si="906"/>
        <v>0</v>
      </c>
      <c r="AE1878" s="57" t="str">
        <f t="shared" si="907"/>
        <v/>
      </c>
      <c r="AF1878" s="57">
        <f t="shared" si="908"/>
        <v>0</v>
      </c>
      <c r="AG1878" s="59">
        <f t="shared" si="909"/>
        <v>0</v>
      </c>
      <c r="AH1878" s="15"/>
      <c r="AI1878" s="15"/>
      <c r="AJ1878" s="15"/>
      <c r="AK1878" s="15"/>
      <c r="AL1878" s="15"/>
      <c r="AM1878" s="15"/>
      <c r="AN1878" s="15"/>
      <c r="AO1878" s="15"/>
      <c r="AP1878" s="15"/>
      <c r="AQ1878" s="15"/>
      <c r="AR1878" s="15"/>
      <c r="AS1878" s="15"/>
      <c r="AT1878" s="15"/>
      <c r="AU1878" s="15"/>
    </row>
    <row r="1879" ht="24.0" customHeight="1">
      <c r="A1879" s="45">
        <v>3303.0</v>
      </c>
      <c r="B1879" s="57"/>
      <c r="C1879" s="57"/>
      <c r="D1879" s="88" t="str">
        <f t="array" ref="D1879">IFERROR(
  LOOKUP(2, 1/((TRIM(IMS!$E$8:$E$2574)=TRIM(IMS!$E1879))*(IMS!$C$8:$C$2574&lt;IMS!$C1879)),
         IMS!$C$8:$C$2574),
"")</f>
        <v/>
      </c>
      <c r="E1879" s="57"/>
      <c r="F1879" s="57"/>
      <c r="G1879" s="77" t="str">
        <f t="shared" si="901"/>
        <v/>
      </c>
      <c r="H1879" s="78" t="str">
        <f t="shared" si="902"/>
        <v/>
      </c>
      <c r="I1879" s="79"/>
      <c r="J1879" s="80" t="str">
        <f t="shared" si="903"/>
        <v>#NAME?</v>
      </c>
      <c r="K1879" s="58"/>
      <c r="L1879" s="58"/>
      <c r="M1879" s="57"/>
      <c r="N1879" s="57"/>
      <c r="O1879" s="58"/>
      <c r="P1879" s="82"/>
      <c r="Q1879" s="81"/>
      <c r="R1879" s="81"/>
      <c r="S1879" s="57"/>
      <c r="T1879" s="82"/>
      <c r="U1879" s="82"/>
      <c r="V1879" s="57"/>
      <c r="W1879" s="57"/>
      <c r="X1879" s="57" t="str">
        <f t="shared" si="917"/>
        <v/>
      </c>
      <c r="Y1879" s="58" t="str">
        <f t="shared" ref="Y1879:AC1879" si="1719">TRIM(SUBSTITUTE(SUBSTITUTE(OFFSET($Q1879,0,COLUMN()-COLUMN($AL$1)),CHAR(160)," "),_xludf.UNICHAR(8239)," "))</f>
        <v>#NAME?</v>
      </c>
      <c r="Z1879" s="58" t="str">
        <f t="shared" si="1719"/>
        <v>#NAME?</v>
      </c>
      <c r="AA1879" s="58" t="str">
        <f t="shared" si="1719"/>
        <v>#NAME?</v>
      </c>
      <c r="AB1879" s="58" t="str">
        <f t="shared" si="1719"/>
        <v>#NAME?</v>
      </c>
      <c r="AC1879" s="58" t="str">
        <f t="shared" si="1719"/>
        <v>#NAME?</v>
      </c>
      <c r="AD1879" s="57">
        <f t="shared" si="906"/>
        <v>0</v>
      </c>
      <c r="AE1879" s="57" t="str">
        <f t="shared" si="907"/>
        <v/>
      </c>
      <c r="AF1879" s="57">
        <f t="shared" si="908"/>
        <v>0</v>
      </c>
      <c r="AG1879" s="59">
        <f t="shared" si="909"/>
        <v>0</v>
      </c>
      <c r="AH1879" s="15"/>
      <c r="AI1879" s="15"/>
      <c r="AJ1879" s="15"/>
      <c r="AK1879" s="15"/>
      <c r="AL1879" s="15"/>
      <c r="AM1879" s="15"/>
      <c r="AN1879" s="15"/>
      <c r="AO1879" s="15"/>
      <c r="AP1879" s="15"/>
      <c r="AQ1879" s="15"/>
      <c r="AR1879" s="15"/>
      <c r="AS1879" s="15"/>
      <c r="AT1879" s="15"/>
      <c r="AU1879" s="15"/>
    </row>
    <row r="1880" ht="24.0" customHeight="1">
      <c r="A1880" s="45">
        <v>3304.0</v>
      </c>
      <c r="B1880" s="57"/>
      <c r="C1880" s="57"/>
      <c r="D1880" s="88" t="str">
        <f t="array" ref="D1880">IFERROR(
  LOOKUP(2, 1/((TRIM(IMS!$E$8:$E$2574)=TRIM(IMS!$E1880))*(IMS!$C$8:$C$2574&lt;IMS!$C1880)),
         IMS!$C$8:$C$2574),
"")</f>
        <v/>
      </c>
      <c r="E1880" s="57"/>
      <c r="F1880" s="57"/>
      <c r="G1880" s="77" t="str">
        <f t="shared" si="901"/>
        <v/>
      </c>
      <c r="H1880" s="78" t="str">
        <f t="shared" si="902"/>
        <v/>
      </c>
      <c r="I1880" s="79"/>
      <c r="J1880" s="80" t="str">
        <f t="shared" si="903"/>
        <v>#NAME?</v>
      </c>
      <c r="K1880" s="58"/>
      <c r="L1880" s="58"/>
      <c r="M1880" s="57"/>
      <c r="N1880" s="57"/>
      <c r="O1880" s="58"/>
      <c r="P1880" s="82"/>
      <c r="Q1880" s="81"/>
      <c r="R1880" s="81"/>
      <c r="S1880" s="57"/>
      <c r="T1880" s="82"/>
      <c r="U1880" s="82"/>
      <c r="V1880" s="57"/>
      <c r="W1880" s="57"/>
      <c r="X1880" s="57" t="str">
        <f t="shared" si="917"/>
        <v/>
      </c>
      <c r="Y1880" s="58" t="str">
        <f t="shared" ref="Y1880:AC1880" si="1720">TRIM(SUBSTITUTE(SUBSTITUTE(OFFSET($Q1880,0,COLUMN()-COLUMN($AL$1)),CHAR(160)," "),_xludf.UNICHAR(8239)," "))</f>
        <v>#NAME?</v>
      </c>
      <c r="Z1880" s="58" t="str">
        <f t="shared" si="1720"/>
        <v>#NAME?</v>
      </c>
      <c r="AA1880" s="58" t="str">
        <f t="shared" si="1720"/>
        <v>#NAME?</v>
      </c>
      <c r="AB1880" s="58" t="str">
        <f t="shared" si="1720"/>
        <v>#NAME?</v>
      </c>
      <c r="AC1880" s="58" t="str">
        <f t="shared" si="1720"/>
        <v>#NAME?</v>
      </c>
      <c r="AD1880" s="57">
        <f t="shared" si="906"/>
        <v>0</v>
      </c>
      <c r="AE1880" s="57" t="str">
        <f t="shared" si="907"/>
        <v/>
      </c>
      <c r="AF1880" s="57">
        <f t="shared" si="908"/>
        <v>0</v>
      </c>
      <c r="AG1880" s="59">
        <f t="shared" si="909"/>
        <v>0</v>
      </c>
      <c r="AH1880" s="15"/>
      <c r="AI1880" s="15"/>
      <c r="AJ1880" s="15"/>
      <c r="AK1880" s="15"/>
      <c r="AL1880" s="15"/>
      <c r="AM1880" s="15"/>
      <c r="AN1880" s="15"/>
      <c r="AO1880" s="15"/>
      <c r="AP1880" s="15"/>
      <c r="AQ1880" s="15"/>
      <c r="AR1880" s="15"/>
      <c r="AS1880" s="15"/>
      <c r="AT1880" s="15"/>
      <c r="AU1880" s="15"/>
    </row>
    <row r="1881" ht="24.0" customHeight="1">
      <c r="A1881" s="45">
        <v>3305.0</v>
      </c>
      <c r="B1881" s="57"/>
      <c r="C1881" s="57"/>
      <c r="D1881" s="88" t="str">
        <f t="array" ref="D1881">IFERROR(
  LOOKUP(2, 1/((TRIM(IMS!$E$8:$E$2574)=TRIM(IMS!$E1881))*(IMS!$C$8:$C$2574&lt;IMS!$C1881)),
         IMS!$C$8:$C$2574),
"")</f>
        <v/>
      </c>
      <c r="E1881" s="57"/>
      <c r="F1881" s="57"/>
      <c r="G1881" s="77" t="str">
        <f t="shared" si="901"/>
        <v/>
      </c>
      <c r="H1881" s="78" t="str">
        <f t="shared" si="902"/>
        <v/>
      </c>
      <c r="I1881" s="79"/>
      <c r="J1881" s="80" t="str">
        <f t="shared" si="903"/>
        <v>#NAME?</v>
      </c>
      <c r="K1881" s="58"/>
      <c r="L1881" s="58"/>
      <c r="M1881" s="57"/>
      <c r="N1881" s="57"/>
      <c r="O1881" s="58"/>
      <c r="P1881" s="82"/>
      <c r="Q1881" s="81"/>
      <c r="R1881" s="81"/>
      <c r="S1881" s="57"/>
      <c r="T1881" s="82"/>
      <c r="U1881" s="82"/>
      <c r="V1881" s="57"/>
      <c r="W1881" s="57"/>
      <c r="X1881" s="57" t="str">
        <f t="shared" si="917"/>
        <v/>
      </c>
      <c r="Y1881" s="58" t="str">
        <f t="shared" ref="Y1881:AC1881" si="1721">TRIM(SUBSTITUTE(SUBSTITUTE(OFFSET($Q1881,0,COLUMN()-COLUMN($AL$1)),CHAR(160)," "),_xludf.UNICHAR(8239)," "))</f>
        <v>#NAME?</v>
      </c>
      <c r="Z1881" s="58" t="str">
        <f t="shared" si="1721"/>
        <v>#NAME?</v>
      </c>
      <c r="AA1881" s="58" t="str">
        <f t="shared" si="1721"/>
        <v>#NAME?</v>
      </c>
      <c r="AB1881" s="58" t="str">
        <f t="shared" si="1721"/>
        <v>#NAME?</v>
      </c>
      <c r="AC1881" s="58" t="str">
        <f t="shared" si="1721"/>
        <v>#NAME?</v>
      </c>
      <c r="AD1881" s="57">
        <f t="shared" si="906"/>
        <v>0</v>
      </c>
      <c r="AE1881" s="57" t="str">
        <f t="shared" si="907"/>
        <v/>
      </c>
      <c r="AF1881" s="57">
        <f t="shared" si="908"/>
        <v>0</v>
      </c>
      <c r="AG1881" s="59">
        <f t="shared" si="909"/>
        <v>0</v>
      </c>
      <c r="AH1881" s="15"/>
      <c r="AI1881" s="15"/>
      <c r="AJ1881" s="15"/>
      <c r="AK1881" s="15"/>
      <c r="AL1881" s="15"/>
      <c r="AM1881" s="15"/>
      <c r="AN1881" s="15"/>
      <c r="AO1881" s="15"/>
      <c r="AP1881" s="15"/>
      <c r="AQ1881" s="15"/>
      <c r="AR1881" s="15"/>
      <c r="AS1881" s="15"/>
      <c r="AT1881" s="15"/>
      <c r="AU1881" s="15"/>
    </row>
    <row r="1882" ht="24.0" customHeight="1">
      <c r="A1882" s="45">
        <v>3306.0</v>
      </c>
      <c r="B1882" s="57"/>
      <c r="C1882" s="57"/>
      <c r="D1882" s="88" t="str">
        <f t="array" ref="D1882">IFERROR(
  LOOKUP(2, 1/((TRIM(IMS!$E$8:$E$2574)=TRIM(IMS!$E1882))*(IMS!$C$8:$C$2574&lt;IMS!$C1882)),
         IMS!$C$8:$C$2574),
"")</f>
        <v/>
      </c>
      <c r="E1882" s="57"/>
      <c r="F1882" s="57"/>
      <c r="G1882" s="77" t="str">
        <f t="shared" si="901"/>
        <v/>
      </c>
      <c r="H1882" s="78" t="str">
        <f t="shared" si="902"/>
        <v/>
      </c>
      <c r="I1882" s="79"/>
      <c r="J1882" s="80" t="str">
        <f t="shared" si="903"/>
        <v>#NAME?</v>
      </c>
      <c r="K1882" s="58"/>
      <c r="L1882" s="58"/>
      <c r="M1882" s="57"/>
      <c r="N1882" s="57"/>
      <c r="O1882" s="58"/>
      <c r="P1882" s="82"/>
      <c r="Q1882" s="81"/>
      <c r="R1882" s="81"/>
      <c r="S1882" s="57"/>
      <c r="T1882" s="82"/>
      <c r="U1882" s="82"/>
      <c r="V1882" s="57"/>
      <c r="W1882" s="57"/>
      <c r="X1882" s="57" t="str">
        <f t="shared" si="917"/>
        <v/>
      </c>
      <c r="Y1882" s="58" t="str">
        <f t="shared" ref="Y1882:AC1882" si="1722">TRIM(SUBSTITUTE(SUBSTITUTE(OFFSET($Q1882,0,COLUMN()-COLUMN($AL$1)),CHAR(160)," "),_xludf.UNICHAR(8239)," "))</f>
        <v>#NAME?</v>
      </c>
      <c r="Z1882" s="58" t="str">
        <f t="shared" si="1722"/>
        <v>#NAME?</v>
      </c>
      <c r="AA1882" s="58" t="str">
        <f t="shared" si="1722"/>
        <v>#NAME?</v>
      </c>
      <c r="AB1882" s="58" t="str">
        <f t="shared" si="1722"/>
        <v>#NAME?</v>
      </c>
      <c r="AC1882" s="58" t="str">
        <f t="shared" si="1722"/>
        <v>#NAME?</v>
      </c>
      <c r="AD1882" s="57">
        <f t="shared" si="906"/>
        <v>0</v>
      </c>
      <c r="AE1882" s="57" t="str">
        <f t="shared" si="907"/>
        <v/>
      </c>
      <c r="AF1882" s="57">
        <f t="shared" si="908"/>
        <v>0</v>
      </c>
      <c r="AG1882" s="59">
        <f t="shared" si="909"/>
        <v>0</v>
      </c>
      <c r="AH1882" s="15"/>
      <c r="AI1882" s="15"/>
      <c r="AJ1882" s="15"/>
      <c r="AK1882" s="15"/>
      <c r="AL1882" s="15"/>
      <c r="AM1882" s="15"/>
      <c r="AN1882" s="15"/>
      <c r="AO1882" s="15"/>
      <c r="AP1882" s="15"/>
      <c r="AQ1882" s="15"/>
      <c r="AR1882" s="15"/>
      <c r="AS1882" s="15"/>
      <c r="AT1882" s="15"/>
      <c r="AU1882" s="15"/>
    </row>
    <row r="1883" ht="24.0" customHeight="1">
      <c r="A1883" s="45">
        <v>3307.0</v>
      </c>
      <c r="B1883" s="57"/>
      <c r="C1883" s="57"/>
      <c r="D1883" s="88" t="str">
        <f t="array" ref="D1883">IFERROR(
  LOOKUP(2, 1/((TRIM(IMS!$E$8:$E$2574)=TRIM(IMS!$E1883))*(IMS!$C$8:$C$2574&lt;IMS!$C1883)),
         IMS!$C$8:$C$2574),
"")</f>
        <v/>
      </c>
      <c r="E1883" s="57"/>
      <c r="F1883" s="57"/>
      <c r="G1883" s="77" t="str">
        <f t="shared" si="901"/>
        <v/>
      </c>
      <c r="H1883" s="78" t="str">
        <f t="shared" si="902"/>
        <v/>
      </c>
      <c r="I1883" s="79"/>
      <c r="J1883" s="80" t="str">
        <f t="shared" si="903"/>
        <v>#NAME?</v>
      </c>
      <c r="K1883" s="58"/>
      <c r="L1883" s="58"/>
      <c r="M1883" s="57"/>
      <c r="N1883" s="57"/>
      <c r="O1883" s="58"/>
      <c r="P1883" s="82"/>
      <c r="Q1883" s="81"/>
      <c r="R1883" s="81"/>
      <c r="S1883" s="57"/>
      <c r="T1883" s="82"/>
      <c r="U1883" s="82"/>
      <c r="V1883" s="57"/>
      <c r="W1883" s="57"/>
      <c r="X1883" s="57" t="str">
        <f t="shared" si="917"/>
        <v/>
      </c>
      <c r="Y1883" s="58" t="str">
        <f t="shared" ref="Y1883:AC1883" si="1723">TRIM(SUBSTITUTE(SUBSTITUTE(OFFSET($Q1883,0,COLUMN()-COLUMN($AL$1)),CHAR(160)," "),_xludf.UNICHAR(8239)," "))</f>
        <v>#NAME?</v>
      </c>
      <c r="Z1883" s="58" t="str">
        <f t="shared" si="1723"/>
        <v>#NAME?</v>
      </c>
      <c r="AA1883" s="58" t="str">
        <f t="shared" si="1723"/>
        <v>#NAME?</v>
      </c>
      <c r="AB1883" s="58" t="str">
        <f t="shared" si="1723"/>
        <v>#NAME?</v>
      </c>
      <c r="AC1883" s="58" t="str">
        <f t="shared" si="1723"/>
        <v>#NAME?</v>
      </c>
      <c r="AD1883" s="57">
        <f t="shared" si="906"/>
        <v>0</v>
      </c>
      <c r="AE1883" s="57" t="str">
        <f t="shared" si="907"/>
        <v/>
      </c>
      <c r="AF1883" s="57">
        <f t="shared" si="908"/>
        <v>0</v>
      </c>
      <c r="AG1883" s="59">
        <f t="shared" si="909"/>
        <v>0</v>
      </c>
      <c r="AH1883" s="15"/>
      <c r="AI1883" s="15"/>
      <c r="AJ1883" s="15"/>
      <c r="AK1883" s="15"/>
      <c r="AL1883" s="15"/>
      <c r="AM1883" s="15"/>
      <c r="AN1883" s="15"/>
      <c r="AO1883" s="15"/>
      <c r="AP1883" s="15"/>
      <c r="AQ1883" s="15"/>
      <c r="AR1883" s="15"/>
      <c r="AS1883" s="15"/>
      <c r="AT1883" s="15"/>
      <c r="AU1883" s="15"/>
    </row>
    <row r="1884" ht="24.0" customHeight="1">
      <c r="A1884" s="45">
        <v>3308.0</v>
      </c>
      <c r="B1884" s="57"/>
      <c r="C1884" s="57"/>
      <c r="D1884" s="88" t="str">
        <f t="array" ref="D1884">IFERROR(
  LOOKUP(2, 1/((TRIM(IMS!$E$8:$E$2574)=TRIM(IMS!$E1884))*(IMS!$C$8:$C$2574&lt;IMS!$C1884)),
         IMS!$C$8:$C$2574),
"")</f>
        <v/>
      </c>
      <c r="E1884" s="57"/>
      <c r="F1884" s="57"/>
      <c r="G1884" s="77" t="str">
        <f t="shared" si="901"/>
        <v/>
      </c>
      <c r="H1884" s="78" t="str">
        <f t="shared" si="902"/>
        <v/>
      </c>
      <c r="I1884" s="79"/>
      <c r="J1884" s="80" t="str">
        <f t="shared" si="903"/>
        <v>#NAME?</v>
      </c>
      <c r="K1884" s="58"/>
      <c r="L1884" s="58"/>
      <c r="M1884" s="57"/>
      <c r="N1884" s="57"/>
      <c r="O1884" s="58"/>
      <c r="P1884" s="82"/>
      <c r="Q1884" s="81"/>
      <c r="R1884" s="81"/>
      <c r="S1884" s="57"/>
      <c r="T1884" s="82"/>
      <c r="U1884" s="82"/>
      <c r="V1884" s="57"/>
      <c r="W1884" s="57"/>
      <c r="X1884" s="57" t="str">
        <f t="shared" si="917"/>
        <v/>
      </c>
      <c r="Y1884" s="58" t="str">
        <f t="shared" ref="Y1884:AC1884" si="1724">TRIM(SUBSTITUTE(SUBSTITUTE(OFFSET($Q1884,0,COLUMN()-COLUMN($AL$1)),CHAR(160)," "),_xludf.UNICHAR(8239)," "))</f>
        <v>#NAME?</v>
      </c>
      <c r="Z1884" s="58" t="str">
        <f t="shared" si="1724"/>
        <v>#NAME?</v>
      </c>
      <c r="AA1884" s="58" t="str">
        <f t="shared" si="1724"/>
        <v>#NAME?</v>
      </c>
      <c r="AB1884" s="58" t="str">
        <f t="shared" si="1724"/>
        <v>#NAME?</v>
      </c>
      <c r="AC1884" s="58" t="str">
        <f t="shared" si="1724"/>
        <v>#NAME?</v>
      </c>
      <c r="AD1884" s="57">
        <f t="shared" si="906"/>
        <v>0</v>
      </c>
      <c r="AE1884" s="57" t="str">
        <f t="shared" si="907"/>
        <v/>
      </c>
      <c r="AF1884" s="57">
        <f t="shared" si="908"/>
        <v>0</v>
      </c>
      <c r="AG1884" s="59">
        <f t="shared" si="909"/>
        <v>0</v>
      </c>
      <c r="AH1884" s="15"/>
      <c r="AI1884" s="15"/>
      <c r="AJ1884" s="15"/>
      <c r="AK1884" s="15"/>
      <c r="AL1884" s="15"/>
      <c r="AM1884" s="15"/>
      <c r="AN1884" s="15"/>
      <c r="AO1884" s="15"/>
      <c r="AP1884" s="15"/>
      <c r="AQ1884" s="15"/>
      <c r="AR1884" s="15"/>
      <c r="AS1884" s="15"/>
      <c r="AT1884" s="15"/>
      <c r="AU1884" s="15"/>
    </row>
    <row r="1885" ht="24.0" customHeight="1">
      <c r="A1885" s="45">
        <v>3309.0</v>
      </c>
      <c r="B1885" s="57"/>
      <c r="C1885" s="57"/>
      <c r="D1885" s="88" t="str">
        <f t="array" ref="D1885">IFERROR(
  LOOKUP(2, 1/((TRIM(IMS!$E$8:$E$2574)=TRIM(IMS!$E1885))*(IMS!$C$8:$C$2574&lt;IMS!$C1885)),
         IMS!$C$8:$C$2574),
"")</f>
        <v/>
      </c>
      <c r="E1885" s="57"/>
      <c r="F1885" s="57"/>
      <c r="G1885" s="77" t="str">
        <f t="shared" si="901"/>
        <v/>
      </c>
      <c r="H1885" s="78" t="str">
        <f t="shared" si="902"/>
        <v/>
      </c>
      <c r="I1885" s="79"/>
      <c r="J1885" s="80" t="str">
        <f t="shared" si="903"/>
        <v>#NAME?</v>
      </c>
      <c r="K1885" s="58"/>
      <c r="L1885" s="58"/>
      <c r="M1885" s="57"/>
      <c r="N1885" s="57"/>
      <c r="O1885" s="58"/>
      <c r="P1885" s="82"/>
      <c r="Q1885" s="81"/>
      <c r="R1885" s="81"/>
      <c r="S1885" s="57"/>
      <c r="T1885" s="82"/>
      <c r="U1885" s="82"/>
      <c r="V1885" s="57"/>
      <c r="W1885" s="57"/>
      <c r="X1885" s="57" t="str">
        <f t="shared" si="917"/>
        <v/>
      </c>
      <c r="Y1885" s="58" t="str">
        <f t="shared" ref="Y1885:AC1885" si="1725">TRIM(SUBSTITUTE(SUBSTITUTE(OFFSET($Q1885,0,COLUMN()-COLUMN($AL$1)),CHAR(160)," "),_xludf.UNICHAR(8239)," "))</f>
        <v>#NAME?</v>
      </c>
      <c r="Z1885" s="58" t="str">
        <f t="shared" si="1725"/>
        <v>#NAME?</v>
      </c>
      <c r="AA1885" s="58" t="str">
        <f t="shared" si="1725"/>
        <v>#NAME?</v>
      </c>
      <c r="AB1885" s="58" t="str">
        <f t="shared" si="1725"/>
        <v>#NAME?</v>
      </c>
      <c r="AC1885" s="58" t="str">
        <f t="shared" si="1725"/>
        <v>#NAME?</v>
      </c>
      <c r="AD1885" s="57">
        <f t="shared" si="906"/>
        <v>0</v>
      </c>
      <c r="AE1885" s="57" t="str">
        <f t="shared" si="907"/>
        <v/>
      </c>
      <c r="AF1885" s="57">
        <f t="shared" si="908"/>
        <v>0</v>
      </c>
      <c r="AG1885" s="59">
        <f t="shared" si="909"/>
        <v>0</v>
      </c>
      <c r="AH1885" s="15"/>
      <c r="AI1885" s="15"/>
      <c r="AJ1885" s="15"/>
      <c r="AK1885" s="15"/>
      <c r="AL1885" s="15"/>
      <c r="AM1885" s="15"/>
      <c r="AN1885" s="15"/>
      <c r="AO1885" s="15"/>
      <c r="AP1885" s="15"/>
      <c r="AQ1885" s="15"/>
      <c r="AR1885" s="15"/>
      <c r="AS1885" s="15"/>
      <c r="AT1885" s="15"/>
      <c r="AU1885" s="15"/>
    </row>
    <row r="1886" ht="24.0" customHeight="1">
      <c r="A1886" s="45">
        <v>3310.0</v>
      </c>
      <c r="B1886" s="57"/>
      <c r="C1886" s="57"/>
      <c r="D1886" s="88" t="str">
        <f t="array" ref="D1886">IFERROR(
  LOOKUP(2, 1/((TRIM(IMS!$E$8:$E$2574)=TRIM(IMS!$E1886))*(IMS!$C$8:$C$2574&lt;IMS!$C1886)),
         IMS!$C$8:$C$2574),
"")</f>
        <v/>
      </c>
      <c r="E1886" s="57"/>
      <c r="F1886" s="57"/>
      <c r="G1886" s="77" t="str">
        <f t="shared" si="901"/>
        <v/>
      </c>
      <c r="H1886" s="78" t="str">
        <f t="shared" si="902"/>
        <v/>
      </c>
      <c r="I1886" s="79"/>
      <c r="J1886" s="80" t="str">
        <f t="shared" si="903"/>
        <v>#NAME?</v>
      </c>
      <c r="K1886" s="58"/>
      <c r="L1886" s="58"/>
      <c r="M1886" s="57"/>
      <c r="N1886" s="57"/>
      <c r="O1886" s="58"/>
      <c r="P1886" s="82"/>
      <c r="Q1886" s="81"/>
      <c r="R1886" s="81"/>
      <c r="S1886" s="57"/>
      <c r="T1886" s="82"/>
      <c r="U1886" s="82"/>
      <c r="V1886" s="57"/>
      <c r="W1886" s="57"/>
      <c r="X1886" s="57" t="str">
        <f t="shared" si="917"/>
        <v/>
      </c>
      <c r="Y1886" s="58" t="str">
        <f t="shared" ref="Y1886:AC1886" si="1726">TRIM(SUBSTITUTE(SUBSTITUTE(OFFSET($Q1886,0,COLUMN()-COLUMN($AL$1)),CHAR(160)," "),_xludf.UNICHAR(8239)," "))</f>
        <v>#NAME?</v>
      </c>
      <c r="Z1886" s="58" t="str">
        <f t="shared" si="1726"/>
        <v>#NAME?</v>
      </c>
      <c r="AA1886" s="58" t="str">
        <f t="shared" si="1726"/>
        <v>#NAME?</v>
      </c>
      <c r="AB1886" s="58" t="str">
        <f t="shared" si="1726"/>
        <v>#NAME?</v>
      </c>
      <c r="AC1886" s="58" t="str">
        <f t="shared" si="1726"/>
        <v>#NAME?</v>
      </c>
      <c r="AD1886" s="57">
        <f t="shared" si="906"/>
        <v>0</v>
      </c>
      <c r="AE1886" s="57" t="str">
        <f t="shared" si="907"/>
        <v/>
      </c>
      <c r="AF1886" s="57">
        <f t="shared" si="908"/>
        <v>0</v>
      </c>
      <c r="AG1886" s="59">
        <f t="shared" si="909"/>
        <v>0</v>
      </c>
      <c r="AH1886" s="15"/>
      <c r="AI1886" s="15"/>
      <c r="AJ1886" s="15"/>
      <c r="AK1886" s="15"/>
      <c r="AL1886" s="15"/>
      <c r="AM1886" s="15"/>
      <c r="AN1886" s="15"/>
      <c r="AO1886" s="15"/>
      <c r="AP1886" s="15"/>
      <c r="AQ1886" s="15"/>
      <c r="AR1886" s="15"/>
      <c r="AS1886" s="15"/>
      <c r="AT1886" s="15"/>
      <c r="AU1886" s="15"/>
    </row>
    <row r="1887" ht="24.0" customHeight="1">
      <c r="A1887" s="45">
        <v>3311.0</v>
      </c>
      <c r="B1887" s="57"/>
      <c r="C1887" s="57"/>
      <c r="D1887" s="88" t="str">
        <f t="array" ref="D1887">IFERROR(
  LOOKUP(2, 1/((TRIM(IMS!$E$8:$E$2574)=TRIM(IMS!$E1887))*(IMS!$C$8:$C$2574&lt;IMS!$C1887)),
         IMS!$C$8:$C$2574),
"")</f>
        <v/>
      </c>
      <c r="E1887" s="57"/>
      <c r="F1887" s="57"/>
      <c r="G1887" s="77" t="str">
        <f t="shared" si="901"/>
        <v/>
      </c>
      <c r="H1887" s="78" t="str">
        <f t="shared" si="902"/>
        <v/>
      </c>
      <c r="I1887" s="79"/>
      <c r="J1887" s="80" t="str">
        <f t="shared" si="903"/>
        <v>#NAME?</v>
      </c>
      <c r="K1887" s="58"/>
      <c r="L1887" s="58"/>
      <c r="M1887" s="57"/>
      <c r="N1887" s="57"/>
      <c r="O1887" s="58"/>
      <c r="P1887" s="82"/>
      <c r="Q1887" s="81"/>
      <c r="R1887" s="81"/>
      <c r="S1887" s="57"/>
      <c r="T1887" s="82"/>
      <c r="U1887" s="82"/>
      <c r="V1887" s="57"/>
      <c r="W1887" s="57"/>
      <c r="X1887" s="57" t="str">
        <f t="shared" si="917"/>
        <v/>
      </c>
      <c r="Y1887" s="58" t="str">
        <f t="shared" ref="Y1887:AC1887" si="1727">TRIM(SUBSTITUTE(SUBSTITUTE(OFFSET($Q1887,0,COLUMN()-COLUMN($AL$1)),CHAR(160)," "),_xludf.UNICHAR(8239)," "))</f>
        <v>#NAME?</v>
      </c>
      <c r="Z1887" s="58" t="str">
        <f t="shared" si="1727"/>
        <v>#NAME?</v>
      </c>
      <c r="AA1887" s="58" t="str">
        <f t="shared" si="1727"/>
        <v>#NAME?</v>
      </c>
      <c r="AB1887" s="58" t="str">
        <f t="shared" si="1727"/>
        <v>#NAME?</v>
      </c>
      <c r="AC1887" s="58" t="str">
        <f t="shared" si="1727"/>
        <v>#NAME?</v>
      </c>
      <c r="AD1887" s="57">
        <f t="shared" si="906"/>
        <v>0</v>
      </c>
      <c r="AE1887" s="57" t="str">
        <f t="shared" si="907"/>
        <v/>
      </c>
      <c r="AF1887" s="57">
        <f t="shared" si="908"/>
        <v>0</v>
      </c>
      <c r="AG1887" s="59">
        <f t="shared" si="909"/>
        <v>0</v>
      </c>
      <c r="AH1887" s="15"/>
      <c r="AI1887" s="15"/>
      <c r="AJ1887" s="15"/>
      <c r="AK1887" s="15"/>
      <c r="AL1887" s="15"/>
      <c r="AM1887" s="15"/>
      <c r="AN1887" s="15"/>
      <c r="AO1887" s="15"/>
      <c r="AP1887" s="15"/>
      <c r="AQ1887" s="15"/>
      <c r="AR1887" s="15"/>
      <c r="AS1887" s="15"/>
      <c r="AT1887" s="15"/>
      <c r="AU1887" s="15"/>
    </row>
    <row r="1888" ht="24.0" customHeight="1">
      <c r="A1888" s="45">
        <v>3312.0</v>
      </c>
      <c r="B1888" s="57"/>
      <c r="C1888" s="57"/>
      <c r="D1888" s="88" t="str">
        <f t="array" ref="D1888">IFERROR(
  LOOKUP(2, 1/((TRIM(IMS!$E$8:$E$2574)=TRIM(IMS!$E1888))*(IMS!$C$8:$C$2574&lt;IMS!$C1888)),
         IMS!$C$8:$C$2574),
"")</f>
        <v/>
      </c>
      <c r="E1888" s="57"/>
      <c r="F1888" s="57"/>
      <c r="G1888" s="77" t="str">
        <f t="shared" si="901"/>
        <v/>
      </c>
      <c r="H1888" s="78" t="str">
        <f t="shared" si="902"/>
        <v/>
      </c>
      <c r="I1888" s="79"/>
      <c r="J1888" s="80" t="str">
        <f t="shared" si="903"/>
        <v>#NAME?</v>
      </c>
      <c r="K1888" s="58"/>
      <c r="L1888" s="58"/>
      <c r="M1888" s="57"/>
      <c r="N1888" s="57"/>
      <c r="O1888" s="58"/>
      <c r="P1888" s="82"/>
      <c r="Q1888" s="81"/>
      <c r="R1888" s="81"/>
      <c r="S1888" s="57"/>
      <c r="T1888" s="82"/>
      <c r="U1888" s="82"/>
      <c r="V1888" s="57"/>
      <c r="W1888" s="57"/>
      <c r="X1888" s="57" t="str">
        <f t="shared" si="917"/>
        <v/>
      </c>
      <c r="Y1888" s="58" t="str">
        <f t="shared" ref="Y1888:AC1888" si="1728">TRIM(SUBSTITUTE(SUBSTITUTE(OFFSET($Q1888,0,COLUMN()-COLUMN($AL$1)),CHAR(160)," "),_xludf.UNICHAR(8239)," "))</f>
        <v>#NAME?</v>
      </c>
      <c r="Z1888" s="58" t="str">
        <f t="shared" si="1728"/>
        <v>#NAME?</v>
      </c>
      <c r="AA1888" s="58" t="str">
        <f t="shared" si="1728"/>
        <v>#NAME?</v>
      </c>
      <c r="AB1888" s="58" t="str">
        <f t="shared" si="1728"/>
        <v>#NAME?</v>
      </c>
      <c r="AC1888" s="58" t="str">
        <f t="shared" si="1728"/>
        <v>#NAME?</v>
      </c>
      <c r="AD1888" s="57">
        <f t="shared" si="906"/>
        <v>0</v>
      </c>
      <c r="AE1888" s="57" t="str">
        <f t="shared" si="907"/>
        <v/>
      </c>
      <c r="AF1888" s="57">
        <f t="shared" si="908"/>
        <v>0</v>
      </c>
      <c r="AG1888" s="59">
        <f t="shared" si="909"/>
        <v>0</v>
      </c>
      <c r="AH1888" s="15"/>
      <c r="AI1888" s="15"/>
      <c r="AJ1888" s="15"/>
      <c r="AK1888" s="15"/>
      <c r="AL1888" s="15"/>
      <c r="AM1888" s="15"/>
      <c r="AN1888" s="15"/>
      <c r="AO1888" s="15"/>
      <c r="AP1888" s="15"/>
      <c r="AQ1888" s="15"/>
      <c r="AR1888" s="15"/>
      <c r="AS1888" s="15"/>
      <c r="AT1888" s="15"/>
      <c r="AU1888" s="15"/>
    </row>
    <row r="1889" ht="24.0" customHeight="1">
      <c r="A1889" s="45">
        <v>3313.0</v>
      </c>
      <c r="B1889" s="57"/>
      <c r="C1889" s="57"/>
      <c r="D1889" s="88" t="str">
        <f t="array" ref="D1889">IFERROR(
  LOOKUP(2, 1/((TRIM(IMS!$E$8:$E$2574)=TRIM(IMS!$E1889))*(IMS!$C$8:$C$2574&lt;IMS!$C1889)),
         IMS!$C$8:$C$2574),
"")</f>
        <v/>
      </c>
      <c r="E1889" s="57"/>
      <c r="F1889" s="57"/>
      <c r="G1889" s="77" t="str">
        <f t="shared" si="901"/>
        <v/>
      </c>
      <c r="H1889" s="78" t="str">
        <f t="shared" si="902"/>
        <v/>
      </c>
      <c r="I1889" s="79"/>
      <c r="J1889" s="80" t="str">
        <f t="shared" si="903"/>
        <v>#NAME?</v>
      </c>
      <c r="K1889" s="58"/>
      <c r="L1889" s="58"/>
      <c r="M1889" s="57"/>
      <c r="N1889" s="57"/>
      <c r="O1889" s="58"/>
      <c r="P1889" s="82"/>
      <c r="Q1889" s="81"/>
      <c r="R1889" s="81"/>
      <c r="S1889" s="57"/>
      <c r="T1889" s="82"/>
      <c r="U1889" s="82"/>
      <c r="V1889" s="57"/>
      <c r="W1889" s="57"/>
      <c r="X1889" s="57" t="str">
        <f t="shared" si="917"/>
        <v/>
      </c>
      <c r="Y1889" s="58" t="str">
        <f t="shared" ref="Y1889:AC1889" si="1729">TRIM(SUBSTITUTE(SUBSTITUTE(OFFSET($Q1889,0,COLUMN()-COLUMN($AL$1)),CHAR(160)," "),_xludf.UNICHAR(8239)," "))</f>
        <v>#NAME?</v>
      </c>
      <c r="Z1889" s="58" t="str">
        <f t="shared" si="1729"/>
        <v>#NAME?</v>
      </c>
      <c r="AA1889" s="58" t="str">
        <f t="shared" si="1729"/>
        <v>#NAME?</v>
      </c>
      <c r="AB1889" s="58" t="str">
        <f t="shared" si="1729"/>
        <v>#NAME?</v>
      </c>
      <c r="AC1889" s="58" t="str">
        <f t="shared" si="1729"/>
        <v>#NAME?</v>
      </c>
      <c r="AD1889" s="57">
        <f t="shared" si="906"/>
        <v>0</v>
      </c>
      <c r="AE1889" s="57" t="str">
        <f t="shared" si="907"/>
        <v/>
      </c>
      <c r="AF1889" s="57">
        <f t="shared" si="908"/>
        <v>0</v>
      </c>
      <c r="AG1889" s="59">
        <f t="shared" si="909"/>
        <v>0</v>
      </c>
      <c r="AH1889" s="15"/>
      <c r="AI1889" s="15"/>
      <c r="AJ1889" s="15"/>
      <c r="AK1889" s="15"/>
      <c r="AL1889" s="15"/>
      <c r="AM1889" s="15"/>
      <c r="AN1889" s="15"/>
      <c r="AO1889" s="15"/>
      <c r="AP1889" s="15"/>
      <c r="AQ1889" s="15"/>
      <c r="AR1889" s="15"/>
      <c r="AS1889" s="15"/>
      <c r="AT1889" s="15"/>
      <c r="AU1889" s="15"/>
    </row>
    <row r="1890" ht="24.0" customHeight="1">
      <c r="A1890" s="45">
        <v>3314.0</v>
      </c>
      <c r="B1890" s="57"/>
      <c r="C1890" s="57"/>
      <c r="D1890" s="88" t="str">
        <f t="array" ref="D1890">IFERROR(
  LOOKUP(2, 1/((TRIM(IMS!$E$8:$E$2574)=TRIM(IMS!$E1890))*(IMS!$C$8:$C$2574&lt;IMS!$C1890)),
         IMS!$C$8:$C$2574),
"")</f>
        <v/>
      </c>
      <c r="E1890" s="57"/>
      <c r="F1890" s="57"/>
      <c r="G1890" s="77" t="str">
        <f t="shared" si="901"/>
        <v/>
      </c>
      <c r="H1890" s="78" t="str">
        <f t="shared" si="902"/>
        <v/>
      </c>
      <c r="I1890" s="79"/>
      <c r="J1890" s="80" t="str">
        <f t="shared" si="903"/>
        <v>#NAME?</v>
      </c>
      <c r="K1890" s="58"/>
      <c r="L1890" s="58"/>
      <c r="M1890" s="57"/>
      <c r="N1890" s="57"/>
      <c r="O1890" s="58"/>
      <c r="P1890" s="82"/>
      <c r="Q1890" s="81"/>
      <c r="R1890" s="81"/>
      <c r="S1890" s="57"/>
      <c r="T1890" s="82"/>
      <c r="U1890" s="82"/>
      <c r="V1890" s="57"/>
      <c r="W1890" s="57"/>
      <c r="X1890" s="57" t="str">
        <f t="shared" si="917"/>
        <v/>
      </c>
      <c r="Y1890" s="58" t="str">
        <f t="shared" ref="Y1890:AC1890" si="1730">TRIM(SUBSTITUTE(SUBSTITUTE(OFFSET($Q1890,0,COLUMN()-COLUMN($AL$1)),CHAR(160)," "),_xludf.UNICHAR(8239)," "))</f>
        <v>#NAME?</v>
      </c>
      <c r="Z1890" s="58" t="str">
        <f t="shared" si="1730"/>
        <v>#NAME?</v>
      </c>
      <c r="AA1890" s="58" t="str">
        <f t="shared" si="1730"/>
        <v>#NAME?</v>
      </c>
      <c r="AB1890" s="58" t="str">
        <f t="shared" si="1730"/>
        <v>#NAME?</v>
      </c>
      <c r="AC1890" s="58" t="str">
        <f t="shared" si="1730"/>
        <v>#NAME?</v>
      </c>
      <c r="AD1890" s="57">
        <f t="shared" si="906"/>
        <v>0</v>
      </c>
      <c r="AE1890" s="57" t="str">
        <f t="shared" si="907"/>
        <v/>
      </c>
      <c r="AF1890" s="57">
        <f t="shared" si="908"/>
        <v>0</v>
      </c>
      <c r="AG1890" s="59">
        <f t="shared" si="909"/>
        <v>0</v>
      </c>
      <c r="AH1890" s="15"/>
      <c r="AI1890" s="15"/>
      <c r="AJ1890" s="15"/>
      <c r="AK1890" s="15"/>
      <c r="AL1890" s="15"/>
      <c r="AM1890" s="15"/>
      <c r="AN1890" s="15"/>
      <c r="AO1890" s="15"/>
      <c r="AP1890" s="15"/>
      <c r="AQ1890" s="15"/>
      <c r="AR1890" s="15"/>
      <c r="AS1890" s="15"/>
      <c r="AT1890" s="15"/>
      <c r="AU1890" s="15"/>
    </row>
    <row r="1891" ht="24.0" customHeight="1">
      <c r="A1891" s="45">
        <v>3315.0</v>
      </c>
      <c r="B1891" s="57"/>
      <c r="C1891" s="57"/>
      <c r="D1891" s="88" t="str">
        <f t="array" ref="D1891">IFERROR(
  LOOKUP(2, 1/((TRIM(IMS!$E$8:$E$2574)=TRIM(IMS!$E1891))*(IMS!$C$8:$C$2574&lt;IMS!$C1891)),
         IMS!$C$8:$C$2574),
"")</f>
        <v/>
      </c>
      <c r="E1891" s="57"/>
      <c r="F1891" s="57"/>
      <c r="G1891" s="77" t="str">
        <f t="shared" si="901"/>
        <v/>
      </c>
      <c r="H1891" s="78" t="str">
        <f t="shared" si="902"/>
        <v/>
      </c>
      <c r="I1891" s="79"/>
      <c r="J1891" s="80" t="str">
        <f t="shared" si="903"/>
        <v>#NAME?</v>
      </c>
      <c r="K1891" s="58"/>
      <c r="L1891" s="58"/>
      <c r="M1891" s="57"/>
      <c r="N1891" s="57"/>
      <c r="O1891" s="58"/>
      <c r="P1891" s="82"/>
      <c r="Q1891" s="81"/>
      <c r="R1891" s="81"/>
      <c r="S1891" s="57"/>
      <c r="T1891" s="82"/>
      <c r="U1891" s="82"/>
      <c r="V1891" s="57"/>
      <c r="W1891" s="57"/>
      <c r="X1891" s="57" t="str">
        <f t="shared" si="917"/>
        <v/>
      </c>
      <c r="Y1891" s="58" t="str">
        <f t="shared" ref="Y1891:AC1891" si="1731">TRIM(SUBSTITUTE(SUBSTITUTE(OFFSET($Q1891,0,COLUMN()-COLUMN($AL$1)),CHAR(160)," "),_xludf.UNICHAR(8239)," "))</f>
        <v>#NAME?</v>
      </c>
      <c r="Z1891" s="58" t="str">
        <f t="shared" si="1731"/>
        <v>#NAME?</v>
      </c>
      <c r="AA1891" s="58" t="str">
        <f t="shared" si="1731"/>
        <v>#NAME?</v>
      </c>
      <c r="AB1891" s="58" t="str">
        <f t="shared" si="1731"/>
        <v>#NAME?</v>
      </c>
      <c r="AC1891" s="58" t="str">
        <f t="shared" si="1731"/>
        <v>#NAME?</v>
      </c>
      <c r="AD1891" s="57">
        <f t="shared" si="906"/>
        <v>0</v>
      </c>
      <c r="AE1891" s="57" t="str">
        <f t="shared" si="907"/>
        <v/>
      </c>
      <c r="AF1891" s="57">
        <f t="shared" si="908"/>
        <v>0</v>
      </c>
      <c r="AG1891" s="59">
        <f t="shared" si="909"/>
        <v>0</v>
      </c>
      <c r="AH1891" s="15"/>
      <c r="AI1891" s="15"/>
      <c r="AJ1891" s="15"/>
      <c r="AK1891" s="15"/>
      <c r="AL1891" s="15"/>
      <c r="AM1891" s="15"/>
      <c r="AN1891" s="15"/>
      <c r="AO1891" s="15"/>
      <c r="AP1891" s="15"/>
      <c r="AQ1891" s="15"/>
      <c r="AR1891" s="15"/>
      <c r="AS1891" s="15"/>
      <c r="AT1891" s="15"/>
      <c r="AU1891" s="15"/>
    </row>
    <row r="1892" ht="24.0" customHeight="1">
      <c r="A1892" s="45">
        <v>3316.0</v>
      </c>
      <c r="B1892" s="57"/>
      <c r="C1892" s="57"/>
      <c r="D1892" s="88" t="str">
        <f t="array" ref="D1892">IFERROR(
  LOOKUP(2, 1/((TRIM(IMS!$E$8:$E$2574)=TRIM(IMS!$E1892))*(IMS!$C$8:$C$2574&lt;IMS!$C1892)),
         IMS!$C$8:$C$2574),
"")</f>
        <v/>
      </c>
      <c r="E1892" s="57"/>
      <c r="F1892" s="57"/>
      <c r="G1892" s="77" t="str">
        <f t="shared" si="901"/>
        <v/>
      </c>
      <c r="H1892" s="78" t="str">
        <f t="shared" si="902"/>
        <v/>
      </c>
      <c r="I1892" s="79"/>
      <c r="J1892" s="80" t="str">
        <f t="shared" si="903"/>
        <v>#NAME?</v>
      </c>
      <c r="K1892" s="58"/>
      <c r="L1892" s="58"/>
      <c r="M1892" s="57"/>
      <c r="N1892" s="57"/>
      <c r="O1892" s="58"/>
      <c r="P1892" s="82"/>
      <c r="Q1892" s="81"/>
      <c r="R1892" s="81"/>
      <c r="S1892" s="57"/>
      <c r="T1892" s="82"/>
      <c r="U1892" s="82"/>
      <c r="V1892" s="57"/>
      <c r="W1892" s="57"/>
      <c r="X1892" s="57" t="str">
        <f t="shared" si="917"/>
        <v/>
      </c>
      <c r="Y1892" s="58" t="str">
        <f t="shared" ref="Y1892:AC1892" si="1732">TRIM(SUBSTITUTE(SUBSTITUTE(OFFSET($Q1892,0,COLUMN()-COLUMN($AL$1)),CHAR(160)," "),_xludf.UNICHAR(8239)," "))</f>
        <v>#NAME?</v>
      </c>
      <c r="Z1892" s="58" t="str">
        <f t="shared" si="1732"/>
        <v>#NAME?</v>
      </c>
      <c r="AA1892" s="58" t="str">
        <f t="shared" si="1732"/>
        <v>#NAME?</v>
      </c>
      <c r="AB1892" s="58" t="str">
        <f t="shared" si="1732"/>
        <v>#NAME?</v>
      </c>
      <c r="AC1892" s="58" t="str">
        <f t="shared" si="1732"/>
        <v>#NAME?</v>
      </c>
      <c r="AD1892" s="57">
        <f t="shared" si="906"/>
        <v>0</v>
      </c>
      <c r="AE1892" s="57" t="str">
        <f t="shared" si="907"/>
        <v/>
      </c>
      <c r="AF1892" s="57">
        <f t="shared" si="908"/>
        <v>0</v>
      </c>
      <c r="AG1892" s="59">
        <f t="shared" si="909"/>
        <v>0</v>
      </c>
      <c r="AH1892" s="15"/>
      <c r="AI1892" s="15"/>
      <c r="AJ1892" s="15"/>
      <c r="AK1892" s="15"/>
      <c r="AL1892" s="15"/>
      <c r="AM1892" s="15"/>
      <c r="AN1892" s="15"/>
      <c r="AO1892" s="15"/>
      <c r="AP1892" s="15"/>
      <c r="AQ1892" s="15"/>
      <c r="AR1892" s="15"/>
      <c r="AS1892" s="15"/>
      <c r="AT1892" s="15"/>
      <c r="AU1892" s="15"/>
    </row>
    <row r="1893" ht="24.0" customHeight="1">
      <c r="A1893" s="45">
        <v>3317.0</v>
      </c>
      <c r="B1893" s="57"/>
      <c r="C1893" s="57"/>
      <c r="D1893" s="88" t="str">
        <f t="array" ref="D1893">IFERROR(
  LOOKUP(2, 1/((TRIM(IMS!$E$8:$E$2574)=TRIM(IMS!$E1893))*(IMS!$C$8:$C$2574&lt;IMS!$C1893)),
         IMS!$C$8:$C$2574),
"")</f>
        <v/>
      </c>
      <c r="E1893" s="57"/>
      <c r="F1893" s="57"/>
      <c r="G1893" s="77" t="str">
        <f t="shared" si="901"/>
        <v/>
      </c>
      <c r="H1893" s="78" t="str">
        <f t="shared" si="902"/>
        <v/>
      </c>
      <c r="I1893" s="79"/>
      <c r="J1893" s="80" t="str">
        <f t="shared" si="903"/>
        <v>#NAME?</v>
      </c>
      <c r="K1893" s="58"/>
      <c r="L1893" s="58"/>
      <c r="M1893" s="57"/>
      <c r="N1893" s="57"/>
      <c r="O1893" s="58"/>
      <c r="P1893" s="82"/>
      <c r="Q1893" s="81"/>
      <c r="R1893" s="81"/>
      <c r="S1893" s="57"/>
      <c r="T1893" s="82"/>
      <c r="U1893" s="82"/>
      <c r="V1893" s="57"/>
      <c r="W1893" s="57"/>
      <c r="X1893" s="57" t="str">
        <f t="shared" si="917"/>
        <v/>
      </c>
      <c r="Y1893" s="58" t="str">
        <f t="shared" ref="Y1893:AC1893" si="1733">TRIM(SUBSTITUTE(SUBSTITUTE(OFFSET($Q1893,0,COLUMN()-COLUMN($AL$1)),CHAR(160)," "),_xludf.UNICHAR(8239)," "))</f>
        <v>#NAME?</v>
      </c>
      <c r="Z1893" s="58" t="str">
        <f t="shared" si="1733"/>
        <v>#NAME?</v>
      </c>
      <c r="AA1893" s="58" t="str">
        <f t="shared" si="1733"/>
        <v>#NAME?</v>
      </c>
      <c r="AB1893" s="58" t="str">
        <f t="shared" si="1733"/>
        <v>#NAME?</v>
      </c>
      <c r="AC1893" s="58" t="str">
        <f t="shared" si="1733"/>
        <v>#NAME?</v>
      </c>
      <c r="AD1893" s="57">
        <f t="shared" si="906"/>
        <v>0</v>
      </c>
      <c r="AE1893" s="57" t="str">
        <f t="shared" si="907"/>
        <v/>
      </c>
      <c r="AF1893" s="57">
        <f t="shared" si="908"/>
        <v>0</v>
      </c>
      <c r="AG1893" s="59">
        <f t="shared" si="909"/>
        <v>0</v>
      </c>
      <c r="AH1893" s="15"/>
      <c r="AI1893" s="15"/>
      <c r="AJ1893" s="15"/>
      <c r="AK1893" s="15"/>
      <c r="AL1893" s="15"/>
      <c r="AM1893" s="15"/>
      <c r="AN1893" s="15"/>
      <c r="AO1893" s="15"/>
      <c r="AP1893" s="15"/>
      <c r="AQ1893" s="15"/>
      <c r="AR1893" s="15"/>
      <c r="AS1893" s="15"/>
      <c r="AT1893" s="15"/>
      <c r="AU1893" s="15"/>
    </row>
    <row r="1894" ht="24.0" customHeight="1">
      <c r="A1894" s="45">
        <v>3318.0</v>
      </c>
      <c r="B1894" s="57"/>
      <c r="C1894" s="57"/>
      <c r="D1894" s="88" t="str">
        <f t="array" ref="D1894">IFERROR(
  LOOKUP(2, 1/((TRIM(IMS!$E$8:$E$2574)=TRIM(IMS!$E1894))*(IMS!$C$8:$C$2574&lt;IMS!$C1894)),
         IMS!$C$8:$C$2574),
"")</f>
        <v/>
      </c>
      <c r="E1894" s="57"/>
      <c r="F1894" s="57"/>
      <c r="G1894" s="77" t="str">
        <f t="shared" si="901"/>
        <v/>
      </c>
      <c r="H1894" s="78" t="str">
        <f t="shared" si="902"/>
        <v/>
      </c>
      <c r="I1894" s="79"/>
      <c r="J1894" s="80" t="str">
        <f t="shared" si="903"/>
        <v>#NAME?</v>
      </c>
      <c r="K1894" s="58"/>
      <c r="L1894" s="58"/>
      <c r="M1894" s="57"/>
      <c r="N1894" s="57"/>
      <c r="O1894" s="58"/>
      <c r="P1894" s="82"/>
      <c r="Q1894" s="81"/>
      <c r="R1894" s="81"/>
      <c r="S1894" s="57"/>
      <c r="T1894" s="82"/>
      <c r="U1894" s="82"/>
      <c r="V1894" s="57"/>
      <c r="W1894" s="57"/>
      <c r="X1894" s="57" t="str">
        <f t="shared" si="917"/>
        <v/>
      </c>
      <c r="Y1894" s="58" t="str">
        <f t="shared" ref="Y1894:AC1894" si="1734">TRIM(SUBSTITUTE(SUBSTITUTE(OFFSET($Q1894,0,COLUMN()-COLUMN($AL$1)),CHAR(160)," "),_xludf.UNICHAR(8239)," "))</f>
        <v>#NAME?</v>
      </c>
      <c r="Z1894" s="58" t="str">
        <f t="shared" si="1734"/>
        <v>#NAME?</v>
      </c>
      <c r="AA1894" s="58" t="str">
        <f t="shared" si="1734"/>
        <v>#NAME?</v>
      </c>
      <c r="AB1894" s="58" t="str">
        <f t="shared" si="1734"/>
        <v>#NAME?</v>
      </c>
      <c r="AC1894" s="58" t="str">
        <f t="shared" si="1734"/>
        <v>#NAME?</v>
      </c>
      <c r="AD1894" s="57">
        <f t="shared" si="906"/>
        <v>0</v>
      </c>
      <c r="AE1894" s="57" t="str">
        <f t="shared" si="907"/>
        <v/>
      </c>
      <c r="AF1894" s="57">
        <f t="shared" si="908"/>
        <v>0</v>
      </c>
      <c r="AG1894" s="59">
        <f t="shared" si="909"/>
        <v>0</v>
      </c>
      <c r="AH1894" s="15"/>
      <c r="AI1894" s="15"/>
      <c r="AJ1894" s="15"/>
      <c r="AK1894" s="15"/>
      <c r="AL1894" s="15"/>
      <c r="AM1894" s="15"/>
      <c r="AN1894" s="15"/>
      <c r="AO1894" s="15"/>
      <c r="AP1894" s="15"/>
      <c r="AQ1894" s="15"/>
      <c r="AR1894" s="15"/>
      <c r="AS1894" s="15"/>
      <c r="AT1894" s="15"/>
      <c r="AU1894" s="15"/>
    </row>
    <row r="1895" ht="24.0" customHeight="1">
      <c r="A1895" s="45">
        <v>3319.0</v>
      </c>
      <c r="B1895" s="57"/>
      <c r="C1895" s="57"/>
      <c r="D1895" s="88" t="str">
        <f t="array" ref="D1895">IFERROR(
  LOOKUP(2, 1/((TRIM(IMS!$E$8:$E$2574)=TRIM(IMS!$E1895))*(IMS!$C$8:$C$2574&lt;IMS!$C1895)),
         IMS!$C$8:$C$2574),
"")</f>
        <v/>
      </c>
      <c r="E1895" s="57"/>
      <c r="F1895" s="57"/>
      <c r="G1895" s="77" t="str">
        <f t="shared" si="901"/>
        <v/>
      </c>
      <c r="H1895" s="78" t="str">
        <f t="shared" si="902"/>
        <v/>
      </c>
      <c r="I1895" s="79"/>
      <c r="J1895" s="80" t="str">
        <f t="shared" si="903"/>
        <v>#NAME?</v>
      </c>
      <c r="K1895" s="58"/>
      <c r="L1895" s="58"/>
      <c r="M1895" s="57"/>
      <c r="N1895" s="57"/>
      <c r="O1895" s="58"/>
      <c r="P1895" s="82"/>
      <c r="Q1895" s="81"/>
      <c r="R1895" s="81"/>
      <c r="S1895" s="57"/>
      <c r="T1895" s="82"/>
      <c r="U1895" s="82"/>
      <c r="V1895" s="57"/>
      <c r="W1895" s="57"/>
      <c r="X1895" s="57" t="str">
        <f t="shared" si="917"/>
        <v/>
      </c>
      <c r="Y1895" s="58" t="str">
        <f t="shared" ref="Y1895:AC1895" si="1735">TRIM(SUBSTITUTE(SUBSTITUTE(OFFSET($Q1895,0,COLUMN()-COLUMN($AL$1)),CHAR(160)," "),_xludf.UNICHAR(8239)," "))</f>
        <v>#NAME?</v>
      </c>
      <c r="Z1895" s="58" t="str">
        <f t="shared" si="1735"/>
        <v>#NAME?</v>
      </c>
      <c r="AA1895" s="58" t="str">
        <f t="shared" si="1735"/>
        <v>#NAME?</v>
      </c>
      <c r="AB1895" s="58" t="str">
        <f t="shared" si="1735"/>
        <v>#NAME?</v>
      </c>
      <c r="AC1895" s="58" t="str">
        <f t="shared" si="1735"/>
        <v>#NAME?</v>
      </c>
      <c r="AD1895" s="57">
        <f t="shared" si="906"/>
        <v>0</v>
      </c>
      <c r="AE1895" s="57" t="str">
        <f t="shared" si="907"/>
        <v/>
      </c>
      <c r="AF1895" s="57">
        <f t="shared" si="908"/>
        <v>0</v>
      </c>
      <c r="AG1895" s="59">
        <f t="shared" si="909"/>
        <v>0</v>
      </c>
      <c r="AH1895" s="15"/>
      <c r="AI1895" s="15"/>
      <c r="AJ1895" s="15"/>
      <c r="AK1895" s="15"/>
      <c r="AL1895" s="15"/>
      <c r="AM1895" s="15"/>
      <c r="AN1895" s="15"/>
      <c r="AO1895" s="15"/>
      <c r="AP1895" s="15"/>
      <c r="AQ1895" s="15"/>
      <c r="AR1895" s="15"/>
      <c r="AS1895" s="15"/>
      <c r="AT1895" s="15"/>
      <c r="AU1895" s="15"/>
    </row>
    <row r="1896" ht="24.0" customHeight="1">
      <c r="A1896" s="45">
        <v>3320.0</v>
      </c>
      <c r="B1896" s="57"/>
      <c r="C1896" s="57"/>
      <c r="D1896" s="88" t="str">
        <f t="array" ref="D1896">IFERROR(
  LOOKUP(2, 1/((TRIM(IMS!$E$8:$E$2574)=TRIM(IMS!$E1896))*(IMS!$C$8:$C$2574&lt;IMS!$C1896)),
         IMS!$C$8:$C$2574),
"")</f>
        <v/>
      </c>
      <c r="E1896" s="57"/>
      <c r="F1896" s="57"/>
      <c r="G1896" s="77" t="str">
        <f t="shared" si="901"/>
        <v/>
      </c>
      <c r="H1896" s="78" t="str">
        <f t="shared" si="902"/>
        <v/>
      </c>
      <c r="I1896" s="79"/>
      <c r="J1896" s="80" t="str">
        <f t="shared" si="903"/>
        <v>#NAME?</v>
      </c>
      <c r="K1896" s="58"/>
      <c r="L1896" s="58"/>
      <c r="M1896" s="57"/>
      <c r="N1896" s="57"/>
      <c r="O1896" s="58"/>
      <c r="P1896" s="82"/>
      <c r="Q1896" s="81"/>
      <c r="R1896" s="81"/>
      <c r="S1896" s="57"/>
      <c r="T1896" s="82"/>
      <c r="U1896" s="82"/>
      <c r="V1896" s="57"/>
      <c r="W1896" s="57"/>
      <c r="X1896" s="57" t="str">
        <f t="shared" si="917"/>
        <v/>
      </c>
      <c r="Y1896" s="58" t="str">
        <f t="shared" ref="Y1896:AC1896" si="1736">TRIM(SUBSTITUTE(SUBSTITUTE(OFFSET($Q1896,0,COLUMN()-COLUMN($AL$1)),CHAR(160)," "),_xludf.UNICHAR(8239)," "))</f>
        <v>#NAME?</v>
      </c>
      <c r="Z1896" s="58" t="str">
        <f t="shared" si="1736"/>
        <v>#NAME?</v>
      </c>
      <c r="AA1896" s="58" t="str">
        <f t="shared" si="1736"/>
        <v>#NAME?</v>
      </c>
      <c r="AB1896" s="58" t="str">
        <f t="shared" si="1736"/>
        <v>#NAME?</v>
      </c>
      <c r="AC1896" s="58" t="str">
        <f t="shared" si="1736"/>
        <v>#NAME?</v>
      </c>
      <c r="AD1896" s="57">
        <f t="shared" si="906"/>
        <v>0</v>
      </c>
      <c r="AE1896" s="57" t="str">
        <f t="shared" si="907"/>
        <v/>
      </c>
      <c r="AF1896" s="57">
        <f t="shared" si="908"/>
        <v>0</v>
      </c>
      <c r="AG1896" s="59">
        <f t="shared" si="909"/>
        <v>0</v>
      </c>
      <c r="AH1896" s="15"/>
      <c r="AI1896" s="15"/>
      <c r="AJ1896" s="15"/>
      <c r="AK1896" s="15"/>
      <c r="AL1896" s="15"/>
      <c r="AM1896" s="15"/>
      <c r="AN1896" s="15"/>
      <c r="AO1896" s="15"/>
      <c r="AP1896" s="15"/>
      <c r="AQ1896" s="15"/>
      <c r="AR1896" s="15"/>
      <c r="AS1896" s="15"/>
      <c r="AT1896" s="15"/>
      <c r="AU1896" s="15"/>
    </row>
    <row r="1897" ht="24.0" customHeight="1">
      <c r="A1897" s="45">
        <v>3321.0</v>
      </c>
      <c r="B1897" s="57"/>
      <c r="C1897" s="57"/>
      <c r="D1897" s="88" t="str">
        <f t="array" ref="D1897">IFERROR(
  LOOKUP(2, 1/((TRIM(IMS!$E$8:$E$2574)=TRIM(IMS!$E1897))*(IMS!$C$8:$C$2574&lt;IMS!$C1897)),
         IMS!$C$8:$C$2574),
"")</f>
        <v/>
      </c>
      <c r="E1897" s="57"/>
      <c r="F1897" s="57"/>
      <c r="G1897" s="77" t="str">
        <f t="shared" si="901"/>
        <v/>
      </c>
      <c r="H1897" s="78" t="str">
        <f t="shared" si="902"/>
        <v/>
      </c>
      <c r="I1897" s="79"/>
      <c r="J1897" s="80" t="str">
        <f t="shared" si="903"/>
        <v>#NAME?</v>
      </c>
      <c r="K1897" s="58"/>
      <c r="L1897" s="58"/>
      <c r="M1897" s="57"/>
      <c r="N1897" s="57"/>
      <c r="O1897" s="58"/>
      <c r="P1897" s="82"/>
      <c r="Q1897" s="81"/>
      <c r="R1897" s="81"/>
      <c r="S1897" s="57"/>
      <c r="T1897" s="82"/>
      <c r="U1897" s="82"/>
      <c r="V1897" s="57"/>
      <c r="W1897" s="57"/>
      <c r="X1897" s="57" t="str">
        <f t="shared" si="917"/>
        <v/>
      </c>
      <c r="Y1897" s="58" t="str">
        <f t="shared" ref="Y1897:AC1897" si="1737">TRIM(SUBSTITUTE(SUBSTITUTE(OFFSET($Q1897,0,COLUMN()-COLUMN($AL$1)),CHAR(160)," "),_xludf.UNICHAR(8239)," "))</f>
        <v>#NAME?</v>
      </c>
      <c r="Z1897" s="58" t="str">
        <f t="shared" si="1737"/>
        <v>#NAME?</v>
      </c>
      <c r="AA1897" s="58" t="str">
        <f t="shared" si="1737"/>
        <v>#NAME?</v>
      </c>
      <c r="AB1897" s="58" t="str">
        <f t="shared" si="1737"/>
        <v>#NAME?</v>
      </c>
      <c r="AC1897" s="58" t="str">
        <f t="shared" si="1737"/>
        <v>#NAME?</v>
      </c>
      <c r="AD1897" s="57">
        <f t="shared" si="906"/>
        <v>0</v>
      </c>
      <c r="AE1897" s="57" t="str">
        <f t="shared" si="907"/>
        <v/>
      </c>
      <c r="AF1897" s="57">
        <f t="shared" si="908"/>
        <v>0</v>
      </c>
      <c r="AG1897" s="59">
        <f t="shared" si="909"/>
        <v>0</v>
      </c>
      <c r="AH1897" s="15"/>
      <c r="AI1897" s="15"/>
      <c r="AJ1897" s="15"/>
      <c r="AK1897" s="15"/>
      <c r="AL1897" s="15"/>
      <c r="AM1897" s="15"/>
      <c r="AN1897" s="15"/>
      <c r="AO1897" s="15"/>
      <c r="AP1897" s="15"/>
      <c r="AQ1897" s="15"/>
      <c r="AR1897" s="15"/>
      <c r="AS1897" s="15"/>
      <c r="AT1897" s="15"/>
      <c r="AU1897" s="15"/>
    </row>
    <row r="1898" ht="24.0" customHeight="1">
      <c r="A1898" s="45">
        <v>3322.0</v>
      </c>
      <c r="B1898" s="57"/>
      <c r="C1898" s="57"/>
      <c r="D1898" s="88" t="str">
        <f t="array" ref="D1898">IFERROR(
  LOOKUP(2, 1/((TRIM(IMS!$E$8:$E$2574)=TRIM(IMS!$E1898))*(IMS!$C$8:$C$2574&lt;IMS!$C1898)),
         IMS!$C$8:$C$2574),
"")</f>
        <v/>
      </c>
      <c r="E1898" s="57"/>
      <c r="F1898" s="57"/>
      <c r="G1898" s="77" t="str">
        <f t="shared" si="901"/>
        <v/>
      </c>
      <c r="H1898" s="78" t="str">
        <f t="shared" si="902"/>
        <v/>
      </c>
      <c r="I1898" s="79"/>
      <c r="J1898" s="80" t="str">
        <f t="shared" si="903"/>
        <v>#NAME?</v>
      </c>
      <c r="K1898" s="58"/>
      <c r="L1898" s="58"/>
      <c r="M1898" s="57"/>
      <c r="N1898" s="57"/>
      <c r="O1898" s="58"/>
      <c r="P1898" s="82"/>
      <c r="Q1898" s="81"/>
      <c r="R1898" s="81"/>
      <c r="S1898" s="57"/>
      <c r="T1898" s="82"/>
      <c r="U1898" s="82"/>
      <c r="V1898" s="57"/>
      <c r="W1898" s="57"/>
      <c r="X1898" s="57" t="str">
        <f t="shared" si="917"/>
        <v/>
      </c>
      <c r="Y1898" s="58" t="str">
        <f t="shared" ref="Y1898:AC1898" si="1738">TRIM(SUBSTITUTE(SUBSTITUTE(OFFSET($Q1898,0,COLUMN()-COLUMN($AL$1)),CHAR(160)," "),_xludf.UNICHAR(8239)," "))</f>
        <v>#NAME?</v>
      </c>
      <c r="Z1898" s="58" t="str">
        <f t="shared" si="1738"/>
        <v>#NAME?</v>
      </c>
      <c r="AA1898" s="58" t="str">
        <f t="shared" si="1738"/>
        <v>#NAME?</v>
      </c>
      <c r="AB1898" s="58" t="str">
        <f t="shared" si="1738"/>
        <v>#NAME?</v>
      </c>
      <c r="AC1898" s="58" t="str">
        <f t="shared" si="1738"/>
        <v>#NAME?</v>
      </c>
      <c r="AD1898" s="57">
        <f t="shared" si="906"/>
        <v>0</v>
      </c>
      <c r="AE1898" s="57" t="str">
        <f t="shared" si="907"/>
        <v/>
      </c>
      <c r="AF1898" s="57">
        <f t="shared" si="908"/>
        <v>0</v>
      </c>
      <c r="AG1898" s="59">
        <f t="shared" si="909"/>
        <v>0</v>
      </c>
      <c r="AH1898" s="15"/>
      <c r="AI1898" s="15"/>
      <c r="AJ1898" s="15"/>
      <c r="AK1898" s="15"/>
      <c r="AL1898" s="15"/>
      <c r="AM1898" s="15"/>
      <c r="AN1898" s="15"/>
      <c r="AO1898" s="15"/>
      <c r="AP1898" s="15"/>
      <c r="AQ1898" s="15"/>
      <c r="AR1898" s="15"/>
      <c r="AS1898" s="15"/>
      <c r="AT1898" s="15"/>
      <c r="AU1898" s="15"/>
    </row>
    <row r="1899" ht="24.0" customHeight="1">
      <c r="A1899" s="45">
        <v>3323.0</v>
      </c>
      <c r="B1899" s="57"/>
      <c r="C1899" s="57"/>
      <c r="D1899" s="88" t="str">
        <f t="array" ref="D1899">IFERROR(
  LOOKUP(2, 1/((TRIM(IMS!$E$8:$E$2574)=TRIM(IMS!$E1899))*(IMS!$C$8:$C$2574&lt;IMS!$C1899)),
         IMS!$C$8:$C$2574),
"")</f>
        <v/>
      </c>
      <c r="E1899" s="57"/>
      <c r="F1899" s="57"/>
      <c r="G1899" s="77" t="str">
        <f t="shared" si="901"/>
        <v/>
      </c>
      <c r="H1899" s="78" t="str">
        <f t="shared" si="902"/>
        <v/>
      </c>
      <c r="I1899" s="79"/>
      <c r="J1899" s="80" t="str">
        <f t="shared" si="903"/>
        <v>#NAME?</v>
      </c>
      <c r="K1899" s="58"/>
      <c r="L1899" s="58"/>
      <c r="M1899" s="57"/>
      <c r="N1899" s="57"/>
      <c r="O1899" s="58"/>
      <c r="P1899" s="82"/>
      <c r="Q1899" s="81"/>
      <c r="R1899" s="81"/>
      <c r="S1899" s="57"/>
      <c r="T1899" s="82"/>
      <c r="U1899" s="82"/>
      <c r="V1899" s="57"/>
      <c r="W1899" s="57"/>
      <c r="X1899" s="57" t="str">
        <f t="shared" si="917"/>
        <v/>
      </c>
      <c r="Y1899" s="58" t="str">
        <f t="shared" ref="Y1899:AC1899" si="1739">TRIM(SUBSTITUTE(SUBSTITUTE(OFFSET($Q1899,0,COLUMN()-COLUMN($AL$1)),CHAR(160)," "),_xludf.UNICHAR(8239)," "))</f>
        <v>#NAME?</v>
      </c>
      <c r="Z1899" s="58" t="str">
        <f t="shared" si="1739"/>
        <v>#NAME?</v>
      </c>
      <c r="AA1899" s="58" t="str">
        <f t="shared" si="1739"/>
        <v>#NAME?</v>
      </c>
      <c r="AB1899" s="58" t="str">
        <f t="shared" si="1739"/>
        <v>#NAME?</v>
      </c>
      <c r="AC1899" s="58" t="str">
        <f t="shared" si="1739"/>
        <v>#NAME?</v>
      </c>
      <c r="AD1899" s="57">
        <f t="shared" si="906"/>
        <v>0</v>
      </c>
      <c r="AE1899" s="57" t="str">
        <f t="shared" si="907"/>
        <v/>
      </c>
      <c r="AF1899" s="57">
        <f t="shared" si="908"/>
        <v>0</v>
      </c>
      <c r="AG1899" s="59">
        <f t="shared" si="909"/>
        <v>0</v>
      </c>
      <c r="AH1899" s="15"/>
      <c r="AI1899" s="15"/>
      <c r="AJ1899" s="15"/>
      <c r="AK1899" s="15"/>
      <c r="AL1899" s="15"/>
      <c r="AM1899" s="15"/>
      <c r="AN1899" s="15"/>
      <c r="AO1899" s="15"/>
      <c r="AP1899" s="15"/>
      <c r="AQ1899" s="15"/>
      <c r="AR1899" s="15"/>
      <c r="AS1899" s="15"/>
      <c r="AT1899" s="15"/>
      <c r="AU1899" s="15"/>
    </row>
    <row r="1900" ht="24.0" customHeight="1">
      <c r="A1900" s="45">
        <v>3324.0</v>
      </c>
      <c r="B1900" s="57"/>
      <c r="C1900" s="57"/>
      <c r="D1900" s="88" t="str">
        <f t="array" ref="D1900">IFERROR(
  LOOKUP(2, 1/((TRIM(IMS!$E$8:$E$2574)=TRIM(IMS!$E1900))*(IMS!$C$8:$C$2574&lt;IMS!$C1900)),
         IMS!$C$8:$C$2574),
"")</f>
        <v/>
      </c>
      <c r="E1900" s="57"/>
      <c r="F1900" s="57"/>
      <c r="G1900" s="77" t="str">
        <f t="shared" si="901"/>
        <v/>
      </c>
      <c r="H1900" s="78" t="str">
        <f t="shared" si="902"/>
        <v/>
      </c>
      <c r="I1900" s="79"/>
      <c r="J1900" s="80" t="str">
        <f t="shared" si="903"/>
        <v>#NAME?</v>
      </c>
      <c r="K1900" s="58"/>
      <c r="L1900" s="58"/>
      <c r="M1900" s="57"/>
      <c r="N1900" s="57"/>
      <c r="O1900" s="58"/>
      <c r="P1900" s="82"/>
      <c r="Q1900" s="81"/>
      <c r="R1900" s="81"/>
      <c r="S1900" s="57"/>
      <c r="T1900" s="82"/>
      <c r="U1900" s="82"/>
      <c r="V1900" s="57"/>
      <c r="W1900" s="57"/>
      <c r="X1900" s="57" t="str">
        <f t="shared" si="917"/>
        <v/>
      </c>
      <c r="Y1900" s="58" t="str">
        <f t="shared" ref="Y1900:AC1900" si="1740">TRIM(SUBSTITUTE(SUBSTITUTE(OFFSET($Q1900,0,COLUMN()-COLUMN($AL$1)),CHAR(160)," "),_xludf.UNICHAR(8239)," "))</f>
        <v>#NAME?</v>
      </c>
      <c r="Z1900" s="58" t="str">
        <f t="shared" si="1740"/>
        <v>#NAME?</v>
      </c>
      <c r="AA1900" s="58" t="str">
        <f t="shared" si="1740"/>
        <v>#NAME?</v>
      </c>
      <c r="AB1900" s="58" t="str">
        <f t="shared" si="1740"/>
        <v>#NAME?</v>
      </c>
      <c r="AC1900" s="58" t="str">
        <f t="shared" si="1740"/>
        <v>#NAME?</v>
      </c>
      <c r="AD1900" s="57">
        <f t="shared" si="906"/>
        <v>0</v>
      </c>
      <c r="AE1900" s="57" t="str">
        <f t="shared" si="907"/>
        <v/>
      </c>
      <c r="AF1900" s="57">
        <f t="shared" si="908"/>
        <v>0</v>
      </c>
      <c r="AG1900" s="59">
        <f t="shared" si="909"/>
        <v>0</v>
      </c>
      <c r="AH1900" s="15"/>
      <c r="AI1900" s="15"/>
      <c r="AJ1900" s="15"/>
      <c r="AK1900" s="15"/>
      <c r="AL1900" s="15"/>
      <c r="AM1900" s="15"/>
      <c r="AN1900" s="15"/>
      <c r="AO1900" s="15"/>
      <c r="AP1900" s="15"/>
      <c r="AQ1900" s="15"/>
      <c r="AR1900" s="15"/>
      <c r="AS1900" s="15"/>
      <c r="AT1900" s="15"/>
      <c r="AU1900" s="15"/>
    </row>
    <row r="1901" ht="24.0" customHeight="1">
      <c r="A1901" s="45">
        <v>3325.0</v>
      </c>
      <c r="B1901" s="57"/>
      <c r="C1901" s="57"/>
      <c r="D1901" s="88" t="str">
        <f t="array" ref="D1901">IFERROR(
  LOOKUP(2, 1/((TRIM(IMS!$E$8:$E$2574)=TRIM(IMS!$E1901))*(IMS!$C$8:$C$2574&lt;IMS!$C1901)),
         IMS!$C$8:$C$2574),
"")</f>
        <v/>
      </c>
      <c r="E1901" s="57"/>
      <c r="F1901" s="57"/>
      <c r="G1901" s="77" t="str">
        <f t="shared" si="901"/>
        <v/>
      </c>
      <c r="H1901" s="78" t="str">
        <f t="shared" si="902"/>
        <v/>
      </c>
      <c r="I1901" s="79"/>
      <c r="J1901" s="80" t="str">
        <f t="shared" si="903"/>
        <v>#NAME?</v>
      </c>
      <c r="K1901" s="58"/>
      <c r="L1901" s="58"/>
      <c r="M1901" s="57"/>
      <c r="N1901" s="57"/>
      <c r="O1901" s="58"/>
      <c r="P1901" s="82"/>
      <c r="Q1901" s="81"/>
      <c r="R1901" s="81"/>
      <c r="S1901" s="57"/>
      <c r="T1901" s="82"/>
      <c r="U1901" s="82"/>
      <c r="V1901" s="57"/>
      <c r="W1901" s="57"/>
      <c r="X1901" s="57" t="str">
        <f t="shared" si="917"/>
        <v/>
      </c>
      <c r="Y1901" s="58" t="str">
        <f t="shared" ref="Y1901:AC1901" si="1741">TRIM(SUBSTITUTE(SUBSTITUTE(OFFSET($Q1901,0,COLUMN()-COLUMN($AL$1)),CHAR(160)," "),_xludf.UNICHAR(8239)," "))</f>
        <v>#NAME?</v>
      </c>
      <c r="Z1901" s="58" t="str">
        <f t="shared" si="1741"/>
        <v>#NAME?</v>
      </c>
      <c r="AA1901" s="58" t="str">
        <f t="shared" si="1741"/>
        <v>#NAME?</v>
      </c>
      <c r="AB1901" s="58" t="str">
        <f t="shared" si="1741"/>
        <v>#NAME?</v>
      </c>
      <c r="AC1901" s="58" t="str">
        <f t="shared" si="1741"/>
        <v>#NAME?</v>
      </c>
      <c r="AD1901" s="57">
        <f t="shared" si="906"/>
        <v>0</v>
      </c>
      <c r="AE1901" s="57" t="str">
        <f t="shared" si="907"/>
        <v/>
      </c>
      <c r="AF1901" s="57">
        <f t="shared" si="908"/>
        <v>0</v>
      </c>
      <c r="AG1901" s="59">
        <f t="shared" si="909"/>
        <v>0</v>
      </c>
      <c r="AH1901" s="15"/>
      <c r="AI1901" s="15"/>
      <c r="AJ1901" s="15"/>
      <c r="AK1901" s="15"/>
      <c r="AL1901" s="15"/>
      <c r="AM1901" s="15"/>
      <c r="AN1901" s="15"/>
      <c r="AO1901" s="15"/>
      <c r="AP1901" s="15"/>
      <c r="AQ1901" s="15"/>
      <c r="AR1901" s="15"/>
      <c r="AS1901" s="15"/>
      <c r="AT1901" s="15"/>
      <c r="AU1901" s="15"/>
    </row>
    <row r="1902" ht="24.0" customHeight="1">
      <c r="A1902" s="45">
        <v>3326.0</v>
      </c>
      <c r="B1902" s="57"/>
      <c r="C1902" s="57"/>
      <c r="D1902" s="88" t="str">
        <f t="array" ref="D1902">IFERROR(
  LOOKUP(2, 1/((TRIM(IMS!$E$8:$E$2574)=TRIM(IMS!$E1902))*(IMS!$C$8:$C$2574&lt;IMS!$C1902)),
         IMS!$C$8:$C$2574),
"")</f>
        <v/>
      </c>
      <c r="E1902" s="57"/>
      <c r="F1902" s="57"/>
      <c r="G1902" s="77" t="str">
        <f t="shared" si="901"/>
        <v/>
      </c>
      <c r="H1902" s="78" t="str">
        <f t="shared" si="902"/>
        <v/>
      </c>
      <c r="I1902" s="79"/>
      <c r="J1902" s="80" t="str">
        <f t="shared" si="903"/>
        <v>#NAME?</v>
      </c>
      <c r="K1902" s="58"/>
      <c r="L1902" s="58"/>
      <c r="M1902" s="57"/>
      <c r="N1902" s="57"/>
      <c r="O1902" s="58"/>
      <c r="P1902" s="82"/>
      <c r="Q1902" s="81"/>
      <c r="R1902" s="81"/>
      <c r="S1902" s="57"/>
      <c r="T1902" s="82"/>
      <c r="U1902" s="82"/>
      <c r="V1902" s="57"/>
      <c r="W1902" s="57"/>
      <c r="X1902" s="57" t="str">
        <f t="shared" si="917"/>
        <v/>
      </c>
      <c r="Y1902" s="58" t="str">
        <f t="shared" ref="Y1902:AC1902" si="1742">TRIM(SUBSTITUTE(SUBSTITUTE(OFFSET($Q1902,0,COLUMN()-COLUMN($AL$1)),CHAR(160)," "),_xludf.UNICHAR(8239)," "))</f>
        <v>#NAME?</v>
      </c>
      <c r="Z1902" s="58" t="str">
        <f t="shared" si="1742"/>
        <v>#NAME?</v>
      </c>
      <c r="AA1902" s="58" t="str">
        <f t="shared" si="1742"/>
        <v>#NAME?</v>
      </c>
      <c r="AB1902" s="58" t="str">
        <f t="shared" si="1742"/>
        <v>#NAME?</v>
      </c>
      <c r="AC1902" s="58" t="str">
        <f t="shared" si="1742"/>
        <v>#NAME?</v>
      </c>
      <c r="AD1902" s="57">
        <f t="shared" si="906"/>
        <v>0</v>
      </c>
      <c r="AE1902" s="57" t="str">
        <f t="shared" si="907"/>
        <v/>
      </c>
      <c r="AF1902" s="57">
        <f t="shared" si="908"/>
        <v>0</v>
      </c>
      <c r="AG1902" s="59">
        <f t="shared" si="909"/>
        <v>0</v>
      </c>
      <c r="AH1902" s="15"/>
      <c r="AI1902" s="15"/>
      <c r="AJ1902" s="15"/>
      <c r="AK1902" s="15"/>
      <c r="AL1902" s="15"/>
      <c r="AM1902" s="15"/>
      <c r="AN1902" s="15"/>
      <c r="AO1902" s="15"/>
      <c r="AP1902" s="15"/>
      <c r="AQ1902" s="15"/>
      <c r="AR1902" s="15"/>
      <c r="AS1902" s="15"/>
      <c r="AT1902" s="15"/>
      <c r="AU1902" s="15"/>
    </row>
    <row r="1903" ht="24.0" customHeight="1">
      <c r="A1903" s="45">
        <v>3327.0</v>
      </c>
      <c r="B1903" s="57"/>
      <c r="C1903" s="57"/>
      <c r="D1903" s="88" t="str">
        <f t="array" ref="D1903">IFERROR(
  LOOKUP(2, 1/((TRIM(IMS!$E$8:$E$2574)=TRIM(IMS!$E1903))*(IMS!$C$8:$C$2574&lt;IMS!$C1903)),
         IMS!$C$8:$C$2574),
"")</f>
        <v/>
      </c>
      <c r="E1903" s="57"/>
      <c r="F1903" s="57"/>
      <c r="G1903" s="77" t="str">
        <f t="shared" si="901"/>
        <v/>
      </c>
      <c r="H1903" s="78" t="str">
        <f t="shared" si="902"/>
        <v/>
      </c>
      <c r="I1903" s="79"/>
      <c r="J1903" s="80" t="str">
        <f t="shared" si="903"/>
        <v>#NAME?</v>
      </c>
      <c r="K1903" s="58"/>
      <c r="L1903" s="58"/>
      <c r="M1903" s="57"/>
      <c r="N1903" s="57"/>
      <c r="O1903" s="58"/>
      <c r="P1903" s="82"/>
      <c r="Q1903" s="81"/>
      <c r="R1903" s="81"/>
      <c r="S1903" s="57"/>
      <c r="T1903" s="82"/>
      <c r="U1903" s="82"/>
      <c r="V1903" s="57"/>
      <c r="W1903" s="57"/>
      <c r="X1903" s="57" t="str">
        <f t="shared" si="917"/>
        <v/>
      </c>
      <c r="Y1903" s="58" t="str">
        <f t="shared" ref="Y1903:AC1903" si="1743">TRIM(SUBSTITUTE(SUBSTITUTE(OFFSET($Q1903,0,COLUMN()-COLUMN($AL$1)),CHAR(160)," "),_xludf.UNICHAR(8239)," "))</f>
        <v>#NAME?</v>
      </c>
      <c r="Z1903" s="58" t="str">
        <f t="shared" si="1743"/>
        <v>#NAME?</v>
      </c>
      <c r="AA1903" s="58" t="str">
        <f t="shared" si="1743"/>
        <v>#NAME?</v>
      </c>
      <c r="AB1903" s="58" t="str">
        <f t="shared" si="1743"/>
        <v>#NAME?</v>
      </c>
      <c r="AC1903" s="58" t="str">
        <f t="shared" si="1743"/>
        <v>#NAME?</v>
      </c>
      <c r="AD1903" s="57">
        <f t="shared" si="906"/>
        <v>0</v>
      </c>
      <c r="AE1903" s="57" t="str">
        <f t="shared" si="907"/>
        <v/>
      </c>
      <c r="AF1903" s="57">
        <f t="shared" si="908"/>
        <v>0</v>
      </c>
      <c r="AG1903" s="59">
        <f t="shared" si="909"/>
        <v>0</v>
      </c>
      <c r="AH1903" s="15"/>
      <c r="AI1903" s="15"/>
      <c r="AJ1903" s="15"/>
      <c r="AK1903" s="15"/>
      <c r="AL1903" s="15"/>
      <c r="AM1903" s="15"/>
      <c r="AN1903" s="15"/>
      <c r="AO1903" s="15"/>
      <c r="AP1903" s="15"/>
      <c r="AQ1903" s="15"/>
      <c r="AR1903" s="15"/>
      <c r="AS1903" s="15"/>
      <c r="AT1903" s="15"/>
      <c r="AU1903" s="15"/>
    </row>
    <row r="1904" ht="24.0" customHeight="1">
      <c r="A1904" s="45">
        <v>3328.0</v>
      </c>
      <c r="B1904" s="57"/>
      <c r="C1904" s="57"/>
      <c r="D1904" s="88" t="str">
        <f t="array" ref="D1904">IFERROR(
  LOOKUP(2, 1/((TRIM(IMS!$E$8:$E$2574)=TRIM(IMS!$E1904))*(IMS!$C$8:$C$2574&lt;IMS!$C1904)),
         IMS!$C$8:$C$2574),
"")</f>
        <v/>
      </c>
      <c r="E1904" s="57"/>
      <c r="F1904" s="57"/>
      <c r="G1904" s="77" t="str">
        <f t="shared" si="901"/>
        <v/>
      </c>
      <c r="H1904" s="78" t="str">
        <f t="shared" si="902"/>
        <v/>
      </c>
      <c r="I1904" s="79"/>
      <c r="J1904" s="80" t="str">
        <f t="shared" si="903"/>
        <v>#NAME?</v>
      </c>
      <c r="K1904" s="58"/>
      <c r="L1904" s="58"/>
      <c r="M1904" s="57"/>
      <c r="N1904" s="57"/>
      <c r="O1904" s="58"/>
      <c r="P1904" s="82"/>
      <c r="Q1904" s="81"/>
      <c r="R1904" s="81"/>
      <c r="S1904" s="57"/>
      <c r="T1904" s="82"/>
      <c r="U1904" s="82"/>
      <c r="V1904" s="57"/>
      <c r="W1904" s="57"/>
      <c r="X1904" s="57" t="str">
        <f t="shared" si="917"/>
        <v/>
      </c>
      <c r="Y1904" s="58" t="str">
        <f t="shared" ref="Y1904:AC1904" si="1744">TRIM(SUBSTITUTE(SUBSTITUTE(OFFSET($Q1904,0,COLUMN()-COLUMN($AL$1)),CHAR(160)," "),_xludf.UNICHAR(8239)," "))</f>
        <v>#NAME?</v>
      </c>
      <c r="Z1904" s="58" t="str">
        <f t="shared" si="1744"/>
        <v>#NAME?</v>
      </c>
      <c r="AA1904" s="58" t="str">
        <f t="shared" si="1744"/>
        <v>#NAME?</v>
      </c>
      <c r="AB1904" s="58" t="str">
        <f t="shared" si="1744"/>
        <v>#NAME?</v>
      </c>
      <c r="AC1904" s="58" t="str">
        <f t="shared" si="1744"/>
        <v>#NAME?</v>
      </c>
      <c r="AD1904" s="57">
        <f t="shared" si="906"/>
        <v>0</v>
      </c>
      <c r="AE1904" s="57" t="str">
        <f t="shared" si="907"/>
        <v/>
      </c>
      <c r="AF1904" s="57">
        <f t="shared" si="908"/>
        <v>0</v>
      </c>
      <c r="AG1904" s="59">
        <f t="shared" si="909"/>
        <v>0</v>
      </c>
      <c r="AH1904" s="15"/>
      <c r="AI1904" s="15"/>
      <c r="AJ1904" s="15"/>
      <c r="AK1904" s="15"/>
      <c r="AL1904" s="15"/>
      <c r="AM1904" s="15"/>
      <c r="AN1904" s="15"/>
      <c r="AO1904" s="15"/>
      <c r="AP1904" s="15"/>
      <c r="AQ1904" s="15"/>
      <c r="AR1904" s="15"/>
      <c r="AS1904" s="15"/>
      <c r="AT1904" s="15"/>
      <c r="AU1904" s="15"/>
    </row>
    <row r="1905" ht="24.0" customHeight="1">
      <c r="A1905" s="45">
        <v>3329.0</v>
      </c>
      <c r="B1905" s="57"/>
      <c r="C1905" s="57"/>
      <c r="D1905" s="88" t="str">
        <f t="array" ref="D1905">IFERROR(
  LOOKUP(2, 1/((TRIM(IMS!$E$8:$E$2574)=TRIM(IMS!$E1905))*(IMS!$C$8:$C$2574&lt;IMS!$C1905)),
         IMS!$C$8:$C$2574),
"")</f>
        <v/>
      </c>
      <c r="E1905" s="57"/>
      <c r="F1905" s="57"/>
      <c r="G1905" s="77" t="str">
        <f t="shared" si="901"/>
        <v/>
      </c>
      <c r="H1905" s="78" t="str">
        <f t="shared" si="902"/>
        <v/>
      </c>
      <c r="I1905" s="79"/>
      <c r="J1905" s="80" t="str">
        <f t="shared" si="903"/>
        <v>#NAME?</v>
      </c>
      <c r="K1905" s="58"/>
      <c r="L1905" s="58"/>
      <c r="M1905" s="57"/>
      <c r="N1905" s="57"/>
      <c r="O1905" s="58"/>
      <c r="P1905" s="82"/>
      <c r="Q1905" s="81"/>
      <c r="R1905" s="81"/>
      <c r="S1905" s="57"/>
      <c r="T1905" s="82"/>
      <c r="U1905" s="82"/>
      <c r="V1905" s="57"/>
      <c r="W1905" s="57"/>
      <c r="X1905" s="57" t="str">
        <f t="shared" si="917"/>
        <v/>
      </c>
      <c r="Y1905" s="58" t="str">
        <f t="shared" ref="Y1905:AC1905" si="1745">TRIM(SUBSTITUTE(SUBSTITUTE(OFFSET($Q1905,0,COLUMN()-COLUMN($AL$1)),CHAR(160)," "),_xludf.UNICHAR(8239)," "))</f>
        <v>#NAME?</v>
      </c>
      <c r="Z1905" s="58" t="str">
        <f t="shared" si="1745"/>
        <v>#NAME?</v>
      </c>
      <c r="AA1905" s="58" t="str">
        <f t="shared" si="1745"/>
        <v>#NAME?</v>
      </c>
      <c r="AB1905" s="58" t="str">
        <f t="shared" si="1745"/>
        <v>#NAME?</v>
      </c>
      <c r="AC1905" s="58" t="str">
        <f t="shared" si="1745"/>
        <v>#NAME?</v>
      </c>
      <c r="AD1905" s="57">
        <f t="shared" si="906"/>
        <v>0</v>
      </c>
      <c r="AE1905" s="57" t="str">
        <f t="shared" si="907"/>
        <v/>
      </c>
      <c r="AF1905" s="57">
        <f t="shared" si="908"/>
        <v>0</v>
      </c>
      <c r="AG1905" s="59">
        <f t="shared" si="909"/>
        <v>0</v>
      </c>
      <c r="AH1905" s="15"/>
      <c r="AI1905" s="15"/>
      <c r="AJ1905" s="15"/>
      <c r="AK1905" s="15"/>
      <c r="AL1905" s="15"/>
      <c r="AM1905" s="15"/>
      <c r="AN1905" s="15"/>
      <c r="AO1905" s="15"/>
      <c r="AP1905" s="15"/>
      <c r="AQ1905" s="15"/>
      <c r="AR1905" s="15"/>
      <c r="AS1905" s="15"/>
      <c r="AT1905" s="15"/>
      <c r="AU1905" s="15"/>
    </row>
    <row r="1906" ht="24.0" customHeight="1">
      <c r="A1906" s="45">
        <v>3330.0</v>
      </c>
      <c r="B1906" s="57"/>
      <c r="C1906" s="57"/>
      <c r="D1906" s="88" t="str">
        <f t="array" ref="D1906">IFERROR(
  LOOKUP(2, 1/((TRIM(IMS!$E$8:$E$2574)=TRIM(IMS!$E1906))*(IMS!$C$8:$C$2574&lt;IMS!$C1906)),
         IMS!$C$8:$C$2574),
"")</f>
        <v/>
      </c>
      <c r="E1906" s="57"/>
      <c r="F1906" s="57"/>
      <c r="G1906" s="77" t="str">
        <f t="shared" si="901"/>
        <v/>
      </c>
      <c r="H1906" s="78" t="str">
        <f t="shared" si="902"/>
        <v/>
      </c>
      <c r="I1906" s="79"/>
      <c r="J1906" s="80" t="str">
        <f t="shared" si="903"/>
        <v>#NAME?</v>
      </c>
      <c r="K1906" s="58"/>
      <c r="L1906" s="58"/>
      <c r="M1906" s="57"/>
      <c r="N1906" s="57"/>
      <c r="O1906" s="58"/>
      <c r="P1906" s="82"/>
      <c r="Q1906" s="81"/>
      <c r="R1906" s="81"/>
      <c r="S1906" s="57"/>
      <c r="T1906" s="82"/>
      <c r="U1906" s="82"/>
      <c r="V1906" s="57"/>
      <c r="W1906" s="57"/>
      <c r="X1906" s="57" t="str">
        <f t="shared" si="917"/>
        <v/>
      </c>
      <c r="Y1906" s="58" t="str">
        <f t="shared" ref="Y1906:AC1906" si="1746">TRIM(SUBSTITUTE(SUBSTITUTE(OFFSET($Q1906,0,COLUMN()-COLUMN($AL$1)),CHAR(160)," "),_xludf.UNICHAR(8239)," "))</f>
        <v>#NAME?</v>
      </c>
      <c r="Z1906" s="58" t="str">
        <f t="shared" si="1746"/>
        <v>#NAME?</v>
      </c>
      <c r="AA1906" s="58" t="str">
        <f t="shared" si="1746"/>
        <v>#NAME?</v>
      </c>
      <c r="AB1906" s="58" t="str">
        <f t="shared" si="1746"/>
        <v>#NAME?</v>
      </c>
      <c r="AC1906" s="58" t="str">
        <f t="shared" si="1746"/>
        <v>#NAME?</v>
      </c>
      <c r="AD1906" s="57">
        <f t="shared" si="906"/>
        <v>0</v>
      </c>
      <c r="AE1906" s="57" t="str">
        <f t="shared" si="907"/>
        <v/>
      </c>
      <c r="AF1906" s="57">
        <f t="shared" si="908"/>
        <v>0</v>
      </c>
      <c r="AG1906" s="59">
        <f t="shared" si="909"/>
        <v>0</v>
      </c>
      <c r="AH1906" s="15"/>
      <c r="AI1906" s="15"/>
      <c r="AJ1906" s="15"/>
      <c r="AK1906" s="15"/>
      <c r="AL1906" s="15"/>
      <c r="AM1906" s="15"/>
      <c r="AN1906" s="15"/>
      <c r="AO1906" s="15"/>
      <c r="AP1906" s="15"/>
      <c r="AQ1906" s="15"/>
      <c r="AR1906" s="15"/>
      <c r="AS1906" s="15"/>
      <c r="AT1906" s="15"/>
      <c r="AU1906" s="15"/>
    </row>
    <row r="1907" ht="24.0" customHeight="1">
      <c r="A1907" s="45">
        <v>3331.0</v>
      </c>
      <c r="B1907" s="57"/>
      <c r="C1907" s="57"/>
      <c r="D1907" s="88" t="str">
        <f t="array" ref="D1907">IFERROR(
  LOOKUP(2, 1/((TRIM(IMS!$E$8:$E$2574)=TRIM(IMS!$E1907))*(IMS!$C$8:$C$2574&lt;IMS!$C1907)),
         IMS!$C$8:$C$2574),
"")</f>
        <v/>
      </c>
      <c r="E1907" s="57"/>
      <c r="F1907" s="57"/>
      <c r="G1907" s="77" t="str">
        <f t="shared" si="901"/>
        <v/>
      </c>
      <c r="H1907" s="78" t="str">
        <f t="shared" si="902"/>
        <v/>
      </c>
      <c r="I1907" s="79"/>
      <c r="J1907" s="80" t="str">
        <f t="shared" si="903"/>
        <v>#NAME?</v>
      </c>
      <c r="K1907" s="58"/>
      <c r="L1907" s="58"/>
      <c r="M1907" s="57"/>
      <c r="N1907" s="57"/>
      <c r="O1907" s="58"/>
      <c r="P1907" s="82"/>
      <c r="Q1907" s="81"/>
      <c r="R1907" s="81"/>
      <c r="S1907" s="57"/>
      <c r="T1907" s="82"/>
      <c r="U1907" s="82"/>
      <c r="V1907" s="57"/>
      <c r="W1907" s="57"/>
      <c r="X1907" s="57" t="str">
        <f t="shared" si="917"/>
        <v/>
      </c>
      <c r="Y1907" s="58" t="str">
        <f t="shared" ref="Y1907:AC1907" si="1747">TRIM(SUBSTITUTE(SUBSTITUTE(OFFSET($Q1907,0,COLUMN()-COLUMN($AL$1)),CHAR(160)," "),_xludf.UNICHAR(8239)," "))</f>
        <v>#NAME?</v>
      </c>
      <c r="Z1907" s="58" t="str">
        <f t="shared" si="1747"/>
        <v>#NAME?</v>
      </c>
      <c r="AA1907" s="58" t="str">
        <f t="shared" si="1747"/>
        <v>#NAME?</v>
      </c>
      <c r="AB1907" s="58" t="str">
        <f t="shared" si="1747"/>
        <v>#NAME?</v>
      </c>
      <c r="AC1907" s="58" t="str">
        <f t="shared" si="1747"/>
        <v>#NAME?</v>
      </c>
      <c r="AD1907" s="57">
        <f t="shared" si="906"/>
        <v>0</v>
      </c>
      <c r="AE1907" s="57" t="str">
        <f t="shared" si="907"/>
        <v/>
      </c>
      <c r="AF1907" s="57">
        <f t="shared" si="908"/>
        <v>0</v>
      </c>
      <c r="AG1907" s="59">
        <f t="shared" si="909"/>
        <v>0</v>
      </c>
      <c r="AH1907" s="15"/>
      <c r="AI1907" s="15"/>
      <c r="AJ1907" s="15"/>
      <c r="AK1907" s="15"/>
      <c r="AL1907" s="15"/>
      <c r="AM1907" s="15"/>
      <c r="AN1907" s="15"/>
      <c r="AO1907" s="15"/>
      <c r="AP1907" s="15"/>
      <c r="AQ1907" s="15"/>
      <c r="AR1907" s="15"/>
      <c r="AS1907" s="15"/>
      <c r="AT1907" s="15"/>
      <c r="AU1907" s="15"/>
    </row>
    <row r="1908" ht="24.0" customHeight="1">
      <c r="A1908" s="45">
        <v>3332.0</v>
      </c>
      <c r="B1908" s="57"/>
      <c r="C1908" s="57"/>
      <c r="D1908" s="88" t="str">
        <f t="array" ref="D1908">IFERROR(
  LOOKUP(2, 1/((TRIM(IMS!$E$8:$E$2574)=TRIM(IMS!$E1908))*(IMS!$C$8:$C$2574&lt;IMS!$C1908)),
         IMS!$C$8:$C$2574),
"")</f>
        <v/>
      </c>
      <c r="E1908" s="57"/>
      <c r="F1908" s="57"/>
      <c r="G1908" s="77" t="str">
        <f t="shared" si="901"/>
        <v/>
      </c>
      <c r="H1908" s="78" t="str">
        <f t="shared" si="902"/>
        <v/>
      </c>
      <c r="I1908" s="79"/>
      <c r="J1908" s="80" t="str">
        <f t="shared" si="903"/>
        <v>#NAME?</v>
      </c>
      <c r="K1908" s="58"/>
      <c r="L1908" s="58"/>
      <c r="M1908" s="57"/>
      <c r="N1908" s="57"/>
      <c r="O1908" s="58"/>
      <c r="P1908" s="82"/>
      <c r="Q1908" s="81"/>
      <c r="R1908" s="81"/>
      <c r="S1908" s="57"/>
      <c r="T1908" s="82"/>
      <c r="U1908" s="82"/>
      <c r="V1908" s="57"/>
      <c r="W1908" s="57"/>
      <c r="X1908" s="57" t="str">
        <f t="shared" si="917"/>
        <v/>
      </c>
      <c r="Y1908" s="58" t="str">
        <f t="shared" ref="Y1908:AC1908" si="1748">TRIM(SUBSTITUTE(SUBSTITUTE(OFFSET($Q1908,0,COLUMN()-COLUMN($AL$1)),CHAR(160)," "),_xludf.UNICHAR(8239)," "))</f>
        <v>#NAME?</v>
      </c>
      <c r="Z1908" s="58" t="str">
        <f t="shared" si="1748"/>
        <v>#NAME?</v>
      </c>
      <c r="AA1908" s="58" t="str">
        <f t="shared" si="1748"/>
        <v>#NAME?</v>
      </c>
      <c r="AB1908" s="58" t="str">
        <f t="shared" si="1748"/>
        <v>#NAME?</v>
      </c>
      <c r="AC1908" s="58" t="str">
        <f t="shared" si="1748"/>
        <v>#NAME?</v>
      </c>
      <c r="AD1908" s="57">
        <f t="shared" si="906"/>
        <v>0</v>
      </c>
      <c r="AE1908" s="57" t="str">
        <f t="shared" si="907"/>
        <v/>
      </c>
      <c r="AF1908" s="57">
        <f t="shared" si="908"/>
        <v>0</v>
      </c>
      <c r="AG1908" s="59">
        <f t="shared" si="909"/>
        <v>0</v>
      </c>
      <c r="AH1908" s="15"/>
      <c r="AI1908" s="15"/>
      <c r="AJ1908" s="15"/>
      <c r="AK1908" s="15"/>
      <c r="AL1908" s="15"/>
      <c r="AM1908" s="15"/>
      <c r="AN1908" s="15"/>
      <c r="AO1908" s="15"/>
      <c r="AP1908" s="15"/>
      <c r="AQ1908" s="15"/>
      <c r="AR1908" s="15"/>
      <c r="AS1908" s="15"/>
      <c r="AT1908" s="15"/>
      <c r="AU1908" s="15"/>
    </row>
    <row r="1909" ht="24.0" customHeight="1">
      <c r="A1909" s="45">
        <v>3333.0</v>
      </c>
      <c r="B1909" s="57"/>
      <c r="C1909" s="57"/>
      <c r="D1909" s="88" t="str">
        <f t="array" ref="D1909">IFERROR(
  LOOKUP(2, 1/((TRIM(IMS!$E$8:$E$2574)=TRIM(IMS!$E1909))*(IMS!$C$8:$C$2574&lt;IMS!$C1909)),
         IMS!$C$8:$C$2574),
"")</f>
        <v/>
      </c>
      <c r="E1909" s="57"/>
      <c r="F1909" s="57"/>
      <c r="G1909" s="77" t="str">
        <f t="shared" si="901"/>
        <v/>
      </c>
      <c r="H1909" s="78" t="str">
        <f t="shared" si="902"/>
        <v/>
      </c>
      <c r="I1909" s="79"/>
      <c r="J1909" s="80" t="str">
        <f t="shared" si="903"/>
        <v>#NAME?</v>
      </c>
      <c r="K1909" s="58"/>
      <c r="L1909" s="58"/>
      <c r="M1909" s="57"/>
      <c r="N1909" s="57"/>
      <c r="O1909" s="58"/>
      <c r="P1909" s="82"/>
      <c r="Q1909" s="81"/>
      <c r="R1909" s="81"/>
      <c r="S1909" s="57"/>
      <c r="T1909" s="82"/>
      <c r="U1909" s="82"/>
      <c r="V1909" s="57"/>
      <c r="W1909" s="57"/>
      <c r="X1909" s="57" t="str">
        <f t="shared" si="917"/>
        <v/>
      </c>
      <c r="Y1909" s="58" t="str">
        <f t="shared" ref="Y1909:AC1909" si="1749">TRIM(SUBSTITUTE(SUBSTITUTE(OFFSET($Q1909,0,COLUMN()-COLUMN($AL$1)),CHAR(160)," "),_xludf.UNICHAR(8239)," "))</f>
        <v>#NAME?</v>
      </c>
      <c r="Z1909" s="58" t="str">
        <f t="shared" si="1749"/>
        <v>#NAME?</v>
      </c>
      <c r="AA1909" s="58" t="str">
        <f t="shared" si="1749"/>
        <v>#NAME?</v>
      </c>
      <c r="AB1909" s="58" t="str">
        <f t="shared" si="1749"/>
        <v>#NAME?</v>
      </c>
      <c r="AC1909" s="58" t="str">
        <f t="shared" si="1749"/>
        <v>#NAME?</v>
      </c>
      <c r="AD1909" s="57">
        <f t="shared" si="906"/>
        <v>0</v>
      </c>
      <c r="AE1909" s="57" t="str">
        <f t="shared" si="907"/>
        <v/>
      </c>
      <c r="AF1909" s="57">
        <f t="shared" si="908"/>
        <v>0</v>
      </c>
      <c r="AG1909" s="59">
        <f t="shared" si="909"/>
        <v>0</v>
      </c>
      <c r="AH1909" s="15"/>
      <c r="AI1909" s="15"/>
      <c r="AJ1909" s="15"/>
      <c r="AK1909" s="15"/>
      <c r="AL1909" s="15"/>
      <c r="AM1909" s="15"/>
      <c r="AN1909" s="15"/>
      <c r="AO1909" s="15"/>
      <c r="AP1909" s="15"/>
      <c r="AQ1909" s="15"/>
      <c r="AR1909" s="15"/>
      <c r="AS1909" s="15"/>
      <c r="AT1909" s="15"/>
      <c r="AU1909" s="15"/>
    </row>
    <row r="1910" ht="24.0" customHeight="1">
      <c r="A1910" s="45">
        <v>3334.0</v>
      </c>
      <c r="B1910" s="57"/>
      <c r="C1910" s="57"/>
      <c r="D1910" s="88" t="str">
        <f t="array" ref="D1910">IFERROR(
  LOOKUP(2, 1/((TRIM(IMS!$E$8:$E$2574)=TRIM(IMS!$E1910))*(IMS!$C$8:$C$2574&lt;IMS!$C1910)),
         IMS!$C$8:$C$2574),
"")</f>
        <v/>
      </c>
      <c r="E1910" s="57"/>
      <c r="F1910" s="57"/>
      <c r="G1910" s="77" t="str">
        <f t="shared" si="901"/>
        <v/>
      </c>
      <c r="H1910" s="78" t="str">
        <f t="shared" si="902"/>
        <v/>
      </c>
      <c r="I1910" s="79"/>
      <c r="J1910" s="80" t="str">
        <f t="shared" si="903"/>
        <v>#NAME?</v>
      </c>
      <c r="K1910" s="58"/>
      <c r="L1910" s="58"/>
      <c r="M1910" s="57"/>
      <c r="N1910" s="57"/>
      <c r="O1910" s="58"/>
      <c r="P1910" s="82"/>
      <c r="Q1910" s="81"/>
      <c r="R1910" s="81"/>
      <c r="S1910" s="57"/>
      <c r="T1910" s="82"/>
      <c r="U1910" s="82"/>
      <c r="V1910" s="57"/>
      <c r="W1910" s="57"/>
      <c r="X1910" s="57" t="str">
        <f t="shared" si="917"/>
        <v/>
      </c>
      <c r="Y1910" s="58" t="str">
        <f t="shared" ref="Y1910:AC1910" si="1750">TRIM(SUBSTITUTE(SUBSTITUTE(OFFSET($Q1910,0,COLUMN()-COLUMN($AL$1)),CHAR(160)," "),_xludf.UNICHAR(8239)," "))</f>
        <v>#NAME?</v>
      </c>
      <c r="Z1910" s="58" t="str">
        <f t="shared" si="1750"/>
        <v>#NAME?</v>
      </c>
      <c r="AA1910" s="58" t="str">
        <f t="shared" si="1750"/>
        <v>#NAME?</v>
      </c>
      <c r="AB1910" s="58" t="str">
        <f t="shared" si="1750"/>
        <v>#NAME?</v>
      </c>
      <c r="AC1910" s="58" t="str">
        <f t="shared" si="1750"/>
        <v>#NAME?</v>
      </c>
      <c r="AD1910" s="57">
        <f t="shared" si="906"/>
        <v>0</v>
      </c>
      <c r="AE1910" s="57" t="str">
        <f t="shared" si="907"/>
        <v/>
      </c>
      <c r="AF1910" s="57">
        <f t="shared" si="908"/>
        <v>0</v>
      </c>
      <c r="AG1910" s="59">
        <f t="shared" si="909"/>
        <v>0</v>
      </c>
      <c r="AH1910" s="15"/>
      <c r="AI1910" s="15"/>
      <c r="AJ1910" s="15"/>
      <c r="AK1910" s="15"/>
      <c r="AL1910" s="15"/>
      <c r="AM1910" s="15"/>
      <c r="AN1910" s="15"/>
      <c r="AO1910" s="15"/>
      <c r="AP1910" s="15"/>
      <c r="AQ1910" s="15"/>
      <c r="AR1910" s="15"/>
      <c r="AS1910" s="15"/>
      <c r="AT1910" s="15"/>
      <c r="AU1910" s="15"/>
    </row>
    <row r="1911" ht="24.0" customHeight="1">
      <c r="A1911" s="45">
        <v>3335.0</v>
      </c>
      <c r="B1911" s="57"/>
      <c r="C1911" s="57"/>
      <c r="D1911" s="88" t="str">
        <f t="array" ref="D1911">IFERROR(
  LOOKUP(2, 1/((TRIM(IMS!$E$8:$E$2574)=TRIM(IMS!$E1911))*(IMS!$C$8:$C$2574&lt;IMS!$C1911)),
         IMS!$C$8:$C$2574),
"")</f>
        <v/>
      </c>
      <c r="E1911" s="57"/>
      <c r="F1911" s="57"/>
      <c r="G1911" s="77" t="str">
        <f t="shared" si="901"/>
        <v/>
      </c>
      <c r="H1911" s="78" t="str">
        <f t="shared" si="902"/>
        <v/>
      </c>
      <c r="I1911" s="79"/>
      <c r="J1911" s="80" t="str">
        <f t="shared" si="903"/>
        <v>#NAME?</v>
      </c>
      <c r="K1911" s="58"/>
      <c r="L1911" s="58"/>
      <c r="M1911" s="57"/>
      <c r="N1911" s="57"/>
      <c r="O1911" s="58"/>
      <c r="P1911" s="82"/>
      <c r="Q1911" s="81"/>
      <c r="R1911" s="81"/>
      <c r="S1911" s="57"/>
      <c r="T1911" s="82"/>
      <c r="U1911" s="82"/>
      <c r="V1911" s="57"/>
      <c r="W1911" s="57"/>
      <c r="X1911" s="57" t="str">
        <f t="shared" si="917"/>
        <v/>
      </c>
      <c r="Y1911" s="58" t="str">
        <f t="shared" ref="Y1911:AC1911" si="1751">TRIM(SUBSTITUTE(SUBSTITUTE(OFFSET($Q1911,0,COLUMN()-COLUMN($AL$1)),CHAR(160)," "),_xludf.UNICHAR(8239)," "))</f>
        <v>#NAME?</v>
      </c>
      <c r="Z1911" s="58" t="str">
        <f t="shared" si="1751"/>
        <v>#NAME?</v>
      </c>
      <c r="AA1911" s="58" t="str">
        <f t="shared" si="1751"/>
        <v>#NAME?</v>
      </c>
      <c r="AB1911" s="58" t="str">
        <f t="shared" si="1751"/>
        <v>#NAME?</v>
      </c>
      <c r="AC1911" s="58" t="str">
        <f t="shared" si="1751"/>
        <v>#NAME?</v>
      </c>
      <c r="AD1911" s="57">
        <f t="shared" si="906"/>
        <v>0</v>
      </c>
      <c r="AE1911" s="57" t="str">
        <f t="shared" si="907"/>
        <v/>
      </c>
      <c r="AF1911" s="57">
        <f t="shared" si="908"/>
        <v>0</v>
      </c>
      <c r="AG1911" s="59">
        <f t="shared" si="909"/>
        <v>0</v>
      </c>
      <c r="AH1911" s="15"/>
      <c r="AI1911" s="15"/>
      <c r="AJ1911" s="15"/>
      <c r="AK1911" s="15"/>
      <c r="AL1911" s="15"/>
      <c r="AM1911" s="15"/>
      <c r="AN1911" s="15"/>
      <c r="AO1911" s="15"/>
      <c r="AP1911" s="15"/>
      <c r="AQ1911" s="15"/>
      <c r="AR1911" s="15"/>
      <c r="AS1911" s="15"/>
      <c r="AT1911" s="15"/>
      <c r="AU1911" s="15"/>
    </row>
    <row r="1912" ht="24.0" customHeight="1">
      <c r="A1912" s="45">
        <v>3336.0</v>
      </c>
      <c r="B1912" s="57"/>
      <c r="C1912" s="57"/>
      <c r="D1912" s="88" t="str">
        <f t="array" ref="D1912">IFERROR(
  LOOKUP(2, 1/((TRIM(IMS!$E$8:$E$2574)=TRIM(IMS!$E1912))*(IMS!$C$8:$C$2574&lt;IMS!$C1912)),
         IMS!$C$8:$C$2574),
"")</f>
        <v/>
      </c>
      <c r="E1912" s="57"/>
      <c r="F1912" s="57"/>
      <c r="G1912" s="77" t="str">
        <f t="shared" si="901"/>
        <v/>
      </c>
      <c r="H1912" s="78" t="str">
        <f t="shared" si="902"/>
        <v/>
      </c>
      <c r="I1912" s="79"/>
      <c r="J1912" s="80" t="str">
        <f t="shared" si="903"/>
        <v>#NAME?</v>
      </c>
      <c r="K1912" s="58"/>
      <c r="L1912" s="58"/>
      <c r="M1912" s="57"/>
      <c r="N1912" s="57"/>
      <c r="O1912" s="58"/>
      <c r="P1912" s="82"/>
      <c r="Q1912" s="81"/>
      <c r="R1912" s="81"/>
      <c r="S1912" s="57"/>
      <c r="T1912" s="82"/>
      <c r="U1912" s="82"/>
      <c r="V1912" s="57"/>
      <c r="W1912" s="57"/>
      <c r="X1912" s="57" t="str">
        <f t="shared" si="917"/>
        <v/>
      </c>
      <c r="Y1912" s="58" t="str">
        <f t="shared" ref="Y1912:AC1912" si="1752">TRIM(SUBSTITUTE(SUBSTITUTE(OFFSET($Q1912,0,COLUMN()-COLUMN($AL$1)),CHAR(160)," "),_xludf.UNICHAR(8239)," "))</f>
        <v>#NAME?</v>
      </c>
      <c r="Z1912" s="58" t="str">
        <f t="shared" si="1752"/>
        <v>#NAME?</v>
      </c>
      <c r="AA1912" s="58" t="str">
        <f t="shared" si="1752"/>
        <v>#NAME?</v>
      </c>
      <c r="AB1912" s="58" t="str">
        <f t="shared" si="1752"/>
        <v>#NAME?</v>
      </c>
      <c r="AC1912" s="58" t="str">
        <f t="shared" si="1752"/>
        <v>#NAME?</v>
      </c>
      <c r="AD1912" s="57">
        <f t="shared" si="906"/>
        <v>0</v>
      </c>
      <c r="AE1912" s="57" t="str">
        <f t="shared" si="907"/>
        <v/>
      </c>
      <c r="AF1912" s="57">
        <f t="shared" si="908"/>
        <v>0</v>
      </c>
      <c r="AG1912" s="59">
        <f t="shared" si="909"/>
        <v>0</v>
      </c>
      <c r="AH1912" s="15"/>
      <c r="AI1912" s="15"/>
      <c r="AJ1912" s="15"/>
      <c r="AK1912" s="15"/>
      <c r="AL1912" s="15"/>
      <c r="AM1912" s="15"/>
      <c r="AN1912" s="15"/>
      <c r="AO1912" s="15"/>
      <c r="AP1912" s="15"/>
      <c r="AQ1912" s="15"/>
      <c r="AR1912" s="15"/>
      <c r="AS1912" s="15"/>
      <c r="AT1912" s="15"/>
      <c r="AU1912" s="15"/>
    </row>
    <row r="1913" ht="24.0" customHeight="1">
      <c r="A1913" s="45">
        <v>3337.0</v>
      </c>
      <c r="B1913" s="57"/>
      <c r="C1913" s="57"/>
      <c r="D1913" s="88" t="str">
        <f t="array" ref="D1913">IFERROR(
  LOOKUP(2, 1/((TRIM(IMS!$E$8:$E$2574)=TRIM(IMS!$E1913))*(IMS!$C$8:$C$2574&lt;IMS!$C1913)),
         IMS!$C$8:$C$2574),
"")</f>
        <v/>
      </c>
      <c r="E1913" s="57"/>
      <c r="F1913" s="57"/>
      <c r="G1913" s="77" t="str">
        <f t="shared" si="901"/>
        <v/>
      </c>
      <c r="H1913" s="78" t="str">
        <f t="shared" si="902"/>
        <v/>
      </c>
      <c r="I1913" s="79"/>
      <c r="J1913" s="80" t="str">
        <f t="shared" si="903"/>
        <v>#NAME?</v>
      </c>
      <c r="K1913" s="58"/>
      <c r="L1913" s="58"/>
      <c r="M1913" s="57"/>
      <c r="N1913" s="57"/>
      <c r="O1913" s="58"/>
      <c r="P1913" s="82"/>
      <c r="Q1913" s="81"/>
      <c r="R1913" s="81"/>
      <c r="S1913" s="57"/>
      <c r="T1913" s="82"/>
      <c r="U1913" s="82"/>
      <c r="V1913" s="57"/>
      <c r="W1913" s="57"/>
      <c r="X1913" s="57" t="str">
        <f t="shared" si="917"/>
        <v/>
      </c>
      <c r="Y1913" s="58" t="str">
        <f t="shared" ref="Y1913:AC1913" si="1753">TRIM(SUBSTITUTE(SUBSTITUTE(OFFSET($Q1913,0,COLUMN()-COLUMN($AL$1)),CHAR(160)," "),_xludf.UNICHAR(8239)," "))</f>
        <v>#NAME?</v>
      </c>
      <c r="Z1913" s="58" t="str">
        <f t="shared" si="1753"/>
        <v>#NAME?</v>
      </c>
      <c r="AA1913" s="58" t="str">
        <f t="shared" si="1753"/>
        <v>#NAME?</v>
      </c>
      <c r="AB1913" s="58" t="str">
        <f t="shared" si="1753"/>
        <v>#NAME?</v>
      </c>
      <c r="AC1913" s="58" t="str">
        <f t="shared" si="1753"/>
        <v>#NAME?</v>
      </c>
      <c r="AD1913" s="57">
        <f t="shared" si="906"/>
        <v>0</v>
      </c>
      <c r="AE1913" s="57" t="str">
        <f t="shared" si="907"/>
        <v/>
      </c>
      <c r="AF1913" s="57">
        <f t="shared" si="908"/>
        <v>0</v>
      </c>
      <c r="AG1913" s="59">
        <f t="shared" si="909"/>
        <v>0</v>
      </c>
      <c r="AH1913" s="15"/>
      <c r="AI1913" s="15"/>
      <c r="AJ1913" s="15"/>
      <c r="AK1913" s="15"/>
      <c r="AL1913" s="15"/>
      <c r="AM1913" s="15"/>
      <c r="AN1913" s="15"/>
      <c r="AO1913" s="15"/>
      <c r="AP1913" s="15"/>
      <c r="AQ1913" s="15"/>
      <c r="AR1913" s="15"/>
      <c r="AS1913" s="15"/>
      <c r="AT1913" s="15"/>
      <c r="AU1913" s="15"/>
    </row>
    <row r="1914" ht="24.0" customHeight="1">
      <c r="A1914" s="45">
        <v>3338.0</v>
      </c>
      <c r="B1914" s="57"/>
      <c r="C1914" s="57"/>
      <c r="D1914" s="88" t="str">
        <f t="array" ref="D1914">IFERROR(
  LOOKUP(2, 1/((TRIM(IMS!$E$8:$E$2574)=TRIM(IMS!$E1914))*(IMS!$C$8:$C$2574&lt;IMS!$C1914)),
         IMS!$C$8:$C$2574),
"")</f>
        <v/>
      </c>
      <c r="E1914" s="57"/>
      <c r="F1914" s="57"/>
      <c r="G1914" s="77" t="str">
        <f t="shared" si="901"/>
        <v/>
      </c>
      <c r="H1914" s="78" t="str">
        <f t="shared" si="902"/>
        <v/>
      </c>
      <c r="I1914" s="79"/>
      <c r="J1914" s="80" t="str">
        <f t="shared" si="903"/>
        <v>#NAME?</v>
      </c>
      <c r="K1914" s="58"/>
      <c r="L1914" s="58"/>
      <c r="M1914" s="57"/>
      <c r="N1914" s="57"/>
      <c r="O1914" s="58"/>
      <c r="P1914" s="82"/>
      <c r="Q1914" s="81"/>
      <c r="R1914" s="81"/>
      <c r="S1914" s="57"/>
      <c r="T1914" s="82"/>
      <c r="U1914" s="82"/>
      <c r="V1914" s="57"/>
      <c r="W1914" s="57"/>
      <c r="X1914" s="57" t="str">
        <f t="shared" si="917"/>
        <v/>
      </c>
      <c r="Y1914" s="58" t="str">
        <f t="shared" ref="Y1914:AC1914" si="1754">TRIM(SUBSTITUTE(SUBSTITUTE(OFFSET($Q1914,0,COLUMN()-COLUMN($AL$1)),CHAR(160)," "),_xludf.UNICHAR(8239)," "))</f>
        <v>#NAME?</v>
      </c>
      <c r="Z1914" s="58" t="str">
        <f t="shared" si="1754"/>
        <v>#NAME?</v>
      </c>
      <c r="AA1914" s="58" t="str">
        <f t="shared" si="1754"/>
        <v>#NAME?</v>
      </c>
      <c r="AB1914" s="58" t="str">
        <f t="shared" si="1754"/>
        <v>#NAME?</v>
      </c>
      <c r="AC1914" s="58" t="str">
        <f t="shared" si="1754"/>
        <v>#NAME?</v>
      </c>
      <c r="AD1914" s="57">
        <f t="shared" si="906"/>
        <v>0</v>
      </c>
      <c r="AE1914" s="57" t="str">
        <f t="shared" si="907"/>
        <v/>
      </c>
      <c r="AF1914" s="57">
        <f t="shared" si="908"/>
        <v>0</v>
      </c>
      <c r="AG1914" s="59">
        <f t="shared" si="909"/>
        <v>0</v>
      </c>
      <c r="AH1914" s="15"/>
      <c r="AI1914" s="15"/>
      <c r="AJ1914" s="15"/>
      <c r="AK1914" s="15"/>
      <c r="AL1914" s="15"/>
      <c r="AM1914" s="15"/>
      <c r="AN1914" s="15"/>
      <c r="AO1914" s="15"/>
      <c r="AP1914" s="15"/>
      <c r="AQ1914" s="15"/>
      <c r="AR1914" s="15"/>
      <c r="AS1914" s="15"/>
      <c r="AT1914" s="15"/>
      <c r="AU1914" s="15"/>
    </row>
    <row r="1915" ht="24.0" customHeight="1">
      <c r="A1915" s="45">
        <v>3339.0</v>
      </c>
      <c r="B1915" s="57"/>
      <c r="C1915" s="57"/>
      <c r="D1915" s="88" t="str">
        <f t="array" ref="D1915">IFERROR(
  LOOKUP(2, 1/((TRIM(IMS!$E$8:$E$2574)=TRIM(IMS!$E1915))*(IMS!$C$8:$C$2574&lt;IMS!$C1915)),
         IMS!$C$8:$C$2574),
"")</f>
        <v/>
      </c>
      <c r="E1915" s="57"/>
      <c r="F1915" s="57"/>
      <c r="G1915" s="77" t="str">
        <f t="shared" si="901"/>
        <v/>
      </c>
      <c r="H1915" s="78" t="str">
        <f t="shared" si="902"/>
        <v/>
      </c>
      <c r="I1915" s="79"/>
      <c r="J1915" s="80" t="str">
        <f t="shared" si="903"/>
        <v>#NAME?</v>
      </c>
      <c r="K1915" s="58"/>
      <c r="L1915" s="58"/>
      <c r="M1915" s="57"/>
      <c r="N1915" s="57"/>
      <c r="O1915" s="58"/>
      <c r="P1915" s="82"/>
      <c r="Q1915" s="81"/>
      <c r="R1915" s="81"/>
      <c r="S1915" s="57"/>
      <c r="T1915" s="82"/>
      <c r="U1915" s="82"/>
      <c r="V1915" s="57"/>
      <c r="W1915" s="57"/>
      <c r="X1915" s="57" t="str">
        <f t="shared" si="917"/>
        <v/>
      </c>
      <c r="Y1915" s="58" t="str">
        <f t="shared" ref="Y1915:AC1915" si="1755">TRIM(SUBSTITUTE(SUBSTITUTE(OFFSET($Q1915,0,COLUMN()-COLUMN($AL$1)),CHAR(160)," "),_xludf.UNICHAR(8239)," "))</f>
        <v>#NAME?</v>
      </c>
      <c r="Z1915" s="58" t="str">
        <f t="shared" si="1755"/>
        <v>#NAME?</v>
      </c>
      <c r="AA1915" s="58" t="str">
        <f t="shared" si="1755"/>
        <v>#NAME?</v>
      </c>
      <c r="AB1915" s="58" t="str">
        <f t="shared" si="1755"/>
        <v>#NAME?</v>
      </c>
      <c r="AC1915" s="58" t="str">
        <f t="shared" si="1755"/>
        <v>#NAME?</v>
      </c>
      <c r="AD1915" s="57">
        <f t="shared" si="906"/>
        <v>0</v>
      </c>
      <c r="AE1915" s="57" t="str">
        <f t="shared" si="907"/>
        <v/>
      </c>
      <c r="AF1915" s="57">
        <f t="shared" si="908"/>
        <v>0</v>
      </c>
      <c r="AG1915" s="59">
        <f t="shared" si="909"/>
        <v>0</v>
      </c>
      <c r="AH1915" s="15"/>
      <c r="AI1915" s="15"/>
      <c r="AJ1915" s="15"/>
      <c r="AK1915" s="15"/>
      <c r="AL1915" s="15"/>
      <c r="AM1915" s="15"/>
      <c r="AN1915" s="15"/>
      <c r="AO1915" s="15"/>
      <c r="AP1915" s="15"/>
      <c r="AQ1915" s="15"/>
      <c r="AR1915" s="15"/>
      <c r="AS1915" s="15"/>
      <c r="AT1915" s="15"/>
      <c r="AU1915" s="15"/>
    </row>
    <row r="1916" ht="24.0" customHeight="1">
      <c r="A1916" s="45">
        <v>3340.0</v>
      </c>
      <c r="B1916" s="57"/>
      <c r="C1916" s="57"/>
      <c r="D1916" s="88" t="str">
        <f t="array" ref="D1916">IFERROR(
  LOOKUP(2, 1/((TRIM(IMS!$E$8:$E$2574)=TRIM(IMS!$E1916))*(IMS!$C$8:$C$2574&lt;IMS!$C1916)),
         IMS!$C$8:$C$2574),
"")</f>
        <v/>
      </c>
      <c r="E1916" s="57"/>
      <c r="F1916" s="57"/>
      <c r="G1916" s="77" t="str">
        <f t="shared" si="901"/>
        <v/>
      </c>
      <c r="H1916" s="78" t="str">
        <f t="shared" si="902"/>
        <v/>
      </c>
      <c r="I1916" s="79"/>
      <c r="J1916" s="80" t="str">
        <f t="shared" si="903"/>
        <v>#NAME?</v>
      </c>
      <c r="K1916" s="58"/>
      <c r="L1916" s="58"/>
      <c r="M1916" s="57"/>
      <c r="N1916" s="57"/>
      <c r="O1916" s="58"/>
      <c r="P1916" s="82"/>
      <c r="Q1916" s="81"/>
      <c r="R1916" s="81"/>
      <c r="S1916" s="57"/>
      <c r="T1916" s="82"/>
      <c r="U1916" s="82"/>
      <c r="V1916" s="57"/>
      <c r="W1916" s="57"/>
      <c r="X1916" s="57" t="str">
        <f t="shared" si="917"/>
        <v/>
      </c>
      <c r="Y1916" s="58" t="str">
        <f t="shared" ref="Y1916:AC1916" si="1756">TRIM(SUBSTITUTE(SUBSTITUTE(OFFSET($Q1916,0,COLUMN()-COLUMN($AL$1)),CHAR(160)," "),_xludf.UNICHAR(8239)," "))</f>
        <v>#NAME?</v>
      </c>
      <c r="Z1916" s="58" t="str">
        <f t="shared" si="1756"/>
        <v>#NAME?</v>
      </c>
      <c r="AA1916" s="58" t="str">
        <f t="shared" si="1756"/>
        <v>#NAME?</v>
      </c>
      <c r="AB1916" s="58" t="str">
        <f t="shared" si="1756"/>
        <v>#NAME?</v>
      </c>
      <c r="AC1916" s="58" t="str">
        <f t="shared" si="1756"/>
        <v>#NAME?</v>
      </c>
      <c r="AD1916" s="57">
        <f t="shared" si="906"/>
        <v>0</v>
      </c>
      <c r="AE1916" s="57" t="str">
        <f t="shared" si="907"/>
        <v/>
      </c>
      <c r="AF1916" s="57">
        <f t="shared" si="908"/>
        <v>0</v>
      </c>
      <c r="AG1916" s="59">
        <f t="shared" si="909"/>
        <v>0</v>
      </c>
      <c r="AH1916" s="15"/>
      <c r="AI1916" s="15"/>
      <c r="AJ1916" s="15"/>
      <c r="AK1916" s="15"/>
      <c r="AL1916" s="15"/>
      <c r="AM1916" s="15"/>
      <c r="AN1916" s="15"/>
      <c r="AO1916" s="15"/>
      <c r="AP1916" s="15"/>
      <c r="AQ1916" s="15"/>
      <c r="AR1916" s="15"/>
      <c r="AS1916" s="15"/>
      <c r="AT1916" s="15"/>
      <c r="AU1916" s="15"/>
    </row>
    <row r="1917" ht="24.0" customHeight="1">
      <c r="A1917" s="45">
        <v>3341.0</v>
      </c>
      <c r="B1917" s="57"/>
      <c r="C1917" s="57"/>
      <c r="D1917" s="88" t="str">
        <f t="array" ref="D1917">IFERROR(
  LOOKUP(2, 1/((TRIM(IMS!$E$8:$E$2574)=TRIM(IMS!$E1917))*(IMS!$C$8:$C$2574&lt;IMS!$C1917)),
         IMS!$C$8:$C$2574),
"")</f>
        <v/>
      </c>
      <c r="E1917" s="57"/>
      <c r="F1917" s="57"/>
      <c r="G1917" s="77" t="str">
        <f t="shared" si="901"/>
        <v/>
      </c>
      <c r="H1917" s="78" t="str">
        <f t="shared" si="902"/>
        <v/>
      </c>
      <c r="I1917" s="79"/>
      <c r="J1917" s="80" t="str">
        <f t="shared" si="903"/>
        <v>#NAME?</v>
      </c>
      <c r="K1917" s="58"/>
      <c r="L1917" s="58"/>
      <c r="M1917" s="57"/>
      <c r="N1917" s="57"/>
      <c r="O1917" s="58"/>
      <c r="P1917" s="82"/>
      <c r="Q1917" s="81"/>
      <c r="R1917" s="81"/>
      <c r="S1917" s="57"/>
      <c r="T1917" s="82"/>
      <c r="U1917" s="82"/>
      <c r="V1917" s="57"/>
      <c r="W1917" s="57"/>
      <c r="X1917" s="57" t="str">
        <f t="shared" si="917"/>
        <v/>
      </c>
      <c r="Y1917" s="58" t="str">
        <f t="shared" ref="Y1917:AC1917" si="1757">TRIM(SUBSTITUTE(SUBSTITUTE(OFFSET($Q1917,0,COLUMN()-COLUMN($AL$1)),CHAR(160)," "),_xludf.UNICHAR(8239)," "))</f>
        <v>#NAME?</v>
      </c>
      <c r="Z1917" s="58" t="str">
        <f t="shared" si="1757"/>
        <v>#NAME?</v>
      </c>
      <c r="AA1917" s="58" t="str">
        <f t="shared" si="1757"/>
        <v>#NAME?</v>
      </c>
      <c r="AB1917" s="58" t="str">
        <f t="shared" si="1757"/>
        <v>#NAME?</v>
      </c>
      <c r="AC1917" s="58" t="str">
        <f t="shared" si="1757"/>
        <v>#NAME?</v>
      </c>
      <c r="AD1917" s="57">
        <f t="shared" si="906"/>
        <v>0</v>
      </c>
      <c r="AE1917" s="57" t="str">
        <f t="shared" si="907"/>
        <v/>
      </c>
      <c r="AF1917" s="57">
        <f t="shared" si="908"/>
        <v>0</v>
      </c>
      <c r="AG1917" s="59">
        <f t="shared" si="909"/>
        <v>0</v>
      </c>
      <c r="AH1917" s="15"/>
      <c r="AI1917" s="15"/>
      <c r="AJ1917" s="15"/>
      <c r="AK1917" s="15"/>
      <c r="AL1917" s="15"/>
      <c r="AM1917" s="15"/>
      <c r="AN1917" s="15"/>
      <c r="AO1917" s="15"/>
      <c r="AP1917" s="15"/>
      <c r="AQ1917" s="15"/>
      <c r="AR1917" s="15"/>
      <c r="AS1917" s="15"/>
      <c r="AT1917" s="15"/>
      <c r="AU1917" s="15"/>
    </row>
    <row r="1918" ht="24.0" customHeight="1">
      <c r="A1918" s="45">
        <v>3342.0</v>
      </c>
      <c r="B1918" s="57"/>
      <c r="C1918" s="57"/>
      <c r="D1918" s="88" t="str">
        <f t="array" ref="D1918">IFERROR(
  LOOKUP(2, 1/((TRIM(IMS!$E$8:$E$2574)=TRIM(IMS!$E1918))*(IMS!$C$8:$C$2574&lt;IMS!$C1918)),
         IMS!$C$8:$C$2574),
"")</f>
        <v/>
      </c>
      <c r="E1918" s="57"/>
      <c r="F1918" s="57"/>
      <c r="G1918" s="77" t="str">
        <f t="shared" si="901"/>
        <v/>
      </c>
      <c r="H1918" s="78" t="str">
        <f t="shared" si="902"/>
        <v/>
      </c>
      <c r="I1918" s="79"/>
      <c r="J1918" s="80" t="str">
        <f t="shared" si="903"/>
        <v>#NAME?</v>
      </c>
      <c r="K1918" s="58"/>
      <c r="L1918" s="58"/>
      <c r="M1918" s="57"/>
      <c r="N1918" s="57"/>
      <c r="O1918" s="58"/>
      <c r="P1918" s="82"/>
      <c r="Q1918" s="81"/>
      <c r="R1918" s="81"/>
      <c r="S1918" s="57"/>
      <c r="T1918" s="82"/>
      <c r="U1918" s="82"/>
      <c r="V1918" s="57"/>
      <c r="W1918" s="57"/>
      <c r="X1918" s="57" t="str">
        <f t="shared" si="917"/>
        <v/>
      </c>
      <c r="Y1918" s="58" t="str">
        <f t="shared" ref="Y1918:AC1918" si="1758">TRIM(SUBSTITUTE(SUBSTITUTE(OFFSET($Q1918,0,COLUMN()-COLUMN($AL$1)),CHAR(160)," "),_xludf.UNICHAR(8239)," "))</f>
        <v>#NAME?</v>
      </c>
      <c r="Z1918" s="58" t="str">
        <f t="shared" si="1758"/>
        <v>#NAME?</v>
      </c>
      <c r="AA1918" s="58" t="str">
        <f t="shared" si="1758"/>
        <v>#NAME?</v>
      </c>
      <c r="AB1918" s="58" t="str">
        <f t="shared" si="1758"/>
        <v>#NAME?</v>
      </c>
      <c r="AC1918" s="58" t="str">
        <f t="shared" si="1758"/>
        <v>#NAME?</v>
      </c>
      <c r="AD1918" s="57">
        <f t="shared" si="906"/>
        <v>0</v>
      </c>
      <c r="AE1918" s="57" t="str">
        <f t="shared" si="907"/>
        <v/>
      </c>
      <c r="AF1918" s="57">
        <f t="shared" si="908"/>
        <v>0</v>
      </c>
      <c r="AG1918" s="59">
        <f t="shared" si="909"/>
        <v>0</v>
      </c>
      <c r="AH1918" s="15"/>
      <c r="AI1918" s="15"/>
      <c r="AJ1918" s="15"/>
      <c r="AK1918" s="15"/>
      <c r="AL1918" s="15"/>
      <c r="AM1918" s="15"/>
      <c r="AN1918" s="15"/>
      <c r="AO1918" s="15"/>
      <c r="AP1918" s="15"/>
      <c r="AQ1918" s="15"/>
      <c r="AR1918" s="15"/>
      <c r="AS1918" s="15"/>
      <c r="AT1918" s="15"/>
      <c r="AU1918" s="15"/>
    </row>
    <row r="1919" ht="24.0" customHeight="1">
      <c r="A1919" s="45">
        <v>3343.0</v>
      </c>
      <c r="B1919" s="57"/>
      <c r="C1919" s="57"/>
      <c r="D1919" s="88" t="str">
        <f t="array" ref="D1919">IFERROR(
  LOOKUP(2, 1/((TRIM(IMS!$E$8:$E$2574)=TRIM(IMS!$E1919))*(IMS!$C$8:$C$2574&lt;IMS!$C1919)),
         IMS!$C$8:$C$2574),
"")</f>
        <v/>
      </c>
      <c r="E1919" s="57"/>
      <c r="F1919" s="57"/>
      <c r="G1919" s="77" t="str">
        <f t="shared" si="901"/>
        <v/>
      </c>
      <c r="H1919" s="78" t="str">
        <f t="shared" si="902"/>
        <v/>
      </c>
      <c r="I1919" s="79"/>
      <c r="J1919" s="80" t="str">
        <f t="shared" si="903"/>
        <v>#NAME?</v>
      </c>
      <c r="K1919" s="58"/>
      <c r="L1919" s="58"/>
      <c r="M1919" s="57"/>
      <c r="N1919" s="57"/>
      <c r="O1919" s="58"/>
      <c r="P1919" s="82"/>
      <c r="Q1919" s="81"/>
      <c r="R1919" s="81"/>
      <c r="S1919" s="57"/>
      <c r="T1919" s="82"/>
      <c r="U1919" s="82"/>
      <c r="V1919" s="57"/>
      <c r="W1919" s="57"/>
      <c r="X1919" s="57" t="str">
        <f t="shared" si="917"/>
        <v/>
      </c>
      <c r="Y1919" s="58" t="str">
        <f t="shared" ref="Y1919:AC1919" si="1759">TRIM(SUBSTITUTE(SUBSTITUTE(OFFSET($Q1919,0,COLUMN()-COLUMN($AL$1)),CHAR(160)," "),_xludf.UNICHAR(8239)," "))</f>
        <v>#NAME?</v>
      </c>
      <c r="Z1919" s="58" t="str">
        <f t="shared" si="1759"/>
        <v>#NAME?</v>
      </c>
      <c r="AA1919" s="58" t="str">
        <f t="shared" si="1759"/>
        <v>#NAME?</v>
      </c>
      <c r="AB1919" s="58" t="str">
        <f t="shared" si="1759"/>
        <v>#NAME?</v>
      </c>
      <c r="AC1919" s="58" t="str">
        <f t="shared" si="1759"/>
        <v>#NAME?</v>
      </c>
      <c r="AD1919" s="57">
        <f t="shared" si="906"/>
        <v>0</v>
      </c>
      <c r="AE1919" s="57" t="str">
        <f t="shared" si="907"/>
        <v/>
      </c>
      <c r="AF1919" s="57">
        <f t="shared" si="908"/>
        <v>0</v>
      </c>
      <c r="AG1919" s="59">
        <f t="shared" si="909"/>
        <v>0</v>
      </c>
      <c r="AH1919" s="15"/>
      <c r="AI1919" s="15"/>
      <c r="AJ1919" s="15"/>
      <c r="AK1919" s="15"/>
      <c r="AL1919" s="15"/>
      <c r="AM1919" s="15"/>
      <c r="AN1919" s="15"/>
      <c r="AO1919" s="15"/>
      <c r="AP1919" s="15"/>
      <c r="AQ1919" s="15"/>
      <c r="AR1919" s="15"/>
      <c r="AS1919" s="15"/>
      <c r="AT1919" s="15"/>
      <c r="AU1919" s="15"/>
    </row>
    <row r="1920" ht="24.0" customHeight="1">
      <c r="A1920" s="45">
        <v>3344.0</v>
      </c>
      <c r="B1920" s="57"/>
      <c r="C1920" s="57"/>
      <c r="D1920" s="88" t="str">
        <f t="array" ref="D1920">IFERROR(
  LOOKUP(2, 1/((TRIM(IMS!$E$8:$E$2574)=TRIM(IMS!$E1920))*(IMS!$C$8:$C$2574&lt;IMS!$C1920)),
         IMS!$C$8:$C$2574),
"")</f>
        <v/>
      </c>
      <c r="E1920" s="57"/>
      <c r="F1920" s="57"/>
      <c r="G1920" s="77" t="str">
        <f t="shared" si="901"/>
        <v/>
      </c>
      <c r="H1920" s="78" t="str">
        <f t="shared" si="902"/>
        <v/>
      </c>
      <c r="I1920" s="79"/>
      <c r="J1920" s="80" t="str">
        <f t="shared" si="903"/>
        <v>#NAME?</v>
      </c>
      <c r="K1920" s="58"/>
      <c r="L1920" s="58"/>
      <c r="M1920" s="57"/>
      <c r="N1920" s="57"/>
      <c r="O1920" s="58"/>
      <c r="P1920" s="82"/>
      <c r="Q1920" s="81"/>
      <c r="R1920" s="81"/>
      <c r="S1920" s="57"/>
      <c r="T1920" s="82"/>
      <c r="U1920" s="82"/>
      <c r="V1920" s="57"/>
      <c r="W1920" s="57"/>
      <c r="X1920" s="57" t="str">
        <f t="shared" si="917"/>
        <v/>
      </c>
      <c r="Y1920" s="58" t="str">
        <f t="shared" ref="Y1920:AC1920" si="1760">TRIM(SUBSTITUTE(SUBSTITUTE(OFFSET($Q1920,0,COLUMN()-COLUMN($AL$1)),CHAR(160)," "),_xludf.UNICHAR(8239)," "))</f>
        <v>#NAME?</v>
      </c>
      <c r="Z1920" s="58" t="str">
        <f t="shared" si="1760"/>
        <v>#NAME?</v>
      </c>
      <c r="AA1920" s="58" t="str">
        <f t="shared" si="1760"/>
        <v>#NAME?</v>
      </c>
      <c r="AB1920" s="58" t="str">
        <f t="shared" si="1760"/>
        <v>#NAME?</v>
      </c>
      <c r="AC1920" s="58" t="str">
        <f t="shared" si="1760"/>
        <v>#NAME?</v>
      </c>
      <c r="AD1920" s="57">
        <f t="shared" si="906"/>
        <v>0</v>
      </c>
      <c r="AE1920" s="57" t="str">
        <f t="shared" si="907"/>
        <v/>
      </c>
      <c r="AF1920" s="57">
        <f t="shared" si="908"/>
        <v>0</v>
      </c>
      <c r="AG1920" s="59">
        <f t="shared" si="909"/>
        <v>0</v>
      </c>
      <c r="AH1920" s="15"/>
      <c r="AI1920" s="15"/>
      <c r="AJ1920" s="15"/>
      <c r="AK1920" s="15"/>
      <c r="AL1920" s="15"/>
      <c r="AM1920" s="15"/>
      <c r="AN1920" s="15"/>
      <c r="AO1920" s="15"/>
      <c r="AP1920" s="15"/>
      <c r="AQ1920" s="15"/>
      <c r="AR1920" s="15"/>
      <c r="AS1920" s="15"/>
      <c r="AT1920" s="15"/>
      <c r="AU1920" s="15"/>
    </row>
    <row r="1921" ht="24.0" customHeight="1">
      <c r="A1921" s="45">
        <v>3345.0</v>
      </c>
      <c r="B1921" s="57"/>
      <c r="C1921" s="57"/>
      <c r="D1921" s="88" t="str">
        <f t="array" ref="D1921">IFERROR(
  LOOKUP(2, 1/((TRIM(IMS!$E$8:$E$2574)=TRIM(IMS!$E1921))*(IMS!$C$8:$C$2574&lt;IMS!$C1921)),
         IMS!$C$8:$C$2574),
"")</f>
        <v/>
      </c>
      <c r="E1921" s="57"/>
      <c r="F1921" s="57"/>
      <c r="G1921" s="77" t="str">
        <f t="shared" si="901"/>
        <v/>
      </c>
      <c r="H1921" s="78" t="str">
        <f t="shared" si="902"/>
        <v/>
      </c>
      <c r="I1921" s="79"/>
      <c r="J1921" s="80" t="str">
        <f t="shared" si="903"/>
        <v>#NAME?</v>
      </c>
      <c r="K1921" s="58"/>
      <c r="L1921" s="58"/>
      <c r="M1921" s="57"/>
      <c r="N1921" s="57"/>
      <c r="O1921" s="58"/>
      <c r="P1921" s="82"/>
      <c r="Q1921" s="81"/>
      <c r="R1921" s="81"/>
      <c r="S1921" s="57"/>
      <c r="T1921" s="82"/>
      <c r="U1921" s="82"/>
      <c r="V1921" s="57"/>
      <c r="W1921" s="57"/>
      <c r="X1921" s="57" t="str">
        <f t="shared" si="917"/>
        <v/>
      </c>
      <c r="Y1921" s="58" t="str">
        <f t="shared" ref="Y1921:AC1921" si="1761">TRIM(SUBSTITUTE(SUBSTITUTE(OFFSET($Q1921,0,COLUMN()-COLUMN($AL$1)),CHAR(160)," "),_xludf.UNICHAR(8239)," "))</f>
        <v>#NAME?</v>
      </c>
      <c r="Z1921" s="58" t="str">
        <f t="shared" si="1761"/>
        <v>#NAME?</v>
      </c>
      <c r="AA1921" s="58" t="str">
        <f t="shared" si="1761"/>
        <v>#NAME?</v>
      </c>
      <c r="AB1921" s="58" t="str">
        <f t="shared" si="1761"/>
        <v>#NAME?</v>
      </c>
      <c r="AC1921" s="58" t="str">
        <f t="shared" si="1761"/>
        <v>#NAME?</v>
      </c>
      <c r="AD1921" s="57">
        <f t="shared" si="906"/>
        <v>0</v>
      </c>
      <c r="AE1921" s="57" t="str">
        <f t="shared" si="907"/>
        <v/>
      </c>
      <c r="AF1921" s="57">
        <f t="shared" si="908"/>
        <v>0</v>
      </c>
      <c r="AG1921" s="59">
        <f t="shared" si="909"/>
        <v>0</v>
      </c>
      <c r="AH1921" s="15"/>
      <c r="AI1921" s="15"/>
      <c r="AJ1921" s="15"/>
      <c r="AK1921" s="15"/>
      <c r="AL1921" s="15"/>
      <c r="AM1921" s="15"/>
      <c r="AN1921" s="15"/>
      <c r="AO1921" s="15"/>
      <c r="AP1921" s="15"/>
      <c r="AQ1921" s="15"/>
      <c r="AR1921" s="15"/>
      <c r="AS1921" s="15"/>
      <c r="AT1921" s="15"/>
      <c r="AU1921" s="15"/>
    </row>
    <row r="1922" ht="24.0" customHeight="1">
      <c r="A1922" s="45">
        <v>3346.0</v>
      </c>
      <c r="B1922" s="57"/>
      <c r="C1922" s="57"/>
      <c r="D1922" s="88" t="str">
        <f t="array" ref="D1922">IFERROR(
  LOOKUP(2, 1/((TRIM(IMS!$E$8:$E$2574)=TRIM(IMS!$E1922))*(IMS!$C$8:$C$2574&lt;IMS!$C1922)),
         IMS!$C$8:$C$2574),
"")</f>
        <v/>
      </c>
      <c r="E1922" s="57"/>
      <c r="F1922" s="57"/>
      <c r="G1922" s="77" t="str">
        <f t="shared" si="901"/>
        <v/>
      </c>
      <c r="H1922" s="78" t="str">
        <f t="shared" si="902"/>
        <v/>
      </c>
      <c r="I1922" s="79"/>
      <c r="J1922" s="80" t="str">
        <f t="shared" si="903"/>
        <v>#NAME?</v>
      </c>
      <c r="K1922" s="58"/>
      <c r="L1922" s="58"/>
      <c r="M1922" s="57"/>
      <c r="N1922" s="57"/>
      <c r="O1922" s="58"/>
      <c r="P1922" s="82"/>
      <c r="Q1922" s="81"/>
      <c r="R1922" s="81"/>
      <c r="S1922" s="57"/>
      <c r="T1922" s="82"/>
      <c r="U1922" s="82"/>
      <c r="V1922" s="57"/>
      <c r="W1922" s="57"/>
      <c r="X1922" s="57" t="str">
        <f t="shared" si="917"/>
        <v/>
      </c>
      <c r="Y1922" s="58" t="str">
        <f t="shared" ref="Y1922:AC1922" si="1762">TRIM(SUBSTITUTE(SUBSTITUTE(OFFSET($Q1922,0,COLUMN()-COLUMN($AL$1)),CHAR(160)," "),_xludf.UNICHAR(8239)," "))</f>
        <v>#NAME?</v>
      </c>
      <c r="Z1922" s="58" t="str">
        <f t="shared" si="1762"/>
        <v>#NAME?</v>
      </c>
      <c r="AA1922" s="58" t="str">
        <f t="shared" si="1762"/>
        <v>#NAME?</v>
      </c>
      <c r="AB1922" s="58" t="str">
        <f t="shared" si="1762"/>
        <v>#NAME?</v>
      </c>
      <c r="AC1922" s="58" t="str">
        <f t="shared" si="1762"/>
        <v>#NAME?</v>
      </c>
      <c r="AD1922" s="57">
        <f t="shared" si="906"/>
        <v>0</v>
      </c>
      <c r="AE1922" s="57" t="str">
        <f t="shared" si="907"/>
        <v/>
      </c>
      <c r="AF1922" s="57">
        <f t="shared" si="908"/>
        <v>0</v>
      </c>
      <c r="AG1922" s="59">
        <f t="shared" si="909"/>
        <v>0</v>
      </c>
      <c r="AH1922" s="15"/>
      <c r="AI1922" s="15"/>
      <c r="AJ1922" s="15"/>
      <c r="AK1922" s="15"/>
      <c r="AL1922" s="15"/>
      <c r="AM1922" s="15"/>
      <c r="AN1922" s="15"/>
      <c r="AO1922" s="15"/>
      <c r="AP1922" s="15"/>
      <c r="AQ1922" s="15"/>
      <c r="AR1922" s="15"/>
      <c r="AS1922" s="15"/>
      <c r="AT1922" s="15"/>
      <c r="AU1922" s="15"/>
    </row>
    <row r="1923" ht="24.0" customHeight="1">
      <c r="A1923" s="45">
        <v>3347.0</v>
      </c>
      <c r="B1923" s="57"/>
      <c r="C1923" s="57"/>
      <c r="D1923" s="88" t="str">
        <f t="array" ref="D1923">IFERROR(
  LOOKUP(2, 1/((TRIM(IMS!$E$8:$E$2574)=TRIM(IMS!$E1923))*(IMS!$C$8:$C$2574&lt;IMS!$C1923)),
         IMS!$C$8:$C$2574),
"")</f>
        <v/>
      </c>
      <c r="E1923" s="57"/>
      <c r="F1923" s="57"/>
      <c r="G1923" s="77" t="str">
        <f t="shared" si="901"/>
        <v/>
      </c>
      <c r="H1923" s="78" t="str">
        <f t="shared" si="902"/>
        <v/>
      </c>
      <c r="I1923" s="79"/>
      <c r="J1923" s="80" t="str">
        <f t="shared" si="903"/>
        <v>#NAME?</v>
      </c>
      <c r="K1923" s="58"/>
      <c r="L1923" s="58"/>
      <c r="M1923" s="57"/>
      <c r="N1923" s="57"/>
      <c r="O1923" s="58"/>
      <c r="P1923" s="82"/>
      <c r="Q1923" s="81"/>
      <c r="R1923" s="81"/>
      <c r="S1923" s="57"/>
      <c r="T1923" s="82"/>
      <c r="U1923" s="82"/>
      <c r="V1923" s="57"/>
      <c r="W1923" s="57"/>
      <c r="X1923" s="57" t="str">
        <f t="shared" si="917"/>
        <v/>
      </c>
      <c r="Y1923" s="58" t="str">
        <f t="shared" ref="Y1923:AC1923" si="1763">TRIM(SUBSTITUTE(SUBSTITUTE(OFFSET($Q1923,0,COLUMN()-COLUMN($AL$1)),CHAR(160)," "),_xludf.UNICHAR(8239)," "))</f>
        <v>#NAME?</v>
      </c>
      <c r="Z1923" s="58" t="str">
        <f t="shared" si="1763"/>
        <v>#NAME?</v>
      </c>
      <c r="AA1923" s="58" t="str">
        <f t="shared" si="1763"/>
        <v>#NAME?</v>
      </c>
      <c r="AB1923" s="58" t="str">
        <f t="shared" si="1763"/>
        <v>#NAME?</v>
      </c>
      <c r="AC1923" s="58" t="str">
        <f t="shared" si="1763"/>
        <v>#NAME?</v>
      </c>
      <c r="AD1923" s="57">
        <f t="shared" si="906"/>
        <v>0</v>
      </c>
      <c r="AE1923" s="57" t="str">
        <f t="shared" si="907"/>
        <v/>
      </c>
      <c r="AF1923" s="57">
        <f t="shared" si="908"/>
        <v>0</v>
      </c>
      <c r="AG1923" s="59">
        <f t="shared" si="909"/>
        <v>0</v>
      </c>
      <c r="AH1923" s="15"/>
      <c r="AI1923" s="15"/>
      <c r="AJ1923" s="15"/>
      <c r="AK1923" s="15"/>
      <c r="AL1923" s="15"/>
      <c r="AM1923" s="15"/>
      <c r="AN1923" s="15"/>
      <c r="AO1923" s="15"/>
      <c r="AP1923" s="15"/>
      <c r="AQ1923" s="15"/>
      <c r="AR1923" s="15"/>
      <c r="AS1923" s="15"/>
      <c r="AT1923" s="15"/>
      <c r="AU1923" s="15"/>
    </row>
    <row r="1924" ht="24.0" customHeight="1">
      <c r="A1924" s="45">
        <v>3348.0</v>
      </c>
      <c r="B1924" s="57"/>
      <c r="C1924" s="57"/>
      <c r="D1924" s="88" t="str">
        <f t="array" ref="D1924">IFERROR(
  LOOKUP(2, 1/((TRIM(IMS!$E$8:$E$2574)=TRIM(IMS!$E1924))*(IMS!$C$8:$C$2574&lt;IMS!$C1924)),
         IMS!$C$8:$C$2574),
"")</f>
        <v/>
      </c>
      <c r="E1924" s="57"/>
      <c r="F1924" s="57"/>
      <c r="G1924" s="77" t="str">
        <f t="shared" si="901"/>
        <v/>
      </c>
      <c r="H1924" s="78" t="str">
        <f t="shared" si="902"/>
        <v/>
      </c>
      <c r="I1924" s="79"/>
      <c r="J1924" s="80" t="str">
        <f t="shared" si="903"/>
        <v>#NAME?</v>
      </c>
      <c r="K1924" s="58"/>
      <c r="L1924" s="58"/>
      <c r="M1924" s="57"/>
      <c r="N1924" s="57"/>
      <c r="O1924" s="58"/>
      <c r="P1924" s="82"/>
      <c r="Q1924" s="81"/>
      <c r="R1924" s="81"/>
      <c r="S1924" s="57"/>
      <c r="T1924" s="82"/>
      <c r="U1924" s="82"/>
      <c r="V1924" s="57"/>
      <c r="W1924" s="57"/>
      <c r="X1924" s="57" t="str">
        <f t="shared" si="917"/>
        <v/>
      </c>
      <c r="Y1924" s="58" t="str">
        <f t="shared" ref="Y1924:AC1924" si="1764">TRIM(SUBSTITUTE(SUBSTITUTE(OFFSET($Q1924,0,COLUMN()-COLUMN($AL$1)),CHAR(160)," "),_xludf.UNICHAR(8239)," "))</f>
        <v>#NAME?</v>
      </c>
      <c r="Z1924" s="58" t="str">
        <f t="shared" si="1764"/>
        <v>#NAME?</v>
      </c>
      <c r="AA1924" s="58" t="str">
        <f t="shared" si="1764"/>
        <v>#NAME?</v>
      </c>
      <c r="AB1924" s="58" t="str">
        <f t="shared" si="1764"/>
        <v>#NAME?</v>
      </c>
      <c r="AC1924" s="58" t="str">
        <f t="shared" si="1764"/>
        <v>#NAME?</v>
      </c>
      <c r="AD1924" s="57">
        <f t="shared" si="906"/>
        <v>0</v>
      </c>
      <c r="AE1924" s="57" t="str">
        <f t="shared" si="907"/>
        <v/>
      </c>
      <c r="AF1924" s="57">
        <f t="shared" si="908"/>
        <v>0</v>
      </c>
      <c r="AG1924" s="59">
        <f t="shared" si="909"/>
        <v>0</v>
      </c>
      <c r="AH1924" s="15"/>
      <c r="AI1924" s="15"/>
      <c r="AJ1924" s="15"/>
      <c r="AK1924" s="15"/>
      <c r="AL1924" s="15"/>
      <c r="AM1924" s="15"/>
      <c r="AN1924" s="15"/>
      <c r="AO1924" s="15"/>
      <c r="AP1924" s="15"/>
      <c r="AQ1924" s="15"/>
      <c r="AR1924" s="15"/>
      <c r="AS1924" s="15"/>
      <c r="AT1924" s="15"/>
      <c r="AU1924" s="15"/>
    </row>
    <row r="1925" ht="24.0" customHeight="1">
      <c r="A1925" s="45">
        <v>3349.0</v>
      </c>
      <c r="B1925" s="57"/>
      <c r="C1925" s="57"/>
      <c r="D1925" s="88" t="str">
        <f t="array" ref="D1925">IFERROR(
  LOOKUP(2, 1/((TRIM(IMS!$E$8:$E$2574)=TRIM(IMS!$E1925))*(IMS!$C$8:$C$2574&lt;IMS!$C1925)),
         IMS!$C$8:$C$2574),
"")</f>
        <v/>
      </c>
      <c r="E1925" s="57"/>
      <c r="F1925" s="57"/>
      <c r="G1925" s="77" t="str">
        <f t="shared" si="901"/>
        <v/>
      </c>
      <c r="H1925" s="78" t="str">
        <f t="shared" si="902"/>
        <v/>
      </c>
      <c r="I1925" s="79"/>
      <c r="J1925" s="80" t="str">
        <f t="shared" si="903"/>
        <v>#NAME?</v>
      </c>
      <c r="K1925" s="58"/>
      <c r="L1925" s="58"/>
      <c r="M1925" s="57"/>
      <c r="N1925" s="57"/>
      <c r="O1925" s="58"/>
      <c r="P1925" s="82"/>
      <c r="Q1925" s="81"/>
      <c r="R1925" s="81"/>
      <c r="S1925" s="57"/>
      <c r="T1925" s="82"/>
      <c r="U1925" s="82"/>
      <c r="V1925" s="57"/>
      <c r="W1925" s="57"/>
      <c r="X1925" s="57" t="str">
        <f t="shared" si="917"/>
        <v/>
      </c>
      <c r="Y1925" s="58" t="str">
        <f t="shared" ref="Y1925:AC1925" si="1765">TRIM(SUBSTITUTE(SUBSTITUTE(OFFSET($Q1925,0,COLUMN()-COLUMN($AL$1)),CHAR(160)," "),_xludf.UNICHAR(8239)," "))</f>
        <v>#NAME?</v>
      </c>
      <c r="Z1925" s="58" t="str">
        <f t="shared" si="1765"/>
        <v>#NAME?</v>
      </c>
      <c r="AA1925" s="58" t="str">
        <f t="shared" si="1765"/>
        <v>#NAME?</v>
      </c>
      <c r="AB1925" s="58" t="str">
        <f t="shared" si="1765"/>
        <v>#NAME?</v>
      </c>
      <c r="AC1925" s="58" t="str">
        <f t="shared" si="1765"/>
        <v>#NAME?</v>
      </c>
      <c r="AD1925" s="57">
        <f t="shared" si="906"/>
        <v>0</v>
      </c>
      <c r="AE1925" s="57" t="str">
        <f t="shared" si="907"/>
        <v/>
      </c>
      <c r="AF1925" s="57">
        <f t="shared" si="908"/>
        <v>0</v>
      </c>
      <c r="AG1925" s="59">
        <f t="shared" si="909"/>
        <v>0</v>
      </c>
      <c r="AH1925" s="15"/>
      <c r="AI1925" s="15"/>
      <c r="AJ1925" s="15"/>
      <c r="AK1925" s="15"/>
      <c r="AL1925" s="15"/>
      <c r="AM1925" s="15"/>
      <c r="AN1925" s="15"/>
      <c r="AO1925" s="15"/>
      <c r="AP1925" s="15"/>
      <c r="AQ1925" s="15"/>
      <c r="AR1925" s="15"/>
      <c r="AS1925" s="15"/>
      <c r="AT1925" s="15"/>
      <c r="AU1925" s="15"/>
    </row>
    <row r="1926" ht="24.0" customHeight="1">
      <c r="A1926" s="45">
        <v>3350.0</v>
      </c>
      <c r="B1926" s="57"/>
      <c r="C1926" s="57"/>
      <c r="D1926" s="88" t="str">
        <f t="array" ref="D1926">IFERROR(
  LOOKUP(2, 1/((TRIM(IMS!$E$8:$E$2574)=TRIM(IMS!$E1926))*(IMS!$C$8:$C$2574&lt;IMS!$C1926)),
         IMS!$C$8:$C$2574),
"")</f>
        <v/>
      </c>
      <c r="E1926" s="57"/>
      <c r="F1926" s="57"/>
      <c r="G1926" s="77" t="str">
        <f t="shared" si="901"/>
        <v/>
      </c>
      <c r="H1926" s="78" t="str">
        <f t="shared" si="902"/>
        <v/>
      </c>
      <c r="I1926" s="79"/>
      <c r="J1926" s="80" t="str">
        <f t="shared" si="903"/>
        <v>#NAME?</v>
      </c>
      <c r="K1926" s="58"/>
      <c r="L1926" s="58"/>
      <c r="M1926" s="57"/>
      <c r="N1926" s="57"/>
      <c r="O1926" s="58"/>
      <c r="P1926" s="82"/>
      <c r="Q1926" s="81"/>
      <c r="R1926" s="81"/>
      <c r="S1926" s="57"/>
      <c r="T1926" s="82"/>
      <c r="U1926" s="82"/>
      <c r="V1926" s="57"/>
      <c r="W1926" s="57"/>
      <c r="X1926" s="57" t="str">
        <f t="shared" si="917"/>
        <v/>
      </c>
      <c r="Y1926" s="58" t="str">
        <f t="shared" ref="Y1926:AC1926" si="1766">TRIM(SUBSTITUTE(SUBSTITUTE(OFFSET($Q1926,0,COLUMN()-COLUMN($AL$1)),CHAR(160)," "),_xludf.UNICHAR(8239)," "))</f>
        <v>#NAME?</v>
      </c>
      <c r="Z1926" s="58" t="str">
        <f t="shared" si="1766"/>
        <v>#NAME?</v>
      </c>
      <c r="AA1926" s="58" t="str">
        <f t="shared" si="1766"/>
        <v>#NAME?</v>
      </c>
      <c r="AB1926" s="58" t="str">
        <f t="shared" si="1766"/>
        <v>#NAME?</v>
      </c>
      <c r="AC1926" s="58" t="str">
        <f t="shared" si="1766"/>
        <v>#NAME?</v>
      </c>
      <c r="AD1926" s="57">
        <f t="shared" si="906"/>
        <v>0</v>
      </c>
      <c r="AE1926" s="57" t="str">
        <f t="shared" si="907"/>
        <v/>
      </c>
      <c r="AF1926" s="57">
        <f t="shared" si="908"/>
        <v>0</v>
      </c>
      <c r="AG1926" s="59">
        <f t="shared" si="909"/>
        <v>0</v>
      </c>
      <c r="AH1926" s="15"/>
      <c r="AI1926" s="15"/>
      <c r="AJ1926" s="15"/>
      <c r="AK1926" s="15"/>
      <c r="AL1926" s="15"/>
      <c r="AM1926" s="15"/>
      <c r="AN1926" s="15"/>
      <c r="AO1926" s="15"/>
      <c r="AP1926" s="15"/>
      <c r="AQ1926" s="15"/>
      <c r="AR1926" s="15"/>
      <c r="AS1926" s="15"/>
      <c r="AT1926" s="15"/>
      <c r="AU1926" s="15"/>
    </row>
    <row r="1927" ht="24.0" customHeight="1">
      <c r="A1927" s="45">
        <v>3351.0</v>
      </c>
      <c r="B1927" s="57"/>
      <c r="C1927" s="57"/>
      <c r="D1927" s="88" t="str">
        <f t="array" ref="D1927">IFERROR(
  LOOKUP(2, 1/((TRIM(IMS!$E$8:$E$2574)=TRIM(IMS!$E1927))*(IMS!$C$8:$C$2574&lt;IMS!$C1927)),
         IMS!$C$8:$C$2574),
"")</f>
        <v/>
      </c>
      <c r="E1927" s="57"/>
      <c r="F1927" s="57"/>
      <c r="G1927" s="77" t="str">
        <f t="shared" si="901"/>
        <v/>
      </c>
      <c r="H1927" s="78" t="str">
        <f t="shared" si="902"/>
        <v/>
      </c>
      <c r="I1927" s="79"/>
      <c r="J1927" s="80" t="str">
        <f t="shared" si="903"/>
        <v>#NAME?</v>
      </c>
      <c r="K1927" s="58"/>
      <c r="L1927" s="58"/>
      <c r="M1927" s="57"/>
      <c r="N1927" s="57"/>
      <c r="O1927" s="58"/>
      <c r="P1927" s="82"/>
      <c r="Q1927" s="81"/>
      <c r="R1927" s="81"/>
      <c r="S1927" s="57"/>
      <c r="T1927" s="82"/>
      <c r="U1927" s="82"/>
      <c r="V1927" s="57"/>
      <c r="W1927" s="57"/>
      <c r="X1927" s="57" t="str">
        <f t="shared" si="917"/>
        <v/>
      </c>
      <c r="Y1927" s="58" t="str">
        <f t="shared" ref="Y1927:AC1927" si="1767">TRIM(SUBSTITUTE(SUBSTITUTE(OFFSET($Q1927,0,COLUMN()-COLUMN($AL$1)),CHAR(160)," "),_xludf.UNICHAR(8239)," "))</f>
        <v>#NAME?</v>
      </c>
      <c r="Z1927" s="58" t="str">
        <f t="shared" si="1767"/>
        <v>#NAME?</v>
      </c>
      <c r="AA1927" s="58" t="str">
        <f t="shared" si="1767"/>
        <v>#NAME?</v>
      </c>
      <c r="AB1927" s="58" t="str">
        <f t="shared" si="1767"/>
        <v>#NAME?</v>
      </c>
      <c r="AC1927" s="58" t="str">
        <f t="shared" si="1767"/>
        <v>#NAME?</v>
      </c>
      <c r="AD1927" s="57">
        <f t="shared" si="906"/>
        <v>0</v>
      </c>
      <c r="AE1927" s="57" t="str">
        <f t="shared" si="907"/>
        <v/>
      </c>
      <c r="AF1927" s="57">
        <f t="shared" si="908"/>
        <v>0</v>
      </c>
      <c r="AG1927" s="59">
        <f t="shared" si="909"/>
        <v>0</v>
      </c>
      <c r="AH1927" s="15"/>
      <c r="AI1927" s="15"/>
      <c r="AJ1927" s="15"/>
      <c r="AK1927" s="15"/>
      <c r="AL1927" s="15"/>
      <c r="AM1927" s="15"/>
      <c r="AN1927" s="15"/>
      <c r="AO1927" s="15"/>
      <c r="AP1927" s="15"/>
      <c r="AQ1927" s="15"/>
      <c r="AR1927" s="15"/>
      <c r="AS1927" s="15"/>
      <c r="AT1927" s="15"/>
      <c r="AU1927" s="15"/>
    </row>
    <row r="1928" ht="24.0" customHeight="1">
      <c r="A1928" s="45">
        <v>3352.0</v>
      </c>
      <c r="B1928" s="57"/>
      <c r="C1928" s="57"/>
      <c r="D1928" s="88" t="str">
        <f t="array" ref="D1928">IFERROR(
  LOOKUP(2, 1/((TRIM(IMS!$E$8:$E$2574)=TRIM(IMS!$E1928))*(IMS!$C$8:$C$2574&lt;IMS!$C1928)),
         IMS!$C$8:$C$2574),
"")</f>
        <v/>
      </c>
      <c r="E1928" s="57"/>
      <c r="F1928" s="57"/>
      <c r="G1928" s="77" t="str">
        <f t="shared" si="901"/>
        <v/>
      </c>
      <c r="H1928" s="78" t="str">
        <f t="shared" si="902"/>
        <v/>
      </c>
      <c r="I1928" s="79"/>
      <c r="J1928" s="80" t="str">
        <f t="shared" si="903"/>
        <v>#NAME?</v>
      </c>
      <c r="K1928" s="58"/>
      <c r="L1928" s="58"/>
      <c r="M1928" s="57"/>
      <c r="N1928" s="57"/>
      <c r="O1928" s="58"/>
      <c r="P1928" s="82"/>
      <c r="Q1928" s="81"/>
      <c r="R1928" s="81"/>
      <c r="S1928" s="57"/>
      <c r="T1928" s="82"/>
      <c r="U1928" s="82"/>
      <c r="V1928" s="57"/>
      <c r="W1928" s="57"/>
      <c r="X1928" s="57" t="str">
        <f t="shared" si="917"/>
        <v/>
      </c>
      <c r="Y1928" s="58" t="str">
        <f t="shared" ref="Y1928:AC1928" si="1768">TRIM(SUBSTITUTE(SUBSTITUTE(OFFSET($Q1928,0,COLUMN()-COLUMN($AL$1)),CHAR(160)," "),_xludf.UNICHAR(8239)," "))</f>
        <v>#NAME?</v>
      </c>
      <c r="Z1928" s="58" t="str">
        <f t="shared" si="1768"/>
        <v>#NAME?</v>
      </c>
      <c r="AA1928" s="58" t="str">
        <f t="shared" si="1768"/>
        <v>#NAME?</v>
      </c>
      <c r="AB1928" s="58" t="str">
        <f t="shared" si="1768"/>
        <v>#NAME?</v>
      </c>
      <c r="AC1928" s="58" t="str">
        <f t="shared" si="1768"/>
        <v>#NAME?</v>
      </c>
      <c r="AD1928" s="57">
        <f t="shared" si="906"/>
        <v>0</v>
      </c>
      <c r="AE1928" s="57" t="str">
        <f t="shared" si="907"/>
        <v/>
      </c>
      <c r="AF1928" s="57">
        <f t="shared" si="908"/>
        <v>0</v>
      </c>
      <c r="AG1928" s="59">
        <f t="shared" si="909"/>
        <v>0</v>
      </c>
      <c r="AH1928" s="15"/>
      <c r="AI1928" s="15"/>
      <c r="AJ1928" s="15"/>
      <c r="AK1928" s="15"/>
      <c r="AL1928" s="15"/>
      <c r="AM1928" s="15"/>
      <c r="AN1928" s="15"/>
      <c r="AO1928" s="15"/>
      <c r="AP1928" s="15"/>
      <c r="AQ1928" s="15"/>
      <c r="AR1928" s="15"/>
      <c r="AS1928" s="15"/>
      <c r="AT1928" s="15"/>
      <c r="AU1928" s="15"/>
    </row>
    <row r="1929" ht="24.0" customHeight="1">
      <c r="A1929" s="45">
        <v>3353.0</v>
      </c>
      <c r="B1929" s="57"/>
      <c r="C1929" s="57"/>
      <c r="D1929" s="88" t="str">
        <f t="array" ref="D1929">IFERROR(
  LOOKUP(2, 1/((TRIM(IMS!$E$8:$E$2574)=TRIM(IMS!$E1929))*(IMS!$C$8:$C$2574&lt;IMS!$C1929)),
         IMS!$C$8:$C$2574),
"")</f>
        <v/>
      </c>
      <c r="E1929" s="57"/>
      <c r="F1929" s="57"/>
      <c r="G1929" s="77" t="str">
        <f t="shared" si="901"/>
        <v/>
      </c>
      <c r="H1929" s="78" t="str">
        <f t="shared" si="902"/>
        <v/>
      </c>
      <c r="I1929" s="79"/>
      <c r="J1929" s="80" t="str">
        <f t="shared" si="903"/>
        <v>#NAME?</v>
      </c>
      <c r="K1929" s="58"/>
      <c r="L1929" s="58"/>
      <c r="M1929" s="57"/>
      <c r="N1929" s="57"/>
      <c r="O1929" s="58"/>
      <c r="P1929" s="82"/>
      <c r="Q1929" s="81"/>
      <c r="R1929" s="81"/>
      <c r="S1929" s="57"/>
      <c r="T1929" s="82"/>
      <c r="U1929" s="82"/>
      <c r="V1929" s="57"/>
      <c r="W1929" s="57"/>
      <c r="X1929" s="57" t="str">
        <f t="shared" si="917"/>
        <v/>
      </c>
      <c r="Y1929" s="58" t="str">
        <f t="shared" ref="Y1929:AC1929" si="1769">TRIM(SUBSTITUTE(SUBSTITUTE(OFFSET($Q1929,0,COLUMN()-COLUMN($AL$1)),CHAR(160)," "),_xludf.UNICHAR(8239)," "))</f>
        <v>#NAME?</v>
      </c>
      <c r="Z1929" s="58" t="str">
        <f t="shared" si="1769"/>
        <v>#NAME?</v>
      </c>
      <c r="AA1929" s="58" t="str">
        <f t="shared" si="1769"/>
        <v>#NAME?</v>
      </c>
      <c r="AB1929" s="58" t="str">
        <f t="shared" si="1769"/>
        <v>#NAME?</v>
      </c>
      <c r="AC1929" s="58" t="str">
        <f t="shared" si="1769"/>
        <v>#NAME?</v>
      </c>
      <c r="AD1929" s="57">
        <f t="shared" si="906"/>
        <v>0</v>
      </c>
      <c r="AE1929" s="57" t="str">
        <f t="shared" si="907"/>
        <v/>
      </c>
      <c r="AF1929" s="57">
        <f t="shared" si="908"/>
        <v>0</v>
      </c>
      <c r="AG1929" s="59">
        <f t="shared" si="909"/>
        <v>0</v>
      </c>
      <c r="AH1929" s="15"/>
      <c r="AI1929" s="15"/>
      <c r="AJ1929" s="15"/>
      <c r="AK1929" s="15"/>
      <c r="AL1929" s="15"/>
      <c r="AM1929" s="15"/>
      <c r="AN1929" s="15"/>
      <c r="AO1929" s="15"/>
      <c r="AP1929" s="15"/>
      <c r="AQ1929" s="15"/>
      <c r="AR1929" s="15"/>
      <c r="AS1929" s="15"/>
      <c r="AT1929" s="15"/>
      <c r="AU1929" s="15"/>
    </row>
    <row r="1930" ht="24.0" customHeight="1">
      <c r="A1930" s="45">
        <v>3354.0</v>
      </c>
      <c r="B1930" s="57"/>
      <c r="C1930" s="57"/>
      <c r="D1930" s="88" t="str">
        <f t="array" ref="D1930">IFERROR(
  LOOKUP(2, 1/((TRIM(IMS!$E$8:$E$2574)=TRIM(IMS!$E1930))*(IMS!$C$8:$C$2574&lt;IMS!$C1930)),
         IMS!$C$8:$C$2574),
"")</f>
        <v/>
      </c>
      <c r="E1930" s="57"/>
      <c r="F1930" s="57"/>
      <c r="G1930" s="77" t="str">
        <f t="shared" si="901"/>
        <v/>
      </c>
      <c r="H1930" s="78" t="str">
        <f t="shared" si="902"/>
        <v/>
      </c>
      <c r="I1930" s="79"/>
      <c r="J1930" s="80" t="str">
        <f t="shared" si="903"/>
        <v>#NAME?</v>
      </c>
      <c r="K1930" s="58"/>
      <c r="L1930" s="58"/>
      <c r="M1930" s="57"/>
      <c r="N1930" s="57"/>
      <c r="O1930" s="58"/>
      <c r="P1930" s="82"/>
      <c r="Q1930" s="81"/>
      <c r="R1930" s="81"/>
      <c r="S1930" s="57"/>
      <c r="T1930" s="82"/>
      <c r="U1930" s="82"/>
      <c r="V1930" s="57"/>
      <c r="W1930" s="57"/>
      <c r="X1930" s="57" t="str">
        <f t="shared" si="917"/>
        <v/>
      </c>
      <c r="Y1930" s="58" t="str">
        <f t="shared" ref="Y1930:AC1930" si="1770">TRIM(SUBSTITUTE(SUBSTITUTE(OFFSET($Q1930,0,COLUMN()-COLUMN($AL$1)),CHAR(160)," "),_xludf.UNICHAR(8239)," "))</f>
        <v>#NAME?</v>
      </c>
      <c r="Z1930" s="58" t="str">
        <f t="shared" si="1770"/>
        <v>#NAME?</v>
      </c>
      <c r="AA1930" s="58" t="str">
        <f t="shared" si="1770"/>
        <v>#NAME?</v>
      </c>
      <c r="AB1930" s="58" t="str">
        <f t="shared" si="1770"/>
        <v>#NAME?</v>
      </c>
      <c r="AC1930" s="58" t="str">
        <f t="shared" si="1770"/>
        <v>#NAME?</v>
      </c>
      <c r="AD1930" s="57">
        <f t="shared" si="906"/>
        <v>0</v>
      </c>
      <c r="AE1930" s="57" t="str">
        <f t="shared" si="907"/>
        <v/>
      </c>
      <c r="AF1930" s="57">
        <f t="shared" si="908"/>
        <v>0</v>
      </c>
      <c r="AG1930" s="59">
        <f t="shared" si="909"/>
        <v>0</v>
      </c>
      <c r="AH1930" s="15"/>
      <c r="AI1930" s="15"/>
      <c r="AJ1930" s="15"/>
      <c r="AK1930" s="15"/>
      <c r="AL1930" s="15"/>
      <c r="AM1930" s="15"/>
      <c r="AN1930" s="15"/>
      <c r="AO1930" s="15"/>
      <c r="AP1930" s="15"/>
      <c r="AQ1930" s="15"/>
      <c r="AR1930" s="15"/>
      <c r="AS1930" s="15"/>
      <c r="AT1930" s="15"/>
      <c r="AU1930" s="15"/>
    </row>
    <row r="1931" ht="24.0" customHeight="1">
      <c r="A1931" s="45">
        <v>3355.0</v>
      </c>
      <c r="B1931" s="57"/>
      <c r="C1931" s="57"/>
      <c r="D1931" s="88" t="str">
        <f t="array" ref="D1931">IFERROR(
  LOOKUP(2, 1/((TRIM(IMS!$E$8:$E$2574)=TRIM(IMS!$E1931))*(IMS!$C$8:$C$2574&lt;IMS!$C1931)),
         IMS!$C$8:$C$2574),
"")</f>
        <v/>
      </c>
      <c r="E1931" s="57"/>
      <c r="F1931" s="57"/>
      <c r="G1931" s="77" t="str">
        <f t="shared" si="901"/>
        <v/>
      </c>
      <c r="H1931" s="78" t="str">
        <f t="shared" si="902"/>
        <v/>
      </c>
      <c r="I1931" s="79"/>
      <c r="J1931" s="80" t="str">
        <f t="shared" si="903"/>
        <v>#NAME?</v>
      </c>
      <c r="K1931" s="58"/>
      <c r="L1931" s="58"/>
      <c r="M1931" s="57"/>
      <c r="N1931" s="57"/>
      <c r="O1931" s="58"/>
      <c r="P1931" s="82"/>
      <c r="Q1931" s="81"/>
      <c r="R1931" s="81"/>
      <c r="S1931" s="57"/>
      <c r="T1931" s="82"/>
      <c r="U1931" s="82"/>
      <c r="V1931" s="57"/>
      <c r="W1931" s="57"/>
      <c r="X1931" s="57" t="str">
        <f t="shared" si="917"/>
        <v/>
      </c>
      <c r="Y1931" s="58" t="str">
        <f t="shared" ref="Y1931:AC1931" si="1771">TRIM(SUBSTITUTE(SUBSTITUTE(OFFSET($Q1931,0,COLUMN()-COLUMN($AL$1)),CHAR(160)," "),_xludf.UNICHAR(8239)," "))</f>
        <v>#NAME?</v>
      </c>
      <c r="Z1931" s="58" t="str">
        <f t="shared" si="1771"/>
        <v>#NAME?</v>
      </c>
      <c r="AA1931" s="58" t="str">
        <f t="shared" si="1771"/>
        <v>#NAME?</v>
      </c>
      <c r="AB1931" s="58" t="str">
        <f t="shared" si="1771"/>
        <v>#NAME?</v>
      </c>
      <c r="AC1931" s="58" t="str">
        <f t="shared" si="1771"/>
        <v>#NAME?</v>
      </c>
      <c r="AD1931" s="57">
        <f t="shared" si="906"/>
        <v>0</v>
      </c>
      <c r="AE1931" s="57" t="str">
        <f t="shared" si="907"/>
        <v/>
      </c>
      <c r="AF1931" s="57">
        <f t="shared" si="908"/>
        <v>0</v>
      </c>
      <c r="AG1931" s="59">
        <f t="shared" si="909"/>
        <v>0</v>
      </c>
      <c r="AH1931" s="15"/>
      <c r="AI1931" s="15"/>
      <c r="AJ1931" s="15"/>
      <c r="AK1931" s="15"/>
      <c r="AL1931" s="15"/>
      <c r="AM1931" s="15"/>
      <c r="AN1931" s="15"/>
      <c r="AO1931" s="15"/>
      <c r="AP1931" s="15"/>
      <c r="AQ1931" s="15"/>
      <c r="AR1931" s="15"/>
      <c r="AS1931" s="15"/>
      <c r="AT1931" s="15"/>
      <c r="AU1931" s="15"/>
    </row>
    <row r="1932" ht="24.0" customHeight="1">
      <c r="A1932" s="45">
        <v>3356.0</v>
      </c>
      <c r="B1932" s="57"/>
      <c r="C1932" s="57"/>
      <c r="D1932" s="88" t="str">
        <f t="array" ref="D1932">IFERROR(
  LOOKUP(2, 1/((TRIM(IMS!$E$8:$E$2574)=TRIM(IMS!$E1932))*(IMS!$C$8:$C$2574&lt;IMS!$C1932)),
         IMS!$C$8:$C$2574),
"")</f>
        <v/>
      </c>
      <c r="E1932" s="57"/>
      <c r="F1932" s="57"/>
      <c r="G1932" s="77" t="str">
        <f t="shared" si="901"/>
        <v/>
      </c>
      <c r="H1932" s="78" t="str">
        <f t="shared" si="902"/>
        <v/>
      </c>
      <c r="I1932" s="79"/>
      <c r="J1932" s="80" t="str">
        <f t="shared" si="903"/>
        <v>#NAME?</v>
      </c>
      <c r="K1932" s="58"/>
      <c r="L1932" s="58"/>
      <c r="M1932" s="57"/>
      <c r="N1932" s="57"/>
      <c r="O1932" s="58"/>
      <c r="P1932" s="82"/>
      <c r="Q1932" s="81"/>
      <c r="R1932" s="81"/>
      <c r="S1932" s="57"/>
      <c r="T1932" s="82"/>
      <c r="U1932" s="82"/>
      <c r="V1932" s="57"/>
      <c r="W1932" s="57"/>
      <c r="X1932" s="57" t="str">
        <f t="shared" si="917"/>
        <v/>
      </c>
      <c r="Y1932" s="58" t="str">
        <f t="shared" ref="Y1932:AC1932" si="1772">TRIM(SUBSTITUTE(SUBSTITUTE(OFFSET($Q1932,0,COLUMN()-COLUMN($AL$1)),CHAR(160)," "),_xludf.UNICHAR(8239)," "))</f>
        <v>#NAME?</v>
      </c>
      <c r="Z1932" s="58" t="str">
        <f t="shared" si="1772"/>
        <v>#NAME?</v>
      </c>
      <c r="AA1932" s="58" t="str">
        <f t="shared" si="1772"/>
        <v>#NAME?</v>
      </c>
      <c r="AB1932" s="58" t="str">
        <f t="shared" si="1772"/>
        <v>#NAME?</v>
      </c>
      <c r="AC1932" s="58" t="str">
        <f t="shared" si="1772"/>
        <v>#NAME?</v>
      </c>
      <c r="AD1932" s="57">
        <f t="shared" si="906"/>
        <v>0</v>
      </c>
      <c r="AE1932" s="57" t="str">
        <f t="shared" si="907"/>
        <v/>
      </c>
      <c r="AF1932" s="57">
        <f t="shared" si="908"/>
        <v>0</v>
      </c>
      <c r="AG1932" s="59">
        <f t="shared" si="909"/>
        <v>0</v>
      </c>
      <c r="AH1932" s="15"/>
      <c r="AI1932" s="15"/>
      <c r="AJ1932" s="15"/>
      <c r="AK1932" s="15"/>
      <c r="AL1932" s="15"/>
      <c r="AM1932" s="15"/>
      <c r="AN1932" s="15"/>
      <c r="AO1932" s="15"/>
      <c r="AP1932" s="15"/>
      <c r="AQ1932" s="15"/>
      <c r="AR1932" s="15"/>
      <c r="AS1932" s="15"/>
      <c r="AT1932" s="15"/>
      <c r="AU1932" s="15"/>
    </row>
    <row r="1933" ht="24.0" customHeight="1">
      <c r="A1933" s="45">
        <v>3357.0</v>
      </c>
      <c r="B1933" s="57"/>
      <c r="C1933" s="57"/>
      <c r="D1933" s="88" t="str">
        <f t="array" ref="D1933">IFERROR(
  LOOKUP(2, 1/((TRIM(IMS!$E$8:$E$2574)=TRIM(IMS!$E1933))*(IMS!$C$8:$C$2574&lt;IMS!$C1933)),
         IMS!$C$8:$C$2574),
"")</f>
        <v/>
      </c>
      <c r="E1933" s="57"/>
      <c r="F1933" s="57"/>
      <c r="G1933" s="77" t="str">
        <f t="shared" si="901"/>
        <v/>
      </c>
      <c r="H1933" s="78" t="str">
        <f t="shared" si="902"/>
        <v/>
      </c>
      <c r="I1933" s="79"/>
      <c r="J1933" s="80" t="str">
        <f t="shared" si="903"/>
        <v>#NAME?</v>
      </c>
      <c r="K1933" s="58"/>
      <c r="L1933" s="58"/>
      <c r="M1933" s="57"/>
      <c r="N1933" s="57"/>
      <c r="O1933" s="58"/>
      <c r="P1933" s="82"/>
      <c r="Q1933" s="81"/>
      <c r="R1933" s="81"/>
      <c r="S1933" s="57"/>
      <c r="T1933" s="82"/>
      <c r="U1933" s="82"/>
      <c r="V1933" s="57"/>
      <c r="W1933" s="57"/>
      <c r="X1933" s="57" t="str">
        <f t="shared" si="917"/>
        <v/>
      </c>
      <c r="Y1933" s="58" t="str">
        <f t="shared" ref="Y1933:AC1933" si="1773">TRIM(SUBSTITUTE(SUBSTITUTE(OFFSET($Q1933,0,COLUMN()-COLUMN($AL$1)),CHAR(160)," "),_xludf.UNICHAR(8239)," "))</f>
        <v>#NAME?</v>
      </c>
      <c r="Z1933" s="58" t="str">
        <f t="shared" si="1773"/>
        <v>#NAME?</v>
      </c>
      <c r="AA1933" s="58" t="str">
        <f t="shared" si="1773"/>
        <v>#NAME?</v>
      </c>
      <c r="AB1933" s="58" t="str">
        <f t="shared" si="1773"/>
        <v>#NAME?</v>
      </c>
      <c r="AC1933" s="58" t="str">
        <f t="shared" si="1773"/>
        <v>#NAME?</v>
      </c>
      <c r="AD1933" s="57">
        <f t="shared" si="906"/>
        <v>0</v>
      </c>
      <c r="AE1933" s="57" t="str">
        <f t="shared" si="907"/>
        <v/>
      </c>
      <c r="AF1933" s="57">
        <f t="shared" si="908"/>
        <v>0</v>
      </c>
      <c r="AG1933" s="59">
        <f t="shared" si="909"/>
        <v>0</v>
      </c>
      <c r="AH1933" s="15"/>
      <c r="AI1933" s="15"/>
      <c r="AJ1933" s="15"/>
      <c r="AK1933" s="15"/>
      <c r="AL1933" s="15"/>
      <c r="AM1933" s="15"/>
      <c r="AN1933" s="15"/>
      <c r="AO1933" s="15"/>
      <c r="AP1933" s="15"/>
      <c r="AQ1933" s="15"/>
      <c r="AR1933" s="15"/>
      <c r="AS1933" s="15"/>
      <c r="AT1933" s="15"/>
      <c r="AU1933" s="15"/>
    </row>
    <row r="1934" ht="24.0" customHeight="1">
      <c r="A1934" s="45">
        <v>3358.0</v>
      </c>
      <c r="B1934" s="57"/>
      <c r="C1934" s="57"/>
      <c r="D1934" s="88" t="str">
        <f t="array" ref="D1934">IFERROR(
  LOOKUP(2, 1/((TRIM(IMS!$E$8:$E$2574)=TRIM(IMS!$E1934))*(IMS!$C$8:$C$2574&lt;IMS!$C1934)),
         IMS!$C$8:$C$2574),
"")</f>
        <v/>
      </c>
      <c r="E1934" s="57"/>
      <c r="F1934" s="57"/>
      <c r="G1934" s="77" t="str">
        <f t="shared" si="901"/>
        <v/>
      </c>
      <c r="H1934" s="78" t="str">
        <f t="shared" si="902"/>
        <v/>
      </c>
      <c r="I1934" s="79"/>
      <c r="J1934" s="80" t="str">
        <f t="shared" si="903"/>
        <v>#NAME?</v>
      </c>
      <c r="K1934" s="58"/>
      <c r="L1934" s="58"/>
      <c r="M1934" s="57"/>
      <c r="N1934" s="57"/>
      <c r="O1934" s="58"/>
      <c r="P1934" s="82"/>
      <c r="Q1934" s="81"/>
      <c r="R1934" s="81"/>
      <c r="S1934" s="57"/>
      <c r="T1934" s="82"/>
      <c r="U1934" s="82"/>
      <c r="V1934" s="57"/>
      <c r="W1934" s="57"/>
      <c r="X1934" s="57" t="str">
        <f t="shared" si="917"/>
        <v/>
      </c>
      <c r="Y1934" s="58" t="str">
        <f t="shared" ref="Y1934:AC1934" si="1774">TRIM(SUBSTITUTE(SUBSTITUTE(OFFSET($Q1934,0,COLUMN()-COLUMN($AL$1)),CHAR(160)," "),_xludf.UNICHAR(8239)," "))</f>
        <v>#NAME?</v>
      </c>
      <c r="Z1934" s="58" t="str">
        <f t="shared" si="1774"/>
        <v>#NAME?</v>
      </c>
      <c r="AA1934" s="58" t="str">
        <f t="shared" si="1774"/>
        <v>#NAME?</v>
      </c>
      <c r="AB1934" s="58" t="str">
        <f t="shared" si="1774"/>
        <v>#NAME?</v>
      </c>
      <c r="AC1934" s="58" t="str">
        <f t="shared" si="1774"/>
        <v>#NAME?</v>
      </c>
      <c r="AD1934" s="57">
        <f t="shared" si="906"/>
        <v>0</v>
      </c>
      <c r="AE1934" s="57" t="str">
        <f t="shared" si="907"/>
        <v/>
      </c>
      <c r="AF1934" s="57">
        <f t="shared" si="908"/>
        <v>0</v>
      </c>
      <c r="AG1934" s="59">
        <f t="shared" si="909"/>
        <v>0</v>
      </c>
      <c r="AH1934" s="15"/>
      <c r="AI1934" s="15"/>
      <c r="AJ1934" s="15"/>
      <c r="AK1934" s="15"/>
      <c r="AL1934" s="15"/>
      <c r="AM1934" s="15"/>
      <c r="AN1934" s="15"/>
      <c r="AO1934" s="15"/>
      <c r="AP1934" s="15"/>
      <c r="AQ1934" s="15"/>
      <c r="AR1934" s="15"/>
      <c r="AS1934" s="15"/>
      <c r="AT1934" s="15"/>
      <c r="AU1934" s="15"/>
    </row>
    <row r="1935" ht="24.0" customHeight="1">
      <c r="A1935" s="45">
        <v>3359.0</v>
      </c>
      <c r="B1935" s="57"/>
      <c r="C1935" s="57"/>
      <c r="D1935" s="88" t="str">
        <f t="array" ref="D1935">IFERROR(
  LOOKUP(2, 1/((TRIM(IMS!$E$8:$E$2574)=TRIM(IMS!$E1935))*(IMS!$C$8:$C$2574&lt;IMS!$C1935)),
         IMS!$C$8:$C$2574),
"")</f>
        <v/>
      </c>
      <c r="E1935" s="57"/>
      <c r="F1935" s="57"/>
      <c r="G1935" s="77" t="str">
        <f t="shared" si="901"/>
        <v/>
      </c>
      <c r="H1935" s="78" t="str">
        <f t="shared" si="902"/>
        <v/>
      </c>
      <c r="I1935" s="79"/>
      <c r="J1935" s="80" t="str">
        <f t="shared" si="903"/>
        <v>#NAME?</v>
      </c>
      <c r="K1935" s="58"/>
      <c r="L1935" s="58"/>
      <c r="M1935" s="57"/>
      <c r="N1935" s="57"/>
      <c r="O1935" s="58"/>
      <c r="P1935" s="82"/>
      <c r="Q1935" s="81"/>
      <c r="R1935" s="81"/>
      <c r="S1935" s="57"/>
      <c r="T1935" s="82"/>
      <c r="U1935" s="82"/>
      <c r="V1935" s="57"/>
      <c r="W1935" s="57"/>
      <c r="X1935" s="57" t="str">
        <f t="shared" si="917"/>
        <v/>
      </c>
      <c r="Y1935" s="58" t="str">
        <f t="shared" ref="Y1935:AC1935" si="1775">TRIM(SUBSTITUTE(SUBSTITUTE(OFFSET($Q1935,0,COLUMN()-COLUMN($AL$1)),CHAR(160)," "),_xludf.UNICHAR(8239)," "))</f>
        <v>#NAME?</v>
      </c>
      <c r="Z1935" s="58" t="str">
        <f t="shared" si="1775"/>
        <v>#NAME?</v>
      </c>
      <c r="AA1935" s="58" t="str">
        <f t="shared" si="1775"/>
        <v>#NAME?</v>
      </c>
      <c r="AB1935" s="58" t="str">
        <f t="shared" si="1775"/>
        <v>#NAME?</v>
      </c>
      <c r="AC1935" s="58" t="str">
        <f t="shared" si="1775"/>
        <v>#NAME?</v>
      </c>
      <c r="AD1935" s="57">
        <f t="shared" si="906"/>
        <v>0</v>
      </c>
      <c r="AE1935" s="57" t="str">
        <f t="shared" si="907"/>
        <v/>
      </c>
      <c r="AF1935" s="57">
        <f t="shared" si="908"/>
        <v>0</v>
      </c>
      <c r="AG1935" s="59">
        <f t="shared" si="909"/>
        <v>0</v>
      </c>
      <c r="AH1935" s="15"/>
      <c r="AI1935" s="15"/>
      <c r="AJ1935" s="15"/>
      <c r="AK1935" s="15"/>
      <c r="AL1935" s="15"/>
      <c r="AM1935" s="15"/>
      <c r="AN1935" s="15"/>
      <c r="AO1935" s="15"/>
      <c r="AP1935" s="15"/>
      <c r="AQ1935" s="15"/>
      <c r="AR1935" s="15"/>
      <c r="AS1935" s="15"/>
      <c r="AT1935" s="15"/>
      <c r="AU1935" s="15"/>
    </row>
    <row r="1936" ht="24.0" customHeight="1">
      <c r="A1936" s="45">
        <v>3360.0</v>
      </c>
      <c r="B1936" s="57"/>
      <c r="C1936" s="57"/>
      <c r="D1936" s="88" t="str">
        <f t="array" ref="D1936">IFERROR(
  LOOKUP(2, 1/((TRIM(IMS!$E$8:$E$2574)=TRIM(IMS!$E1936))*(IMS!$C$8:$C$2574&lt;IMS!$C1936)),
         IMS!$C$8:$C$2574),
"")</f>
        <v/>
      </c>
      <c r="E1936" s="57"/>
      <c r="F1936" s="57"/>
      <c r="G1936" s="77" t="str">
        <f t="shared" si="901"/>
        <v/>
      </c>
      <c r="H1936" s="78" t="str">
        <f t="shared" si="902"/>
        <v/>
      </c>
      <c r="I1936" s="79"/>
      <c r="J1936" s="80" t="str">
        <f t="shared" si="903"/>
        <v>#NAME?</v>
      </c>
      <c r="K1936" s="58"/>
      <c r="L1936" s="58"/>
      <c r="M1936" s="57"/>
      <c r="N1936" s="57"/>
      <c r="O1936" s="58"/>
      <c r="P1936" s="82"/>
      <c r="Q1936" s="81"/>
      <c r="R1936" s="81"/>
      <c r="S1936" s="57"/>
      <c r="T1936" s="82"/>
      <c r="U1936" s="82"/>
      <c r="V1936" s="57"/>
      <c r="W1936" s="57"/>
      <c r="X1936" s="57" t="str">
        <f t="shared" si="917"/>
        <v/>
      </c>
      <c r="Y1936" s="58" t="str">
        <f t="shared" ref="Y1936:AC1936" si="1776">TRIM(SUBSTITUTE(SUBSTITUTE(OFFSET($Q1936,0,COLUMN()-COLUMN($AL$1)),CHAR(160)," "),_xludf.UNICHAR(8239)," "))</f>
        <v>#NAME?</v>
      </c>
      <c r="Z1936" s="58" t="str">
        <f t="shared" si="1776"/>
        <v>#NAME?</v>
      </c>
      <c r="AA1936" s="58" t="str">
        <f t="shared" si="1776"/>
        <v>#NAME?</v>
      </c>
      <c r="AB1936" s="58" t="str">
        <f t="shared" si="1776"/>
        <v>#NAME?</v>
      </c>
      <c r="AC1936" s="58" t="str">
        <f t="shared" si="1776"/>
        <v>#NAME?</v>
      </c>
      <c r="AD1936" s="57">
        <f t="shared" si="906"/>
        <v>0</v>
      </c>
      <c r="AE1936" s="57" t="str">
        <f t="shared" si="907"/>
        <v/>
      </c>
      <c r="AF1936" s="57">
        <f t="shared" si="908"/>
        <v>0</v>
      </c>
      <c r="AG1936" s="59">
        <f t="shared" si="909"/>
        <v>0</v>
      </c>
      <c r="AH1936" s="15"/>
      <c r="AI1936" s="15"/>
      <c r="AJ1936" s="15"/>
      <c r="AK1936" s="15"/>
      <c r="AL1936" s="15"/>
      <c r="AM1936" s="15"/>
      <c r="AN1936" s="15"/>
      <c r="AO1936" s="15"/>
      <c r="AP1936" s="15"/>
      <c r="AQ1936" s="15"/>
      <c r="AR1936" s="15"/>
      <c r="AS1936" s="15"/>
      <c r="AT1936" s="15"/>
      <c r="AU1936" s="15"/>
    </row>
    <row r="1937" ht="24.0" customHeight="1">
      <c r="A1937" s="45">
        <v>3361.0</v>
      </c>
      <c r="B1937" s="57"/>
      <c r="C1937" s="57"/>
      <c r="D1937" s="88" t="str">
        <f t="array" ref="D1937">IFERROR(
  LOOKUP(2, 1/((TRIM(IMS!$E$8:$E$2574)=TRIM(IMS!$E1937))*(IMS!$C$8:$C$2574&lt;IMS!$C1937)),
         IMS!$C$8:$C$2574),
"")</f>
        <v/>
      </c>
      <c r="E1937" s="57"/>
      <c r="F1937" s="57"/>
      <c r="G1937" s="77" t="str">
        <f t="shared" si="901"/>
        <v/>
      </c>
      <c r="H1937" s="78" t="str">
        <f t="shared" si="902"/>
        <v/>
      </c>
      <c r="I1937" s="79"/>
      <c r="J1937" s="80" t="str">
        <f t="shared" si="903"/>
        <v>#NAME?</v>
      </c>
      <c r="K1937" s="58"/>
      <c r="L1937" s="58"/>
      <c r="M1937" s="57"/>
      <c r="N1937" s="57"/>
      <c r="O1937" s="58"/>
      <c r="P1937" s="82"/>
      <c r="Q1937" s="81"/>
      <c r="R1937" s="81"/>
      <c r="S1937" s="57"/>
      <c r="T1937" s="82"/>
      <c r="U1937" s="82"/>
      <c r="V1937" s="57"/>
      <c r="W1937" s="57"/>
      <c r="X1937" s="57" t="str">
        <f t="shared" si="917"/>
        <v/>
      </c>
      <c r="Y1937" s="58" t="str">
        <f t="shared" ref="Y1937:AC1937" si="1777">TRIM(SUBSTITUTE(SUBSTITUTE(OFFSET($Q1937,0,COLUMN()-COLUMN($AL$1)),CHAR(160)," "),_xludf.UNICHAR(8239)," "))</f>
        <v>#NAME?</v>
      </c>
      <c r="Z1937" s="58" t="str">
        <f t="shared" si="1777"/>
        <v>#NAME?</v>
      </c>
      <c r="AA1937" s="58" t="str">
        <f t="shared" si="1777"/>
        <v>#NAME?</v>
      </c>
      <c r="AB1937" s="58" t="str">
        <f t="shared" si="1777"/>
        <v>#NAME?</v>
      </c>
      <c r="AC1937" s="58" t="str">
        <f t="shared" si="1777"/>
        <v>#NAME?</v>
      </c>
      <c r="AD1937" s="57">
        <f t="shared" si="906"/>
        <v>0</v>
      </c>
      <c r="AE1937" s="57" t="str">
        <f t="shared" si="907"/>
        <v/>
      </c>
      <c r="AF1937" s="57">
        <f t="shared" si="908"/>
        <v>0</v>
      </c>
      <c r="AG1937" s="59">
        <f t="shared" si="909"/>
        <v>0</v>
      </c>
      <c r="AH1937" s="15"/>
      <c r="AI1937" s="15"/>
      <c r="AJ1937" s="15"/>
      <c r="AK1937" s="15"/>
      <c r="AL1937" s="15"/>
      <c r="AM1937" s="15"/>
      <c r="AN1937" s="15"/>
      <c r="AO1937" s="15"/>
      <c r="AP1937" s="15"/>
      <c r="AQ1937" s="15"/>
      <c r="AR1937" s="15"/>
      <c r="AS1937" s="15"/>
      <c r="AT1937" s="15"/>
      <c r="AU1937" s="15"/>
    </row>
    <row r="1938" ht="24.0" customHeight="1">
      <c r="A1938" s="45">
        <v>3362.0</v>
      </c>
      <c r="B1938" s="57"/>
      <c r="C1938" s="57"/>
      <c r="D1938" s="88" t="str">
        <f t="array" ref="D1938">IFERROR(
  LOOKUP(2, 1/((TRIM(IMS!$E$8:$E$2574)=TRIM(IMS!$E1938))*(IMS!$C$8:$C$2574&lt;IMS!$C1938)),
         IMS!$C$8:$C$2574),
"")</f>
        <v/>
      </c>
      <c r="E1938" s="57"/>
      <c r="F1938" s="57"/>
      <c r="G1938" s="77" t="str">
        <f t="shared" si="901"/>
        <v/>
      </c>
      <c r="H1938" s="78" t="str">
        <f t="shared" si="902"/>
        <v/>
      </c>
      <c r="I1938" s="79"/>
      <c r="J1938" s="80" t="str">
        <f t="shared" si="903"/>
        <v>#NAME?</v>
      </c>
      <c r="K1938" s="58"/>
      <c r="L1938" s="58"/>
      <c r="M1938" s="57"/>
      <c r="N1938" s="57"/>
      <c r="O1938" s="58"/>
      <c r="P1938" s="82"/>
      <c r="Q1938" s="81"/>
      <c r="R1938" s="81"/>
      <c r="S1938" s="57"/>
      <c r="T1938" s="82"/>
      <c r="U1938" s="82"/>
      <c r="V1938" s="57"/>
      <c r="W1938" s="57"/>
      <c r="X1938" s="57" t="str">
        <f t="shared" si="917"/>
        <v/>
      </c>
      <c r="Y1938" s="58" t="str">
        <f t="shared" ref="Y1938:AC1938" si="1778">TRIM(SUBSTITUTE(SUBSTITUTE(OFFSET($Q1938,0,COLUMN()-COLUMN($AL$1)),CHAR(160)," "),_xludf.UNICHAR(8239)," "))</f>
        <v>#NAME?</v>
      </c>
      <c r="Z1938" s="58" t="str">
        <f t="shared" si="1778"/>
        <v>#NAME?</v>
      </c>
      <c r="AA1938" s="58" t="str">
        <f t="shared" si="1778"/>
        <v>#NAME?</v>
      </c>
      <c r="AB1938" s="58" t="str">
        <f t="shared" si="1778"/>
        <v>#NAME?</v>
      </c>
      <c r="AC1938" s="58" t="str">
        <f t="shared" si="1778"/>
        <v>#NAME?</v>
      </c>
      <c r="AD1938" s="57">
        <f t="shared" si="906"/>
        <v>0</v>
      </c>
      <c r="AE1938" s="57" t="str">
        <f t="shared" si="907"/>
        <v/>
      </c>
      <c r="AF1938" s="57">
        <f t="shared" si="908"/>
        <v>0</v>
      </c>
      <c r="AG1938" s="59">
        <f t="shared" si="909"/>
        <v>0</v>
      </c>
      <c r="AH1938" s="15"/>
      <c r="AI1938" s="15"/>
      <c r="AJ1938" s="15"/>
      <c r="AK1938" s="15"/>
      <c r="AL1938" s="15"/>
      <c r="AM1938" s="15"/>
      <c r="AN1938" s="15"/>
      <c r="AO1938" s="15"/>
      <c r="AP1938" s="15"/>
      <c r="AQ1938" s="15"/>
      <c r="AR1938" s="15"/>
      <c r="AS1938" s="15"/>
      <c r="AT1938" s="15"/>
      <c r="AU1938" s="15"/>
    </row>
    <row r="1939" ht="24.0" customHeight="1">
      <c r="A1939" s="45">
        <v>3363.0</v>
      </c>
      <c r="B1939" s="57"/>
      <c r="C1939" s="57"/>
      <c r="D1939" s="88" t="str">
        <f t="array" ref="D1939">IFERROR(
  LOOKUP(2, 1/((TRIM(IMS!$E$8:$E$2574)=TRIM(IMS!$E1939))*(IMS!$C$8:$C$2574&lt;IMS!$C1939)),
         IMS!$C$8:$C$2574),
"")</f>
        <v/>
      </c>
      <c r="E1939" s="57"/>
      <c r="F1939" s="57"/>
      <c r="G1939" s="77" t="str">
        <f t="shared" si="901"/>
        <v/>
      </c>
      <c r="H1939" s="78" t="str">
        <f t="shared" si="902"/>
        <v/>
      </c>
      <c r="I1939" s="79"/>
      <c r="J1939" s="80" t="str">
        <f t="shared" si="903"/>
        <v>#NAME?</v>
      </c>
      <c r="K1939" s="58"/>
      <c r="L1939" s="58"/>
      <c r="M1939" s="57"/>
      <c r="N1939" s="57"/>
      <c r="O1939" s="58"/>
      <c r="P1939" s="82"/>
      <c r="Q1939" s="81"/>
      <c r="R1939" s="81"/>
      <c r="S1939" s="57"/>
      <c r="T1939" s="82"/>
      <c r="U1939" s="82"/>
      <c r="V1939" s="57"/>
      <c r="W1939" s="57"/>
      <c r="X1939" s="57" t="str">
        <f t="shared" si="917"/>
        <v/>
      </c>
      <c r="Y1939" s="58" t="str">
        <f t="shared" ref="Y1939:AC1939" si="1779">TRIM(SUBSTITUTE(SUBSTITUTE(OFFSET($Q1939,0,COLUMN()-COLUMN($AL$1)),CHAR(160)," "),_xludf.UNICHAR(8239)," "))</f>
        <v>#NAME?</v>
      </c>
      <c r="Z1939" s="58" t="str">
        <f t="shared" si="1779"/>
        <v>#NAME?</v>
      </c>
      <c r="AA1939" s="58" t="str">
        <f t="shared" si="1779"/>
        <v>#NAME?</v>
      </c>
      <c r="AB1939" s="58" t="str">
        <f t="shared" si="1779"/>
        <v>#NAME?</v>
      </c>
      <c r="AC1939" s="58" t="str">
        <f t="shared" si="1779"/>
        <v>#NAME?</v>
      </c>
      <c r="AD1939" s="57">
        <f t="shared" si="906"/>
        <v>0</v>
      </c>
      <c r="AE1939" s="57" t="str">
        <f t="shared" si="907"/>
        <v/>
      </c>
      <c r="AF1939" s="57">
        <f t="shared" si="908"/>
        <v>0</v>
      </c>
      <c r="AG1939" s="59">
        <f t="shared" si="909"/>
        <v>0</v>
      </c>
      <c r="AH1939" s="15"/>
      <c r="AI1939" s="15"/>
      <c r="AJ1939" s="15"/>
      <c r="AK1939" s="15"/>
      <c r="AL1939" s="15"/>
      <c r="AM1939" s="15"/>
      <c r="AN1939" s="15"/>
      <c r="AO1939" s="15"/>
      <c r="AP1939" s="15"/>
      <c r="AQ1939" s="15"/>
      <c r="AR1939" s="15"/>
      <c r="AS1939" s="15"/>
      <c r="AT1939" s="15"/>
      <c r="AU1939" s="15"/>
    </row>
    <row r="1940" ht="24.0" customHeight="1">
      <c r="A1940" s="45">
        <v>3364.0</v>
      </c>
      <c r="B1940" s="57"/>
      <c r="C1940" s="57"/>
      <c r="D1940" s="88" t="str">
        <f t="array" ref="D1940">IFERROR(
  LOOKUP(2, 1/((TRIM(IMS!$E$8:$E$2574)=TRIM(IMS!$E1940))*(IMS!$C$8:$C$2574&lt;IMS!$C1940)),
         IMS!$C$8:$C$2574),
"")</f>
        <v/>
      </c>
      <c r="E1940" s="57"/>
      <c r="F1940" s="57"/>
      <c r="G1940" s="77" t="str">
        <f t="shared" si="901"/>
        <v/>
      </c>
      <c r="H1940" s="78" t="str">
        <f t="shared" si="902"/>
        <v/>
      </c>
      <c r="I1940" s="79"/>
      <c r="J1940" s="80" t="str">
        <f t="shared" si="903"/>
        <v>#NAME?</v>
      </c>
      <c r="K1940" s="58"/>
      <c r="L1940" s="58"/>
      <c r="M1940" s="57"/>
      <c r="N1940" s="57"/>
      <c r="O1940" s="58"/>
      <c r="P1940" s="82"/>
      <c r="Q1940" s="81"/>
      <c r="R1940" s="81"/>
      <c r="S1940" s="57"/>
      <c r="T1940" s="82"/>
      <c r="U1940" s="82"/>
      <c r="V1940" s="57"/>
      <c r="W1940" s="57"/>
      <c r="X1940" s="57" t="str">
        <f t="shared" si="917"/>
        <v/>
      </c>
      <c r="Y1940" s="58" t="str">
        <f t="shared" ref="Y1940:AC1940" si="1780">TRIM(SUBSTITUTE(SUBSTITUTE(OFFSET($Q1940,0,COLUMN()-COLUMN($AL$1)),CHAR(160)," "),_xludf.UNICHAR(8239)," "))</f>
        <v>#NAME?</v>
      </c>
      <c r="Z1940" s="58" t="str">
        <f t="shared" si="1780"/>
        <v>#NAME?</v>
      </c>
      <c r="AA1940" s="58" t="str">
        <f t="shared" si="1780"/>
        <v>#NAME?</v>
      </c>
      <c r="AB1940" s="58" t="str">
        <f t="shared" si="1780"/>
        <v>#NAME?</v>
      </c>
      <c r="AC1940" s="58" t="str">
        <f t="shared" si="1780"/>
        <v>#NAME?</v>
      </c>
      <c r="AD1940" s="57">
        <f t="shared" si="906"/>
        <v>0</v>
      </c>
      <c r="AE1940" s="57" t="str">
        <f t="shared" si="907"/>
        <v/>
      </c>
      <c r="AF1940" s="57">
        <f t="shared" si="908"/>
        <v>0</v>
      </c>
      <c r="AG1940" s="59">
        <f t="shared" si="909"/>
        <v>0</v>
      </c>
      <c r="AH1940" s="15"/>
      <c r="AI1940" s="15"/>
      <c r="AJ1940" s="15"/>
      <c r="AK1940" s="15"/>
      <c r="AL1940" s="15"/>
      <c r="AM1940" s="15"/>
      <c r="AN1940" s="15"/>
      <c r="AO1940" s="15"/>
      <c r="AP1940" s="15"/>
      <c r="AQ1940" s="15"/>
      <c r="AR1940" s="15"/>
      <c r="AS1940" s="15"/>
      <c r="AT1940" s="15"/>
      <c r="AU1940" s="15"/>
    </row>
    <row r="1941" ht="24.0" customHeight="1">
      <c r="A1941" s="45">
        <v>3365.0</v>
      </c>
      <c r="B1941" s="57"/>
      <c r="C1941" s="57"/>
      <c r="D1941" s="88" t="str">
        <f t="array" ref="D1941">IFERROR(
  LOOKUP(2, 1/((TRIM(IMS!$E$8:$E$2574)=TRIM(IMS!$E1941))*(IMS!$C$8:$C$2574&lt;IMS!$C1941)),
         IMS!$C$8:$C$2574),
"")</f>
        <v/>
      </c>
      <c r="E1941" s="57"/>
      <c r="F1941" s="57"/>
      <c r="G1941" s="77" t="str">
        <f t="shared" si="901"/>
        <v/>
      </c>
      <c r="H1941" s="78" t="str">
        <f t="shared" si="902"/>
        <v/>
      </c>
      <c r="I1941" s="79"/>
      <c r="J1941" s="80" t="str">
        <f t="shared" si="903"/>
        <v>#NAME?</v>
      </c>
      <c r="K1941" s="58"/>
      <c r="L1941" s="58"/>
      <c r="M1941" s="57"/>
      <c r="N1941" s="57"/>
      <c r="O1941" s="58"/>
      <c r="P1941" s="82"/>
      <c r="Q1941" s="81"/>
      <c r="R1941" s="81"/>
      <c r="S1941" s="57"/>
      <c r="T1941" s="82"/>
      <c r="U1941" s="82"/>
      <c r="V1941" s="57"/>
      <c r="W1941" s="57"/>
      <c r="X1941" s="57" t="str">
        <f t="shared" si="917"/>
        <v/>
      </c>
      <c r="Y1941" s="58" t="str">
        <f t="shared" ref="Y1941:AC1941" si="1781">TRIM(SUBSTITUTE(SUBSTITUTE(OFFSET($Q1941,0,COLUMN()-COLUMN($AL$1)),CHAR(160)," "),_xludf.UNICHAR(8239)," "))</f>
        <v>#NAME?</v>
      </c>
      <c r="Z1941" s="58" t="str">
        <f t="shared" si="1781"/>
        <v>#NAME?</v>
      </c>
      <c r="AA1941" s="58" t="str">
        <f t="shared" si="1781"/>
        <v>#NAME?</v>
      </c>
      <c r="AB1941" s="58" t="str">
        <f t="shared" si="1781"/>
        <v>#NAME?</v>
      </c>
      <c r="AC1941" s="58" t="str">
        <f t="shared" si="1781"/>
        <v>#NAME?</v>
      </c>
      <c r="AD1941" s="57">
        <f t="shared" si="906"/>
        <v>0</v>
      </c>
      <c r="AE1941" s="57" t="str">
        <f t="shared" si="907"/>
        <v/>
      </c>
      <c r="AF1941" s="57">
        <f t="shared" si="908"/>
        <v>0</v>
      </c>
      <c r="AG1941" s="59">
        <f t="shared" si="909"/>
        <v>0</v>
      </c>
      <c r="AH1941" s="15"/>
      <c r="AI1941" s="15"/>
      <c r="AJ1941" s="15"/>
      <c r="AK1941" s="15"/>
      <c r="AL1941" s="15"/>
      <c r="AM1941" s="15"/>
      <c r="AN1941" s="15"/>
      <c r="AO1941" s="15"/>
      <c r="AP1941" s="15"/>
      <c r="AQ1941" s="15"/>
      <c r="AR1941" s="15"/>
      <c r="AS1941" s="15"/>
      <c r="AT1941" s="15"/>
      <c r="AU1941" s="15"/>
    </row>
    <row r="1942" ht="24.0" customHeight="1">
      <c r="A1942" s="45">
        <v>3366.0</v>
      </c>
      <c r="B1942" s="57"/>
      <c r="C1942" s="57"/>
      <c r="D1942" s="88" t="str">
        <f t="array" ref="D1942">IFERROR(
  LOOKUP(2, 1/((TRIM(IMS!$E$8:$E$2574)=TRIM(IMS!$E1942))*(IMS!$C$8:$C$2574&lt;IMS!$C1942)),
         IMS!$C$8:$C$2574),
"")</f>
        <v/>
      </c>
      <c r="E1942" s="57"/>
      <c r="F1942" s="57"/>
      <c r="G1942" s="77" t="str">
        <f t="shared" si="901"/>
        <v/>
      </c>
      <c r="H1942" s="78" t="str">
        <f t="shared" si="902"/>
        <v/>
      </c>
      <c r="I1942" s="79"/>
      <c r="J1942" s="80" t="str">
        <f t="shared" si="903"/>
        <v>#NAME?</v>
      </c>
      <c r="K1942" s="58"/>
      <c r="L1942" s="58"/>
      <c r="M1942" s="57"/>
      <c r="N1942" s="57"/>
      <c r="O1942" s="58"/>
      <c r="P1942" s="82"/>
      <c r="Q1942" s="81"/>
      <c r="R1942" s="81"/>
      <c r="S1942" s="57"/>
      <c r="T1942" s="82"/>
      <c r="U1942" s="82"/>
      <c r="V1942" s="57"/>
      <c r="W1942" s="57"/>
      <c r="X1942" s="57" t="str">
        <f t="shared" si="917"/>
        <v/>
      </c>
      <c r="Y1942" s="58" t="str">
        <f t="shared" ref="Y1942:AC1942" si="1782">TRIM(SUBSTITUTE(SUBSTITUTE(OFFSET($Q1942,0,COLUMN()-COLUMN($AL$1)),CHAR(160)," "),_xludf.UNICHAR(8239)," "))</f>
        <v>#NAME?</v>
      </c>
      <c r="Z1942" s="58" t="str">
        <f t="shared" si="1782"/>
        <v>#NAME?</v>
      </c>
      <c r="AA1942" s="58" t="str">
        <f t="shared" si="1782"/>
        <v>#NAME?</v>
      </c>
      <c r="AB1942" s="58" t="str">
        <f t="shared" si="1782"/>
        <v>#NAME?</v>
      </c>
      <c r="AC1942" s="58" t="str">
        <f t="shared" si="1782"/>
        <v>#NAME?</v>
      </c>
      <c r="AD1942" s="57">
        <f t="shared" si="906"/>
        <v>0</v>
      </c>
      <c r="AE1942" s="57" t="str">
        <f t="shared" si="907"/>
        <v/>
      </c>
      <c r="AF1942" s="57">
        <f t="shared" si="908"/>
        <v>0</v>
      </c>
      <c r="AG1942" s="59">
        <f t="shared" si="909"/>
        <v>0</v>
      </c>
      <c r="AH1942" s="15"/>
      <c r="AI1942" s="15"/>
      <c r="AJ1942" s="15"/>
      <c r="AK1942" s="15"/>
      <c r="AL1942" s="15"/>
      <c r="AM1942" s="15"/>
      <c r="AN1942" s="15"/>
      <c r="AO1942" s="15"/>
      <c r="AP1942" s="15"/>
      <c r="AQ1942" s="15"/>
      <c r="AR1942" s="15"/>
      <c r="AS1942" s="15"/>
      <c r="AT1942" s="15"/>
      <c r="AU1942" s="15"/>
    </row>
    <row r="1943" ht="24.0" customHeight="1">
      <c r="A1943" s="45">
        <v>3367.0</v>
      </c>
      <c r="B1943" s="57"/>
      <c r="C1943" s="57"/>
      <c r="D1943" s="88" t="str">
        <f t="array" ref="D1943">IFERROR(
  LOOKUP(2, 1/((TRIM(IMS!$E$8:$E$2574)=TRIM(IMS!$E1943))*(IMS!$C$8:$C$2574&lt;IMS!$C1943)),
         IMS!$C$8:$C$2574),
"")</f>
        <v/>
      </c>
      <c r="E1943" s="57"/>
      <c r="F1943" s="57"/>
      <c r="G1943" s="77" t="str">
        <f t="shared" si="901"/>
        <v/>
      </c>
      <c r="H1943" s="78" t="str">
        <f t="shared" si="902"/>
        <v/>
      </c>
      <c r="I1943" s="79"/>
      <c r="J1943" s="80" t="str">
        <f t="shared" si="903"/>
        <v>#NAME?</v>
      </c>
      <c r="K1943" s="58"/>
      <c r="L1943" s="58"/>
      <c r="M1943" s="57"/>
      <c r="N1943" s="57"/>
      <c r="O1943" s="58"/>
      <c r="P1943" s="82"/>
      <c r="Q1943" s="81"/>
      <c r="R1943" s="81"/>
      <c r="S1943" s="57"/>
      <c r="T1943" s="82"/>
      <c r="U1943" s="82"/>
      <c r="V1943" s="57"/>
      <c r="W1943" s="57"/>
      <c r="X1943" s="57" t="str">
        <f t="shared" si="917"/>
        <v/>
      </c>
      <c r="Y1943" s="58" t="str">
        <f t="shared" ref="Y1943:AC1943" si="1783">TRIM(SUBSTITUTE(SUBSTITUTE(OFFSET($Q1943,0,COLUMN()-COLUMN($AL$1)),CHAR(160)," "),_xludf.UNICHAR(8239)," "))</f>
        <v>#NAME?</v>
      </c>
      <c r="Z1943" s="58" t="str">
        <f t="shared" si="1783"/>
        <v>#NAME?</v>
      </c>
      <c r="AA1943" s="58" t="str">
        <f t="shared" si="1783"/>
        <v>#NAME?</v>
      </c>
      <c r="AB1943" s="58" t="str">
        <f t="shared" si="1783"/>
        <v>#NAME?</v>
      </c>
      <c r="AC1943" s="58" t="str">
        <f t="shared" si="1783"/>
        <v>#NAME?</v>
      </c>
      <c r="AD1943" s="57">
        <f t="shared" si="906"/>
        <v>0</v>
      </c>
      <c r="AE1943" s="57" t="str">
        <f t="shared" si="907"/>
        <v/>
      </c>
      <c r="AF1943" s="57">
        <f t="shared" si="908"/>
        <v>0</v>
      </c>
      <c r="AG1943" s="59">
        <f t="shared" si="909"/>
        <v>0</v>
      </c>
      <c r="AH1943" s="15"/>
      <c r="AI1943" s="15"/>
      <c r="AJ1943" s="15"/>
      <c r="AK1943" s="15"/>
      <c r="AL1943" s="15"/>
      <c r="AM1943" s="15"/>
      <c r="AN1943" s="15"/>
      <c r="AO1943" s="15"/>
      <c r="AP1943" s="15"/>
      <c r="AQ1943" s="15"/>
      <c r="AR1943" s="15"/>
      <c r="AS1943" s="15"/>
      <c r="AT1943" s="15"/>
      <c r="AU1943" s="15"/>
    </row>
    <row r="1944" ht="24.0" customHeight="1">
      <c r="A1944" s="45">
        <v>3368.0</v>
      </c>
      <c r="B1944" s="57"/>
      <c r="C1944" s="57"/>
      <c r="D1944" s="88" t="str">
        <f t="array" ref="D1944">IFERROR(
  LOOKUP(2, 1/((TRIM(IMS!$E$8:$E$2574)=TRIM(IMS!$E1944))*(IMS!$C$8:$C$2574&lt;IMS!$C1944)),
         IMS!$C$8:$C$2574),
"")</f>
        <v/>
      </c>
      <c r="E1944" s="57"/>
      <c r="F1944" s="57"/>
      <c r="G1944" s="77" t="str">
        <f t="shared" si="901"/>
        <v/>
      </c>
      <c r="H1944" s="78" t="str">
        <f t="shared" si="902"/>
        <v/>
      </c>
      <c r="I1944" s="79"/>
      <c r="J1944" s="80" t="str">
        <f t="shared" si="903"/>
        <v>#NAME?</v>
      </c>
      <c r="K1944" s="58"/>
      <c r="L1944" s="58"/>
      <c r="M1944" s="57"/>
      <c r="N1944" s="57"/>
      <c r="O1944" s="58"/>
      <c r="P1944" s="82"/>
      <c r="Q1944" s="81"/>
      <c r="R1944" s="81"/>
      <c r="S1944" s="57"/>
      <c r="T1944" s="82"/>
      <c r="U1944" s="82"/>
      <c r="V1944" s="57"/>
      <c r="W1944" s="57"/>
      <c r="X1944" s="57" t="str">
        <f t="shared" si="917"/>
        <v/>
      </c>
      <c r="Y1944" s="58" t="str">
        <f t="shared" ref="Y1944:AC1944" si="1784">TRIM(SUBSTITUTE(SUBSTITUTE(OFFSET($Q1944,0,COLUMN()-COLUMN($AL$1)),CHAR(160)," "),_xludf.UNICHAR(8239)," "))</f>
        <v>#NAME?</v>
      </c>
      <c r="Z1944" s="58" t="str">
        <f t="shared" si="1784"/>
        <v>#NAME?</v>
      </c>
      <c r="AA1944" s="58" t="str">
        <f t="shared" si="1784"/>
        <v>#NAME?</v>
      </c>
      <c r="AB1944" s="58" t="str">
        <f t="shared" si="1784"/>
        <v>#NAME?</v>
      </c>
      <c r="AC1944" s="58" t="str">
        <f t="shared" si="1784"/>
        <v>#NAME?</v>
      </c>
      <c r="AD1944" s="57">
        <f t="shared" si="906"/>
        <v>0</v>
      </c>
      <c r="AE1944" s="57" t="str">
        <f t="shared" si="907"/>
        <v/>
      </c>
      <c r="AF1944" s="57">
        <f t="shared" si="908"/>
        <v>0</v>
      </c>
      <c r="AG1944" s="59">
        <f t="shared" si="909"/>
        <v>0</v>
      </c>
      <c r="AH1944" s="15"/>
      <c r="AI1944" s="15"/>
      <c r="AJ1944" s="15"/>
      <c r="AK1944" s="15"/>
      <c r="AL1944" s="15"/>
      <c r="AM1944" s="15"/>
      <c r="AN1944" s="15"/>
      <c r="AO1944" s="15"/>
      <c r="AP1944" s="15"/>
      <c r="AQ1944" s="15"/>
      <c r="AR1944" s="15"/>
      <c r="AS1944" s="15"/>
      <c r="AT1944" s="15"/>
      <c r="AU1944" s="15"/>
    </row>
    <row r="1945" ht="24.0" customHeight="1">
      <c r="A1945" s="45">
        <v>3369.0</v>
      </c>
      <c r="B1945" s="57"/>
      <c r="C1945" s="57"/>
      <c r="D1945" s="88" t="str">
        <f t="array" ref="D1945">IFERROR(
  LOOKUP(2, 1/((TRIM(IMS!$E$8:$E$2574)=TRIM(IMS!$E1945))*(IMS!$C$8:$C$2574&lt;IMS!$C1945)),
         IMS!$C$8:$C$2574),
"")</f>
        <v/>
      </c>
      <c r="E1945" s="57"/>
      <c r="F1945" s="57"/>
      <c r="G1945" s="77" t="str">
        <f t="shared" si="901"/>
        <v/>
      </c>
      <c r="H1945" s="78" t="str">
        <f t="shared" si="902"/>
        <v/>
      </c>
      <c r="I1945" s="79"/>
      <c r="J1945" s="80" t="str">
        <f t="shared" si="903"/>
        <v>#NAME?</v>
      </c>
      <c r="K1945" s="58"/>
      <c r="L1945" s="58"/>
      <c r="M1945" s="57"/>
      <c r="N1945" s="57"/>
      <c r="O1945" s="58"/>
      <c r="P1945" s="82"/>
      <c r="Q1945" s="81"/>
      <c r="R1945" s="81"/>
      <c r="S1945" s="57"/>
      <c r="T1945" s="82"/>
      <c r="U1945" s="82"/>
      <c r="V1945" s="57"/>
      <c r="W1945" s="57"/>
      <c r="X1945" s="57" t="str">
        <f t="shared" si="917"/>
        <v/>
      </c>
      <c r="Y1945" s="58" t="str">
        <f t="shared" ref="Y1945:AC1945" si="1785">TRIM(SUBSTITUTE(SUBSTITUTE(OFFSET($Q1945,0,COLUMN()-COLUMN($AL$1)),CHAR(160)," "),_xludf.UNICHAR(8239)," "))</f>
        <v>#NAME?</v>
      </c>
      <c r="Z1945" s="58" t="str">
        <f t="shared" si="1785"/>
        <v>#NAME?</v>
      </c>
      <c r="AA1945" s="58" t="str">
        <f t="shared" si="1785"/>
        <v>#NAME?</v>
      </c>
      <c r="AB1945" s="58" t="str">
        <f t="shared" si="1785"/>
        <v>#NAME?</v>
      </c>
      <c r="AC1945" s="58" t="str">
        <f t="shared" si="1785"/>
        <v>#NAME?</v>
      </c>
      <c r="AD1945" s="57">
        <f t="shared" si="906"/>
        <v>0</v>
      </c>
      <c r="AE1945" s="57" t="str">
        <f t="shared" si="907"/>
        <v/>
      </c>
      <c r="AF1945" s="57">
        <f t="shared" si="908"/>
        <v>0</v>
      </c>
      <c r="AG1945" s="59">
        <f t="shared" si="909"/>
        <v>0</v>
      </c>
      <c r="AH1945" s="15"/>
      <c r="AI1945" s="15"/>
      <c r="AJ1945" s="15"/>
      <c r="AK1945" s="15"/>
      <c r="AL1945" s="15"/>
      <c r="AM1945" s="15"/>
      <c r="AN1945" s="15"/>
      <c r="AO1945" s="15"/>
      <c r="AP1945" s="15"/>
      <c r="AQ1945" s="15"/>
      <c r="AR1945" s="15"/>
      <c r="AS1945" s="15"/>
      <c r="AT1945" s="15"/>
      <c r="AU1945" s="15"/>
    </row>
    <row r="1946" ht="24.0" customHeight="1">
      <c r="A1946" s="45">
        <v>3370.0</v>
      </c>
      <c r="B1946" s="57"/>
      <c r="C1946" s="57"/>
      <c r="D1946" s="88" t="str">
        <f t="array" ref="D1946">IFERROR(
  LOOKUP(2, 1/((TRIM(IMS!$E$8:$E$2574)=TRIM(IMS!$E1946))*(IMS!$C$8:$C$2574&lt;IMS!$C1946)),
         IMS!$C$8:$C$2574),
"")</f>
        <v/>
      </c>
      <c r="E1946" s="57"/>
      <c r="F1946" s="57"/>
      <c r="G1946" s="77" t="str">
        <f t="shared" si="901"/>
        <v/>
      </c>
      <c r="H1946" s="78" t="str">
        <f t="shared" si="902"/>
        <v/>
      </c>
      <c r="I1946" s="79"/>
      <c r="J1946" s="80" t="str">
        <f t="shared" si="903"/>
        <v>#NAME?</v>
      </c>
      <c r="K1946" s="58"/>
      <c r="L1946" s="58"/>
      <c r="M1946" s="57"/>
      <c r="N1946" s="57"/>
      <c r="O1946" s="58"/>
      <c r="P1946" s="82"/>
      <c r="Q1946" s="81"/>
      <c r="R1946" s="81"/>
      <c r="S1946" s="57"/>
      <c r="T1946" s="82"/>
      <c r="U1946" s="82"/>
      <c r="V1946" s="57"/>
      <c r="W1946" s="57"/>
      <c r="X1946" s="57" t="str">
        <f t="shared" si="917"/>
        <v/>
      </c>
      <c r="Y1946" s="58" t="str">
        <f t="shared" ref="Y1946:AC1946" si="1786">TRIM(SUBSTITUTE(SUBSTITUTE(OFFSET($Q1946,0,COLUMN()-COLUMN($AL$1)),CHAR(160)," "),_xludf.UNICHAR(8239)," "))</f>
        <v>#NAME?</v>
      </c>
      <c r="Z1946" s="58" t="str">
        <f t="shared" si="1786"/>
        <v>#NAME?</v>
      </c>
      <c r="AA1946" s="58" t="str">
        <f t="shared" si="1786"/>
        <v>#NAME?</v>
      </c>
      <c r="AB1946" s="58" t="str">
        <f t="shared" si="1786"/>
        <v>#NAME?</v>
      </c>
      <c r="AC1946" s="58" t="str">
        <f t="shared" si="1786"/>
        <v>#NAME?</v>
      </c>
      <c r="AD1946" s="57">
        <f t="shared" si="906"/>
        <v>0</v>
      </c>
      <c r="AE1946" s="57" t="str">
        <f t="shared" si="907"/>
        <v/>
      </c>
      <c r="AF1946" s="57">
        <f t="shared" si="908"/>
        <v>0</v>
      </c>
      <c r="AG1946" s="59">
        <f t="shared" si="909"/>
        <v>0</v>
      </c>
      <c r="AH1946" s="15"/>
      <c r="AI1946" s="15"/>
      <c r="AJ1946" s="15"/>
      <c r="AK1946" s="15"/>
      <c r="AL1946" s="15"/>
      <c r="AM1946" s="15"/>
      <c r="AN1946" s="15"/>
      <c r="AO1946" s="15"/>
      <c r="AP1946" s="15"/>
      <c r="AQ1946" s="15"/>
      <c r="AR1946" s="15"/>
      <c r="AS1946" s="15"/>
      <c r="AT1946" s="15"/>
      <c r="AU1946" s="15"/>
    </row>
    <row r="1947" ht="24.0" customHeight="1">
      <c r="A1947" s="45">
        <v>3371.0</v>
      </c>
      <c r="B1947" s="57"/>
      <c r="C1947" s="57"/>
      <c r="D1947" s="88" t="str">
        <f t="array" ref="D1947">IFERROR(
  LOOKUP(2, 1/((TRIM(IMS!$E$8:$E$2574)=TRIM(IMS!$E1947))*(IMS!$C$8:$C$2574&lt;IMS!$C1947)),
         IMS!$C$8:$C$2574),
"")</f>
        <v/>
      </c>
      <c r="E1947" s="57"/>
      <c r="F1947" s="57"/>
      <c r="G1947" s="77" t="str">
        <f t="shared" si="901"/>
        <v/>
      </c>
      <c r="H1947" s="78" t="str">
        <f t="shared" si="902"/>
        <v/>
      </c>
      <c r="I1947" s="79"/>
      <c r="J1947" s="80" t="str">
        <f t="shared" si="903"/>
        <v>#NAME?</v>
      </c>
      <c r="K1947" s="58"/>
      <c r="L1947" s="58"/>
      <c r="M1947" s="57"/>
      <c r="N1947" s="57"/>
      <c r="O1947" s="58"/>
      <c r="P1947" s="82"/>
      <c r="Q1947" s="81"/>
      <c r="R1947" s="81"/>
      <c r="S1947" s="57"/>
      <c r="T1947" s="82"/>
      <c r="U1947" s="82"/>
      <c r="V1947" s="57"/>
      <c r="W1947" s="57"/>
      <c r="X1947" s="57" t="str">
        <f t="shared" si="917"/>
        <v/>
      </c>
      <c r="Y1947" s="58" t="str">
        <f t="shared" ref="Y1947:AC1947" si="1787">TRIM(SUBSTITUTE(SUBSTITUTE(OFFSET($Q1947,0,COLUMN()-COLUMN($AL$1)),CHAR(160)," "),_xludf.UNICHAR(8239)," "))</f>
        <v>#NAME?</v>
      </c>
      <c r="Z1947" s="58" t="str">
        <f t="shared" si="1787"/>
        <v>#NAME?</v>
      </c>
      <c r="AA1947" s="58" t="str">
        <f t="shared" si="1787"/>
        <v>#NAME?</v>
      </c>
      <c r="AB1947" s="58" t="str">
        <f t="shared" si="1787"/>
        <v>#NAME?</v>
      </c>
      <c r="AC1947" s="58" t="str">
        <f t="shared" si="1787"/>
        <v>#NAME?</v>
      </c>
      <c r="AD1947" s="57">
        <f t="shared" si="906"/>
        <v>0</v>
      </c>
      <c r="AE1947" s="57" t="str">
        <f t="shared" si="907"/>
        <v/>
      </c>
      <c r="AF1947" s="57">
        <f t="shared" si="908"/>
        <v>0</v>
      </c>
      <c r="AG1947" s="59">
        <f t="shared" si="909"/>
        <v>0</v>
      </c>
      <c r="AH1947" s="15"/>
      <c r="AI1947" s="15"/>
      <c r="AJ1947" s="15"/>
      <c r="AK1947" s="15"/>
      <c r="AL1947" s="15"/>
      <c r="AM1947" s="15"/>
      <c r="AN1947" s="15"/>
      <c r="AO1947" s="15"/>
      <c r="AP1947" s="15"/>
      <c r="AQ1947" s="15"/>
      <c r="AR1947" s="15"/>
      <c r="AS1947" s="15"/>
      <c r="AT1947" s="15"/>
      <c r="AU1947" s="15"/>
    </row>
    <row r="1948" ht="24.0" customHeight="1">
      <c r="A1948" s="45">
        <v>3372.0</v>
      </c>
      <c r="B1948" s="57"/>
      <c r="C1948" s="57"/>
      <c r="D1948" s="88" t="str">
        <f t="array" ref="D1948">IFERROR(
  LOOKUP(2, 1/((TRIM(IMS!$E$8:$E$2574)=TRIM(IMS!$E1948))*(IMS!$C$8:$C$2574&lt;IMS!$C1948)),
         IMS!$C$8:$C$2574),
"")</f>
        <v/>
      </c>
      <c r="E1948" s="57"/>
      <c r="F1948" s="57"/>
      <c r="G1948" s="77" t="str">
        <f t="shared" si="901"/>
        <v/>
      </c>
      <c r="H1948" s="78" t="str">
        <f t="shared" si="902"/>
        <v/>
      </c>
      <c r="I1948" s="79"/>
      <c r="J1948" s="80" t="str">
        <f t="shared" si="903"/>
        <v>#NAME?</v>
      </c>
      <c r="K1948" s="58"/>
      <c r="L1948" s="58"/>
      <c r="M1948" s="57"/>
      <c r="N1948" s="57"/>
      <c r="O1948" s="58"/>
      <c r="P1948" s="82"/>
      <c r="Q1948" s="81"/>
      <c r="R1948" s="81"/>
      <c r="S1948" s="57"/>
      <c r="T1948" s="82"/>
      <c r="U1948" s="82"/>
      <c r="V1948" s="57"/>
      <c r="W1948" s="57"/>
      <c r="X1948" s="57" t="str">
        <f t="shared" si="917"/>
        <v/>
      </c>
      <c r="Y1948" s="58" t="str">
        <f t="shared" ref="Y1948:AC1948" si="1788">TRIM(SUBSTITUTE(SUBSTITUTE(OFFSET($Q1948,0,COLUMN()-COLUMN($AL$1)),CHAR(160)," "),_xludf.UNICHAR(8239)," "))</f>
        <v>#NAME?</v>
      </c>
      <c r="Z1948" s="58" t="str">
        <f t="shared" si="1788"/>
        <v>#NAME?</v>
      </c>
      <c r="AA1948" s="58" t="str">
        <f t="shared" si="1788"/>
        <v>#NAME?</v>
      </c>
      <c r="AB1948" s="58" t="str">
        <f t="shared" si="1788"/>
        <v>#NAME?</v>
      </c>
      <c r="AC1948" s="58" t="str">
        <f t="shared" si="1788"/>
        <v>#NAME?</v>
      </c>
      <c r="AD1948" s="57">
        <f t="shared" si="906"/>
        <v>0</v>
      </c>
      <c r="AE1948" s="57" t="str">
        <f t="shared" si="907"/>
        <v/>
      </c>
      <c r="AF1948" s="57">
        <f t="shared" si="908"/>
        <v>0</v>
      </c>
      <c r="AG1948" s="59">
        <f t="shared" si="909"/>
        <v>0</v>
      </c>
      <c r="AH1948" s="15"/>
      <c r="AI1948" s="15"/>
      <c r="AJ1948" s="15"/>
      <c r="AK1948" s="15"/>
      <c r="AL1948" s="15"/>
      <c r="AM1948" s="15"/>
      <c r="AN1948" s="15"/>
      <c r="AO1948" s="15"/>
      <c r="AP1948" s="15"/>
      <c r="AQ1948" s="15"/>
      <c r="AR1948" s="15"/>
      <c r="AS1948" s="15"/>
      <c r="AT1948" s="15"/>
      <c r="AU1948" s="15"/>
    </row>
    <row r="1949" ht="24.0" customHeight="1">
      <c r="A1949" s="45">
        <v>3373.0</v>
      </c>
      <c r="B1949" s="57"/>
      <c r="C1949" s="57"/>
      <c r="D1949" s="88" t="str">
        <f t="array" ref="D1949">IFERROR(
  LOOKUP(2, 1/((TRIM(IMS!$E$8:$E$2574)=TRIM(IMS!$E1949))*(IMS!$C$8:$C$2574&lt;IMS!$C1949)),
         IMS!$C$8:$C$2574),
"")</f>
        <v/>
      </c>
      <c r="E1949" s="57"/>
      <c r="F1949" s="57"/>
      <c r="G1949" s="77" t="str">
        <f t="shared" si="901"/>
        <v/>
      </c>
      <c r="H1949" s="78" t="str">
        <f t="shared" si="902"/>
        <v/>
      </c>
      <c r="I1949" s="79"/>
      <c r="J1949" s="80" t="str">
        <f t="shared" si="903"/>
        <v>#NAME?</v>
      </c>
      <c r="K1949" s="58"/>
      <c r="L1949" s="58"/>
      <c r="M1949" s="57"/>
      <c r="N1949" s="57"/>
      <c r="O1949" s="58"/>
      <c r="P1949" s="82"/>
      <c r="Q1949" s="81"/>
      <c r="R1949" s="81"/>
      <c r="S1949" s="57"/>
      <c r="T1949" s="82"/>
      <c r="U1949" s="82"/>
      <c r="V1949" s="57"/>
      <c r="W1949" s="57"/>
      <c r="X1949" s="57" t="str">
        <f t="shared" si="917"/>
        <v/>
      </c>
      <c r="Y1949" s="58" t="str">
        <f t="shared" ref="Y1949:AC1949" si="1789">TRIM(SUBSTITUTE(SUBSTITUTE(OFFSET($Q1949,0,COLUMN()-COLUMN($AL$1)),CHAR(160)," "),_xludf.UNICHAR(8239)," "))</f>
        <v>#NAME?</v>
      </c>
      <c r="Z1949" s="58" t="str">
        <f t="shared" si="1789"/>
        <v>#NAME?</v>
      </c>
      <c r="AA1949" s="58" t="str">
        <f t="shared" si="1789"/>
        <v>#NAME?</v>
      </c>
      <c r="AB1949" s="58" t="str">
        <f t="shared" si="1789"/>
        <v>#NAME?</v>
      </c>
      <c r="AC1949" s="58" t="str">
        <f t="shared" si="1789"/>
        <v>#NAME?</v>
      </c>
      <c r="AD1949" s="57">
        <f t="shared" si="906"/>
        <v>0</v>
      </c>
      <c r="AE1949" s="57" t="str">
        <f t="shared" si="907"/>
        <v/>
      </c>
      <c r="AF1949" s="57">
        <f t="shared" si="908"/>
        <v>0</v>
      </c>
      <c r="AG1949" s="59">
        <f t="shared" si="909"/>
        <v>0</v>
      </c>
      <c r="AH1949" s="15"/>
      <c r="AI1949" s="15"/>
      <c r="AJ1949" s="15"/>
      <c r="AK1949" s="15"/>
      <c r="AL1949" s="15"/>
      <c r="AM1949" s="15"/>
      <c r="AN1949" s="15"/>
      <c r="AO1949" s="15"/>
      <c r="AP1949" s="15"/>
      <c r="AQ1949" s="15"/>
      <c r="AR1949" s="15"/>
      <c r="AS1949" s="15"/>
      <c r="AT1949" s="15"/>
      <c r="AU1949" s="15"/>
    </row>
    <row r="1950" ht="24.0" customHeight="1">
      <c r="A1950" s="45">
        <v>3374.0</v>
      </c>
      <c r="B1950" s="57"/>
      <c r="C1950" s="57"/>
      <c r="D1950" s="88" t="str">
        <f t="array" ref="D1950">IFERROR(
  LOOKUP(2, 1/((TRIM(IMS!$E$8:$E$2574)=TRIM(IMS!$E1950))*(IMS!$C$8:$C$2574&lt;IMS!$C1950)),
         IMS!$C$8:$C$2574),
"")</f>
        <v/>
      </c>
      <c r="E1950" s="57"/>
      <c r="F1950" s="57"/>
      <c r="G1950" s="77" t="str">
        <f t="shared" si="901"/>
        <v/>
      </c>
      <c r="H1950" s="78" t="str">
        <f t="shared" si="902"/>
        <v/>
      </c>
      <c r="I1950" s="79"/>
      <c r="J1950" s="80" t="str">
        <f t="shared" si="903"/>
        <v>#NAME?</v>
      </c>
      <c r="K1950" s="58"/>
      <c r="L1950" s="58"/>
      <c r="M1950" s="57"/>
      <c r="N1950" s="57"/>
      <c r="O1950" s="58"/>
      <c r="P1950" s="82"/>
      <c r="Q1950" s="81"/>
      <c r="R1950" s="81"/>
      <c r="S1950" s="57"/>
      <c r="T1950" s="82"/>
      <c r="U1950" s="82"/>
      <c r="V1950" s="57"/>
      <c r="W1950" s="57"/>
      <c r="X1950" s="57" t="str">
        <f t="shared" si="917"/>
        <v/>
      </c>
      <c r="Y1950" s="58" t="str">
        <f t="shared" ref="Y1950:AC1950" si="1790">TRIM(SUBSTITUTE(SUBSTITUTE(OFFSET($Q1950,0,COLUMN()-COLUMN($AL$1)),CHAR(160)," "),_xludf.UNICHAR(8239)," "))</f>
        <v>#NAME?</v>
      </c>
      <c r="Z1950" s="58" t="str">
        <f t="shared" si="1790"/>
        <v>#NAME?</v>
      </c>
      <c r="AA1950" s="58" t="str">
        <f t="shared" si="1790"/>
        <v>#NAME?</v>
      </c>
      <c r="AB1950" s="58" t="str">
        <f t="shared" si="1790"/>
        <v>#NAME?</v>
      </c>
      <c r="AC1950" s="58" t="str">
        <f t="shared" si="1790"/>
        <v>#NAME?</v>
      </c>
      <c r="AD1950" s="57">
        <f t="shared" si="906"/>
        <v>0</v>
      </c>
      <c r="AE1950" s="57" t="str">
        <f t="shared" si="907"/>
        <v/>
      </c>
      <c r="AF1950" s="57">
        <f t="shared" si="908"/>
        <v>0</v>
      </c>
      <c r="AG1950" s="59">
        <f t="shared" si="909"/>
        <v>0</v>
      </c>
      <c r="AH1950" s="15"/>
      <c r="AI1950" s="15"/>
      <c r="AJ1950" s="15"/>
      <c r="AK1950" s="15"/>
      <c r="AL1950" s="15"/>
      <c r="AM1950" s="15"/>
      <c r="AN1950" s="15"/>
      <c r="AO1950" s="15"/>
      <c r="AP1950" s="15"/>
      <c r="AQ1950" s="15"/>
      <c r="AR1950" s="15"/>
      <c r="AS1950" s="15"/>
      <c r="AT1950" s="15"/>
      <c r="AU1950" s="15"/>
    </row>
    <row r="1951" ht="24.0" customHeight="1">
      <c r="A1951" s="45">
        <v>3375.0</v>
      </c>
      <c r="B1951" s="57"/>
      <c r="C1951" s="57"/>
      <c r="D1951" s="88" t="str">
        <f t="array" ref="D1951">IFERROR(
  LOOKUP(2, 1/((TRIM(IMS!$E$8:$E$2574)=TRIM(IMS!$E1951))*(IMS!$C$8:$C$2574&lt;IMS!$C1951)),
         IMS!$C$8:$C$2574),
"")</f>
        <v/>
      </c>
      <c r="E1951" s="57"/>
      <c r="F1951" s="57"/>
      <c r="G1951" s="77" t="str">
        <f t="shared" si="901"/>
        <v/>
      </c>
      <c r="H1951" s="78" t="str">
        <f t="shared" si="902"/>
        <v/>
      </c>
      <c r="I1951" s="79"/>
      <c r="J1951" s="80" t="str">
        <f t="shared" si="903"/>
        <v>#NAME?</v>
      </c>
      <c r="K1951" s="58"/>
      <c r="L1951" s="58"/>
      <c r="M1951" s="57"/>
      <c r="N1951" s="57"/>
      <c r="O1951" s="58"/>
      <c r="P1951" s="82"/>
      <c r="Q1951" s="81"/>
      <c r="R1951" s="81"/>
      <c r="S1951" s="57"/>
      <c r="T1951" s="82"/>
      <c r="U1951" s="82"/>
      <c r="V1951" s="57"/>
      <c r="W1951" s="57"/>
      <c r="X1951" s="57" t="str">
        <f t="shared" si="917"/>
        <v/>
      </c>
      <c r="Y1951" s="58" t="str">
        <f t="shared" ref="Y1951:AC1951" si="1791">TRIM(SUBSTITUTE(SUBSTITUTE(OFFSET($Q1951,0,COLUMN()-COLUMN($AL$1)),CHAR(160)," "),_xludf.UNICHAR(8239)," "))</f>
        <v>#NAME?</v>
      </c>
      <c r="Z1951" s="58" t="str">
        <f t="shared" si="1791"/>
        <v>#NAME?</v>
      </c>
      <c r="AA1951" s="58" t="str">
        <f t="shared" si="1791"/>
        <v>#NAME?</v>
      </c>
      <c r="AB1951" s="58" t="str">
        <f t="shared" si="1791"/>
        <v>#NAME?</v>
      </c>
      <c r="AC1951" s="58" t="str">
        <f t="shared" si="1791"/>
        <v>#NAME?</v>
      </c>
      <c r="AD1951" s="57">
        <f t="shared" si="906"/>
        <v>0</v>
      </c>
      <c r="AE1951" s="57" t="str">
        <f t="shared" si="907"/>
        <v/>
      </c>
      <c r="AF1951" s="57">
        <f t="shared" si="908"/>
        <v>0</v>
      </c>
      <c r="AG1951" s="59">
        <f t="shared" si="909"/>
        <v>0</v>
      </c>
      <c r="AH1951" s="15"/>
      <c r="AI1951" s="15"/>
      <c r="AJ1951" s="15"/>
      <c r="AK1951" s="15"/>
      <c r="AL1951" s="15"/>
      <c r="AM1951" s="15"/>
      <c r="AN1951" s="15"/>
      <c r="AO1951" s="15"/>
      <c r="AP1951" s="15"/>
      <c r="AQ1951" s="15"/>
      <c r="AR1951" s="15"/>
      <c r="AS1951" s="15"/>
      <c r="AT1951" s="15"/>
      <c r="AU1951" s="15"/>
    </row>
    <row r="1952" ht="24.0" customHeight="1">
      <c r="A1952" s="45">
        <v>3376.0</v>
      </c>
      <c r="B1952" s="57"/>
      <c r="C1952" s="57"/>
      <c r="D1952" s="88" t="str">
        <f t="array" ref="D1952">IFERROR(
  LOOKUP(2, 1/((TRIM(IMS!$E$8:$E$2574)=TRIM(IMS!$E1952))*(IMS!$C$8:$C$2574&lt;IMS!$C1952)),
         IMS!$C$8:$C$2574),
"")</f>
        <v/>
      </c>
      <c r="E1952" s="57"/>
      <c r="F1952" s="57"/>
      <c r="G1952" s="77" t="str">
        <f t="shared" si="901"/>
        <v/>
      </c>
      <c r="H1952" s="78" t="str">
        <f t="shared" si="902"/>
        <v/>
      </c>
      <c r="I1952" s="79"/>
      <c r="J1952" s="80" t="str">
        <f t="shared" si="903"/>
        <v>#NAME?</v>
      </c>
      <c r="K1952" s="58"/>
      <c r="L1952" s="58"/>
      <c r="M1952" s="57"/>
      <c r="N1952" s="57"/>
      <c r="O1952" s="58"/>
      <c r="P1952" s="82"/>
      <c r="Q1952" s="81"/>
      <c r="R1952" s="81"/>
      <c r="S1952" s="57"/>
      <c r="T1952" s="82"/>
      <c r="U1952" s="82"/>
      <c r="V1952" s="57"/>
      <c r="W1952" s="57"/>
      <c r="X1952" s="57" t="str">
        <f t="shared" si="917"/>
        <v/>
      </c>
      <c r="Y1952" s="58" t="str">
        <f t="shared" ref="Y1952:AC1952" si="1792">TRIM(SUBSTITUTE(SUBSTITUTE(OFFSET($Q1952,0,COLUMN()-COLUMN($AL$1)),CHAR(160)," "),_xludf.UNICHAR(8239)," "))</f>
        <v>#NAME?</v>
      </c>
      <c r="Z1952" s="58" t="str">
        <f t="shared" si="1792"/>
        <v>#NAME?</v>
      </c>
      <c r="AA1952" s="58" t="str">
        <f t="shared" si="1792"/>
        <v>#NAME?</v>
      </c>
      <c r="AB1952" s="58" t="str">
        <f t="shared" si="1792"/>
        <v>#NAME?</v>
      </c>
      <c r="AC1952" s="58" t="str">
        <f t="shared" si="1792"/>
        <v>#NAME?</v>
      </c>
      <c r="AD1952" s="57">
        <f t="shared" si="906"/>
        <v>0</v>
      </c>
      <c r="AE1952" s="57" t="str">
        <f t="shared" si="907"/>
        <v/>
      </c>
      <c r="AF1952" s="57">
        <f t="shared" si="908"/>
        <v>0</v>
      </c>
      <c r="AG1952" s="59">
        <f t="shared" si="909"/>
        <v>0</v>
      </c>
      <c r="AH1952" s="15"/>
      <c r="AI1952" s="15"/>
      <c r="AJ1952" s="15"/>
      <c r="AK1952" s="15"/>
      <c r="AL1952" s="15"/>
      <c r="AM1952" s="15"/>
      <c r="AN1952" s="15"/>
      <c r="AO1952" s="15"/>
      <c r="AP1952" s="15"/>
      <c r="AQ1952" s="15"/>
      <c r="AR1952" s="15"/>
      <c r="AS1952" s="15"/>
      <c r="AT1952" s="15"/>
      <c r="AU1952" s="15"/>
    </row>
    <row r="1953" ht="24.0" customHeight="1">
      <c r="A1953" s="45">
        <v>3377.0</v>
      </c>
      <c r="B1953" s="57"/>
      <c r="C1953" s="57"/>
      <c r="D1953" s="88" t="str">
        <f t="array" ref="D1953">IFERROR(
  LOOKUP(2, 1/((TRIM(IMS!$E$8:$E$2574)=TRIM(IMS!$E1953))*(IMS!$C$8:$C$2574&lt;IMS!$C1953)),
         IMS!$C$8:$C$2574),
"")</f>
        <v/>
      </c>
      <c r="E1953" s="57"/>
      <c r="F1953" s="57"/>
      <c r="G1953" s="77" t="str">
        <f t="shared" si="901"/>
        <v/>
      </c>
      <c r="H1953" s="78" t="str">
        <f t="shared" si="902"/>
        <v/>
      </c>
      <c r="I1953" s="79"/>
      <c r="J1953" s="80" t="str">
        <f t="shared" si="903"/>
        <v>#NAME?</v>
      </c>
      <c r="K1953" s="58"/>
      <c r="L1953" s="58"/>
      <c r="M1953" s="57"/>
      <c r="N1953" s="57"/>
      <c r="O1953" s="58"/>
      <c r="P1953" s="82"/>
      <c r="Q1953" s="81"/>
      <c r="R1953" s="81"/>
      <c r="S1953" s="57"/>
      <c r="T1953" s="82"/>
      <c r="U1953" s="82"/>
      <c r="V1953" s="57"/>
      <c r="W1953" s="57"/>
      <c r="X1953" s="57" t="str">
        <f t="shared" si="917"/>
        <v/>
      </c>
      <c r="Y1953" s="58" t="str">
        <f t="shared" ref="Y1953:AC1953" si="1793">TRIM(SUBSTITUTE(SUBSTITUTE(OFFSET($Q1953,0,COLUMN()-COLUMN($AL$1)),CHAR(160)," "),_xludf.UNICHAR(8239)," "))</f>
        <v>#NAME?</v>
      </c>
      <c r="Z1953" s="58" t="str">
        <f t="shared" si="1793"/>
        <v>#NAME?</v>
      </c>
      <c r="AA1953" s="58" t="str">
        <f t="shared" si="1793"/>
        <v>#NAME?</v>
      </c>
      <c r="AB1953" s="58" t="str">
        <f t="shared" si="1793"/>
        <v>#NAME?</v>
      </c>
      <c r="AC1953" s="58" t="str">
        <f t="shared" si="1793"/>
        <v>#NAME?</v>
      </c>
      <c r="AD1953" s="57">
        <f t="shared" si="906"/>
        <v>0</v>
      </c>
      <c r="AE1953" s="57" t="str">
        <f t="shared" si="907"/>
        <v/>
      </c>
      <c r="AF1953" s="57">
        <f t="shared" si="908"/>
        <v>0</v>
      </c>
      <c r="AG1953" s="59">
        <f t="shared" si="909"/>
        <v>0</v>
      </c>
      <c r="AH1953" s="15"/>
      <c r="AI1953" s="15"/>
      <c r="AJ1953" s="15"/>
      <c r="AK1953" s="15"/>
      <c r="AL1953" s="15"/>
      <c r="AM1953" s="15"/>
      <c r="AN1953" s="15"/>
      <c r="AO1953" s="15"/>
      <c r="AP1953" s="15"/>
      <c r="AQ1953" s="15"/>
      <c r="AR1953" s="15"/>
      <c r="AS1953" s="15"/>
      <c r="AT1953" s="15"/>
      <c r="AU1953" s="15"/>
    </row>
    <row r="1954" ht="24.0" customHeight="1">
      <c r="A1954" s="45">
        <v>3378.0</v>
      </c>
      <c r="B1954" s="57"/>
      <c r="C1954" s="57"/>
      <c r="D1954" s="88" t="str">
        <f t="array" ref="D1954">IFERROR(
  LOOKUP(2, 1/((TRIM(IMS!$E$8:$E$2574)=TRIM(IMS!$E1954))*(IMS!$C$8:$C$2574&lt;IMS!$C1954)),
         IMS!$C$8:$C$2574),
"")</f>
        <v/>
      </c>
      <c r="E1954" s="57"/>
      <c r="F1954" s="57"/>
      <c r="G1954" s="77" t="str">
        <f t="shared" si="901"/>
        <v/>
      </c>
      <c r="H1954" s="78" t="str">
        <f t="shared" si="902"/>
        <v/>
      </c>
      <c r="I1954" s="79"/>
      <c r="J1954" s="80" t="str">
        <f t="shared" si="903"/>
        <v>#NAME?</v>
      </c>
      <c r="K1954" s="58"/>
      <c r="L1954" s="58"/>
      <c r="M1954" s="57"/>
      <c r="N1954" s="57"/>
      <c r="O1954" s="58"/>
      <c r="P1954" s="82"/>
      <c r="Q1954" s="81"/>
      <c r="R1954" s="81"/>
      <c r="S1954" s="57"/>
      <c r="T1954" s="82"/>
      <c r="U1954" s="82"/>
      <c r="V1954" s="57"/>
      <c r="W1954" s="57"/>
      <c r="X1954" s="57" t="str">
        <f t="shared" si="917"/>
        <v/>
      </c>
      <c r="Y1954" s="58" t="str">
        <f t="shared" ref="Y1954:AC1954" si="1794">TRIM(SUBSTITUTE(SUBSTITUTE(OFFSET($Q1954,0,COLUMN()-COLUMN($AL$1)),CHAR(160)," "),_xludf.UNICHAR(8239)," "))</f>
        <v>#NAME?</v>
      </c>
      <c r="Z1954" s="58" t="str">
        <f t="shared" si="1794"/>
        <v>#NAME?</v>
      </c>
      <c r="AA1954" s="58" t="str">
        <f t="shared" si="1794"/>
        <v>#NAME?</v>
      </c>
      <c r="AB1954" s="58" t="str">
        <f t="shared" si="1794"/>
        <v>#NAME?</v>
      </c>
      <c r="AC1954" s="58" t="str">
        <f t="shared" si="1794"/>
        <v>#NAME?</v>
      </c>
      <c r="AD1954" s="57">
        <f t="shared" si="906"/>
        <v>0</v>
      </c>
      <c r="AE1954" s="57" t="str">
        <f t="shared" si="907"/>
        <v/>
      </c>
      <c r="AF1954" s="57">
        <f t="shared" si="908"/>
        <v>0</v>
      </c>
      <c r="AG1954" s="59">
        <f t="shared" si="909"/>
        <v>0</v>
      </c>
      <c r="AH1954" s="15"/>
      <c r="AI1954" s="15"/>
      <c r="AJ1954" s="15"/>
      <c r="AK1954" s="15"/>
      <c r="AL1954" s="15"/>
      <c r="AM1954" s="15"/>
      <c r="AN1954" s="15"/>
      <c r="AO1954" s="15"/>
      <c r="AP1954" s="15"/>
      <c r="AQ1954" s="15"/>
      <c r="AR1954" s="15"/>
      <c r="AS1954" s="15"/>
      <c r="AT1954" s="15"/>
      <c r="AU1954" s="15"/>
    </row>
    <row r="1955" ht="24.0" customHeight="1">
      <c r="A1955" s="45">
        <v>3379.0</v>
      </c>
      <c r="B1955" s="57"/>
      <c r="C1955" s="57"/>
      <c r="D1955" s="88" t="str">
        <f t="array" ref="D1955">IFERROR(
  LOOKUP(2, 1/((TRIM(IMS!$E$8:$E$2574)=TRIM(IMS!$E1955))*(IMS!$C$8:$C$2574&lt;IMS!$C1955)),
         IMS!$C$8:$C$2574),
"")</f>
        <v/>
      </c>
      <c r="E1955" s="57"/>
      <c r="F1955" s="57"/>
      <c r="G1955" s="77" t="str">
        <f t="shared" si="901"/>
        <v/>
      </c>
      <c r="H1955" s="78" t="str">
        <f t="shared" si="902"/>
        <v/>
      </c>
      <c r="I1955" s="79"/>
      <c r="J1955" s="80" t="str">
        <f t="shared" si="903"/>
        <v>#NAME?</v>
      </c>
      <c r="K1955" s="58"/>
      <c r="L1955" s="58"/>
      <c r="M1955" s="57"/>
      <c r="N1955" s="57"/>
      <c r="O1955" s="58"/>
      <c r="P1955" s="82"/>
      <c r="Q1955" s="81"/>
      <c r="R1955" s="81"/>
      <c r="S1955" s="57"/>
      <c r="T1955" s="82"/>
      <c r="U1955" s="82"/>
      <c r="V1955" s="57"/>
      <c r="W1955" s="57"/>
      <c r="X1955" s="57" t="str">
        <f t="shared" si="917"/>
        <v/>
      </c>
      <c r="Y1955" s="58" t="str">
        <f t="shared" ref="Y1955:AC1955" si="1795">TRIM(SUBSTITUTE(SUBSTITUTE(OFFSET($Q1955,0,COLUMN()-COLUMN($AL$1)),CHAR(160)," "),_xludf.UNICHAR(8239)," "))</f>
        <v>#NAME?</v>
      </c>
      <c r="Z1955" s="58" t="str">
        <f t="shared" si="1795"/>
        <v>#NAME?</v>
      </c>
      <c r="AA1955" s="58" t="str">
        <f t="shared" si="1795"/>
        <v>#NAME?</v>
      </c>
      <c r="AB1955" s="58" t="str">
        <f t="shared" si="1795"/>
        <v>#NAME?</v>
      </c>
      <c r="AC1955" s="58" t="str">
        <f t="shared" si="1795"/>
        <v>#NAME?</v>
      </c>
      <c r="AD1955" s="57">
        <f t="shared" si="906"/>
        <v>0</v>
      </c>
      <c r="AE1955" s="57" t="str">
        <f t="shared" si="907"/>
        <v/>
      </c>
      <c r="AF1955" s="57">
        <f t="shared" si="908"/>
        <v>0</v>
      </c>
      <c r="AG1955" s="59">
        <f t="shared" si="909"/>
        <v>0</v>
      </c>
      <c r="AH1955" s="15"/>
      <c r="AI1955" s="15"/>
      <c r="AJ1955" s="15"/>
      <c r="AK1955" s="15"/>
      <c r="AL1955" s="15"/>
      <c r="AM1955" s="15"/>
      <c r="AN1955" s="15"/>
      <c r="AO1955" s="15"/>
      <c r="AP1955" s="15"/>
      <c r="AQ1955" s="15"/>
      <c r="AR1955" s="15"/>
      <c r="AS1955" s="15"/>
      <c r="AT1955" s="15"/>
      <c r="AU1955" s="15"/>
    </row>
    <row r="1956" ht="24.0" customHeight="1">
      <c r="A1956" s="45">
        <v>3380.0</v>
      </c>
      <c r="B1956" s="57"/>
      <c r="C1956" s="57"/>
      <c r="D1956" s="88" t="str">
        <f t="array" ref="D1956">IFERROR(
  LOOKUP(2, 1/((TRIM(IMS!$E$8:$E$2574)=TRIM(IMS!$E1956))*(IMS!$C$8:$C$2574&lt;IMS!$C1956)),
         IMS!$C$8:$C$2574),
"")</f>
        <v/>
      </c>
      <c r="E1956" s="57"/>
      <c r="F1956" s="57"/>
      <c r="G1956" s="77" t="str">
        <f t="shared" si="901"/>
        <v/>
      </c>
      <c r="H1956" s="78" t="str">
        <f t="shared" si="902"/>
        <v/>
      </c>
      <c r="I1956" s="79"/>
      <c r="J1956" s="80" t="str">
        <f t="shared" si="903"/>
        <v>#NAME?</v>
      </c>
      <c r="K1956" s="58"/>
      <c r="L1956" s="58"/>
      <c r="M1956" s="57"/>
      <c r="N1956" s="57"/>
      <c r="O1956" s="58"/>
      <c r="P1956" s="82"/>
      <c r="Q1956" s="81"/>
      <c r="R1956" s="81"/>
      <c r="S1956" s="57"/>
      <c r="T1956" s="82"/>
      <c r="U1956" s="82"/>
      <c r="V1956" s="57"/>
      <c r="W1956" s="57"/>
      <c r="X1956" s="57" t="str">
        <f t="shared" si="917"/>
        <v/>
      </c>
      <c r="Y1956" s="58" t="str">
        <f t="shared" ref="Y1956:AC1956" si="1796">TRIM(SUBSTITUTE(SUBSTITUTE(OFFSET($Q1956,0,COLUMN()-COLUMN($AL$1)),CHAR(160)," "),_xludf.UNICHAR(8239)," "))</f>
        <v>#NAME?</v>
      </c>
      <c r="Z1956" s="58" t="str">
        <f t="shared" si="1796"/>
        <v>#NAME?</v>
      </c>
      <c r="AA1956" s="58" t="str">
        <f t="shared" si="1796"/>
        <v>#NAME?</v>
      </c>
      <c r="AB1956" s="58" t="str">
        <f t="shared" si="1796"/>
        <v>#NAME?</v>
      </c>
      <c r="AC1956" s="58" t="str">
        <f t="shared" si="1796"/>
        <v>#NAME?</v>
      </c>
      <c r="AD1956" s="57">
        <f t="shared" si="906"/>
        <v>0</v>
      </c>
      <c r="AE1956" s="57" t="str">
        <f t="shared" si="907"/>
        <v/>
      </c>
      <c r="AF1956" s="57">
        <f t="shared" si="908"/>
        <v>0</v>
      </c>
      <c r="AG1956" s="59">
        <f t="shared" si="909"/>
        <v>0</v>
      </c>
      <c r="AH1956" s="15"/>
      <c r="AI1956" s="15"/>
      <c r="AJ1956" s="15"/>
      <c r="AK1956" s="15"/>
      <c r="AL1956" s="15"/>
      <c r="AM1956" s="15"/>
      <c r="AN1956" s="15"/>
      <c r="AO1956" s="15"/>
      <c r="AP1956" s="15"/>
      <c r="AQ1956" s="15"/>
      <c r="AR1956" s="15"/>
      <c r="AS1956" s="15"/>
      <c r="AT1956" s="15"/>
      <c r="AU1956" s="15"/>
    </row>
    <row r="1957" ht="24.0" customHeight="1">
      <c r="A1957" s="45">
        <v>3381.0</v>
      </c>
      <c r="B1957" s="57"/>
      <c r="C1957" s="57"/>
      <c r="D1957" s="88" t="str">
        <f t="array" ref="D1957">IFERROR(
  LOOKUP(2, 1/((TRIM(IMS!$E$8:$E$2574)=TRIM(IMS!$E1957))*(IMS!$C$8:$C$2574&lt;IMS!$C1957)),
         IMS!$C$8:$C$2574),
"")</f>
        <v/>
      </c>
      <c r="E1957" s="57"/>
      <c r="F1957" s="57"/>
      <c r="G1957" s="77" t="str">
        <f t="shared" si="901"/>
        <v/>
      </c>
      <c r="H1957" s="78" t="str">
        <f t="shared" si="902"/>
        <v/>
      </c>
      <c r="I1957" s="79"/>
      <c r="J1957" s="80" t="str">
        <f t="shared" si="903"/>
        <v>#NAME?</v>
      </c>
      <c r="K1957" s="58"/>
      <c r="L1957" s="58"/>
      <c r="M1957" s="57"/>
      <c r="N1957" s="57"/>
      <c r="O1957" s="58"/>
      <c r="P1957" s="82"/>
      <c r="Q1957" s="81"/>
      <c r="R1957" s="81"/>
      <c r="S1957" s="57"/>
      <c r="T1957" s="82"/>
      <c r="U1957" s="82"/>
      <c r="V1957" s="57"/>
      <c r="W1957" s="57"/>
      <c r="X1957" s="57" t="str">
        <f t="shared" si="917"/>
        <v/>
      </c>
      <c r="Y1957" s="58" t="str">
        <f t="shared" ref="Y1957:AC1957" si="1797">TRIM(SUBSTITUTE(SUBSTITUTE(OFFSET($Q1957,0,COLUMN()-COLUMN($AL$1)),CHAR(160)," "),_xludf.UNICHAR(8239)," "))</f>
        <v>#NAME?</v>
      </c>
      <c r="Z1957" s="58" t="str">
        <f t="shared" si="1797"/>
        <v>#NAME?</v>
      </c>
      <c r="AA1957" s="58" t="str">
        <f t="shared" si="1797"/>
        <v>#NAME?</v>
      </c>
      <c r="AB1957" s="58" t="str">
        <f t="shared" si="1797"/>
        <v>#NAME?</v>
      </c>
      <c r="AC1957" s="58" t="str">
        <f t="shared" si="1797"/>
        <v>#NAME?</v>
      </c>
      <c r="AD1957" s="57">
        <f t="shared" si="906"/>
        <v>0</v>
      </c>
      <c r="AE1957" s="57" t="str">
        <f t="shared" si="907"/>
        <v/>
      </c>
      <c r="AF1957" s="57">
        <f t="shared" si="908"/>
        <v>0</v>
      </c>
      <c r="AG1957" s="59">
        <f t="shared" si="909"/>
        <v>0</v>
      </c>
      <c r="AH1957" s="15"/>
      <c r="AI1957" s="15"/>
      <c r="AJ1957" s="15"/>
      <c r="AK1957" s="15"/>
      <c r="AL1957" s="15"/>
      <c r="AM1957" s="15"/>
      <c r="AN1957" s="15"/>
      <c r="AO1957" s="15"/>
      <c r="AP1957" s="15"/>
      <c r="AQ1957" s="15"/>
      <c r="AR1957" s="15"/>
      <c r="AS1957" s="15"/>
      <c r="AT1957" s="15"/>
      <c r="AU1957" s="15"/>
    </row>
    <row r="1958" ht="24.0" customHeight="1">
      <c r="A1958" s="45">
        <v>3382.0</v>
      </c>
      <c r="B1958" s="57"/>
      <c r="C1958" s="57"/>
      <c r="D1958" s="88" t="str">
        <f t="array" ref="D1958">IFERROR(
  LOOKUP(2, 1/((TRIM(IMS!$E$8:$E$2574)=TRIM(IMS!$E1958))*(IMS!$C$8:$C$2574&lt;IMS!$C1958)),
         IMS!$C$8:$C$2574),
"")</f>
        <v/>
      </c>
      <c r="E1958" s="57"/>
      <c r="F1958" s="57"/>
      <c r="G1958" s="77" t="str">
        <f t="shared" si="901"/>
        <v/>
      </c>
      <c r="H1958" s="78" t="str">
        <f t="shared" si="902"/>
        <v/>
      </c>
      <c r="I1958" s="79"/>
      <c r="J1958" s="80" t="str">
        <f t="shared" si="903"/>
        <v>#NAME?</v>
      </c>
      <c r="K1958" s="58"/>
      <c r="L1958" s="58"/>
      <c r="M1958" s="57"/>
      <c r="N1958" s="57"/>
      <c r="O1958" s="58"/>
      <c r="P1958" s="82"/>
      <c r="Q1958" s="81"/>
      <c r="R1958" s="81"/>
      <c r="S1958" s="57"/>
      <c r="T1958" s="82"/>
      <c r="U1958" s="82"/>
      <c r="V1958" s="57"/>
      <c r="W1958" s="57"/>
      <c r="X1958" s="57" t="str">
        <f t="shared" si="917"/>
        <v/>
      </c>
      <c r="Y1958" s="58" t="str">
        <f t="shared" ref="Y1958:AC1958" si="1798">TRIM(SUBSTITUTE(SUBSTITUTE(OFFSET($Q1958,0,COLUMN()-COLUMN($AL$1)),CHAR(160)," "),_xludf.UNICHAR(8239)," "))</f>
        <v>#NAME?</v>
      </c>
      <c r="Z1958" s="58" t="str">
        <f t="shared" si="1798"/>
        <v>#NAME?</v>
      </c>
      <c r="AA1958" s="58" t="str">
        <f t="shared" si="1798"/>
        <v>#NAME?</v>
      </c>
      <c r="AB1958" s="58" t="str">
        <f t="shared" si="1798"/>
        <v>#NAME?</v>
      </c>
      <c r="AC1958" s="58" t="str">
        <f t="shared" si="1798"/>
        <v>#NAME?</v>
      </c>
      <c r="AD1958" s="57">
        <f t="shared" si="906"/>
        <v>0</v>
      </c>
      <c r="AE1958" s="57" t="str">
        <f t="shared" si="907"/>
        <v/>
      </c>
      <c r="AF1958" s="57">
        <f t="shared" si="908"/>
        <v>0</v>
      </c>
      <c r="AG1958" s="59">
        <f t="shared" si="909"/>
        <v>0</v>
      </c>
      <c r="AH1958" s="15"/>
      <c r="AI1958" s="15"/>
      <c r="AJ1958" s="15"/>
      <c r="AK1958" s="15"/>
      <c r="AL1958" s="15"/>
      <c r="AM1958" s="15"/>
      <c r="AN1958" s="15"/>
      <c r="AO1958" s="15"/>
      <c r="AP1958" s="15"/>
      <c r="AQ1958" s="15"/>
      <c r="AR1958" s="15"/>
      <c r="AS1958" s="15"/>
      <c r="AT1958" s="15"/>
      <c r="AU1958" s="15"/>
    </row>
    <row r="1959" ht="24.0" customHeight="1">
      <c r="A1959" s="45">
        <v>3383.0</v>
      </c>
      <c r="B1959" s="57"/>
      <c r="C1959" s="57"/>
      <c r="D1959" s="88" t="str">
        <f t="array" ref="D1959">IFERROR(
  LOOKUP(2, 1/((TRIM(IMS!$E$8:$E$2574)=TRIM(IMS!$E1959))*(IMS!$C$8:$C$2574&lt;IMS!$C1959)),
         IMS!$C$8:$C$2574),
"")</f>
        <v/>
      </c>
      <c r="E1959" s="57"/>
      <c r="F1959" s="57"/>
      <c r="G1959" s="77" t="str">
        <f t="shared" si="901"/>
        <v/>
      </c>
      <c r="H1959" s="78" t="str">
        <f t="shared" si="902"/>
        <v/>
      </c>
      <c r="I1959" s="79"/>
      <c r="J1959" s="80" t="str">
        <f t="shared" si="903"/>
        <v>#NAME?</v>
      </c>
      <c r="K1959" s="58"/>
      <c r="L1959" s="58"/>
      <c r="M1959" s="57"/>
      <c r="N1959" s="57"/>
      <c r="O1959" s="58"/>
      <c r="P1959" s="82"/>
      <c r="Q1959" s="81"/>
      <c r="R1959" s="81"/>
      <c r="S1959" s="57"/>
      <c r="T1959" s="82"/>
      <c r="U1959" s="82"/>
      <c r="V1959" s="57"/>
      <c r="W1959" s="57"/>
      <c r="X1959" s="57" t="str">
        <f t="shared" si="917"/>
        <v/>
      </c>
      <c r="Y1959" s="58" t="str">
        <f t="shared" ref="Y1959:AC1959" si="1799">TRIM(SUBSTITUTE(SUBSTITUTE(OFFSET($Q1959,0,COLUMN()-COLUMN($AL$1)),CHAR(160)," "),_xludf.UNICHAR(8239)," "))</f>
        <v>#NAME?</v>
      </c>
      <c r="Z1959" s="58" t="str">
        <f t="shared" si="1799"/>
        <v>#NAME?</v>
      </c>
      <c r="AA1959" s="58" t="str">
        <f t="shared" si="1799"/>
        <v>#NAME?</v>
      </c>
      <c r="AB1959" s="58" t="str">
        <f t="shared" si="1799"/>
        <v>#NAME?</v>
      </c>
      <c r="AC1959" s="58" t="str">
        <f t="shared" si="1799"/>
        <v>#NAME?</v>
      </c>
      <c r="AD1959" s="57">
        <f t="shared" si="906"/>
        <v>0</v>
      </c>
      <c r="AE1959" s="57" t="str">
        <f t="shared" si="907"/>
        <v/>
      </c>
      <c r="AF1959" s="57">
        <f t="shared" si="908"/>
        <v>0</v>
      </c>
      <c r="AG1959" s="59">
        <f t="shared" si="909"/>
        <v>0</v>
      </c>
      <c r="AH1959" s="15"/>
      <c r="AI1959" s="15"/>
      <c r="AJ1959" s="15"/>
      <c r="AK1959" s="15"/>
      <c r="AL1959" s="15"/>
      <c r="AM1959" s="15"/>
      <c r="AN1959" s="15"/>
      <c r="AO1959" s="15"/>
      <c r="AP1959" s="15"/>
      <c r="AQ1959" s="15"/>
      <c r="AR1959" s="15"/>
      <c r="AS1959" s="15"/>
      <c r="AT1959" s="15"/>
      <c r="AU1959" s="15"/>
    </row>
    <row r="1960" ht="24.0" customHeight="1">
      <c r="A1960" s="45">
        <v>3384.0</v>
      </c>
      <c r="B1960" s="57"/>
      <c r="C1960" s="57"/>
      <c r="D1960" s="88" t="str">
        <f t="array" ref="D1960">IFERROR(
  LOOKUP(2, 1/((TRIM(IMS!$E$8:$E$2574)=TRIM(IMS!$E1960))*(IMS!$C$8:$C$2574&lt;IMS!$C1960)),
         IMS!$C$8:$C$2574),
"")</f>
        <v/>
      </c>
      <c r="E1960" s="57"/>
      <c r="F1960" s="57"/>
      <c r="G1960" s="77" t="str">
        <f t="shared" si="901"/>
        <v/>
      </c>
      <c r="H1960" s="78" t="str">
        <f t="shared" si="902"/>
        <v/>
      </c>
      <c r="I1960" s="79"/>
      <c r="J1960" s="80" t="str">
        <f t="shared" si="903"/>
        <v>#NAME?</v>
      </c>
      <c r="K1960" s="58"/>
      <c r="L1960" s="58"/>
      <c r="M1960" s="57"/>
      <c r="N1960" s="57"/>
      <c r="O1960" s="58"/>
      <c r="P1960" s="82"/>
      <c r="Q1960" s="81"/>
      <c r="R1960" s="81"/>
      <c r="S1960" s="57"/>
      <c r="T1960" s="82"/>
      <c r="U1960" s="82"/>
      <c r="V1960" s="57"/>
      <c r="W1960" s="57"/>
      <c r="X1960" s="57" t="str">
        <f t="shared" si="917"/>
        <v/>
      </c>
      <c r="Y1960" s="58" t="str">
        <f t="shared" ref="Y1960:AC1960" si="1800">TRIM(SUBSTITUTE(SUBSTITUTE(OFFSET($Q1960,0,COLUMN()-COLUMN($AL$1)),CHAR(160)," "),_xludf.UNICHAR(8239)," "))</f>
        <v>#NAME?</v>
      </c>
      <c r="Z1960" s="58" t="str">
        <f t="shared" si="1800"/>
        <v>#NAME?</v>
      </c>
      <c r="AA1960" s="58" t="str">
        <f t="shared" si="1800"/>
        <v>#NAME?</v>
      </c>
      <c r="AB1960" s="58" t="str">
        <f t="shared" si="1800"/>
        <v>#NAME?</v>
      </c>
      <c r="AC1960" s="58" t="str">
        <f t="shared" si="1800"/>
        <v>#NAME?</v>
      </c>
      <c r="AD1960" s="57">
        <f t="shared" si="906"/>
        <v>0</v>
      </c>
      <c r="AE1960" s="57" t="str">
        <f t="shared" si="907"/>
        <v/>
      </c>
      <c r="AF1960" s="57">
        <f t="shared" si="908"/>
        <v>0</v>
      </c>
      <c r="AG1960" s="59">
        <f t="shared" si="909"/>
        <v>0</v>
      </c>
      <c r="AH1960" s="15"/>
      <c r="AI1960" s="15"/>
      <c r="AJ1960" s="15"/>
      <c r="AK1960" s="15"/>
      <c r="AL1960" s="15"/>
      <c r="AM1960" s="15"/>
      <c r="AN1960" s="15"/>
      <c r="AO1960" s="15"/>
      <c r="AP1960" s="15"/>
      <c r="AQ1960" s="15"/>
      <c r="AR1960" s="15"/>
      <c r="AS1960" s="15"/>
      <c r="AT1960" s="15"/>
      <c r="AU1960" s="15"/>
    </row>
    <row r="1961" ht="24.0" customHeight="1">
      <c r="A1961" s="45">
        <v>3385.0</v>
      </c>
      <c r="B1961" s="57"/>
      <c r="C1961" s="57"/>
      <c r="D1961" s="88" t="str">
        <f t="array" ref="D1961">IFERROR(
  LOOKUP(2, 1/((TRIM(IMS!$E$8:$E$2574)=TRIM(IMS!$E1961))*(IMS!$C$8:$C$2574&lt;IMS!$C1961)),
         IMS!$C$8:$C$2574),
"")</f>
        <v/>
      </c>
      <c r="E1961" s="57"/>
      <c r="F1961" s="57"/>
      <c r="G1961" s="77" t="str">
        <f t="shared" si="901"/>
        <v/>
      </c>
      <c r="H1961" s="78" t="str">
        <f t="shared" si="902"/>
        <v/>
      </c>
      <c r="I1961" s="79"/>
      <c r="J1961" s="80" t="str">
        <f t="shared" si="903"/>
        <v>#NAME?</v>
      </c>
      <c r="K1961" s="58"/>
      <c r="L1961" s="58"/>
      <c r="M1961" s="57"/>
      <c r="N1961" s="57"/>
      <c r="O1961" s="58"/>
      <c r="P1961" s="82"/>
      <c r="Q1961" s="81"/>
      <c r="R1961" s="81"/>
      <c r="S1961" s="57"/>
      <c r="T1961" s="82"/>
      <c r="U1961" s="82"/>
      <c r="V1961" s="57"/>
      <c r="W1961" s="57"/>
      <c r="X1961" s="57" t="str">
        <f t="shared" si="917"/>
        <v/>
      </c>
      <c r="Y1961" s="58" t="str">
        <f t="shared" ref="Y1961:AC1961" si="1801">TRIM(SUBSTITUTE(SUBSTITUTE(OFFSET($Q1961,0,COLUMN()-COLUMN($AL$1)),CHAR(160)," "),_xludf.UNICHAR(8239)," "))</f>
        <v>#NAME?</v>
      </c>
      <c r="Z1961" s="58" t="str">
        <f t="shared" si="1801"/>
        <v>#NAME?</v>
      </c>
      <c r="AA1961" s="58" t="str">
        <f t="shared" si="1801"/>
        <v>#NAME?</v>
      </c>
      <c r="AB1961" s="58" t="str">
        <f t="shared" si="1801"/>
        <v>#NAME?</v>
      </c>
      <c r="AC1961" s="58" t="str">
        <f t="shared" si="1801"/>
        <v>#NAME?</v>
      </c>
      <c r="AD1961" s="57">
        <f t="shared" si="906"/>
        <v>0</v>
      </c>
      <c r="AE1961" s="57" t="str">
        <f t="shared" si="907"/>
        <v/>
      </c>
      <c r="AF1961" s="57">
        <f t="shared" si="908"/>
        <v>0</v>
      </c>
      <c r="AG1961" s="59">
        <f t="shared" si="909"/>
        <v>0</v>
      </c>
      <c r="AH1961" s="15"/>
      <c r="AI1961" s="15"/>
      <c r="AJ1961" s="15"/>
      <c r="AK1961" s="15"/>
      <c r="AL1961" s="15"/>
      <c r="AM1961" s="15"/>
      <c r="AN1961" s="15"/>
      <c r="AO1961" s="15"/>
      <c r="AP1961" s="15"/>
      <c r="AQ1961" s="15"/>
      <c r="AR1961" s="15"/>
      <c r="AS1961" s="15"/>
      <c r="AT1961" s="15"/>
      <c r="AU1961" s="15"/>
    </row>
    <row r="1962" ht="24.0" customHeight="1">
      <c r="A1962" s="45">
        <v>3386.0</v>
      </c>
      <c r="B1962" s="57"/>
      <c r="C1962" s="57"/>
      <c r="D1962" s="88" t="str">
        <f t="array" ref="D1962">IFERROR(
  LOOKUP(2, 1/((TRIM(IMS!$E$8:$E$2574)=TRIM(IMS!$E1962))*(IMS!$C$8:$C$2574&lt;IMS!$C1962)),
         IMS!$C$8:$C$2574),
"")</f>
        <v/>
      </c>
      <c r="E1962" s="57"/>
      <c r="F1962" s="57"/>
      <c r="G1962" s="77" t="str">
        <f t="shared" si="901"/>
        <v/>
      </c>
      <c r="H1962" s="78" t="str">
        <f t="shared" si="902"/>
        <v/>
      </c>
      <c r="I1962" s="79"/>
      <c r="J1962" s="80" t="str">
        <f t="shared" si="903"/>
        <v>#NAME?</v>
      </c>
      <c r="K1962" s="58"/>
      <c r="L1962" s="58"/>
      <c r="M1962" s="57"/>
      <c r="N1962" s="57"/>
      <c r="O1962" s="58"/>
      <c r="P1962" s="82"/>
      <c r="Q1962" s="81"/>
      <c r="R1962" s="81"/>
      <c r="S1962" s="57"/>
      <c r="T1962" s="82"/>
      <c r="U1962" s="82"/>
      <c r="V1962" s="57"/>
      <c r="W1962" s="57"/>
      <c r="X1962" s="57" t="str">
        <f t="shared" si="917"/>
        <v/>
      </c>
      <c r="Y1962" s="58" t="str">
        <f t="shared" ref="Y1962:AC1962" si="1802">TRIM(SUBSTITUTE(SUBSTITUTE(OFFSET($Q1962,0,COLUMN()-COLUMN($AL$1)),CHAR(160)," "),_xludf.UNICHAR(8239)," "))</f>
        <v>#NAME?</v>
      </c>
      <c r="Z1962" s="58" t="str">
        <f t="shared" si="1802"/>
        <v>#NAME?</v>
      </c>
      <c r="AA1962" s="58" t="str">
        <f t="shared" si="1802"/>
        <v>#NAME?</v>
      </c>
      <c r="AB1962" s="58" t="str">
        <f t="shared" si="1802"/>
        <v>#NAME?</v>
      </c>
      <c r="AC1962" s="58" t="str">
        <f t="shared" si="1802"/>
        <v>#NAME?</v>
      </c>
      <c r="AD1962" s="57">
        <f t="shared" si="906"/>
        <v>0</v>
      </c>
      <c r="AE1962" s="57" t="str">
        <f t="shared" si="907"/>
        <v/>
      </c>
      <c r="AF1962" s="57">
        <f t="shared" si="908"/>
        <v>0</v>
      </c>
      <c r="AG1962" s="59">
        <f t="shared" si="909"/>
        <v>0</v>
      </c>
      <c r="AH1962" s="15"/>
      <c r="AI1962" s="15"/>
      <c r="AJ1962" s="15"/>
      <c r="AK1962" s="15"/>
      <c r="AL1962" s="15"/>
      <c r="AM1962" s="15"/>
      <c r="AN1962" s="15"/>
      <c r="AO1962" s="15"/>
      <c r="AP1962" s="15"/>
      <c r="AQ1962" s="15"/>
      <c r="AR1962" s="15"/>
      <c r="AS1962" s="15"/>
      <c r="AT1962" s="15"/>
      <c r="AU1962" s="15"/>
    </row>
    <row r="1963" ht="24.0" customHeight="1">
      <c r="A1963" s="45">
        <v>3387.0</v>
      </c>
      <c r="B1963" s="57"/>
      <c r="C1963" s="57"/>
      <c r="D1963" s="88" t="str">
        <f t="array" ref="D1963">IFERROR(
  LOOKUP(2, 1/((TRIM(IMS!$E$8:$E$2574)=TRIM(IMS!$E1963))*(IMS!$C$8:$C$2574&lt;IMS!$C1963)),
         IMS!$C$8:$C$2574),
"")</f>
        <v/>
      </c>
      <c r="E1963" s="57"/>
      <c r="F1963" s="57"/>
      <c r="G1963" s="77" t="str">
        <f t="shared" si="901"/>
        <v/>
      </c>
      <c r="H1963" s="78" t="str">
        <f t="shared" si="902"/>
        <v/>
      </c>
      <c r="I1963" s="79"/>
      <c r="J1963" s="80" t="str">
        <f t="shared" si="903"/>
        <v>#NAME?</v>
      </c>
      <c r="K1963" s="58"/>
      <c r="L1963" s="58"/>
      <c r="M1963" s="57"/>
      <c r="N1963" s="57"/>
      <c r="O1963" s="58"/>
      <c r="P1963" s="82"/>
      <c r="Q1963" s="81"/>
      <c r="R1963" s="81"/>
      <c r="S1963" s="57"/>
      <c r="T1963" s="82"/>
      <c r="U1963" s="82"/>
      <c r="V1963" s="57"/>
      <c r="W1963" s="57"/>
      <c r="X1963" s="57" t="str">
        <f t="shared" si="917"/>
        <v/>
      </c>
      <c r="Y1963" s="58" t="str">
        <f t="shared" ref="Y1963:AC1963" si="1803">TRIM(SUBSTITUTE(SUBSTITUTE(OFFSET($Q1963,0,COLUMN()-COLUMN($AL$1)),CHAR(160)," "),_xludf.UNICHAR(8239)," "))</f>
        <v>#NAME?</v>
      </c>
      <c r="Z1963" s="58" t="str">
        <f t="shared" si="1803"/>
        <v>#NAME?</v>
      </c>
      <c r="AA1963" s="58" t="str">
        <f t="shared" si="1803"/>
        <v>#NAME?</v>
      </c>
      <c r="AB1963" s="58" t="str">
        <f t="shared" si="1803"/>
        <v>#NAME?</v>
      </c>
      <c r="AC1963" s="58" t="str">
        <f t="shared" si="1803"/>
        <v>#NAME?</v>
      </c>
      <c r="AD1963" s="57">
        <f t="shared" si="906"/>
        <v>0</v>
      </c>
      <c r="AE1963" s="57" t="str">
        <f t="shared" si="907"/>
        <v/>
      </c>
      <c r="AF1963" s="57">
        <f t="shared" si="908"/>
        <v>0</v>
      </c>
      <c r="AG1963" s="59">
        <f t="shared" si="909"/>
        <v>0</v>
      </c>
      <c r="AH1963" s="15"/>
      <c r="AI1963" s="15"/>
      <c r="AJ1963" s="15"/>
      <c r="AK1963" s="15"/>
      <c r="AL1963" s="15"/>
      <c r="AM1963" s="15"/>
      <c r="AN1963" s="15"/>
      <c r="AO1963" s="15"/>
      <c r="AP1963" s="15"/>
      <c r="AQ1963" s="15"/>
      <c r="AR1963" s="15"/>
      <c r="AS1963" s="15"/>
      <c r="AT1963" s="15"/>
      <c r="AU1963" s="15"/>
    </row>
    <row r="1964" ht="24.0" customHeight="1">
      <c r="A1964" s="45">
        <v>3388.0</v>
      </c>
      <c r="B1964" s="57"/>
      <c r="C1964" s="57"/>
      <c r="D1964" s="88" t="str">
        <f t="array" ref="D1964">IFERROR(
  LOOKUP(2, 1/((TRIM(IMS!$E$8:$E$2574)=TRIM(IMS!$E1964))*(IMS!$C$8:$C$2574&lt;IMS!$C1964)),
         IMS!$C$8:$C$2574),
"")</f>
        <v/>
      </c>
      <c r="E1964" s="57"/>
      <c r="F1964" s="57"/>
      <c r="G1964" s="77" t="str">
        <f t="shared" si="901"/>
        <v/>
      </c>
      <c r="H1964" s="78" t="str">
        <f t="shared" si="902"/>
        <v/>
      </c>
      <c r="I1964" s="79"/>
      <c r="J1964" s="80" t="str">
        <f t="shared" si="903"/>
        <v>#NAME?</v>
      </c>
      <c r="K1964" s="58"/>
      <c r="L1964" s="58"/>
      <c r="M1964" s="57"/>
      <c r="N1964" s="57"/>
      <c r="O1964" s="58"/>
      <c r="P1964" s="82"/>
      <c r="Q1964" s="81"/>
      <c r="R1964" s="81"/>
      <c r="S1964" s="57"/>
      <c r="T1964" s="82"/>
      <c r="U1964" s="82"/>
      <c r="V1964" s="57"/>
      <c r="W1964" s="57"/>
      <c r="X1964" s="57" t="str">
        <f t="shared" si="917"/>
        <v/>
      </c>
      <c r="Y1964" s="58" t="str">
        <f t="shared" ref="Y1964:AC1964" si="1804">TRIM(SUBSTITUTE(SUBSTITUTE(OFFSET($Q1964,0,COLUMN()-COLUMN($AL$1)),CHAR(160)," "),_xludf.UNICHAR(8239)," "))</f>
        <v>#NAME?</v>
      </c>
      <c r="Z1964" s="58" t="str">
        <f t="shared" si="1804"/>
        <v>#NAME?</v>
      </c>
      <c r="AA1964" s="58" t="str">
        <f t="shared" si="1804"/>
        <v>#NAME?</v>
      </c>
      <c r="AB1964" s="58" t="str">
        <f t="shared" si="1804"/>
        <v>#NAME?</v>
      </c>
      <c r="AC1964" s="58" t="str">
        <f t="shared" si="1804"/>
        <v>#NAME?</v>
      </c>
      <c r="AD1964" s="57">
        <f t="shared" si="906"/>
        <v>0</v>
      </c>
      <c r="AE1964" s="57" t="str">
        <f t="shared" si="907"/>
        <v/>
      </c>
      <c r="AF1964" s="57">
        <f t="shared" si="908"/>
        <v>0</v>
      </c>
      <c r="AG1964" s="59">
        <f t="shared" si="909"/>
        <v>0</v>
      </c>
      <c r="AH1964" s="15"/>
      <c r="AI1964" s="15"/>
      <c r="AJ1964" s="15"/>
      <c r="AK1964" s="15"/>
      <c r="AL1964" s="15"/>
      <c r="AM1964" s="15"/>
      <c r="AN1964" s="15"/>
      <c r="AO1964" s="15"/>
      <c r="AP1964" s="15"/>
      <c r="AQ1964" s="15"/>
      <c r="AR1964" s="15"/>
      <c r="AS1964" s="15"/>
      <c r="AT1964" s="15"/>
      <c r="AU1964" s="15"/>
    </row>
    <row r="1965" ht="24.0" customHeight="1">
      <c r="A1965" s="45">
        <v>3389.0</v>
      </c>
      <c r="B1965" s="57"/>
      <c r="C1965" s="57"/>
      <c r="D1965" s="88" t="str">
        <f t="array" ref="D1965">IFERROR(
  LOOKUP(2, 1/((TRIM(IMS!$E$8:$E$2574)=TRIM(IMS!$E1965))*(IMS!$C$8:$C$2574&lt;IMS!$C1965)),
         IMS!$C$8:$C$2574),
"")</f>
        <v/>
      </c>
      <c r="E1965" s="57"/>
      <c r="F1965" s="57"/>
      <c r="G1965" s="77" t="str">
        <f t="shared" si="901"/>
        <v/>
      </c>
      <c r="H1965" s="78" t="str">
        <f t="shared" si="902"/>
        <v/>
      </c>
      <c r="I1965" s="79"/>
      <c r="J1965" s="80" t="str">
        <f t="shared" si="903"/>
        <v>#NAME?</v>
      </c>
      <c r="K1965" s="58"/>
      <c r="L1965" s="58"/>
      <c r="M1965" s="57"/>
      <c r="N1965" s="57"/>
      <c r="O1965" s="58"/>
      <c r="P1965" s="82"/>
      <c r="Q1965" s="81"/>
      <c r="R1965" s="81"/>
      <c r="S1965" s="57"/>
      <c r="T1965" s="82"/>
      <c r="U1965" s="82"/>
      <c r="V1965" s="57"/>
      <c r="W1965" s="57"/>
      <c r="X1965" s="57" t="str">
        <f t="shared" si="917"/>
        <v/>
      </c>
      <c r="Y1965" s="58" t="str">
        <f t="shared" ref="Y1965:AC1965" si="1805">TRIM(SUBSTITUTE(SUBSTITUTE(OFFSET($Q1965,0,COLUMN()-COLUMN($AL$1)),CHAR(160)," "),_xludf.UNICHAR(8239)," "))</f>
        <v>#NAME?</v>
      </c>
      <c r="Z1965" s="58" t="str">
        <f t="shared" si="1805"/>
        <v>#NAME?</v>
      </c>
      <c r="AA1965" s="58" t="str">
        <f t="shared" si="1805"/>
        <v>#NAME?</v>
      </c>
      <c r="AB1965" s="58" t="str">
        <f t="shared" si="1805"/>
        <v>#NAME?</v>
      </c>
      <c r="AC1965" s="58" t="str">
        <f t="shared" si="1805"/>
        <v>#NAME?</v>
      </c>
      <c r="AD1965" s="57">
        <f t="shared" si="906"/>
        <v>0</v>
      </c>
      <c r="AE1965" s="57" t="str">
        <f t="shared" si="907"/>
        <v/>
      </c>
      <c r="AF1965" s="57">
        <f t="shared" si="908"/>
        <v>0</v>
      </c>
      <c r="AG1965" s="59">
        <f t="shared" si="909"/>
        <v>0</v>
      </c>
      <c r="AH1965" s="15"/>
      <c r="AI1965" s="15"/>
      <c r="AJ1965" s="15"/>
      <c r="AK1965" s="15"/>
      <c r="AL1965" s="15"/>
      <c r="AM1965" s="15"/>
      <c r="AN1965" s="15"/>
      <c r="AO1965" s="15"/>
      <c r="AP1965" s="15"/>
      <c r="AQ1965" s="15"/>
      <c r="AR1965" s="15"/>
      <c r="AS1965" s="15"/>
      <c r="AT1965" s="15"/>
      <c r="AU1965" s="15"/>
    </row>
    <row r="1966" ht="24.0" customHeight="1">
      <c r="A1966" s="45">
        <v>3390.0</v>
      </c>
      <c r="B1966" s="57"/>
      <c r="C1966" s="57"/>
      <c r="D1966" s="88" t="str">
        <f t="array" ref="D1966">IFERROR(
  LOOKUP(2, 1/((TRIM(IMS!$E$8:$E$2574)=TRIM(IMS!$E1966))*(IMS!$C$8:$C$2574&lt;IMS!$C1966)),
         IMS!$C$8:$C$2574),
"")</f>
        <v/>
      </c>
      <c r="E1966" s="57"/>
      <c r="F1966" s="57"/>
      <c r="G1966" s="77" t="str">
        <f t="shared" si="901"/>
        <v/>
      </c>
      <c r="H1966" s="78" t="str">
        <f t="shared" si="902"/>
        <v/>
      </c>
      <c r="I1966" s="79"/>
      <c r="J1966" s="80" t="str">
        <f t="shared" si="903"/>
        <v>#NAME?</v>
      </c>
      <c r="K1966" s="58"/>
      <c r="L1966" s="58"/>
      <c r="M1966" s="57"/>
      <c r="N1966" s="57"/>
      <c r="O1966" s="58"/>
      <c r="P1966" s="82"/>
      <c r="Q1966" s="81"/>
      <c r="R1966" s="81"/>
      <c r="S1966" s="57"/>
      <c r="T1966" s="82"/>
      <c r="U1966" s="82"/>
      <c r="V1966" s="57"/>
      <c r="W1966" s="57"/>
      <c r="X1966" s="57" t="str">
        <f t="shared" si="917"/>
        <v/>
      </c>
      <c r="Y1966" s="58" t="str">
        <f t="shared" ref="Y1966:AC1966" si="1806">TRIM(SUBSTITUTE(SUBSTITUTE(OFFSET($Q1966,0,COLUMN()-COLUMN($AL$1)),CHAR(160)," "),_xludf.UNICHAR(8239)," "))</f>
        <v>#NAME?</v>
      </c>
      <c r="Z1966" s="58" t="str">
        <f t="shared" si="1806"/>
        <v>#NAME?</v>
      </c>
      <c r="AA1966" s="58" t="str">
        <f t="shared" si="1806"/>
        <v>#NAME?</v>
      </c>
      <c r="AB1966" s="58" t="str">
        <f t="shared" si="1806"/>
        <v>#NAME?</v>
      </c>
      <c r="AC1966" s="58" t="str">
        <f t="shared" si="1806"/>
        <v>#NAME?</v>
      </c>
      <c r="AD1966" s="57">
        <f t="shared" si="906"/>
        <v>0</v>
      </c>
      <c r="AE1966" s="57" t="str">
        <f t="shared" si="907"/>
        <v/>
      </c>
      <c r="AF1966" s="57">
        <f t="shared" si="908"/>
        <v>0</v>
      </c>
      <c r="AG1966" s="59">
        <f t="shared" si="909"/>
        <v>0</v>
      </c>
      <c r="AH1966" s="15"/>
      <c r="AI1966" s="15"/>
      <c r="AJ1966" s="15"/>
      <c r="AK1966" s="15"/>
      <c r="AL1966" s="15"/>
      <c r="AM1966" s="15"/>
      <c r="AN1966" s="15"/>
      <c r="AO1966" s="15"/>
      <c r="AP1966" s="15"/>
      <c r="AQ1966" s="15"/>
      <c r="AR1966" s="15"/>
      <c r="AS1966" s="15"/>
      <c r="AT1966" s="15"/>
      <c r="AU1966" s="15"/>
    </row>
    <row r="1967" ht="24.0" customHeight="1">
      <c r="A1967" s="45">
        <v>3391.0</v>
      </c>
      <c r="B1967" s="57"/>
      <c r="C1967" s="57"/>
      <c r="D1967" s="88" t="str">
        <f t="array" ref="D1967">IFERROR(
  LOOKUP(2, 1/((TRIM(IMS!$E$8:$E$2574)=TRIM(IMS!$E1967))*(IMS!$C$8:$C$2574&lt;IMS!$C1967)),
         IMS!$C$8:$C$2574),
"")</f>
        <v/>
      </c>
      <c r="E1967" s="57"/>
      <c r="F1967" s="57"/>
      <c r="G1967" s="77" t="str">
        <f t="shared" si="901"/>
        <v/>
      </c>
      <c r="H1967" s="78" t="str">
        <f t="shared" si="902"/>
        <v/>
      </c>
      <c r="I1967" s="79"/>
      <c r="J1967" s="80" t="str">
        <f t="shared" si="903"/>
        <v>#NAME?</v>
      </c>
      <c r="K1967" s="58"/>
      <c r="L1967" s="58"/>
      <c r="M1967" s="57"/>
      <c r="N1967" s="57"/>
      <c r="O1967" s="58"/>
      <c r="P1967" s="82"/>
      <c r="Q1967" s="81"/>
      <c r="R1967" s="81"/>
      <c r="S1967" s="57"/>
      <c r="T1967" s="82"/>
      <c r="U1967" s="82"/>
      <c r="V1967" s="57"/>
      <c r="W1967" s="57"/>
      <c r="X1967" s="57" t="str">
        <f t="shared" si="917"/>
        <v/>
      </c>
      <c r="Y1967" s="58" t="str">
        <f t="shared" ref="Y1967:AC1967" si="1807">TRIM(SUBSTITUTE(SUBSTITUTE(OFFSET($Q1967,0,COLUMN()-COLUMN($AL$1)),CHAR(160)," "),_xludf.UNICHAR(8239)," "))</f>
        <v>#NAME?</v>
      </c>
      <c r="Z1967" s="58" t="str">
        <f t="shared" si="1807"/>
        <v>#NAME?</v>
      </c>
      <c r="AA1967" s="58" t="str">
        <f t="shared" si="1807"/>
        <v>#NAME?</v>
      </c>
      <c r="AB1967" s="58" t="str">
        <f t="shared" si="1807"/>
        <v>#NAME?</v>
      </c>
      <c r="AC1967" s="58" t="str">
        <f t="shared" si="1807"/>
        <v>#NAME?</v>
      </c>
      <c r="AD1967" s="57">
        <f t="shared" si="906"/>
        <v>0</v>
      </c>
      <c r="AE1967" s="57" t="str">
        <f t="shared" si="907"/>
        <v/>
      </c>
      <c r="AF1967" s="57">
        <f t="shared" si="908"/>
        <v>0</v>
      </c>
      <c r="AG1967" s="59">
        <f t="shared" si="909"/>
        <v>0</v>
      </c>
      <c r="AH1967" s="15"/>
      <c r="AI1967" s="15"/>
      <c r="AJ1967" s="15"/>
      <c r="AK1967" s="15"/>
      <c r="AL1967" s="15"/>
      <c r="AM1967" s="15"/>
      <c r="AN1967" s="15"/>
      <c r="AO1967" s="15"/>
      <c r="AP1967" s="15"/>
      <c r="AQ1967" s="15"/>
      <c r="AR1967" s="15"/>
      <c r="AS1967" s="15"/>
      <c r="AT1967" s="15"/>
      <c r="AU1967" s="15"/>
    </row>
    <row r="1968" ht="24.0" customHeight="1">
      <c r="A1968" s="45">
        <v>3392.0</v>
      </c>
      <c r="B1968" s="57"/>
      <c r="C1968" s="57"/>
      <c r="D1968" s="88" t="str">
        <f t="array" ref="D1968">IFERROR(
  LOOKUP(2, 1/((TRIM(IMS!$E$8:$E$2574)=TRIM(IMS!$E1968))*(IMS!$C$8:$C$2574&lt;IMS!$C1968)),
         IMS!$C$8:$C$2574),
"")</f>
        <v/>
      </c>
      <c r="E1968" s="57"/>
      <c r="F1968" s="57"/>
      <c r="G1968" s="77" t="str">
        <f t="shared" si="901"/>
        <v/>
      </c>
      <c r="H1968" s="78" t="str">
        <f t="shared" si="902"/>
        <v/>
      </c>
      <c r="I1968" s="79"/>
      <c r="J1968" s="80" t="str">
        <f t="shared" si="903"/>
        <v>#NAME?</v>
      </c>
      <c r="K1968" s="58"/>
      <c r="L1968" s="58"/>
      <c r="M1968" s="57"/>
      <c r="N1968" s="57"/>
      <c r="O1968" s="58"/>
      <c r="P1968" s="82"/>
      <c r="Q1968" s="81"/>
      <c r="R1968" s="81"/>
      <c r="S1968" s="57"/>
      <c r="T1968" s="82"/>
      <c r="U1968" s="82"/>
      <c r="V1968" s="57"/>
      <c r="W1968" s="57"/>
      <c r="X1968" s="57" t="str">
        <f t="shared" si="917"/>
        <v/>
      </c>
      <c r="Y1968" s="58" t="str">
        <f t="shared" ref="Y1968:AC1968" si="1808">TRIM(SUBSTITUTE(SUBSTITUTE(OFFSET($Q1968,0,COLUMN()-COLUMN($AL$1)),CHAR(160)," "),_xludf.UNICHAR(8239)," "))</f>
        <v>#NAME?</v>
      </c>
      <c r="Z1968" s="58" t="str">
        <f t="shared" si="1808"/>
        <v>#NAME?</v>
      </c>
      <c r="AA1968" s="58" t="str">
        <f t="shared" si="1808"/>
        <v>#NAME?</v>
      </c>
      <c r="AB1968" s="58" t="str">
        <f t="shared" si="1808"/>
        <v>#NAME?</v>
      </c>
      <c r="AC1968" s="58" t="str">
        <f t="shared" si="1808"/>
        <v>#NAME?</v>
      </c>
      <c r="AD1968" s="57">
        <f t="shared" si="906"/>
        <v>0</v>
      </c>
      <c r="AE1968" s="57" t="str">
        <f t="shared" si="907"/>
        <v/>
      </c>
      <c r="AF1968" s="57">
        <f t="shared" si="908"/>
        <v>0</v>
      </c>
      <c r="AG1968" s="59">
        <f t="shared" si="909"/>
        <v>0</v>
      </c>
      <c r="AH1968" s="15"/>
      <c r="AI1968" s="15"/>
      <c r="AJ1968" s="15"/>
      <c r="AK1968" s="15"/>
      <c r="AL1968" s="15"/>
      <c r="AM1968" s="15"/>
      <c r="AN1968" s="15"/>
      <c r="AO1968" s="15"/>
      <c r="AP1968" s="15"/>
      <c r="AQ1968" s="15"/>
      <c r="AR1968" s="15"/>
      <c r="AS1968" s="15"/>
      <c r="AT1968" s="15"/>
      <c r="AU1968" s="15"/>
    </row>
    <row r="1969" ht="24.0" customHeight="1">
      <c r="A1969" s="45">
        <v>3393.0</v>
      </c>
      <c r="B1969" s="57"/>
      <c r="C1969" s="57"/>
      <c r="D1969" s="88" t="str">
        <f t="array" ref="D1969">IFERROR(
  LOOKUP(2, 1/((TRIM(IMS!$E$8:$E$2574)=TRIM(IMS!$E1969))*(IMS!$C$8:$C$2574&lt;IMS!$C1969)),
         IMS!$C$8:$C$2574),
"")</f>
        <v/>
      </c>
      <c r="E1969" s="57"/>
      <c r="F1969" s="57"/>
      <c r="G1969" s="77" t="str">
        <f t="shared" si="901"/>
        <v/>
      </c>
      <c r="H1969" s="78" t="str">
        <f t="shared" si="902"/>
        <v/>
      </c>
      <c r="I1969" s="79"/>
      <c r="J1969" s="80" t="str">
        <f t="shared" si="903"/>
        <v>#NAME?</v>
      </c>
      <c r="K1969" s="58"/>
      <c r="L1969" s="58"/>
      <c r="M1969" s="57"/>
      <c r="N1969" s="57"/>
      <c r="O1969" s="58"/>
      <c r="P1969" s="82"/>
      <c r="Q1969" s="81"/>
      <c r="R1969" s="81"/>
      <c r="S1969" s="57"/>
      <c r="T1969" s="82"/>
      <c r="U1969" s="82"/>
      <c r="V1969" s="57"/>
      <c r="W1969" s="57"/>
      <c r="X1969" s="57" t="str">
        <f t="shared" si="917"/>
        <v/>
      </c>
      <c r="Y1969" s="58" t="str">
        <f t="shared" ref="Y1969:AC1969" si="1809">TRIM(SUBSTITUTE(SUBSTITUTE(OFFSET($Q1969,0,COLUMN()-COLUMN($AL$1)),CHAR(160)," "),_xludf.UNICHAR(8239)," "))</f>
        <v>#NAME?</v>
      </c>
      <c r="Z1969" s="58" t="str">
        <f t="shared" si="1809"/>
        <v>#NAME?</v>
      </c>
      <c r="AA1969" s="58" t="str">
        <f t="shared" si="1809"/>
        <v>#NAME?</v>
      </c>
      <c r="AB1969" s="58" t="str">
        <f t="shared" si="1809"/>
        <v>#NAME?</v>
      </c>
      <c r="AC1969" s="58" t="str">
        <f t="shared" si="1809"/>
        <v>#NAME?</v>
      </c>
      <c r="AD1969" s="57">
        <f t="shared" si="906"/>
        <v>0</v>
      </c>
      <c r="AE1969" s="57" t="str">
        <f t="shared" si="907"/>
        <v/>
      </c>
      <c r="AF1969" s="57">
        <f t="shared" si="908"/>
        <v>0</v>
      </c>
      <c r="AG1969" s="59">
        <f t="shared" si="909"/>
        <v>0</v>
      </c>
      <c r="AH1969" s="15"/>
      <c r="AI1969" s="15"/>
      <c r="AJ1969" s="15"/>
      <c r="AK1969" s="15"/>
      <c r="AL1969" s="15"/>
      <c r="AM1969" s="15"/>
      <c r="AN1969" s="15"/>
      <c r="AO1969" s="15"/>
      <c r="AP1969" s="15"/>
      <c r="AQ1969" s="15"/>
      <c r="AR1969" s="15"/>
      <c r="AS1969" s="15"/>
      <c r="AT1969" s="15"/>
      <c r="AU1969" s="15"/>
    </row>
    <row r="1970" ht="24.0" customHeight="1">
      <c r="A1970" s="45">
        <v>3394.0</v>
      </c>
      <c r="B1970" s="57"/>
      <c r="C1970" s="57"/>
      <c r="D1970" s="88" t="str">
        <f t="array" ref="D1970">IFERROR(
  LOOKUP(2, 1/((TRIM(IMS!$E$8:$E$2574)=TRIM(IMS!$E1970))*(IMS!$C$8:$C$2574&lt;IMS!$C1970)),
         IMS!$C$8:$C$2574),
"")</f>
        <v/>
      </c>
      <c r="E1970" s="57"/>
      <c r="F1970" s="57"/>
      <c r="G1970" s="77" t="str">
        <f t="shared" si="901"/>
        <v/>
      </c>
      <c r="H1970" s="78" t="str">
        <f t="shared" si="902"/>
        <v/>
      </c>
      <c r="I1970" s="79"/>
      <c r="J1970" s="80" t="str">
        <f t="shared" si="903"/>
        <v>#NAME?</v>
      </c>
      <c r="K1970" s="58"/>
      <c r="L1970" s="58"/>
      <c r="M1970" s="57"/>
      <c r="N1970" s="57"/>
      <c r="O1970" s="58"/>
      <c r="P1970" s="82"/>
      <c r="Q1970" s="81"/>
      <c r="R1970" s="81"/>
      <c r="S1970" s="57"/>
      <c r="T1970" s="82"/>
      <c r="U1970" s="82"/>
      <c r="V1970" s="57"/>
      <c r="W1970" s="57"/>
      <c r="X1970" s="57" t="str">
        <f t="shared" si="917"/>
        <v/>
      </c>
      <c r="Y1970" s="58" t="str">
        <f t="shared" ref="Y1970:AC1970" si="1810">TRIM(SUBSTITUTE(SUBSTITUTE(OFFSET($Q1970,0,COLUMN()-COLUMN($AL$1)),CHAR(160)," "),_xludf.UNICHAR(8239)," "))</f>
        <v>#NAME?</v>
      </c>
      <c r="Z1970" s="58" t="str">
        <f t="shared" si="1810"/>
        <v>#NAME?</v>
      </c>
      <c r="AA1970" s="58" t="str">
        <f t="shared" si="1810"/>
        <v>#NAME?</v>
      </c>
      <c r="AB1970" s="58" t="str">
        <f t="shared" si="1810"/>
        <v>#NAME?</v>
      </c>
      <c r="AC1970" s="58" t="str">
        <f t="shared" si="1810"/>
        <v>#NAME?</v>
      </c>
      <c r="AD1970" s="57">
        <f t="shared" si="906"/>
        <v>0</v>
      </c>
      <c r="AE1970" s="57" t="str">
        <f t="shared" si="907"/>
        <v/>
      </c>
      <c r="AF1970" s="57">
        <f t="shared" si="908"/>
        <v>0</v>
      </c>
      <c r="AG1970" s="59">
        <f t="shared" si="909"/>
        <v>0</v>
      </c>
      <c r="AH1970" s="15"/>
      <c r="AI1970" s="15"/>
      <c r="AJ1970" s="15"/>
      <c r="AK1970" s="15"/>
      <c r="AL1970" s="15"/>
      <c r="AM1970" s="15"/>
      <c r="AN1970" s="15"/>
      <c r="AO1970" s="15"/>
      <c r="AP1970" s="15"/>
      <c r="AQ1970" s="15"/>
      <c r="AR1970" s="15"/>
      <c r="AS1970" s="15"/>
      <c r="AT1970" s="15"/>
      <c r="AU1970" s="15"/>
    </row>
    <row r="1971" ht="24.0" customHeight="1">
      <c r="A1971" s="45">
        <v>3395.0</v>
      </c>
      <c r="B1971" s="57"/>
      <c r="C1971" s="57"/>
      <c r="D1971" s="88" t="str">
        <f t="array" ref="D1971">IFERROR(
  LOOKUP(2, 1/((TRIM(IMS!$E$8:$E$2574)=TRIM(IMS!$E1971))*(IMS!$C$8:$C$2574&lt;IMS!$C1971)),
         IMS!$C$8:$C$2574),
"")</f>
        <v/>
      </c>
      <c r="E1971" s="57"/>
      <c r="F1971" s="57"/>
      <c r="G1971" s="77" t="str">
        <f t="shared" si="901"/>
        <v/>
      </c>
      <c r="H1971" s="78" t="str">
        <f t="shared" si="902"/>
        <v/>
      </c>
      <c r="I1971" s="79"/>
      <c r="J1971" s="80" t="str">
        <f t="shared" si="903"/>
        <v>#NAME?</v>
      </c>
      <c r="K1971" s="58"/>
      <c r="L1971" s="58"/>
      <c r="M1971" s="57"/>
      <c r="N1971" s="57"/>
      <c r="O1971" s="58"/>
      <c r="P1971" s="82"/>
      <c r="Q1971" s="81"/>
      <c r="R1971" s="81"/>
      <c r="S1971" s="57"/>
      <c r="T1971" s="82"/>
      <c r="U1971" s="82"/>
      <c r="V1971" s="57"/>
      <c r="W1971" s="57"/>
      <c r="X1971" s="57" t="str">
        <f t="shared" si="917"/>
        <v/>
      </c>
      <c r="Y1971" s="58" t="str">
        <f t="shared" ref="Y1971:AC1971" si="1811">TRIM(SUBSTITUTE(SUBSTITUTE(OFFSET($Q1971,0,COLUMN()-COLUMN($AL$1)),CHAR(160)," "),_xludf.UNICHAR(8239)," "))</f>
        <v>#NAME?</v>
      </c>
      <c r="Z1971" s="58" t="str">
        <f t="shared" si="1811"/>
        <v>#NAME?</v>
      </c>
      <c r="AA1971" s="58" t="str">
        <f t="shared" si="1811"/>
        <v>#NAME?</v>
      </c>
      <c r="AB1971" s="58" t="str">
        <f t="shared" si="1811"/>
        <v>#NAME?</v>
      </c>
      <c r="AC1971" s="58" t="str">
        <f t="shared" si="1811"/>
        <v>#NAME?</v>
      </c>
      <c r="AD1971" s="57">
        <f t="shared" si="906"/>
        <v>0</v>
      </c>
      <c r="AE1971" s="57" t="str">
        <f t="shared" si="907"/>
        <v/>
      </c>
      <c r="AF1971" s="57">
        <f t="shared" si="908"/>
        <v>0</v>
      </c>
      <c r="AG1971" s="59">
        <f t="shared" si="909"/>
        <v>0</v>
      </c>
      <c r="AH1971" s="15"/>
      <c r="AI1971" s="15"/>
      <c r="AJ1971" s="15"/>
      <c r="AK1971" s="15"/>
      <c r="AL1971" s="15"/>
      <c r="AM1971" s="15"/>
      <c r="AN1971" s="15"/>
      <c r="AO1971" s="15"/>
      <c r="AP1971" s="15"/>
      <c r="AQ1971" s="15"/>
      <c r="AR1971" s="15"/>
      <c r="AS1971" s="15"/>
      <c r="AT1971" s="15"/>
      <c r="AU1971" s="15"/>
    </row>
    <row r="1972" ht="24.0" customHeight="1">
      <c r="A1972" s="45">
        <v>3396.0</v>
      </c>
      <c r="B1972" s="57"/>
      <c r="C1972" s="57"/>
      <c r="D1972" s="88" t="str">
        <f t="array" ref="D1972">IFERROR(
  LOOKUP(2, 1/((TRIM(IMS!$E$8:$E$2574)=TRIM(IMS!$E1972))*(IMS!$C$8:$C$2574&lt;IMS!$C1972)),
         IMS!$C$8:$C$2574),
"")</f>
        <v/>
      </c>
      <c r="E1972" s="57"/>
      <c r="F1972" s="57"/>
      <c r="G1972" s="77" t="str">
        <f t="shared" si="901"/>
        <v/>
      </c>
      <c r="H1972" s="78" t="str">
        <f t="shared" si="902"/>
        <v/>
      </c>
      <c r="I1972" s="79"/>
      <c r="J1972" s="80" t="str">
        <f t="shared" si="903"/>
        <v>#NAME?</v>
      </c>
      <c r="K1972" s="58"/>
      <c r="L1972" s="58"/>
      <c r="M1972" s="57"/>
      <c r="N1972" s="57"/>
      <c r="O1972" s="58"/>
      <c r="P1972" s="82"/>
      <c r="Q1972" s="81"/>
      <c r="R1972" s="81"/>
      <c r="S1972" s="57"/>
      <c r="T1972" s="82"/>
      <c r="U1972" s="82"/>
      <c r="V1972" s="57"/>
      <c r="W1972" s="57"/>
      <c r="X1972" s="57" t="str">
        <f t="shared" si="917"/>
        <v/>
      </c>
      <c r="Y1972" s="58" t="str">
        <f t="shared" ref="Y1972:AC1972" si="1812">TRIM(SUBSTITUTE(SUBSTITUTE(OFFSET($Q1972,0,COLUMN()-COLUMN($AL$1)),CHAR(160)," "),_xludf.UNICHAR(8239)," "))</f>
        <v>#NAME?</v>
      </c>
      <c r="Z1972" s="58" t="str">
        <f t="shared" si="1812"/>
        <v>#NAME?</v>
      </c>
      <c r="AA1972" s="58" t="str">
        <f t="shared" si="1812"/>
        <v>#NAME?</v>
      </c>
      <c r="AB1972" s="58" t="str">
        <f t="shared" si="1812"/>
        <v>#NAME?</v>
      </c>
      <c r="AC1972" s="58" t="str">
        <f t="shared" si="1812"/>
        <v>#NAME?</v>
      </c>
      <c r="AD1972" s="57">
        <f t="shared" si="906"/>
        <v>0</v>
      </c>
      <c r="AE1972" s="57" t="str">
        <f t="shared" si="907"/>
        <v/>
      </c>
      <c r="AF1972" s="57">
        <f t="shared" si="908"/>
        <v>0</v>
      </c>
      <c r="AG1972" s="59">
        <f t="shared" si="909"/>
        <v>0</v>
      </c>
      <c r="AH1972" s="15"/>
      <c r="AI1972" s="15"/>
      <c r="AJ1972" s="15"/>
      <c r="AK1972" s="15"/>
      <c r="AL1972" s="15"/>
      <c r="AM1972" s="15"/>
      <c r="AN1972" s="15"/>
      <c r="AO1972" s="15"/>
      <c r="AP1972" s="15"/>
      <c r="AQ1972" s="15"/>
      <c r="AR1972" s="15"/>
      <c r="AS1972" s="15"/>
      <c r="AT1972" s="15"/>
      <c r="AU1972" s="15"/>
    </row>
    <row r="1973" ht="24.0" customHeight="1">
      <c r="A1973" s="45">
        <v>3397.0</v>
      </c>
      <c r="B1973" s="57"/>
      <c r="C1973" s="57"/>
      <c r="D1973" s="88" t="str">
        <f t="array" ref="D1973">IFERROR(
  LOOKUP(2, 1/((TRIM(IMS!$E$8:$E$2574)=TRIM(IMS!$E1973))*(IMS!$C$8:$C$2574&lt;IMS!$C1973)),
         IMS!$C$8:$C$2574),
"")</f>
        <v/>
      </c>
      <c r="E1973" s="57"/>
      <c r="F1973" s="57"/>
      <c r="G1973" s="77" t="str">
        <f t="shared" si="901"/>
        <v/>
      </c>
      <c r="H1973" s="78" t="str">
        <f t="shared" si="902"/>
        <v/>
      </c>
      <c r="I1973" s="79"/>
      <c r="J1973" s="80" t="str">
        <f t="shared" si="903"/>
        <v>#NAME?</v>
      </c>
      <c r="K1973" s="58"/>
      <c r="L1973" s="58"/>
      <c r="M1973" s="57"/>
      <c r="N1973" s="57"/>
      <c r="O1973" s="58"/>
      <c r="P1973" s="82"/>
      <c r="Q1973" s="81"/>
      <c r="R1973" s="81"/>
      <c r="S1973" s="57"/>
      <c r="T1973" s="82"/>
      <c r="U1973" s="82"/>
      <c r="V1973" s="57"/>
      <c r="W1973" s="57"/>
      <c r="X1973" s="57" t="str">
        <f t="shared" si="917"/>
        <v/>
      </c>
      <c r="Y1973" s="58" t="str">
        <f t="shared" ref="Y1973:AC1973" si="1813">TRIM(SUBSTITUTE(SUBSTITUTE(OFFSET($Q1973,0,COLUMN()-COLUMN($AL$1)),CHAR(160)," "),_xludf.UNICHAR(8239)," "))</f>
        <v>#NAME?</v>
      </c>
      <c r="Z1973" s="58" t="str">
        <f t="shared" si="1813"/>
        <v>#NAME?</v>
      </c>
      <c r="AA1973" s="58" t="str">
        <f t="shared" si="1813"/>
        <v>#NAME?</v>
      </c>
      <c r="AB1973" s="58" t="str">
        <f t="shared" si="1813"/>
        <v>#NAME?</v>
      </c>
      <c r="AC1973" s="58" t="str">
        <f t="shared" si="1813"/>
        <v>#NAME?</v>
      </c>
      <c r="AD1973" s="57">
        <f t="shared" si="906"/>
        <v>0</v>
      </c>
      <c r="AE1973" s="57" t="str">
        <f t="shared" si="907"/>
        <v/>
      </c>
      <c r="AF1973" s="57">
        <f t="shared" si="908"/>
        <v>0</v>
      </c>
      <c r="AG1973" s="59">
        <f t="shared" si="909"/>
        <v>0</v>
      </c>
      <c r="AH1973" s="15"/>
      <c r="AI1973" s="15"/>
      <c r="AJ1973" s="15"/>
      <c r="AK1973" s="15"/>
      <c r="AL1973" s="15"/>
      <c r="AM1973" s="15"/>
      <c r="AN1973" s="15"/>
      <c r="AO1973" s="15"/>
      <c r="AP1973" s="15"/>
      <c r="AQ1973" s="15"/>
      <c r="AR1973" s="15"/>
      <c r="AS1973" s="15"/>
      <c r="AT1973" s="15"/>
      <c r="AU1973" s="15"/>
    </row>
    <row r="1974" ht="24.0" customHeight="1">
      <c r="A1974" s="45">
        <v>3398.0</v>
      </c>
      <c r="B1974" s="57"/>
      <c r="C1974" s="57"/>
      <c r="D1974" s="88" t="str">
        <f t="array" ref="D1974">IFERROR(
  LOOKUP(2, 1/((TRIM(IMS!$E$8:$E$2574)=TRIM(IMS!$E1974))*(IMS!$C$8:$C$2574&lt;IMS!$C1974)),
         IMS!$C$8:$C$2574),
"")</f>
        <v/>
      </c>
      <c r="E1974" s="57"/>
      <c r="F1974" s="57"/>
      <c r="G1974" s="77" t="str">
        <f t="shared" si="901"/>
        <v/>
      </c>
      <c r="H1974" s="78" t="str">
        <f t="shared" si="902"/>
        <v/>
      </c>
      <c r="I1974" s="79"/>
      <c r="J1974" s="80" t="str">
        <f t="shared" si="903"/>
        <v>#NAME?</v>
      </c>
      <c r="K1974" s="58"/>
      <c r="L1974" s="58"/>
      <c r="M1974" s="57"/>
      <c r="N1974" s="57"/>
      <c r="O1974" s="58"/>
      <c r="P1974" s="82"/>
      <c r="Q1974" s="81"/>
      <c r="R1974" s="81"/>
      <c r="S1974" s="57"/>
      <c r="T1974" s="82"/>
      <c r="U1974" s="82"/>
      <c r="V1974" s="57"/>
      <c r="W1974" s="57"/>
      <c r="X1974" s="57" t="str">
        <f t="shared" si="917"/>
        <v/>
      </c>
      <c r="Y1974" s="58" t="str">
        <f t="shared" ref="Y1974:AC1974" si="1814">TRIM(SUBSTITUTE(SUBSTITUTE(OFFSET($Q1974,0,COLUMN()-COLUMN($AL$1)),CHAR(160)," "),_xludf.UNICHAR(8239)," "))</f>
        <v>#NAME?</v>
      </c>
      <c r="Z1974" s="58" t="str">
        <f t="shared" si="1814"/>
        <v>#NAME?</v>
      </c>
      <c r="AA1974" s="58" t="str">
        <f t="shared" si="1814"/>
        <v>#NAME?</v>
      </c>
      <c r="AB1974" s="58" t="str">
        <f t="shared" si="1814"/>
        <v>#NAME?</v>
      </c>
      <c r="AC1974" s="58" t="str">
        <f t="shared" si="1814"/>
        <v>#NAME?</v>
      </c>
      <c r="AD1974" s="57">
        <f t="shared" si="906"/>
        <v>0</v>
      </c>
      <c r="AE1974" s="57" t="str">
        <f t="shared" si="907"/>
        <v/>
      </c>
      <c r="AF1974" s="57">
        <f t="shared" si="908"/>
        <v>0</v>
      </c>
      <c r="AG1974" s="59">
        <f t="shared" si="909"/>
        <v>0</v>
      </c>
      <c r="AH1974" s="15"/>
      <c r="AI1974" s="15"/>
      <c r="AJ1974" s="15"/>
      <c r="AK1974" s="15"/>
      <c r="AL1974" s="15"/>
      <c r="AM1974" s="15"/>
      <c r="AN1974" s="15"/>
      <c r="AO1974" s="15"/>
      <c r="AP1974" s="15"/>
      <c r="AQ1974" s="15"/>
      <c r="AR1974" s="15"/>
      <c r="AS1974" s="15"/>
      <c r="AT1974" s="15"/>
      <c r="AU1974" s="15"/>
    </row>
    <row r="1975" ht="24.0" customHeight="1">
      <c r="A1975" s="45">
        <v>3399.0</v>
      </c>
      <c r="B1975" s="57"/>
      <c r="C1975" s="57"/>
      <c r="D1975" s="88" t="str">
        <f t="array" ref="D1975">IFERROR(
  LOOKUP(2, 1/((TRIM(IMS!$E$8:$E$2574)=TRIM(IMS!$E1975))*(IMS!$C$8:$C$2574&lt;IMS!$C1975)),
         IMS!$C$8:$C$2574),
"")</f>
        <v/>
      </c>
      <c r="E1975" s="57"/>
      <c r="F1975" s="57"/>
      <c r="G1975" s="77" t="str">
        <f t="shared" si="901"/>
        <v/>
      </c>
      <c r="H1975" s="78" t="str">
        <f t="shared" si="902"/>
        <v/>
      </c>
      <c r="I1975" s="79"/>
      <c r="J1975" s="80" t="str">
        <f t="shared" si="903"/>
        <v>#NAME?</v>
      </c>
      <c r="K1975" s="58"/>
      <c r="L1975" s="58"/>
      <c r="M1975" s="57"/>
      <c r="N1975" s="57"/>
      <c r="O1975" s="58"/>
      <c r="P1975" s="82"/>
      <c r="Q1975" s="81"/>
      <c r="R1975" s="81"/>
      <c r="S1975" s="57"/>
      <c r="T1975" s="82"/>
      <c r="U1975" s="82"/>
      <c r="V1975" s="57"/>
      <c r="W1975" s="57"/>
      <c r="X1975" s="57" t="str">
        <f t="shared" si="917"/>
        <v/>
      </c>
      <c r="Y1975" s="58" t="str">
        <f t="shared" ref="Y1975:AC1975" si="1815">TRIM(SUBSTITUTE(SUBSTITUTE(OFFSET($Q1975,0,COLUMN()-COLUMN($AL$1)),CHAR(160)," "),_xludf.UNICHAR(8239)," "))</f>
        <v>#NAME?</v>
      </c>
      <c r="Z1975" s="58" t="str">
        <f t="shared" si="1815"/>
        <v>#NAME?</v>
      </c>
      <c r="AA1975" s="58" t="str">
        <f t="shared" si="1815"/>
        <v>#NAME?</v>
      </c>
      <c r="AB1975" s="58" t="str">
        <f t="shared" si="1815"/>
        <v>#NAME?</v>
      </c>
      <c r="AC1975" s="58" t="str">
        <f t="shared" si="1815"/>
        <v>#NAME?</v>
      </c>
      <c r="AD1975" s="57">
        <f t="shared" si="906"/>
        <v>0</v>
      </c>
      <c r="AE1975" s="57" t="str">
        <f t="shared" si="907"/>
        <v/>
      </c>
      <c r="AF1975" s="57">
        <f t="shared" si="908"/>
        <v>0</v>
      </c>
      <c r="AG1975" s="59">
        <f t="shared" si="909"/>
        <v>0</v>
      </c>
      <c r="AH1975" s="15"/>
      <c r="AI1975" s="15"/>
      <c r="AJ1975" s="15"/>
      <c r="AK1975" s="15"/>
      <c r="AL1975" s="15"/>
      <c r="AM1975" s="15"/>
      <c r="AN1975" s="15"/>
      <c r="AO1975" s="15"/>
      <c r="AP1975" s="15"/>
      <c r="AQ1975" s="15"/>
      <c r="AR1975" s="15"/>
      <c r="AS1975" s="15"/>
      <c r="AT1975" s="15"/>
      <c r="AU1975" s="15"/>
    </row>
    <row r="1976" ht="24.0" customHeight="1">
      <c r="A1976" s="45">
        <v>3400.0</v>
      </c>
      <c r="B1976" s="57"/>
      <c r="C1976" s="57"/>
      <c r="D1976" s="88" t="str">
        <f t="array" ref="D1976">IFERROR(
  LOOKUP(2, 1/((TRIM(IMS!$E$8:$E$2574)=TRIM(IMS!$E1976))*(IMS!$C$8:$C$2574&lt;IMS!$C1976)),
         IMS!$C$8:$C$2574),
"")</f>
        <v/>
      </c>
      <c r="E1976" s="57"/>
      <c r="F1976" s="57"/>
      <c r="G1976" s="77" t="str">
        <f t="shared" si="901"/>
        <v/>
      </c>
      <c r="H1976" s="78" t="str">
        <f t="shared" si="902"/>
        <v/>
      </c>
      <c r="I1976" s="79"/>
      <c r="J1976" s="80" t="str">
        <f t="shared" si="903"/>
        <v>#NAME?</v>
      </c>
      <c r="K1976" s="58"/>
      <c r="L1976" s="58"/>
      <c r="M1976" s="57"/>
      <c r="N1976" s="57"/>
      <c r="O1976" s="58"/>
      <c r="P1976" s="82"/>
      <c r="Q1976" s="81"/>
      <c r="R1976" s="81"/>
      <c r="S1976" s="57"/>
      <c r="T1976" s="82"/>
      <c r="U1976" s="82"/>
      <c r="V1976" s="57"/>
      <c r="W1976" s="57"/>
      <c r="X1976" s="57" t="str">
        <f t="shared" si="917"/>
        <v/>
      </c>
      <c r="Y1976" s="58" t="str">
        <f t="shared" ref="Y1976:AC1976" si="1816">TRIM(SUBSTITUTE(SUBSTITUTE(OFFSET($Q1976,0,COLUMN()-COLUMN($AL$1)),CHAR(160)," "),_xludf.UNICHAR(8239)," "))</f>
        <v>#NAME?</v>
      </c>
      <c r="Z1976" s="58" t="str">
        <f t="shared" si="1816"/>
        <v>#NAME?</v>
      </c>
      <c r="AA1976" s="58" t="str">
        <f t="shared" si="1816"/>
        <v>#NAME?</v>
      </c>
      <c r="AB1976" s="58" t="str">
        <f t="shared" si="1816"/>
        <v>#NAME?</v>
      </c>
      <c r="AC1976" s="58" t="str">
        <f t="shared" si="1816"/>
        <v>#NAME?</v>
      </c>
      <c r="AD1976" s="57">
        <f t="shared" si="906"/>
        <v>0</v>
      </c>
      <c r="AE1976" s="57" t="str">
        <f t="shared" si="907"/>
        <v/>
      </c>
      <c r="AF1976" s="57">
        <f t="shared" si="908"/>
        <v>0</v>
      </c>
      <c r="AG1976" s="59">
        <f t="shared" si="909"/>
        <v>0</v>
      </c>
      <c r="AH1976" s="15"/>
      <c r="AI1976" s="15"/>
      <c r="AJ1976" s="15"/>
      <c r="AK1976" s="15"/>
      <c r="AL1976" s="15"/>
      <c r="AM1976" s="15"/>
      <c r="AN1976" s="15"/>
      <c r="AO1976" s="15"/>
      <c r="AP1976" s="15"/>
      <c r="AQ1976" s="15"/>
      <c r="AR1976" s="15"/>
      <c r="AS1976" s="15"/>
      <c r="AT1976" s="15"/>
      <c r="AU1976" s="15"/>
    </row>
    <row r="1977" ht="24.0" customHeight="1">
      <c r="A1977" s="45">
        <v>3401.0</v>
      </c>
      <c r="B1977" s="57"/>
      <c r="C1977" s="57"/>
      <c r="D1977" s="88" t="str">
        <f t="array" ref="D1977">IFERROR(
  LOOKUP(2, 1/((TRIM(IMS!$E$8:$E$2574)=TRIM(IMS!$E1977))*(IMS!$C$8:$C$2574&lt;IMS!$C1977)),
         IMS!$C$8:$C$2574),
"")</f>
        <v/>
      </c>
      <c r="E1977" s="57"/>
      <c r="F1977" s="57"/>
      <c r="G1977" s="77" t="str">
        <f t="shared" si="901"/>
        <v/>
      </c>
      <c r="H1977" s="78" t="str">
        <f t="shared" si="902"/>
        <v/>
      </c>
      <c r="I1977" s="79"/>
      <c r="J1977" s="80" t="str">
        <f t="shared" si="903"/>
        <v>#NAME?</v>
      </c>
      <c r="K1977" s="58"/>
      <c r="L1977" s="58"/>
      <c r="M1977" s="57"/>
      <c r="N1977" s="57"/>
      <c r="O1977" s="58"/>
      <c r="P1977" s="82"/>
      <c r="Q1977" s="81"/>
      <c r="R1977" s="81"/>
      <c r="S1977" s="57"/>
      <c r="T1977" s="82"/>
      <c r="U1977" s="82"/>
      <c r="V1977" s="57"/>
      <c r="W1977" s="57"/>
      <c r="X1977" s="57" t="str">
        <f t="shared" si="917"/>
        <v/>
      </c>
      <c r="Y1977" s="58" t="str">
        <f t="shared" ref="Y1977:AC1977" si="1817">TRIM(SUBSTITUTE(SUBSTITUTE(OFFSET($Q1977,0,COLUMN()-COLUMN($AL$1)),CHAR(160)," "),_xludf.UNICHAR(8239)," "))</f>
        <v>#NAME?</v>
      </c>
      <c r="Z1977" s="58" t="str">
        <f t="shared" si="1817"/>
        <v>#NAME?</v>
      </c>
      <c r="AA1977" s="58" t="str">
        <f t="shared" si="1817"/>
        <v>#NAME?</v>
      </c>
      <c r="AB1977" s="58" t="str">
        <f t="shared" si="1817"/>
        <v>#NAME?</v>
      </c>
      <c r="AC1977" s="58" t="str">
        <f t="shared" si="1817"/>
        <v>#NAME?</v>
      </c>
      <c r="AD1977" s="57">
        <f t="shared" si="906"/>
        <v>0</v>
      </c>
      <c r="AE1977" s="57" t="str">
        <f t="shared" si="907"/>
        <v/>
      </c>
      <c r="AF1977" s="57">
        <f t="shared" si="908"/>
        <v>0</v>
      </c>
      <c r="AG1977" s="59">
        <f t="shared" si="909"/>
        <v>0</v>
      </c>
      <c r="AH1977" s="15"/>
      <c r="AI1977" s="15"/>
      <c r="AJ1977" s="15"/>
      <c r="AK1977" s="15"/>
      <c r="AL1977" s="15"/>
      <c r="AM1977" s="15"/>
      <c r="AN1977" s="15"/>
      <c r="AO1977" s="15"/>
      <c r="AP1977" s="15"/>
      <c r="AQ1977" s="15"/>
      <c r="AR1977" s="15"/>
      <c r="AS1977" s="15"/>
      <c r="AT1977" s="15"/>
      <c r="AU1977" s="15"/>
    </row>
    <row r="1978" ht="24.0" customHeight="1">
      <c r="A1978" s="45">
        <v>3402.0</v>
      </c>
      <c r="B1978" s="57"/>
      <c r="C1978" s="57"/>
      <c r="D1978" s="88" t="str">
        <f t="array" ref="D1978">IFERROR(
  LOOKUP(2, 1/((TRIM(IMS!$E$8:$E$2574)=TRIM(IMS!$E1978))*(IMS!$C$8:$C$2574&lt;IMS!$C1978)),
         IMS!$C$8:$C$2574),
"")</f>
        <v/>
      </c>
      <c r="E1978" s="57"/>
      <c r="F1978" s="57"/>
      <c r="G1978" s="77" t="str">
        <f t="shared" si="901"/>
        <v/>
      </c>
      <c r="H1978" s="78" t="str">
        <f t="shared" si="902"/>
        <v/>
      </c>
      <c r="I1978" s="79"/>
      <c r="J1978" s="80" t="str">
        <f t="shared" si="903"/>
        <v>#NAME?</v>
      </c>
      <c r="K1978" s="58"/>
      <c r="L1978" s="58"/>
      <c r="M1978" s="57"/>
      <c r="N1978" s="57"/>
      <c r="O1978" s="58"/>
      <c r="P1978" s="82"/>
      <c r="Q1978" s="81"/>
      <c r="R1978" s="81"/>
      <c r="S1978" s="57"/>
      <c r="T1978" s="82"/>
      <c r="U1978" s="82"/>
      <c r="V1978" s="57"/>
      <c r="W1978" s="57"/>
      <c r="X1978" s="57" t="str">
        <f t="shared" si="917"/>
        <v/>
      </c>
      <c r="Y1978" s="58" t="str">
        <f t="shared" ref="Y1978:AC1978" si="1818">TRIM(SUBSTITUTE(SUBSTITUTE(OFFSET($Q1978,0,COLUMN()-COLUMN($AL$1)),CHAR(160)," "),_xludf.UNICHAR(8239)," "))</f>
        <v>#NAME?</v>
      </c>
      <c r="Z1978" s="58" t="str">
        <f t="shared" si="1818"/>
        <v>#NAME?</v>
      </c>
      <c r="AA1978" s="58" t="str">
        <f t="shared" si="1818"/>
        <v>#NAME?</v>
      </c>
      <c r="AB1978" s="58" t="str">
        <f t="shared" si="1818"/>
        <v>#NAME?</v>
      </c>
      <c r="AC1978" s="58" t="str">
        <f t="shared" si="1818"/>
        <v>#NAME?</v>
      </c>
      <c r="AD1978" s="57">
        <f t="shared" si="906"/>
        <v>0</v>
      </c>
      <c r="AE1978" s="57" t="str">
        <f t="shared" si="907"/>
        <v/>
      </c>
      <c r="AF1978" s="57">
        <f t="shared" si="908"/>
        <v>0</v>
      </c>
      <c r="AG1978" s="59">
        <f t="shared" si="909"/>
        <v>0</v>
      </c>
      <c r="AH1978" s="15"/>
      <c r="AI1978" s="15"/>
      <c r="AJ1978" s="15"/>
      <c r="AK1978" s="15"/>
      <c r="AL1978" s="15"/>
      <c r="AM1978" s="15"/>
      <c r="AN1978" s="15"/>
      <c r="AO1978" s="15"/>
      <c r="AP1978" s="15"/>
      <c r="AQ1978" s="15"/>
      <c r="AR1978" s="15"/>
      <c r="AS1978" s="15"/>
      <c r="AT1978" s="15"/>
      <c r="AU1978" s="15"/>
    </row>
    <row r="1979" ht="24.0" customHeight="1">
      <c r="A1979" s="45">
        <v>3403.0</v>
      </c>
      <c r="B1979" s="57"/>
      <c r="C1979" s="57"/>
      <c r="D1979" s="88" t="str">
        <f t="array" ref="D1979">IFERROR(
  LOOKUP(2, 1/((TRIM(IMS!$E$8:$E$2574)=TRIM(IMS!$E1979))*(IMS!$C$8:$C$2574&lt;IMS!$C1979)),
         IMS!$C$8:$C$2574),
"")</f>
        <v/>
      </c>
      <c r="E1979" s="57"/>
      <c r="F1979" s="57"/>
      <c r="G1979" s="77" t="str">
        <f t="shared" si="901"/>
        <v/>
      </c>
      <c r="H1979" s="78" t="str">
        <f t="shared" si="902"/>
        <v/>
      </c>
      <c r="I1979" s="79"/>
      <c r="J1979" s="80" t="str">
        <f t="shared" si="903"/>
        <v>#NAME?</v>
      </c>
      <c r="K1979" s="58"/>
      <c r="L1979" s="58"/>
      <c r="M1979" s="57"/>
      <c r="N1979" s="57"/>
      <c r="O1979" s="58"/>
      <c r="P1979" s="82"/>
      <c r="Q1979" s="81"/>
      <c r="R1979" s="81"/>
      <c r="S1979" s="57"/>
      <c r="T1979" s="82"/>
      <c r="U1979" s="82"/>
      <c r="V1979" s="57"/>
      <c r="W1979" s="57"/>
      <c r="X1979" s="57" t="str">
        <f t="shared" si="917"/>
        <v/>
      </c>
      <c r="Y1979" s="58" t="str">
        <f t="shared" ref="Y1979:AC1979" si="1819">TRIM(SUBSTITUTE(SUBSTITUTE(OFFSET($Q1979,0,COLUMN()-COLUMN($AL$1)),CHAR(160)," "),_xludf.UNICHAR(8239)," "))</f>
        <v>#NAME?</v>
      </c>
      <c r="Z1979" s="58" t="str">
        <f t="shared" si="1819"/>
        <v>#NAME?</v>
      </c>
      <c r="AA1979" s="58" t="str">
        <f t="shared" si="1819"/>
        <v>#NAME?</v>
      </c>
      <c r="AB1979" s="58" t="str">
        <f t="shared" si="1819"/>
        <v>#NAME?</v>
      </c>
      <c r="AC1979" s="58" t="str">
        <f t="shared" si="1819"/>
        <v>#NAME?</v>
      </c>
      <c r="AD1979" s="57">
        <f t="shared" si="906"/>
        <v>0</v>
      </c>
      <c r="AE1979" s="57" t="str">
        <f t="shared" si="907"/>
        <v/>
      </c>
      <c r="AF1979" s="57">
        <f t="shared" si="908"/>
        <v>0</v>
      </c>
      <c r="AG1979" s="59">
        <f t="shared" si="909"/>
        <v>0</v>
      </c>
      <c r="AH1979" s="15"/>
      <c r="AI1979" s="15"/>
      <c r="AJ1979" s="15"/>
      <c r="AK1979" s="15"/>
      <c r="AL1979" s="15"/>
      <c r="AM1979" s="15"/>
      <c r="AN1979" s="15"/>
      <c r="AO1979" s="15"/>
      <c r="AP1979" s="15"/>
      <c r="AQ1979" s="15"/>
      <c r="AR1979" s="15"/>
      <c r="AS1979" s="15"/>
      <c r="AT1979" s="15"/>
      <c r="AU1979" s="15"/>
    </row>
    <row r="1980" ht="24.0" customHeight="1">
      <c r="A1980" s="45">
        <v>3404.0</v>
      </c>
      <c r="B1980" s="57"/>
      <c r="C1980" s="57"/>
      <c r="D1980" s="88" t="str">
        <f t="array" ref="D1980">IFERROR(
  LOOKUP(2, 1/((TRIM(IMS!$E$8:$E$2574)=TRIM(IMS!$E1980))*(IMS!$C$8:$C$2574&lt;IMS!$C1980)),
         IMS!$C$8:$C$2574),
"")</f>
        <v/>
      </c>
      <c r="E1980" s="57"/>
      <c r="F1980" s="57"/>
      <c r="G1980" s="77" t="str">
        <f t="shared" si="901"/>
        <v/>
      </c>
      <c r="H1980" s="78" t="str">
        <f t="shared" si="902"/>
        <v/>
      </c>
      <c r="I1980" s="79"/>
      <c r="J1980" s="80" t="str">
        <f t="shared" si="903"/>
        <v>#NAME?</v>
      </c>
      <c r="K1980" s="58"/>
      <c r="L1980" s="58"/>
      <c r="M1980" s="57"/>
      <c r="N1980" s="57"/>
      <c r="O1980" s="58"/>
      <c r="P1980" s="82"/>
      <c r="Q1980" s="81"/>
      <c r="R1980" s="81"/>
      <c r="S1980" s="57"/>
      <c r="T1980" s="82"/>
      <c r="U1980" s="82"/>
      <c r="V1980" s="57"/>
      <c r="W1980" s="57"/>
      <c r="X1980" s="57" t="str">
        <f t="shared" si="917"/>
        <v/>
      </c>
      <c r="Y1980" s="58" t="str">
        <f t="shared" ref="Y1980:AC1980" si="1820">TRIM(SUBSTITUTE(SUBSTITUTE(OFFSET($Q1980,0,COLUMN()-COLUMN($AL$1)),CHAR(160)," "),_xludf.UNICHAR(8239)," "))</f>
        <v>#NAME?</v>
      </c>
      <c r="Z1980" s="58" t="str">
        <f t="shared" si="1820"/>
        <v>#NAME?</v>
      </c>
      <c r="AA1980" s="58" t="str">
        <f t="shared" si="1820"/>
        <v>#NAME?</v>
      </c>
      <c r="AB1980" s="58" t="str">
        <f t="shared" si="1820"/>
        <v>#NAME?</v>
      </c>
      <c r="AC1980" s="58" t="str">
        <f t="shared" si="1820"/>
        <v>#NAME?</v>
      </c>
      <c r="AD1980" s="57">
        <f t="shared" si="906"/>
        <v>0</v>
      </c>
      <c r="AE1980" s="57" t="str">
        <f t="shared" si="907"/>
        <v/>
      </c>
      <c r="AF1980" s="57">
        <f t="shared" si="908"/>
        <v>0</v>
      </c>
      <c r="AG1980" s="59">
        <f t="shared" si="909"/>
        <v>0</v>
      </c>
      <c r="AH1980" s="15"/>
      <c r="AI1980" s="15"/>
      <c r="AJ1980" s="15"/>
      <c r="AK1980" s="15"/>
      <c r="AL1980" s="15"/>
      <c r="AM1980" s="15"/>
      <c r="AN1980" s="15"/>
      <c r="AO1980" s="15"/>
      <c r="AP1980" s="15"/>
      <c r="AQ1980" s="15"/>
      <c r="AR1980" s="15"/>
      <c r="AS1980" s="15"/>
      <c r="AT1980" s="15"/>
      <c r="AU1980" s="15"/>
    </row>
    <row r="1981" ht="24.0" customHeight="1">
      <c r="A1981" s="45">
        <v>3405.0</v>
      </c>
      <c r="B1981" s="57"/>
      <c r="C1981" s="57"/>
      <c r="D1981" s="88" t="str">
        <f t="array" ref="D1981">IFERROR(
  LOOKUP(2, 1/((TRIM(IMS!$E$8:$E$2574)=TRIM(IMS!$E1981))*(IMS!$C$8:$C$2574&lt;IMS!$C1981)),
         IMS!$C$8:$C$2574),
"")</f>
        <v/>
      </c>
      <c r="E1981" s="57"/>
      <c r="F1981" s="57"/>
      <c r="G1981" s="77" t="str">
        <f t="shared" si="901"/>
        <v/>
      </c>
      <c r="H1981" s="78" t="str">
        <f t="shared" si="902"/>
        <v/>
      </c>
      <c r="I1981" s="79"/>
      <c r="J1981" s="80" t="str">
        <f t="shared" si="903"/>
        <v>#NAME?</v>
      </c>
      <c r="K1981" s="58"/>
      <c r="L1981" s="58"/>
      <c r="M1981" s="57"/>
      <c r="N1981" s="57"/>
      <c r="O1981" s="58"/>
      <c r="P1981" s="82"/>
      <c r="Q1981" s="81"/>
      <c r="R1981" s="81"/>
      <c r="S1981" s="57"/>
      <c r="T1981" s="82"/>
      <c r="U1981" s="82"/>
      <c r="V1981" s="57"/>
      <c r="W1981" s="57"/>
      <c r="X1981" s="57" t="str">
        <f t="shared" si="917"/>
        <v/>
      </c>
      <c r="Y1981" s="58" t="str">
        <f t="shared" ref="Y1981:AC1981" si="1821">TRIM(SUBSTITUTE(SUBSTITUTE(OFFSET($Q1981,0,COLUMN()-COLUMN($AL$1)),CHAR(160)," "),_xludf.UNICHAR(8239)," "))</f>
        <v>#NAME?</v>
      </c>
      <c r="Z1981" s="58" t="str">
        <f t="shared" si="1821"/>
        <v>#NAME?</v>
      </c>
      <c r="AA1981" s="58" t="str">
        <f t="shared" si="1821"/>
        <v>#NAME?</v>
      </c>
      <c r="AB1981" s="58" t="str">
        <f t="shared" si="1821"/>
        <v>#NAME?</v>
      </c>
      <c r="AC1981" s="58" t="str">
        <f t="shared" si="1821"/>
        <v>#NAME?</v>
      </c>
      <c r="AD1981" s="57">
        <f t="shared" si="906"/>
        <v>0</v>
      </c>
      <c r="AE1981" s="57" t="str">
        <f t="shared" si="907"/>
        <v/>
      </c>
      <c r="AF1981" s="57">
        <f t="shared" si="908"/>
        <v>0</v>
      </c>
      <c r="AG1981" s="59">
        <f t="shared" si="909"/>
        <v>0</v>
      </c>
      <c r="AH1981" s="15"/>
      <c r="AI1981" s="15"/>
      <c r="AJ1981" s="15"/>
      <c r="AK1981" s="15"/>
      <c r="AL1981" s="15"/>
      <c r="AM1981" s="15"/>
      <c r="AN1981" s="15"/>
      <c r="AO1981" s="15"/>
      <c r="AP1981" s="15"/>
      <c r="AQ1981" s="15"/>
      <c r="AR1981" s="15"/>
      <c r="AS1981" s="15"/>
      <c r="AT1981" s="15"/>
      <c r="AU1981" s="15"/>
    </row>
    <row r="1982" ht="24.0" customHeight="1">
      <c r="A1982" s="45">
        <v>3406.0</v>
      </c>
      <c r="B1982" s="57"/>
      <c r="C1982" s="57"/>
      <c r="D1982" s="88" t="str">
        <f t="array" ref="D1982">IFERROR(
  LOOKUP(2, 1/((TRIM(IMS!$E$8:$E$2574)=TRIM(IMS!$E1982))*(IMS!$C$8:$C$2574&lt;IMS!$C1982)),
         IMS!$C$8:$C$2574),
"")</f>
        <v/>
      </c>
      <c r="E1982" s="57"/>
      <c r="F1982" s="57"/>
      <c r="G1982" s="77" t="str">
        <f t="shared" si="901"/>
        <v/>
      </c>
      <c r="H1982" s="78" t="str">
        <f t="shared" si="902"/>
        <v/>
      </c>
      <c r="I1982" s="79"/>
      <c r="J1982" s="80" t="str">
        <f t="shared" si="903"/>
        <v>#NAME?</v>
      </c>
      <c r="K1982" s="58"/>
      <c r="L1982" s="58"/>
      <c r="M1982" s="57"/>
      <c r="N1982" s="57"/>
      <c r="O1982" s="58"/>
      <c r="P1982" s="82"/>
      <c r="Q1982" s="81"/>
      <c r="R1982" s="81"/>
      <c r="S1982" s="57"/>
      <c r="T1982" s="82"/>
      <c r="U1982" s="82"/>
      <c r="V1982" s="57"/>
      <c r="W1982" s="57"/>
      <c r="X1982" s="57" t="str">
        <f t="shared" si="917"/>
        <v/>
      </c>
      <c r="Y1982" s="58" t="str">
        <f t="shared" ref="Y1982:AC1982" si="1822">TRIM(SUBSTITUTE(SUBSTITUTE(OFFSET($Q1982,0,COLUMN()-COLUMN($AL$1)),CHAR(160)," "),_xludf.UNICHAR(8239)," "))</f>
        <v>#NAME?</v>
      </c>
      <c r="Z1982" s="58" t="str">
        <f t="shared" si="1822"/>
        <v>#NAME?</v>
      </c>
      <c r="AA1982" s="58" t="str">
        <f t="shared" si="1822"/>
        <v>#NAME?</v>
      </c>
      <c r="AB1982" s="58" t="str">
        <f t="shared" si="1822"/>
        <v>#NAME?</v>
      </c>
      <c r="AC1982" s="58" t="str">
        <f t="shared" si="1822"/>
        <v>#NAME?</v>
      </c>
      <c r="AD1982" s="57">
        <f t="shared" si="906"/>
        <v>0</v>
      </c>
      <c r="AE1982" s="57" t="str">
        <f t="shared" si="907"/>
        <v/>
      </c>
      <c r="AF1982" s="57">
        <f t="shared" si="908"/>
        <v>0</v>
      </c>
      <c r="AG1982" s="59">
        <f t="shared" si="909"/>
        <v>0</v>
      </c>
      <c r="AH1982" s="15"/>
      <c r="AI1982" s="15"/>
      <c r="AJ1982" s="15"/>
      <c r="AK1982" s="15"/>
      <c r="AL1982" s="15"/>
      <c r="AM1982" s="15"/>
      <c r="AN1982" s="15"/>
      <c r="AO1982" s="15"/>
      <c r="AP1982" s="15"/>
      <c r="AQ1982" s="15"/>
      <c r="AR1982" s="15"/>
      <c r="AS1982" s="15"/>
      <c r="AT1982" s="15"/>
      <c r="AU1982" s="15"/>
    </row>
    <row r="1983" ht="24.0" customHeight="1">
      <c r="A1983" s="45">
        <v>3407.0</v>
      </c>
      <c r="B1983" s="57"/>
      <c r="C1983" s="57"/>
      <c r="D1983" s="88" t="str">
        <f t="array" ref="D1983">IFERROR(
  LOOKUP(2, 1/((TRIM(IMS!$E$8:$E$2574)=TRIM(IMS!$E1983))*(IMS!$C$8:$C$2574&lt;IMS!$C1983)),
         IMS!$C$8:$C$2574),
"")</f>
        <v/>
      </c>
      <c r="E1983" s="57"/>
      <c r="F1983" s="57"/>
      <c r="G1983" s="77" t="str">
        <f t="shared" si="901"/>
        <v/>
      </c>
      <c r="H1983" s="78" t="str">
        <f t="shared" si="902"/>
        <v/>
      </c>
      <c r="I1983" s="79"/>
      <c r="J1983" s="80" t="str">
        <f t="shared" si="903"/>
        <v>#NAME?</v>
      </c>
      <c r="K1983" s="58"/>
      <c r="L1983" s="58"/>
      <c r="M1983" s="57"/>
      <c r="N1983" s="57"/>
      <c r="O1983" s="58"/>
      <c r="P1983" s="82"/>
      <c r="Q1983" s="81"/>
      <c r="R1983" s="81"/>
      <c r="S1983" s="57"/>
      <c r="T1983" s="82"/>
      <c r="U1983" s="82"/>
      <c r="V1983" s="57"/>
      <c r="W1983" s="57"/>
      <c r="X1983" s="57" t="str">
        <f t="shared" si="917"/>
        <v/>
      </c>
      <c r="Y1983" s="58" t="str">
        <f t="shared" ref="Y1983:AC1983" si="1823">TRIM(SUBSTITUTE(SUBSTITUTE(OFFSET($Q1983,0,COLUMN()-COLUMN($AL$1)),CHAR(160)," "),_xludf.UNICHAR(8239)," "))</f>
        <v>#NAME?</v>
      </c>
      <c r="Z1983" s="58" t="str">
        <f t="shared" si="1823"/>
        <v>#NAME?</v>
      </c>
      <c r="AA1983" s="58" t="str">
        <f t="shared" si="1823"/>
        <v>#NAME?</v>
      </c>
      <c r="AB1983" s="58" t="str">
        <f t="shared" si="1823"/>
        <v>#NAME?</v>
      </c>
      <c r="AC1983" s="58" t="str">
        <f t="shared" si="1823"/>
        <v>#NAME?</v>
      </c>
      <c r="AD1983" s="57">
        <f t="shared" si="906"/>
        <v>0</v>
      </c>
      <c r="AE1983" s="57" t="str">
        <f t="shared" si="907"/>
        <v/>
      </c>
      <c r="AF1983" s="57">
        <f t="shared" si="908"/>
        <v>0</v>
      </c>
      <c r="AG1983" s="59">
        <f t="shared" si="909"/>
        <v>0</v>
      </c>
      <c r="AH1983" s="15"/>
      <c r="AI1983" s="15"/>
      <c r="AJ1983" s="15"/>
      <c r="AK1983" s="15"/>
      <c r="AL1983" s="15"/>
      <c r="AM1983" s="15"/>
      <c r="AN1983" s="15"/>
      <c r="AO1983" s="15"/>
      <c r="AP1983" s="15"/>
      <c r="AQ1983" s="15"/>
      <c r="AR1983" s="15"/>
      <c r="AS1983" s="15"/>
      <c r="AT1983" s="15"/>
      <c r="AU1983" s="15"/>
    </row>
    <row r="1984" ht="24.0" customHeight="1">
      <c r="A1984" s="45">
        <v>3408.0</v>
      </c>
      <c r="B1984" s="57"/>
      <c r="C1984" s="57"/>
      <c r="D1984" s="88" t="str">
        <f t="array" ref="D1984">IFERROR(
  LOOKUP(2, 1/((TRIM(IMS!$E$8:$E$2574)=TRIM(IMS!$E1984))*(IMS!$C$8:$C$2574&lt;IMS!$C1984)),
         IMS!$C$8:$C$2574),
"")</f>
        <v/>
      </c>
      <c r="E1984" s="57"/>
      <c r="F1984" s="57"/>
      <c r="G1984" s="77" t="str">
        <f t="shared" si="901"/>
        <v/>
      </c>
      <c r="H1984" s="78" t="str">
        <f t="shared" si="902"/>
        <v/>
      </c>
      <c r="I1984" s="79"/>
      <c r="J1984" s="80" t="str">
        <f t="shared" si="903"/>
        <v>#NAME?</v>
      </c>
      <c r="K1984" s="58"/>
      <c r="L1984" s="58"/>
      <c r="M1984" s="57"/>
      <c r="N1984" s="57"/>
      <c r="O1984" s="58"/>
      <c r="P1984" s="82"/>
      <c r="Q1984" s="81"/>
      <c r="R1984" s="81"/>
      <c r="S1984" s="57"/>
      <c r="T1984" s="82"/>
      <c r="U1984" s="82"/>
      <c r="V1984" s="57"/>
      <c r="W1984" s="57"/>
      <c r="X1984" s="57" t="str">
        <f t="shared" si="917"/>
        <v/>
      </c>
      <c r="Y1984" s="58" t="str">
        <f t="shared" ref="Y1984:AC1984" si="1824">TRIM(SUBSTITUTE(SUBSTITUTE(OFFSET($Q1984,0,COLUMN()-COLUMN($AL$1)),CHAR(160)," "),_xludf.UNICHAR(8239)," "))</f>
        <v>#NAME?</v>
      </c>
      <c r="Z1984" s="58" t="str">
        <f t="shared" si="1824"/>
        <v>#NAME?</v>
      </c>
      <c r="AA1984" s="58" t="str">
        <f t="shared" si="1824"/>
        <v>#NAME?</v>
      </c>
      <c r="AB1984" s="58" t="str">
        <f t="shared" si="1824"/>
        <v>#NAME?</v>
      </c>
      <c r="AC1984" s="58" t="str">
        <f t="shared" si="1824"/>
        <v>#NAME?</v>
      </c>
      <c r="AD1984" s="57">
        <f t="shared" si="906"/>
        <v>0</v>
      </c>
      <c r="AE1984" s="57" t="str">
        <f t="shared" si="907"/>
        <v/>
      </c>
      <c r="AF1984" s="57">
        <f t="shared" si="908"/>
        <v>0</v>
      </c>
      <c r="AG1984" s="59">
        <f t="shared" si="909"/>
        <v>0</v>
      </c>
      <c r="AH1984" s="15"/>
      <c r="AI1984" s="15"/>
      <c r="AJ1984" s="15"/>
      <c r="AK1984" s="15"/>
      <c r="AL1984" s="15"/>
      <c r="AM1984" s="15"/>
      <c r="AN1984" s="15"/>
      <c r="AO1984" s="15"/>
      <c r="AP1984" s="15"/>
      <c r="AQ1984" s="15"/>
      <c r="AR1984" s="15"/>
      <c r="AS1984" s="15"/>
      <c r="AT1984" s="15"/>
      <c r="AU1984" s="15"/>
    </row>
    <row r="1985" ht="24.0" customHeight="1">
      <c r="A1985" s="45">
        <v>3409.0</v>
      </c>
      <c r="B1985" s="57"/>
      <c r="C1985" s="57"/>
      <c r="D1985" s="88" t="str">
        <f t="array" ref="D1985">IFERROR(
  LOOKUP(2, 1/((TRIM(IMS!$E$8:$E$2574)=TRIM(IMS!$E1985))*(IMS!$C$8:$C$2574&lt;IMS!$C1985)),
         IMS!$C$8:$C$2574),
"")</f>
        <v/>
      </c>
      <c r="E1985" s="57"/>
      <c r="F1985" s="57"/>
      <c r="G1985" s="77" t="str">
        <f t="shared" si="901"/>
        <v/>
      </c>
      <c r="H1985" s="78" t="str">
        <f t="shared" si="902"/>
        <v/>
      </c>
      <c r="I1985" s="79"/>
      <c r="J1985" s="80" t="str">
        <f t="shared" si="903"/>
        <v>#NAME?</v>
      </c>
      <c r="K1985" s="58"/>
      <c r="L1985" s="58"/>
      <c r="M1985" s="57"/>
      <c r="N1985" s="57"/>
      <c r="O1985" s="58"/>
      <c r="P1985" s="82"/>
      <c r="Q1985" s="81"/>
      <c r="R1985" s="81"/>
      <c r="S1985" s="57"/>
      <c r="T1985" s="82"/>
      <c r="U1985" s="82"/>
      <c r="V1985" s="57"/>
      <c r="W1985" s="57"/>
      <c r="X1985" s="57" t="str">
        <f t="shared" si="917"/>
        <v/>
      </c>
      <c r="Y1985" s="58" t="str">
        <f t="shared" ref="Y1985:AC1985" si="1825">TRIM(SUBSTITUTE(SUBSTITUTE(OFFSET($Q1985,0,COLUMN()-COLUMN($AL$1)),CHAR(160)," "),_xludf.UNICHAR(8239)," "))</f>
        <v>#NAME?</v>
      </c>
      <c r="Z1985" s="58" t="str">
        <f t="shared" si="1825"/>
        <v>#NAME?</v>
      </c>
      <c r="AA1985" s="58" t="str">
        <f t="shared" si="1825"/>
        <v>#NAME?</v>
      </c>
      <c r="AB1985" s="58" t="str">
        <f t="shared" si="1825"/>
        <v>#NAME?</v>
      </c>
      <c r="AC1985" s="58" t="str">
        <f t="shared" si="1825"/>
        <v>#NAME?</v>
      </c>
      <c r="AD1985" s="57">
        <f t="shared" si="906"/>
        <v>0</v>
      </c>
      <c r="AE1985" s="57" t="str">
        <f t="shared" si="907"/>
        <v/>
      </c>
      <c r="AF1985" s="57">
        <f t="shared" si="908"/>
        <v>0</v>
      </c>
      <c r="AG1985" s="59">
        <f t="shared" si="909"/>
        <v>0</v>
      </c>
      <c r="AH1985" s="15"/>
      <c r="AI1985" s="15"/>
      <c r="AJ1985" s="15"/>
      <c r="AK1985" s="15"/>
      <c r="AL1985" s="15"/>
      <c r="AM1985" s="15"/>
      <c r="AN1985" s="15"/>
      <c r="AO1985" s="15"/>
      <c r="AP1985" s="15"/>
      <c r="AQ1985" s="15"/>
      <c r="AR1985" s="15"/>
      <c r="AS1985" s="15"/>
      <c r="AT1985" s="15"/>
      <c r="AU1985" s="15"/>
    </row>
    <row r="1986" ht="24.0" customHeight="1">
      <c r="A1986" s="45">
        <v>3410.0</v>
      </c>
      <c r="B1986" s="57"/>
      <c r="C1986" s="57"/>
      <c r="D1986" s="88" t="str">
        <f t="array" ref="D1986">IFERROR(
  LOOKUP(2, 1/((TRIM(IMS!$E$8:$E$2574)=TRIM(IMS!$E1986))*(IMS!$C$8:$C$2574&lt;IMS!$C1986)),
         IMS!$C$8:$C$2574),
"")</f>
        <v/>
      </c>
      <c r="E1986" s="57"/>
      <c r="F1986" s="57"/>
      <c r="G1986" s="77" t="str">
        <f t="shared" si="901"/>
        <v/>
      </c>
      <c r="H1986" s="78" t="str">
        <f t="shared" si="902"/>
        <v/>
      </c>
      <c r="I1986" s="79"/>
      <c r="J1986" s="80" t="str">
        <f t="shared" si="903"/>
        <v>#NAME?</v>
      </c>
      <c r="K1986" s="58"/>
      <c r="L1986" s="58"/>
      <c r="M1986" s="57"/>
      <c r="N1986" s="57"/>
      <c r="O1986" s="58"/>
      <c r="P1986" s="82"/>
      <c r="Q1986" s="81"/>
      <c r="R1986" s="81"/>
      <c r="S1986" s="57"/>
      <c r="T1986" s="82"/>
      <c r="U1986" s="82"/>
      <c r="V1986" s="57"/>
      <c r="W1986" s="57"/>
      <c r="X1986" s="57" t="str">
        <f t="shared" si="917"/>
        <v/>
      </c>
      <c r="Y1986" s="58" t="str">
        <f t="shared" ref="Y1986:AC1986" si="1826">TRIM(SUBSTITUTE(SUBSTITUTE(OFFSET($Q1986,0,COLUMN()-COLUMN($AL$1)),CHAR(160)," "),_xludf.UNICHAR(8239)," "))</f>
        <v>#NAME?</v>
      </c>
      <c r="Z1986" s="58" t="str">
        <f t="shared" si="1826"/>
        <v>#NAME?</v>
      </c>
      <c r="AA1986" s="58" t="str">
        <f t="shared" si="1826"/>
        <v>#NAME?</v>
      </c>
      <c r="AB1986" s="58" t="str">
        <f t="shared" si="1826"/>
        <v>#NAME?</v>
      </c>
      <c r="AC1986" s="58" t="str">
        <f t="shared" si="1826"/>
        <v>#NAME?</v>
      </c>
      <c r="AD1986" s="57">
        <f t="shared" si="906"/>
        <v>0</v>
      </c>
      <c r="AE1986" s="57" t="str">
        <f t="shared" si="907"/>
        <v/>
      </c>
      <c r="AF1986" s="57">
        <f t="shared" si="908"/>
        <v>0</v>
      </c>
      <c r="AG1986" s="59">
        <f t="shared" si="909"/>
        <v>0</v>
      </c>
      <c r="AH1986" s="15"/>
      <c r="AI1986" s="15"/>
      <c r="AJ1986" s="15"/>
      <c r="AK1986" s="15"/>
      <c r="AL1986" s="15"/>
      <c r="AM1986" s="15"/>
      <c r="AN1986" s="15"/>
      <c r="AO1986" s="15"/>
      <c r="AP1986" s="15"/>
      <c r="AQ1986" s="15"/>
      <c r="AR1986" s="15"/>
      <c r="AS1986" s="15"/>
      <c r="AT1986" s="15"/>
      <c r="AU1986" s="15"/>
    </row>
    <row r="1987" ht="24.0" customHeight="1">
      <c r="A1987" s="45">
        <v>3411.0</v>
      </c>
      <c r="B1987" s="57"/>
      <c r="C1987" s="57"/>
      <c r="D1987" s="88" t="str">
        <f t="array" ref="D1987">IFERROR(
  LOOKUP(2, 1/((TRIM(IMS!$E$8:$E$2574)=TRIM(IMS!$E1987))*(IMS!$C$8:$C$2574&lt;IMS!$C1987)),
         IMS!$C$8:$C$2574),
"")</f>
        <v/>
      </c>
      <c r="E1987" s="57"/>
      <c r="F1987" s="57"/>
      <c r="G1987" s="77" t="str">
        <f t="shared" si="901"/>
        <v/>
      </c>
      <c r="H1987" s="78" t="str">
        <f t="shared" si="902"/>
        <v/>
      </c>
      <c r="I1987" s="79"/>
      <c r="J1987" s="80" t="str">
        <f t="shared" si="903"/>
        <v>#NAME?</v>
      </c>
      <c r="K1987" s="58"/>
      <c r="L1987" s="58"/>
      <c r="M1987" s="57"/>
      <c r="N1987" s="57"/>
      <c r="O1987" s="58"/>
      <c r="P1987" s="82"/>
      <c r="Q1987" s="81"/>
      <c r="R1987" s="81"/>
      <c r="S1987" s="57"/>
      <c r="T1987" s="82"/>
      <c r="U1987" s="82"/>
      <c r="V1987" s="57"/>
      <c r="W1987" s="57"/>
      <c r="X1987" s="57" t="str">
        <f t="shared" si="917"/>
        <v/>
      </c>
      <c r="Y1987" s="58" t="str">
        <f t="shared" ref="Y1987:AC1987" si="1827">TRIM(SUBSTITUTE(SUBSTITUTE(OFFSET($Q1987,0,COLUMN()-COLUMN($AL$1)),CHAR(160)," "),_xludf.UNICHAR(8239)," "))</f>
        <v>#NAME?</v>
      </c>
      <c r="Z1987" s="58" t="str">
        <f t="shared" si="1827"/>
        <v>#NAME?</v>
      </c>
      <c r="AA1987" s="58" t="str">
        <f t="shared" si="1827"/>
        <v>#NAME?</v>
      </c>
      <c r="AB1987" s="58" t="str">
        <f t="shared" si="1827"/>
        <v>#NAME?</v>
      </c>
      <c r="AC1987" s="58" t="str">
        <f t="shared" si="1827"/>
        <v>#NAME?</v>
      </c>
      <c r="AD1987" s="57">
        <f t="shared" si="906"/>
        <v>0</v>
      </c>
      <c r="AE1987" s="57" t="str">
        <f t="shared" si="907"/>
        <v/>
      </c>
      <c r="AF1987" s="57">
        <f t="shared" si="908"/>
        <v>0</v>
      </c>
      <c r="AG1987" s="59">
        <f t="shared" si="909"/>
        <v>0</v>
      </c>
      <c r="AH1987" s="15"/>
      <c r="AI1987" s="15"/>
      <c r="AJ1987" s="15"/>
      <c r="AK1987" s="15"/>
      <c r="AL1987" s="15"/>
      <c r="AM1987" s="15"/>
      <c r="AN1987" s="15"/>
      <c r="AO1987" s="15"/>
      <c r="AP1987" s="15"/>
      <c r="AQ1987" s="15"/>
      <c r="AR1987" s="15"/>
      <c r="AS1987" s="15"/>
      <c r="AT1987" s="15"/>
      <c r="AU1987" s="15"/>
    </row>
    <row r="1988" ht="24.0" customHeight="1">
      <c r="A1988" s="45">
        <v>3412.0</v>
      </c>
      <c r="B1988" s="57"/>
      <c r="C1988" s="57"/>
      <c r="D1988" s="88" t="str">
        <f t="array" ref="D1988">IFERROR(
  LOOKUP(2, 1/((TRIM(IMS!$E$8:$E$2574)=TRIM(IMS!$E1988))*(IMS!$C$8:$C$2574&lt;IMS!$C1988)),
         IMS!$C$8:$C$2574),
"")</f>
        <v/>
      </c>
      <c r="E1988" s="57"/>
      <c r="F1988" s="57"/>
      <c r="G1988" s="77" t="str">
        <f t="shared" si="901"/>
        <v/>
      </c>
      <c r="H1988" s="78" t="str">
        <f t="shared" si="902"/>
        <v/>
      </c>
      <c r="I1988" s="79"/>
      <c r="J1988" s="80" t="str">
        <f t="shared" si="903"/>
        <v>#NAME?</v>
      </c>
      <c r="K1988" s="58"/>
      <c r="L1988" s="58"/>
      <c r="M1988" s="57"/>
      <c r="N1988" s="57"/>
      <c r="O1988" s="58"/>
      <c r="P1988" s="82"/>
      <c r="Q1988" s="81"/>
      <c r="R1988" s="81"/>
      <c r="S1988" s="57"/>
      <c r="T1988" s="82"/>
      <c r="U1988" s="82"/>
      <c r="V1988" s="57"/>
      <c r="W1988" s="57"/>
      <c r="X1988" s="57" t="str">
        <f t="shared" si="917"/>
        <v/>
      </c>
      <c r="Y1988" s="58" t="str">
        <f t="shared" ref="Y1988:AC1988" si="1828">TRIM(SUBSTITUTE(SUBSTITUTE(OFFSET($Q1988,0,COLUMN()-COLUMN($AL$1)),CHAR(160)," "),_xludf.UNICHAR(8239)," "))</f>
        <v>#NAME?</v>
      </c>
      <c r="Z1988" s="58" t="str">
        <f t="shared" si="1828"/>
        <v>#NAME?</v>
      </c>
      <c r="AA1988" s="58" t="str">
        <f t="shared" si="1828"/>
        <v>#NAME?</v>
      </c>
      <c r="AB1988" s="58" t="str">
        <f t="shared" si="1828"/>
        <v>#NAME?</v>
      </c>
      <c r="AC1988" s="58" t="str">
        <f t="shared" si="1828"/>
        <v>#NAME?</v>
      </c>
      <c r="AD1988" s="57">
        <f t="shared" si="906"/>
        <v>0</v>
      </c>
      <c r="AE1988" s="57" t="str">
        <f t="shared" si="907"/>
        <v/>
      </c>
      <c r="AF1988" s="57">
        <f t="shared" si="908"/>
        <v>0</v>
      </c>
      <c r="AG1988" s="59">
        <f t="shared" si="909"/>
        <v>0</v>
      </c>
      <c r="AH1988" s="15"/>
      <c r="AI1988" s="15"/>
      <c r="AJ1988" s="15"/>
      <c r="AK1988" s="15"/>
      <c r="AL1988" s="15"/>
      <c r="AM1988" s="15"/>
      <c r="AN1988" s="15"/>
      <c r="AO1988" s="15"/>
      <c r="AP1988" s="15"/>
      <c r="AQ1988" s="15"/>
      <c r="AR1988" s="15"/>
      <c r="AS1988" s="15"/>
      <c r="AT1988" s="15"/>
      <c r="AU1988" s="15"/>
    </row>
    <row r="1989" ht="24.0" customHeight="1">
      <c r="A1989" s="45">
        <v>3413.0</v>
      </c>
      <c r="B1989" s="57"/>
      <c r="C1989" s="57"/>
      <c r="D1989" s="88" t="str">
        <f t="array" ref="D1989">IFERROR(
  LOOKUP(2, 1/((TRIM(IMS!$E$8:$E$2574)=TRIM(IMS!$E1989))*(IMS!$C$8:$C$2574&lt;IMS!$C1989)),
         IMS!$C$8:$C$2574),
"")</f>
        <v/>
      </c>
      <c r="E1989" s="57"/>
      <c r="F1989" s="57"/>
      <c r="G1989" s="77" t="str">
        <f t="shared" si="901"/>
        <v/>
      </c>
      <c r="H1989" s="78" t="str">
        <f t="shared" si="902"/>
        <v/>
      </c>
      <c r="I1989" s="79"/>
      <c r="J1989" s="80" t="str">
        <f t="shared" si="903"/>
        <v>#NAME?</v>
      </c>
      <c r="K1989" s="58"/>
      <c r="L1989" s="58"/>
      <c r="M1989" s="57"/>
      <c r="N1989" s="57"/>
      <c r="O1989" s="58"/>
      <c r="P1989" s="82"/>
      <c r="Q1989" s="81"/>
      <c r="R1989" s="81"/>
      <c r="S1989" s="57"/>
      <c r="T1989" s="82"/>
      <c r="U1989" s="82"/>
      <c r="V1989" s="57"/>
      <c r="W1989" s="57"/>
      <c r="X1989" s="57" t="str">
        <f t="shared" si="917"/>
        <v/>
      </c>
      <c r="Y1989" s="58" t="str">
        <f t="shared" ref="Y1989:AC1989" si="1829">TRIM(SUBSTITUTE(SUBSTITUTE(OFFSET($Q1989,0,COLUMN()-COLUMN($AL$1)),CHAR(160)," "),_xludf.UNICHAR(8239)," "))</f>
        <v>#NAME?</v>
      </c>
      <c r="Z1989" s="58" t="str">
        <f t="shared" si="1829"/>
        <v>#NAME?</v>
      </c>
      <c r="AA1989" s="58" t="str">
        <f t="shared" si="1829"/>
        <v>#NAME?</v>
      </c>
      <c r="AB1989" s="58" t="str">
        <f t="shared" si="1829"/>
        <v>#NAME?</v>
      </c>
      <c r="AC1989" s="58" t="str">
        <f t="shared" si="1829"/>
        <v>#NAME?</v>
      </c>
      <c r="AD1989" s="57">
        <f t="shared" si="906"/>
        <v>0</v>
      </c>
      <c r="AE1989" s="57" t="str">
        <f t="shared" si="907"/>
        <v/>
      </c>
      <c r="AF1989" s="57">
        <f t="shared" si="908"/>
        <v>0</v>
      </c>
      <c r="AG1989" s="59">
        <f t="shared" si="909"/>
        <v>0</v>
      </c>
      <c r="AH1989" s="15"/>
      <c r="AI1989" s="15"/>
      <c r="AJ1989" s="15"/>
      <c r="AK1989" s="15"/>
      <c r="AL1989" s="15"/>
      <c r="AM1989" s="15"/>
      <c r="AN1989" s="15"/>
      <c r="AO1989" s="15"/>
      <c r="AP1989" s="15"/>
      <c r="AQ1989" s="15"/>
      <c r="AR1989" s="15"/>
      <c r="AS1989" s="15"/>
      <c r="AT1989" s="15"/>
      <c r="AU1989" s="15"/>
    </row>
    <row r="1990" ht="24.0" customHeight="1">
      <c r="A1990" s="45">
        <v>3414.0</v>
      </c>
      <c r="B1990" s="57"/>
      <c r="C1990" s="57"/>
      <c r="D1990" s="88" t="str">
        <f t="array" ref="D1990">IFERROR(
  LOOKUP(2, 1/((TRIM(IMS!$E$8:$E$2574)=TRIM(IMS!$E1990))*(IMS!$C$8:$C$2574&lt;IMS!$C1990)),
         IMS!$C$8:$C$2574),
"")</f>
        <v/>
      </c>
      <c r="E1990" s="57"/>
      <c r="F1990" s="57"/>
      <c r="G1990" s="77" t="str">
        <f t="shared" si="901"/>
        <v/>
      </c>
      <c r="H1990" s="78" t="str">
        <f t="shared" si="902"/>
        <v/>
      </c>
      <c r="I1990" s="79"/>
      <c r="J1990" s="80" t="str">
        <f t="shared" si="903"/>
        <v>#NAME?</v>
      </c>
      <c r="K1990" s="58"/>
      <c r="L1990" s="58"/>
      <c r="M1990" s="57"/>
      <c r="N1990" s="57"/>
      <c r="O1990" s="58"/>
      <c r="P1990" s="82"/>
      <c r="Q1990" s="81"/>
      <c r="R1990" s="81"/>
      <c r="S1990" s="57"/>
      <c r="T1990" s="82"/>
      <c r="U1990" s="82"/>
      <c r="V1990" s="57"/>
      <c r="W1990" s="57"/>
      <c r="X1990" s="57" t="str">
        <f t="shared" si="917"/>
        <v/>
      </c>
      <c r="Y1990" s="58" t="str">
        <f t="shared" ref="Y1990:AC1990" si="1830">TRIM(SUBSTITUTE(SUBSTITUTE(OFFSET($Q1990,0,COLUMN()-COLUMN($AL$1)),CHAR(160)," "),_xludf.UNICHAR(8239)," "))</f>
        <v>#NAME?</v>
      </c>
      <c r="Z1990" s="58" t="str">
        <f t="shared" si="1830"/>
        <v>#NAME?</v>
      </c>
      <c r="AA1990" s="58" t="str">
        <f t="shared" si="1830"/>
        <v>#NAME?</v>
      </c>
      <c r="AB1990" s="58" t="str">
        <f t="shared" si="1830"/>
        <v>#NAME?</v>
      </c>
      <c r="AC1990" s="58" t="str">
        <f t="shared" si="1830"/>
        <v>#NAME?</v>
      </c>
      <c r="AD1990" s="57">
        <f t="shared" si="906"/>
        <v>0</v>
      </c>
      <c r="AE1990" s="57" t="str">
        <f t="shared" si="907"/>
        <v/>
      </c>
      <c r="AF1990" s="57">
        <f t="shared" si="908"/>
        <v>0</v>
      </c>
      <c r="AG1990" s="59">
        <f t="shared" si="909"/>
        <v>0</v>
      </c>
      <c r="AH1990" s="15"/>
      <c r="AI1990" s="15"/>
      <c r="AJ1990" s="15"/>
      <c r="AK1990" s="15"/>
      <c r="AL1990" s="15"/>
      <c r="AM1990" s="15"/>
      <c r="AN1990" s="15"/>
      <c r="AO1990" s="15"/>
      <c r="AP1990" s="15"/>
      <c r="AQ1990" s="15"/>
      <c r="AR1990" s="15"/>
      <c r="AS1990" s="15"/>
      <c r="AT1990" s="15"/>
      <c r="AU1990" s="15"/>
    </row>
    <row r="1991" ht="24.0" customHeight="1">
      <c r="A1991" s="45">
        <v>3415.0</v>
      </c>
      <c r="B1991" s="57"/>
      <c r="C1991" s="57"/>
      <c r="D1991" s="88" t="str">
        <f t="array" ref="D1991">IFERROR(
  LOOKUP(2, 1/((TRIM(IMS!$E$8:$E$2574)=TRIM(IMS!$E1991))*(IMS!$C$8:$C$2574&lt;IMS!$C1991)),
         IMS!$C$8:$C$2574),
"")</f>
        <v/>
      </c>
      <c r="E1991" s="57"/>
      <c r="F1991" s="57"/>
      <c r="G1991" s="77" t="str">
        <f t="shared" si="901"/>
        <v/>
      </c>
      <c r="H1991" s="78" t="str">
        <f t="shared" si="902"/>
        <v/>
      </c>
      <c r="I1991" s="79"/>
      <c r="J1991" s="80" t="str">
        <f t="shared" si="903"/>
        <v>#NAME?</v>
      </c>
      <c r="K1991" s="58"/>
      <c r="L1991" s="58"/>
      <c r="M1991" s="57"/>
      <c r="N1991" s="57"/>
      <c r="O1991" s="58"/>
      <c r="P1991" s="82"/>
      <c r="Q1991" s="81"/>
      <c r="R1991" s="81"/>
      <c r="S1991" s="57"/>
      <c r="T1991" s="82"/>
      <c r="U1991" s="82"/>
      <c r="V1991" s="57"/>
      <c r="W1991" s="57"/>
      <c r="X1991" s="57" t="str">
        <f t="shared" si="917"/>
        <v/>
      </c>
      <c r="Y1991" s="58" t="str">
        <f t="shared" ref="Y1991:AC1991" si="1831">TRIM(SUBSTITUTE(SUBSTITUTE(OFFSET($Q1991,0,COLUMN()-COLUMN($AL$1)),CHAR(160)," "),_xludf.UNICHAR(8239)," "))</f>
        <v>#NAME?</v>
      </c>
      <c r="Z1991" s="58" t="str">
        <f t="shared" si="1831"/>
        <v>#NAME?</v>
      </c>
      <c r="AA1991" s="58" t="str">
        <f t="shared" si="1831"/>
        <v>#NAME?</v>
      </c>
      <c r="AB1991" s="58" t="str">
        <f t="shared" si="1831"/>
        <v>#NAME?</v>
      </c>
      <c r="AC1991" s="58" t="str">
        <f t="shared" si="1831"/>
        <v>#NAME?</v>
      </c>
      <c r="AD1991" s="57">
        <f t="shared" si="906"/>
        <v>0</v>
      </c>
      <c r="AE1991" s="57" t="str">
        <f t="shared" si="907"/>
        <v/>
      </c>
      <c r="AF1991" s="57">
        <f t="shared" si="908"/>
        <v>0</v>
      </c>
      <c r="AG1991" s="59">
        <f t="shared" si="909"/>
        <v>0</v>
      </c>
      <c r="AH1991" s="15"/>
      <c r="AI1991" s="15"/>
      <c r="AJ1991" s="15"/>
      <c r="AK1991" s="15"/>
      <c r="AL1991" s="15"/>
      <c r="AM1991" s="15"/>
      <c r="AN1991" s="15"/>
      <c r="AO1991" s="15"/>
      <c r="AP1991" s="15"/>
      <c r="AQ1991" s="15"/>
      <c r="AR1991" s="15"/>
      <c r="AS1991" s="15"/>
      <c r="AT1991" s="15"/>
      <c r="AU1991" s="15"/>
    </row>
    <row r="1992" ht="24.0" customHeight="1">
      <c r="A1992" s="45">
        <v>3416.0</v>
      </c>
      <c r="B1992" s="57"/>
      <c r="C1992" s="57"/>
      <c r="D1992" s="88" t="str">
        <f t="array" ref="D1992">IFERROR(
  LOOKUP(2, 1/((TRIM(IMS!$E$8:$E$2574)=TRIM(IMS!$E1992))*(IMS!$C$8:$C$2574&lt;IMS!$C1992)),
         IMS!$C$8:$C$2574),
"")</f>
        <v/>
      </c>
      <c r="E1992" s="57"/>
      <c r="F1992" s="57"/>
      <c r="G1992" s="77" t="str">
        <f t="shared" si="901"/>
        <v/>
      </c>
      <c r="H1992" s="78" t="str">
        <f t="shared" si="902"/>
        <v/>
      </c>
      <c r="I1992" s="79"/>
      <c r="J1992" s="80" t="str">
        <f t="shared" si="903"/>
        <v>#NAME?</v>
      </c>
      <c r="K1992" s="58"/>
      <c r="L1992" s="58"/>
      <c r="M1992" s="57"/>
      <c r="N1992" s="57"/>
      <c r="O1992" s="58"/>
      <c r="P1992" s="82"/>
      <c r="Q1992" s="81"/>
      <c r="R1992" s="81"/>
      <c r="S1992" s="57"/>
      <c r="T1992" s="82"/>
      <c r="U1992" s="82"/>
      <c r="V1992" s="57"/>
      <c r="W1992" s="57"/>
      <c r="X1992" s="57" t="str">
        <f t="shared" si="917"/>
        <v/>
      </c>
      <c r="Y1992" s="58" t="str">
        <f t="shared" ref="Y1992:AC1992" si="1832">TRIM(SUBSTITUTE(SUBSTITUTE(OFFSET($Q1992,0,COLUMN()-COLUMN($AL$1)),CHAR(160)," "),_xludf.UNICHAR(8239)," "))</f>
        <v>#NAME?</v>
      </c>
      <c r="Z1992" s="58" t="str">
        <f t="shared" si="1832"/>
        <v>#NAME?</v>
      </c>
      <c r="AA1992" s="58" t="str">
        <f t="shared" si="1832"/>
        <v>#NAME?</v>
      </c>
      <c r="AB1992" s="58" t="str">
        <f t="shared" si="1832"/>
        <v>#NAME?</v>
      </c>
      <c r="AC1992" s="58" t="str">
        <f t="shared" si="1832"/>
        <v>#NAME?</v>
      </c>
      <c r="AD1992" s="57">
        <f t="shared" si="906"/>
        <v>0</v>
      </c>
      <c r="AE1992" s="57" t="str">
        <f t="shared" si="907"/>
        <v/>
      </c>
      <c r="AF1992" s="57">
        <f t="shared" si="908"/>
        <v>0</v>
      </c>
      <c r="AG1992" s="59">
        <f t="shared" si="909"/>
        <v>0</v>
      </c>
      <c r="AH1992" s="15"/>
      <c r="AI1992" s="15"/>
      <c r="AJ1992" s="15"/>
      <c r="AK1992" s="15"/>
      <c r="AL1992" s="15"/>
      <c r="AM1992" s="15"/>
      <c r="AN1992" s="15"/>
      <c r="AO1992" s="15"/>
      <c r="AP1992" s="15"/>
      <c r="AQ1992" s="15"/>
      <c r="AR1992" s="15"/>
      <c r="AS1992" s="15"/>
      <c r="AT1992" s="15"/>
      <c r="AU1992" s="15"/>
    </row>
    <row r="1993" ht="24.0" customHeight="1">
      <c r="A1993" s="45">
        <v>3417.0</v>
      </c>
      <c r="B1993" s="57"/>
      <c r="C1993" s="57"/>
      <c r="D1993" s="88" t="str">
        <f t="array" ref="D1993">IFERROR(
  LOOKUP(2, 1/((TRIM(IMS!$E$8:$E$2574)=TRIM(IMS!$E1993))*(IMS!$C$8:$C$2574&lt;IMS!$C1993)),
         IMS!$C$8:$C$2574),
"")</f>
        <v/>
      </c>
      <c r="E1993" s="57"/>
      <c r="F1993" s="57"/>
      <c r="G1993" s="77" t="str">
        <f t="shared" si="901"/>
        <v/>
      </c>
      <c r="H1993" s="78" t="str">
        <f t="shared" si="902"/>
        <v/>
      </c>
      <c r="I1993" s="79"/>
      <c r="J1993" s="80" t="str">
        <f t="shared" si="903"/>
        <v>#NAME?</v>
      </c>
      <c r="K1993" s="58"/>
      <c r="L1993" s="58"/>
      <c r="M1993" s="57"/>
      <c r="N1993" s="57"/>
      <c r="O1993" s="58"/>
      <c r="P1993" s="82"/>
      <c r="Q1993" s="81"/>
      <c r="R1993" s="81"/>
      <c r="S1993" s="57"/>
      <c r="T1993" s="82"/>
      <c r="U1993" s="82"/>
      <c r="V1993" s="57"/>
      <c r="W1993" s="57"/>
      <c r="X1993" s="57" t="str">
        <f t="shared" si="917"/>
        <v/>
      </c>
      <c r="Y1993" s="58" t="str">
        <f t="shared" ref="Y1993:AC1993" si="1833">TRIM(SUBSTITUTE(SUBSTITUTE(OFFSET($Q1993,0,COLUMN()-COLUMN($AL$1)),CHAR(160)," "),_xludf.UNICHAR(8239)," "))</f>
        <v>#NAME?</v>
      </c>
      <c r="Z1993" s="58" t="str">
        <f t="shared" si="1833"/>
        <v>#NAME?</v>
      </c>
      <c r="AA1993" s="58" t="str">
        <f t="shared" si="1833"/>
        <v>#NAME?</v>
      </c>
      <c r="AB1993" s="58" t="str">
        <f t="shared" si="1833"/>
        <v>#NAME?</v>
      </c>
      <c r="AC1993" s="58" t="str">
        <f t="shared" si="1833"/>
        <v>#NAME?</v>
      </c>
      <c r="AD1993" s="57">
        <f t="shared" si="906"/>
        <v>0</v>
      </c>
      <c r="AE1993" s="57" t="str">
        <f t="shared" si="907"/>
        <v/>
      </c>
      <c r="AF1993" s="57">
        <f t="shared" si="908"/>
        <v>0</v>
      </c>
      <c r="AG1993" s="59">
        <f t="shared" si="909"/>
        <v>0</v>
      </c>
      <c r="AH1993" s="15"/>
      <c r="AI1993" s="15"/>
      <c r="AJ1993" s="15"/>
      <c r="AK1993" s="15"/>
      <c r="AL1993" s="15"/>
      <c r="AM1993" s="15"/>
      <c r="AN1993" s="15"/>
      <c r="AO1993" s="15"/>
      <c r="AP1993" s="15"/>
      <c r="AQ1993" s="15"/>
      <c r="AR1993" s="15"/>
      <c r="AS1993" s="15"/>
      <c r="AT1993" s="15"/>
      <c r="AU1993" s="15"/>
    </row>
    <row r="1994" ht="24.0" customHeight="1">
      <c r="A1994" s="45">
        <v>3418.0</v>
      </c>
      <c r="B1994" s="57"/>
      <c r="C1994" s="57"/>
      <c r="D1994" s="88" t="str">
        <f t="array" ref="D1994">IFERROR(
  LOOKUP(2, 1/((TRIM(IMS!$E$8:$E$2574)=TRIM(IMS!$E1994))*(IMS!$C$8:$C$2574&lt;IMS!$C1994)),
         IMS!$C$8:$C$2574),
"")</f>
        <v/>
      </c>
      <c r="E1994" s="57"/>
      <c r="F1994" s="57"/>
      <c r="G1994" s="77" t="str">
        <f t="shared" si="901"/>
        <v/>
      </c>
      <c r="H1994" s="78" t="str">
        <f t="shared" si="902"/>
        <v/>
      </c>
      <c r="I1994" s="79"/>
      <c r="J1994" s="80" t="str">
        <f t="shared" si="903"/>
        <v>#NAME?</v>
      </c>
      <c r="K1994" s="58"/>
      <c r="L1994" s="58"/>
      <c r="M1994" s="57"/>
      <c r="N1994" s="57"/>
      <c r="O1994" s="58"/>
      <c r="P1994" s="82"/>
      <c r="Q1994" s="81"/>
      <c r="R1994" s="81"/>
      <c r="S1994" s="57"/>
      <c r="T1994" s="82"/>
      <c r="U1994" s="82"/>
      <c r="V1994" s="57"/>
      <c r="W1994" s="57"/>
      <c r="X1994" s="57" t="str">
        <f t="shared" si="917"/>
        <v/>
      </c>
      <c r="Y1994" s="58" t="str">
        <f t="shared" ref="Y1994:AC1994" si="1834">TRIM(SUBSTITUTE(SUBSTITUTE(OFFSET($Q1994,0,COLUMN()-COLUMN($AL$1)),CHAR(160)," "),_xludf.UNICHAR(8239)," "))</f>
        <v>#NAME?</v>
      </c>
      <c r="Z1994" s="58" t="str">
        <f t="shared" si="1834"/>
        <v>#NAME?</v>
      </c>
      <c r="AA1994" s="58" t="str">
        <f t="shared" si="1834"/>
        <v>#NAME?</v>
      </c>
      <c r="AB1994" s="58" t="str">
        <f t="shared" si="1834"/>
        <v>#NAME?</v>
      </c>
      <c r="AC1994" s="58" t="str">
        <f t="shared" si="1834"/>
        <v>#NAME?</v>
      </c>
      <c r="AD1994" s="57">
        <f t="shared" si="906"/>
        <v>0</v>
      </c>
      <c r="AE1994" s="57" t="str">
        <f t="shared" si="907"/>
        <v/>
      </c>
      <c r="AF1994" s="57">
        <f t="shared" si="908"/>
        <v>0</v>
      </c>
      <c r="AG1994" s="59">
        <f t="shared" si="909"/>
        <v>0</v>
      </c>
      <c r="AH1994" s="15"/>
      <c r="AI1994" s="15"/>
      <c r="AJ1994" s="15"/>
      <c r="AK1994" s="15"/>
      <c r="AL1994" s="15"/>
      <c r="AM1994" s="15"/>
      <c r="AN1994" s="15"/>
      <c r="AO1994" s="15"/>
      <c r="AP1994" s="15"/>
      <c r="AQ1994" s="15"/>
      <c r="AR1994" s="15"/>
      <c r="AS1994" s="15"/>
      <c r="AT1994" s="15"/>
      <c r="AU1994" s="15"/>
    </row>
    <row r="1995" ht="24.0" customHeight="1">
      <c r="A1995" s="45">
        <v>3419.0</v>
      </c>
      <c r="B1995" s="57"/>
      <c r="C1995" s="57"/>
      <c r="D1995" s="88" t="str">
        <f t="array" ref="D1995">IFERROR(
  LOOKUP(2, 1/((TRIM(IMS!$E$8:$E$2574)=TRIM(IMS!$E1995))*(IMS!$C$8:$C$2574&lt;IMS!$C1995)),
         IMS!$C$8:$C$2574),
"")</f>
        <v/>
      </c>
      <c r="E1995" s="57"/>
      <c r="F1995" s="57"/>
      <c r="G1995" s="77" t="str">
        <f t="shared" si="901"/>
        <v/>
      </c>
      <c r="H1995" s="78" t="str">
        <f t="shared" si="902"/>
        <v/>
      </c>
      <c r="I1995" s="79"/>
      <c r="J1995" s="80" t="str">
        <f t="shared" si="903"/>
        <v>#NAME?</v>
      </c>
      <c r="K1995" s="58"/>
      <c r="L1995" s="58"/>
      <c r="M1995" s="57"/>
      <c r="N1995" s="57"/>
      <c r="O1995" s="58"/>
      <c r="P1995" s="82"/>
      <c r="Q1995" s="81"/>
      <c r="R1995" s="81"/>
      <c r="S1995" s="57"/>
      <c r="T1995" s="82"/>
      <c r="U1995" s="82"/>
      <c r="V1995" s="57"/>
      <c r="W1995" s="57"/>
      <c r="X1995" s="57" t="str">
        <f t="shared" si="917"/>
        <v/>
      </c>
      <c r="Y1995" s="58" t="str">
        <f t="shared" ref="Y1995:AC1995" si="1835">TRIM(SUBSTITUTE(SUBSTITUTE(OFFSET($Q1995,0,COLUMN()-COLUMN($AL$1)),CHAR(160)," "),_xludf.UNICHAR(8239)," "))</f>
        <v>#NAME?</v>
      </c>
      <c r="Z1995" s="58" t="str">
        <f t="shared" si="1835"/>
        <v>#NAME?</v>
      </c>
      <c r="AA1995" s="58" t="str">
        <f t="shared" si="1835"/>
        <v>#NAME?</v>
      </c>
      <c r="AB1995" s="58" t="str">
        <f t="shared" si="1835"/>
        <v>#NAME?</v>
      </c>
      <c r="AC1995" s="58" t="str">
        <f t="shared" si="1835"/>
        <v>#NAME?</v>
      </c>
      <c r="AD1995" s="57">
        <f t="shared" si="906"/>
        <v>0</v>
      </c>
      <c r="AE1995" s="57" t="str">
        <f t="shared" si="907"/>
        <v/>
      </c>
      <c r="AF1995" s="57">
        <f t="shared" si="908"/>
        <v>0</v>
      </c>
      <c r="AG1995" s="59">
        <f t="shared" si="909"/>
        <v>0</v>
      </c>
      <c r="AH1995" s="15"/>
      <c r="AI1995" s="15"/>
      <c r="AJ1995" s="15"/>
      <c r="AK1995" s="15"/>
      <c r="AL1995" s="15"/>
      <c r="AM1995" s="15"/>
      <c r="AN1995" s="15"/>
      <c r="AO1995" s="15"/>
      <c r="AP1995" s="15"/>
      <c r="AQ1995" s="15"/>
      <c r="AR1995" s="15"/>
      <c r="AS1995" s="15"/>
      <c r="AT1995" s="15"/>
      <c r="AU1995" s="15"/>
    </row>
    <row r="1996" ht="24.0" customHeight="1">
      <c r="A1996" s="45">
        <v>3420.0</v>
      </c>
      <c r="B1996" s="57"/>
      <c r="C1996" s="57"/>
      <c r="D1996" s="88" t="str">
        <f t="array" ref="D1996">IFERROR(
  LOOKUP(2, 1/((TRIM(IMS!$E$8:$E$2574)=TRIM(IMS!$E1996))*(IMS!$C$8:$C$2574&lt;IMS!$C1996)),
         IMS!$C$8:$C$2574),
"")</f>
        <v/>
      </c>
      <c r="E1996" s="57"/>
      <c r="F1996" s="57"/>
      <c r="G1996" s="77" t="str">
        <f t="shared" si="901"/>
        <v/>
      </c>
      <c r="H1996" s="78" t="str">
        <f t="shared" si="902"/>
        <v/>
      </c>
      <c r="I1996" s="79"/>
      <c r="J1996" s="80" t="str">
        <f t="shared" si="903"/>
        <v>#NAME?</v>
      </c>
      <c r="K1996" s="58"/>
      <c r="L1996" s="58"/>
      <c r="M1996" s="57"/>
      <c r="N1996" s="57"/>
      <c r="O1996" s="58"/>
      <c r="P1996" s="82"/>
      <c r="Q1996" s="81"/>
      <c r="R1996" s="81"/>
      <c r="S1996" s="57"/>
      <c r="T1996" s="82"/>
      <c r="U1996" s="82"/>
      <c r="V1996" s="57"/>
      <c r="W1996" s="57"/>
      <c r="X1996" s="57" t="str">
        <f t="shared" si="917"/>
        <v/>
      </c>
      <c r="Y1996" s="58" t="str">
        <f t="shared" ref="Y1996:AC1996" si="1836">TRIM(SUBSTITUTE(SUBSTITUTE(OFFSET($Q1996,0,COLUMN()-COLUMN($AL$1)),CHAR(160)," "),_xludf.UNICHAR(8239)," "))</f>
        <v>#NAME?</v>
      </c>
      <c r="Z1996" s="58" t="str">
        <f t="shared" si="1836"/>
        <v>#NAME?</v>
      </c>
      <c r="AA1996" s="58" t="str">
        <f t="shared" si="1836"/>
        <v>#NAME?</v>
      </c>
      <c r="AB1996" s="58" t="str">
        <f t="shared" si="1836"/>
        <v>#NAME?</v>
      </c>
      <c r="AC1996" s="58" t="str">
        <f t="shared" si="1836"/>
        <v>#NAME?</v>
      </c>
      <c r="AD1996" s="57">
        <f t="shared" si="906"/>
        <v>0</v>
      </c>
      <c r="AE1996" s="57" t="str">
        <f t="shared" si="907"/>
        <v/>
      </c>
      <c r="AF1996" s="57">
        <f t="shared" si="908"/>
        <v>0</v>
      </c>
      <c r="AG1996" s="59">
        <f t="shared" si="909"/>
        <v>0</v>
      </c>
      <c r="AH1996" s="15"/>
      <c r="AI1996" s="15"/>
      <c r="AJ1996" s="15"/>
      <c r="AK1996" s="15"/>
      <c r="AL1996" s="15"/>
      <c r="AM1996" s="15"/>
      <c r="AN1996" s="15"/>
      <c r="AO1996" s="15"/>
      <c r="AP1996" s="15"/>
      <c r="AQ1996" s="15"/>
      <c r="AR1996" s="15"/>
      <c r="AS1996" s="15"/>
      <c r="AT1996" s="15"/>
      <c r="AU1996" s="15"/>
    </row>
    <row r="1997" ht="24.0" customHeight="1">
      <c r="A1997" s="45">
        <v>3421.0</v>
      </c>
      <c r="B1997" s="57"/>
      <c r="C1997" s="57"/>
      <c r="D1997" s="88" t="str">
        <f t="array" ref="D1997">IFERROR(
  LOOKUP(2, 1/((TRIM(IMS!$E$8:$E$2574)=TRIM(IMS!$E1997))*(IMS!$C$8:$C$2574&lt;IMS!$C1997)),
         IMS!$C$8:$C$2574),
"")</f>
        <v/>
      </c>
      <c r="E1997" s="57"/>
      <c r="F1997" s="57"/>
      <c r="G1997" s="77" t="str">
        <f t="shared" si="901"/>
        <v/>
      </c>
      <c r="H1997" s="78" t="str">
        <f t="shared" si="902"/>
        <v/>
      </c>
      <c r="I1997" s="79"/>
      <c r="J1997" s="80" t="str">
        <f t="shared" si="903"/>
        <v>#NAME?</v>
      </c>
      <c r="K1997" s="58"/>
      <c r="L1997" s="58"/>
      <c r="M1997" s="57"/>
      <c r="N1997" s="57"/>
      <c r="O1997" s="58"/>
      <c r="P1997" s="82"/>
      <c r="Q1997" s="81"/>
      <c r="R1997" s="81"/>
      <c r="S1997" s="57"/>
      <c r="T1997" s="82"/>
      <c r="U1997" s="82"/>
      <c r="V1997" s="57"/>
      <c r="W1997" s="57"/>
      <c r="X1997" s="57" t="str">
        <f t="shared" si="917"/>
        <v/>
      </c>
      <c r="Y1997" s="58" t="str">
        <f t="shared" ref="Y1997:AC1997" si="1837">TRIM(SUBSTITUTE(SUBSTITUTE(OFFSET($Q1997,0,COLUMN()-COLUMN($AL$1)),CHAR(160)," "),_xludf.UNICHAR(8239)," "))</f>
        <v>#NAME?</v>
      </c>
      <c r="Z1997" s="58" t="str">
        <f t="shared" si="1837"/>
        <v>#NAME?</v>
      </c>
      <c r="AA1997" s="58" t="str">
        <f t="shared" si="1837"/>
        <v>#NAME?</v>
      </c>
      <c r="AB1997" s="58" t="str">
        <f t="shared" si="1837"/>
        <v>#NAME?</v>
      </c>
      <c r="AC1997" s="58" t="str">
        <f t="shared" si="1837"/>
        <v>#NAME?</v>
      </c>
      <c r="AD1997" s="57">
        <f t="shared" si="906"/>
        <v>0</v>
      </c>
      <c r="AE1997" s="57" t="str">
        <f t="shared" si="907"/>
        <v/>
      </c>
      <c r="AF1997" s="57">
        <f t="shared" si="908"/>
        <v>0</v>
      </c>
      <c r="AG1997" s="59">
        <f t="shared" si="909"/>
        <v>0</v>
      </c>
      <c r="AH1997" s="15"/>
      <c r="AI1997" s="15"/>
      <c r="AJ1997" s="15"/>
      <c r="AK1997" s="15"/>
      <c r="AL1997" s="15"/>
      <c r="AM1997" s="15"/>
      <c r="AN1997" s="15"/>
      <c r="AO1997" s="15"/>
      <c r="AP1997" s="15"/>
      <c r="AQ1997" s="15"/>
      <c r="AR1997" s="15"/>
      <c r="AS1997" s="15"/>
      <c r="AT1997" s="15"/>
      <c r="AU1997" s="15"/>
    </row>
    <row r="1998" ht="24.0" customHeight="1">
      <c r="A1998" s="45">
        <v>3422.0</v>
      </c>
      <c r="B1998" s="57"/>
      <c r="C1998" s="57"/>
      <c r="D1998" s="88" t="str">
        <f t="array" ref="D1998">IFERROR(
  LOOKUP(2, 1/((TRIM(IMS!$E$8:$E$2574)=TRIM(IMS!$E1998))*(IMS!$C$8:$C$2574&lt;IMS!$C1998)),
         IMS!$C$8:$C$2574),
"")</f>
        <v/>
      </c>
      <c r="E1998" s="57"/>
      <c r="F1998" s="57"/>
      <c r="G1998" s="77" t="str">
        <f t="shared" si="901"/>
        <v/>
      </c>
      <c r="H1998" s="78" t="str">
        <f t="shared" si="902"/>
        <v/>
      </c>
      <c r="I1998" s="79"/>
      <c r="J1998" s="80" t="str">
        <f t="shared" si="903"/>
        <v>#NAME?</v>
      </c>
      <c r="K1998" s="58"/>
      <c r="L1998" s="58"/>
      <c r="M1998" s="57"/>
      <c r="N1998" s="57"/>
      <c r="O1998" s="58"/>
      <c r="P1998" s="82"/>
      <c r="Q1998" s="81"/>
      <c r="R1998" s="81"/>
      <c r="S1998" s="57"/>
      <c r="T1998" s="82"/>
      <c r="U1998" s="82"/>
      <c r="V1998" s="57"/>
      <c r="W1998" s="57"/>
      <c r="X1998" s="57" t="str">
        <f t="shared" si="917"/>
        <v/>
      </c>
      <c r="Y1998" s="58" t="str">
        <f t="shared" ref="Y1998:AC1998" si="1838">TRIM(SUBSTITUTE(SUBSTITUTE(OFFSET($Q1998,0,COLUMN()-COLUMN($AL$1)),CHAR(160)," "),_xludf.UNICHAR(8239)," "))</f>
        <v>#NAME?</v>
      </c>
      <c r="Z1998" s="58" t="str">
        <f t="shared" si="1838"/>
        <v>#NAME?</v>
      </c>
      <c r="AA1998" s="58" t="str">
        <f t="shared" si="1838"/>
        <v>#NAME?</v>
      </c>
      <c r="AB1998" s="58" t="str">
        <f t="shared" si="1838"/>
        <v>#NAME?</v>
      </c>
      <c r="AC1998" s="58" t="str">
        <f t="shared" si="1838"/>
        <v>#NAME?</v>
      </c>
      <c r="AD1998" s="57">
        <f t="shared" si="906"/>
        <v>0</v>
      </c>
      <c r="AE1998" s="57" t="str">
        <f t="shared" si="907"/>
        <v/>
      </c>
      <c r="AF1998" s="57">
        <f t="shared" si="908"/>
        <v>0</v>
      </c>
      <c r="AG1998" s="59">
        <f t="shared" si="909"/>
        <v>0</v>
      </c>
      <c r="AH1998" s="15"/>
      <c r="AI1998" s="15"/>
      <c r="AJ1998" s="15"/>
      <c r="AK1998" s="15"/>
      <c r="AL1998" s="15"/>
      <c r="AM1998" s="15"/>
      <c r="AN1998" s="15"/>
      <c r="AO1998" s="15"/>
      <c r="AP1998" s="15"/>
      <c r="AQ1998" s="15"/>
      <c r="AR1998" s="15"/>
      <c r="AS1998" s="15"/>
      <c r="AT1998" s="15"/>
      <c r="AU1998" s="15"/>
    </row>
    <row r="1999" ht="24.0" customHeight="1">
      <c r="A1999" s="45">
        <v>3423.0</v>
      </c>
      <c r="B1999" s="57"/>
      <c r="C1999" s="57"/>
      <c r="D1999" s="88" t="str">
        <f t="array" ref="D1999">IFERROR(
  LOOKUP(2, 1/((TRIM(IMS!$E$8:$E$2574)=TRIM(IMS!$E1999))*(IMS!$C$8:$C$2574&lt;IMS!$C1999)),
         IMS!$C$8:$C$2574),
"")</f>
        <v/>
      </c>
      <c r="E1999" s="57"/>
      <c r="F1999" s="57"/>
      <c r="G1999" s="77" t="str">
        <f t="shared" si="901"/>
        <v/>
      </c>
      <c r="H1999" s="78" t="str">
        <f t="shared" si="902"/>
        <v/>
      </c>
      <c r="I1999" s="79"/>
      <c r="J1999" s="80" t="str">
        <f t="shared" si="903"/>
        <v>#NAME?</v>
      </c>
      <c r="K1999" s="58"/>
      <c r="L1999" s="58"/>
      <c r="M1999" s="57"/>
      <c r="N1999" s="57"/>
      <c r="O1999" s="58"/>
      <c r="P1999" s="82"/>
      <c r="Q1999" s="81"/>
      <c r="R1999" s="81"/>
      <c r="S1999" s="57"/>
      <c r="T1999" s="82"/>
      <c r="U1999" s="82"/>
      <c r="V1999" s="57"/>
      <c r="W1999" s="57"/>
      <c r="X1999" s="57" t="str">
        <f t="shared" si="917"/>
        <v/>
      </c>
      <c r="Y1999" s="58" t="str">
        <f t="shared" ref="Y1999:AC1999" si="1839">TRIM(SUBSTITUTE(SUBSTITUTE(OFFSET($Q1999,0,COLUMN()-COLUMN($AL$1)),CHAR(160)," "),_xludf.UNICHAR(8239)," "))</f>
        <v>#NAME?</v>
      </c>
      <c r="Z1999" s="58" t="str">
        <f t="shared" si="1839"/>
        <v>#NAME?</v>
      </c>
      <c r="AA1999" s="58" t="str">
        <f t="shared" si="1839"/>
        <v>#NAME?</v>
      </c>
      <c r="AB1999" s="58" t="str">
        <f t="shared" si="1839"/>
        <v>#NAME?</v>
      </c>
      <c r="AC1999" s="58" t="str">
        <f t="shared" si="1839"/>
        <v>#NAME?</v>
      </c>
      <c r="AD1999" s="57">
        <f t="shared" si="906"/>
        <v>0</v>
      </c>
      <c r="AE1999" s="57" t="str">
        <f t="shared" si="907"/>
        <v/>
      </c>
      <c r="AF1999" s="57">
        <f t="shared" si="908"/>
        <v>0</v>
      </c>
      <c r="AG1999" s="59">
        <f t="shared" si="909"/>
        <v>0</v>
      </c>
      <c r="AH1999" s="15"/>
      <c r="AI1999" s="15"/>
      <c r="AJ1999" s="15"/>
      <c r="AK1999" s="15"/>
      <c r="AL1999" s="15"/>
      <c r="AM1999" s="15"/>
      <c r="AN1999" s="15"/>
      <c r="AO1999" s="15"/>
      <c r="AP1999" s="15"/>
      <c r="AQ1999" s="15"/>
      <c r="AR1999" s="15"/>
      <c r="AS1999" s="15"/>
      <c r="AT1999" s="15"/>
      <c r="AU1999" s="15"/>
    </row>
    <row r="2000" ht="24.0" customHeight="1">
      <c r="A2000" s="45">
        <v>3424.0</v>
      </c>
      <c r="B2000" s="57"/>
      <c r="C2000" s="57"/>
      <c r="D2000" s="88" t="str">
        <f t="array" ref="D2000">IFERROR(
  LOOKUP(2, 1/((TRIM(IMS!$E$8:$E$2574)=TRIM(IMS!$E2000))*(IMS!$C$8:$C$2574&lt;IMS!$C2000)),
         IMS!$C$8:$C$2574),
"")</f>
        <v/>
      </c>
      <c r="E2000" s="57"/>
      <c r="F2000" s="57"/>
      <c r="G2000" s="77" t="str">
        <f t="shared" si="901"/>
        <v/>
      </c>
      <c r="H2000" s="78" t="str">
        <f t="shared" si="902"/>
        <v/>
      </c>
      <c r="I2000" s="79"/>
      <c r="J2000" s="80" t="str">
        <f t="shared" si="903"/>
        <v>#NAME?</v>
      </c>
      <c r="K2000" s="58"/>
      <c r="L2000" s="58"/>
      <c r="M2000" s="57"/>
      <c r="N2000" s="57"/>
      <c r="O2000" s="58"/>
      <c r="P2000" s="82"/>
      <c r="Q2000" s="81"/>
      <c r="R2000" s="81"/>
      <c r="S2000" s="57"/>
      <c r="T2000" s="82"/>
      <c r="U2000" s="82"/>
      <c r="V2000" s="57"/>
      <c r="W2000" s="57"/>
      <c r="X2000" s="57" t="str">
        <f t="shared" si="917"/>
        <v/>
      </c>
      <c r="Y2000" s="58" t="str">
        <f t="shared" ref="Y2000:AC2000" si="1840">TRIM(SUBSTITUTE(SUBSTITUTE(OFFSET($Q2000,0,COLUMN()-COLUMN($AL$1)),CHAR(160)," "),_xludf.UNICHAR(8239)," "))</f>
        <v>#NAME?</v>
      </c>
      <c r="Z2000" s="58" t="str">
        <f t="shared" si="1840"/>
        <v>#NAME?</v>
      </c>
      <c r="AA2000" s="58" t="str">
        <f t="shared" si="1840"/>
        <v>#NAME?</v>
      </c>
      <c r="AB2000" s="58" t="str">
        <f t="shared" si="1840"/>
        <v>#NAME?</v>
      </c>
      <c r="AC2000" s="58" t="str">
        <f t="shared" si="1840"/>
        <v>#NAME?</v>
      </c>
      <c r="AD2000" s="57">
        <f t="shared" si="906"/>
        <v>0</v>
      </c>
      <c r="AE2000" s="57" t="str">
        <f t="shared" si="907"/>
        <v/>
      </c>
      <c r="AF2000" s="57">
        <f t="shared" si="908"/>
        <v>0</v>
      </c>
      <c r="AG2000" s="59">
        <f t="shared" si="909"/>
        <v>0</v>
      </c>
      <c r="AH2000" s="15"/>
      <c r="AI2000" s="15"/>
      <c r="AJ2000" s="15"/>
      <c r="AK2000" s="15"/>
      <c r="AL2000" s="15"/>
      <c r="AM2000" s="15"/>
      <c r="AN2000" s="15"/>
      <c r="AO2000" s="15"/>
      <c r="AP2000" s="15"/>
      <c r="AQ2000" s="15"/>
      <c r="AR2000" s="15"/>
      <c r="AS2000" s="15"/>
      <c r="AT2000" s="15"/>
      <c r="AU2000" s="15"/>
    </row>
    <row r="2001" ht="24.0" customHeight="1">
      <c r="A2001" s="45">
        <v>3425.0</v>
      </c>
      <c r="B2001" s="57"/>
      <c r="C2001" s="57"/>
      <c r="D2001" s="88" t="str">
        <f t="array" ref="D2001">IFERROR(
  LOOKUP(2, 1/((TRIM(IMS!$E$8:$E$2574)=TRIM(IMS!$E2001))*(IMS!$C$8:$C$2574&lt;IMS!$C2001)),
         IMS!$C$8:$C$2574),
"")</f>
        <v/>
      </c>
      <c r="E2001" s="57"/>
      <c r="F2001" s="57"/>
      <c r="G2001" s="77" t="str">
        <f t="shared" si="901"/>
        <v/>
      </c>
      <c r="H2001" s="78" t="str">
        <f t="shared" si="902"/>
        <v/>
      </c>
      <c r="I2001" s="79"/>
      <c r="J2001" s="80" t="str">
        <f t="shared" si="903"/>
        <v>#NAME?</v>
      </c>
      <c r="K2001" s="58"/>
      <c r="L2001" s="58"/>
      <c r="M2001" s="57"/>
      <c r="N2001" s="57"/>
      <c r="O2001" s="58"/>
      <c r="P2001" s="82"/>
      <c r="Q2001" s="81"/>
      <c r="R2001" s="81"/>
      <c r="S2001" s="57"/>
      <c r="T2001" s="82"/>
      <c r="U2001" s="82"/>
      <c r="V2001" s="57"/>
      <c r="W2001" s="57"/>
      <c r="X2001" s="57" t="str">
        <f t="shared" si="917"/>
        <v/>
      </c>
      <c r="Y2001" s="58" t="str">
        <f t="shared" ref="Y2001:AC2001" si="1841">TRIM(SUBSTITUTE(SUBSTITUTE(OFFSET($Q2001,0,COLUMN()-COLUMN($AL$1)),CHAR(160)," "),_xludf.UNICHAR(8239)," "))</f>
        <v>#NAME?</v>
      </c>
      <c r="Z2001" s="58" t="str">
        <f t="shared" si="1841"/>
        <v>#NAME?</v>
      </c>
      <c r="AA2001" s="58" t="str">
        <f t="shared" si="1841"/>
        <v>#NAME?</v>
      </c>
      <c r="AB2001" s="58" t="str">
        <f t="shared" si="1841"/>
        <v>#NAME?</v>
      </c>
      <c r="AC2001" s="58" t="str">
        <f t="shared" si="1841"/>
        <v>#NAME?</v>
      </c>
      <c r="AD2001" s="57">
        <f t="shared" si="906"/>
        <v>0</v>
      </c>
      <c r="AE2001" s="57" t="str">
        <f t="shared" si="907"/>
        <v/>
      </c>
      <c r="AF2001" s="57">
        <f t="shared" si="908"/>
        <v>0</v>
      </c>
      <c r="AG2001" s="59">
        <f t="shared" si="909"/>
        <v>0</v>
      </c>
      <c r="AH2001" s="15"/>
      <c r="AI2001" s="15"/>
      <c r="AJ2001" s="15"/>
      <c r="AK2001" s="15"/>
      <c r="AL2001" s="15"/>
      <c r="AM2001" s="15"/>
      <c r="AN2001" s="15"/>
      <c r="AO2001" s="15"/>
      <c r="AP2001" s="15"/>
      <c r="AQ2001" s="15"/>
      <c r="AR2001" s="15"/>
      <c r="AS2001" s="15"/>
      <c r="AT2001" s="15"/>
      <c r="AU2001" s="15"/>
    </row>
    <row r="2002" ht="24.0" customHeight="1">
      <c r="A2002" s="45">
        <v>3426.0</v>
      </c>
      <c r="B2002" s="57"/>
      <c r="C2002" s="57"/>
      <c r="D2002" s="88" t="str">
        <f t="array" ref="D2002">IFERROR(
  LOOKUP(2, 1/((TRIM(IMS!$E$8:$E$2574)=TRIM(IMS!$E2002))*(IMS!$C$8:$C$2574&lt;IMS!$C2002)),
         IMS!$C$8:$C$2574),
"")</f>
        <v/>
      </c>
      <c r="E2002" s="57"/>
      <c r="F2002" s="57"/>
      <c r="G2002" s="77" t="str">
        <f t="shared" si="901"/>
        <v/>
      </c>
      <c r="H2002" s="78" t="str">
        <f t="shared" si="902"/>
        <v/>
      </c>
      <c r="I2002" s="79"/>
      <c r="J2002" s="80" t="str">
        <f t="shared" si="903"/>
        <v>#NAME?</v>
      </c>
      <c r="K2002" s="58"/>
      <c r="L2002" s="58"/>
      <c r="M2002" s="57"/>
      <c r="N2002" s="57"/>
      <c r="O2002" s="58"/>
      <c r="P2002" s="82"/>
      <c r="Q2002" s="81"/>
      <c r="R2002" s="81"/>
      <c r="S2002" s="57"/>
      <c r="T2002" s="82"/>
      <c r="U2002" s="82"/>
      <c r="V2002" s="57"/>
      <c r="W2002" s="57"/>
      <c r="X2002" s="57" t="str">
        <f t="shared" si="917"/>
        <v/>
      </c>
      <c r="Y2002" s="58" t="str">
        <f t="shared" ref="Y2002:AC2002" si="1842">TRIM(SUBSTITUTE(SUBSTITUTE(OFFSET($Q2002,0,COLUMN()-COLUMN($AL$1)),CHAR(160)," "),_xludf.UNICHAR(8239)," "))</f>
        <v>#NAME?</v>
      </c>
      <c r="Z2002" s="58" t="str">
        <f t="shared" si="1842"/>
        <v>#NAME?</v>
      </c>
      <c r="AA2002" s="58" t="str">
        <f t="shared" si="1842"/>
        <v>#NAME?</v>
      </c>
      <c r="AB2002" s="58" t="str">
        <f t="shared" si="1842"/>
        <v>#NAME?</v>
      </c>
      <c r="AC2002" s="58" t="str">
        <f t="shared" si="1842"/>
        <v>#NAME?</v>
      </c>
      <c r="AD2002" s="57">
        <f t="shared" si="906"/>
        <v>0</v>
      </c>
      <c r="AE2002" s="57" t="str">
        <f t="shared" si="907"/>
        <v/>
      </c>
      <c r="AF2002" s="57">
        <f t="shared" si="908"/>
        <v>0</v>
      </c>
      <c r="AG2002" s="59">
        <f t="shared" si="909"/>
        <v>0</v>
      </c>
      <c r="AH2002" s="15"/>
      <c r="AI2002" s="15"/>
      <c r="AJ2002" s="15"/>
      <c r="AK2002" s="15"/>
      <c r="AL2002" s="15"/>
      <c r="AM2002" s="15"/>
      <c r="AN2002" s="15"/>
      <c r="AO2002" s="15"/>
      <c r="AP2002" s="15"/>
      <c r="AQ2002" s="15"/>
      <c r="AR2002" s="15"/>
      <c r="AS2002" s="15"/>
      <c r="AT2002" s="15"/>
      <c r="AU2002" s="15"/>
    </row>
    <row r="2003" ht="24.0" customHeight="1">
      <c r="A2003" s="45">
        <v>3427.0</v>
      </c>
      <c r="B2003" s="57"/>
      <c r="C2003" s="57"/>
      <c r="D2003" s="88" t="str">
        <f t="array" ref="D2003">IFERROR(
  LOOKUP(2, 1/((TRIM(IMS!$E$8:$E$2574)=TRIM(IMS!$E2003))*(IMS!$C$8:$C$2574&lt;IMS!$C2003)),
         IMS!$C$8:$C$2574),
"")</f>
        <v/>
      </c>
      <c r="E2003" s="57"/>
      <c r="F2003" s="57"/>
      <c r="G2003" s="77" t="str">
        <f t="shared" si="901"/>
        <v/>
      </c>
      <c r="H2003" s="78" t="str">
        <f t="shared" si="902"/>
        <v/>
      </c>
      <c r="I2003" s="79"/>
      <c r="J2003" s="80" t="str">
        <f t="shared" si="903"/>
        <v>#NAME?</v>
      </c>
      <c r="K2003" s="58"/>
      <c r="L2003" s="58"/>
      <c r="M2003" s="57"/>
      <c r="N2003" s="57"/>
      <c r="O2003" s="58"/>
      <c r="P2003" s="82"/>
      <c r="Q2003" s="81"/>
      <c r="R2003" s="81"/>
      <c r="S2003" s="57"/>
      <c r="T2003" s="82"/>
      <c r="U2003" s="82"/>
      <c r="V2003" s="57"/>
      <c r="W2003" s="57"/>
      <c r="X2003" s="57" t="str">
        <f t="shared" si="917"/>
        <v/>
      </c>
      <c r="Y2003" s="58" t="str">
        <f t="shared" ref="Y2003:AC2003" si="1843">TRIM(SUBSTITUTE(SUBSTITUTE(OFFSET($Q2003,0,COLUMN()-COLUMN($AL$1)),CHAR(160)," "),_xludf.UNICHAR(8239)," "))</f>
        <v>#NAME?</v>
      </c>
      <c r="Z2003" s="58" t="str">
        <f t="shared" si="1843"/>
        <v>#NAME?</v>
      </c>
      <c r="AA2003" s="58" t="str">
        <f t="shared" si="1843"/>
        <v>#NAME?</v>
      </c>
      <c r="AB2003" s="58" t="str">
        <f t="shared" si="1843"/>
        <v>#NAME?</v>
      </c>
      <c r="AC2003" s="58" t="str">
        <f t="shared" si="1843"/>
        <v>#NAME?</v>
      </c>
      <c r="AD2003" s="57">
        <f t="shared" si="906"/>
        <v>0</v>
      </c>
      <c r="AE2003" s="57" t="str">
        <f t="shared" si="907"/>
        <v/>
      </c>
      <c r="AF2003" s="57">
        <f t="shared" si="908"/>
        <v>0</v>
      </c>
      <c r="AG2003" s="59">
        <f t="shared" si="909"/>
        <v>0</v>
      </c>
      <c r="AH2003" s="15"/>
      <c r="AI2003" s="15"/>
      <c r="AJ2003" s="15"/>
      <c r="AK2003" s="15"/>
      <c r="AL2003" s="15"/>
      <c r="AM2003" s="15"/>
      <c r="AN2003" s="15"/>
      <c r="AO2003" s="15"/>
      <c r="AP2003" s="15"/>
      <c r="AQ2003" s="15"/>
      <c r="AR2003" s="15"/>
      <c r="AS2003" s="15"/>
      <c r="AT2003" s="15"/>
      <c r="AU2003" s="15"/>
    </row>
    <row r="2004" ht="24.0" customHeight="1">
      <c r="A2004" s="45">
        <v>3428.0</v>
      </c>
      <c r="B2004" s="57"/>
      <c r="C2004" s="57"/>
      <c r="D2004" s="88" t="str">
        <f t="array" ref="D2004">IFERROR(
  LOOKUP(2, 1/((TRIM(IMS!$E$8:$E$2574)=TRIM(IMS!$E2004))*(IMS!$C$8:$C$2574&lt;IMS!$C2004)),
         IMS!$C$8:$C$2574),
"")</f>
        <v/>
      </c>
      <c r="E2004" s="57"/>
      <c r="F2004" s="57"/>
      <c r="G2004" s="77" t="str">
        <f t="shared" si="901"/>
        <v/>
      </c>
      <c r="H2004" s="78" t="str">
        <f t="shared" si="902"/>
        <v/>
      </c>
      <c r="I2004" s="79"/>
      <c r="J2004" s="80" t="str">
        <f t="shared" si="903"/>
        <v>#NAME?</v>
      </c>
      <c r="K2004" s="58"/>
      <c r="L2004" s="58"/>
      <c r="M2004" s="57"/>
      <c r="N2004" s="57"/>
      <c r="O2004" s="58"/>
      <c r="P2004" s="82"/>
      <c r="Q2004" s="81"/>
      <c r="R2004" s="81"/>
      <c r="S2004" s="57"/>
      <c r="T2004" s="82"/>
      <c r="U2004" s="82"/>
      <c r="V2004" s="57"/>
      <c r="W2004" s="57"/>
      <c r="X2004" s="57" t="str">
        <f t="shared" si="917"/>
        <v/>
      </c>
      <c r="Y2004" s="58" t="str">
        <f t="shared" ref="Y2004:AC2004" si="1844">TRIM(SUBSTITUTE(SUBSTITUTE(OFFSET($Q2004,0,COLUMN()-COLUMN($AL$1)),CHAR(160)," "),_xludf.UNICHAR(8239)," "))</f>
        <v>#NAME?</v>
      </c>
      <c r="Z2004" s="58" t="str">
        <f t="shared" si="1844"/>
        <v>#NAME?</v>
      </c>
      <c r="AA2004" s="58" t="str">
        <f t="shared" si="1844"/>
        <v>#NAME?</v>
      </c>
      <c r="AB2004" s="58" t="str">
        <f t="shared" si="1844"/>
        <v>#NAME?</v>
      </c>
      <c r="AC2004" s="58" t="str">
        <f t="shared" si="1844"/>
        <v>#NAME?</v>
      </c>
      <c r="AD2004" s="57">
        <f t="shared" si="906"/>
        <v>0</v>
      </c>
      <c r="AE2004" s="57" t="str">
        <f t="shared" si="907"/>
        <v/>
      </c>
      <c r="AF2004" s="57">
        <f t="shared" si="908"/>
        <v>0</v>
      </c>
      <c r="AG2004" s="59">
        <f t="shared" si="909"/>
        <v>0</v>
      </c>
      <c r="AH2004" s="15"/>
      <c r="AI2004" s="15"/>
      <c r="AJ2004" s="15"/>
      <c r="AK2004" s="15"/>
      <c r="AL2004" s="15"/>
      <c r="AM2004" s="15"/>
      <c r="AN2004" s="15"/>
      <c r="AO2004" s="15"/>
      <c r="AP2004" s="15"/>
      <c r="AQ2004" s="15"/>
      <c r="AR2004" s="15"/>
      <c r="AS2004" s="15"/>
      <c r="AT2004" s="15"/>
      <c r="AU2004" s="15"/>
    </row>
    <row r="2005" ht="24.0" customHeight="1">
      <c r="A2005" s="45">
        <v>3429.0</v>
      </c>
      <c r="B2005" s="57"/>
      <c r="C2005" s="57"/>
      <c r="D2005" s="88" t="str">
        <f t="array" ref="D2005">IFERROR(
  LOOKUP(2, 1/((TRIM(IMS!$E$8:$E$2574)=TRIM(IMS!$E2005))*(IMS!$C$8:$C$2574&lt;IMS!$C2005)),
         IMS!$C$8:$C$2574),
"")</f>
        <v/>
      </c>
      <c r="E2005" s="57"/>
      <c r="F2005" s="57"/>
      <c r="G2005" s="77" t="str">
        <f t="shared" si="901"/>
        <v/>
      </c>
      <c r="H2005" s="78" t="str">
        <f t="shared" si="902"/>
        <v/>
      </c>
      <c r="I2005" s="79"/>
      <c r="J2005" s="80" t="str">
        <f t="shared" si="903"/>
        <v>#NAME?</v>
      </c>
      <c r="K2005" s="58"/>
      <c r="L2005" s="58"/>
      <c r="M2005" s="57"/>
      <c r="N2005" s="57"/>
      <c r="O2005" s="58"/>
      <c r="P2005" s="82"/>
      <c r="Q2005" s="81"/>
      <c r="R2005" s="81"/>
      <c r="S2005" s="57"/>
      <c r="T2005" s="82"/>
      <c r="U2005" s="82"/>
      <c r="V2005" s="57"/>
      <c r="W2005" s="57"/>
      <c r="X2005" s="57" t="str">
        <f t="shared" si="917"/>
        <v/>
      </c>
      <c r="Y2005" s="58" t="str">
        <f t="shared" ref="Y2005:AC2005" si="1845">TRIM(SUBSTITUTE(SUBSTITUTE(OFFSET($Q2005,0,COLUMN()-COLUMN($AL$1)),CHAR(160)," "),_xludf.UNICHAR(8239)," "))</f>
        <v>#NAME?</v>
      </c>
      <c r="Z2005" s="58" t="str">
        <f t="shared" si="1845"/>
        <v>#NAME?</v>
      </c>
      <c r="AA2005" s="58" t="str">
        <f t="shared" si="1845"/>
        <v>#NAME?</v>
      </c>
      <c r="AB2005" s="58" t="str">
        <f t="shared" si="1845"/>
        <v>#NAME?</v>
      </c>
      <c r="AC2005" s="58" t="str">
        <f t="shared" si="1845"/>
        <v>#NAME?</v>
      </c>
      <c r="AD2005" s="57">
        <f t="shared" si="906"/>
        <v>0</v>
      </c>
      <c r="AE2005" s="57" t="str">
        <f t="shared" si="907"/>
        <v/>
      </c>
      <c r="AF2005" s="57">
        <f t="shared" si="908"/>
        <v>0</v>
      </c>
      <c r="AG2005" s="59">
        <f t="shared" si="909"/>
        <v>0</v>
      </c>
      <c r="AH2005" s="15"/>
      <c r="AI2005" s="15"/>
      <c r="AJ2005" s="15"/>
      <c r="AK2005" s="15"/>
      <c r="AL2005" s="15"/>
      <c r="AM2005" s="15"/>
      <c r="AN2005" s="15"/>
      <c r="AO2005" s="15"/>
      <c r="AP2005" s="15"/>
      <c r="AQ2005" s="15"/>
      <c r="AR2005" s="15"/>
      <c r="AS2005" s="15"/>
      <c r="AT2005" s="15"/>
      <c r="AU2005" s="15"/>
    </row>
    <row r="2006" ht="24.0" customHeight="1">
      <c r="A2006" s="45">
        <v>3430.0</v>
      </c>
      <c r="B2006" s="57"/>
      <c r="C2006" s="57"/>
      <c r="D2006" s="88" t="str">
        <f t="array" ref="D2006">IFERROR(
  LOOKUP(2, 1/((TRIM(IMS!$E$8:$E$2574)=TRIM(IMS!$E2006))*(IMS!$C$8:$C$2574&lt;IMS!$C2006)),
         IMS!$C$8:$C$2574),
"")</f>
        <v/>
      </c>
      <c r="E2006" s="57"/>
      <c r="F2006" s="57"/>
      <c r="G2006" s="77" t="str">
        <f t="shared" si="901"/>
        <v/>
      </c>
      <c r="H2006" s="78" t="str">
        <f t="shared" si="902"/>
        <v/>
      </c>
      <c r="I2006" s="79"/>
      <c r="J2006" s="80" t="str">
        <f t="shared" si="903"/>
        <v>#NAME?</v>
      </c>
      <c r="K2006" s="58"/>
      <c r="L2006" s="58"/>
      <c r="M2006" s="57"/>
      <c r="N2006" s="57"/>
      <c r="O2006" s="58"/>
      <c r="P2006" s="82"/>
      <c r="Q2006" s="81"/>
      <c r="R2006" s="81"/>
      <c r="S2006" s="57"/>
      <c r="T2006" s="82"/>
      <c r="U2006" s="82"/>
      <c r="V2006" s="57"/>
      <c r="W2006" s="57"/>
      <c r="X2006" s="57" t="str">
        <f t="shared" si="917"/>
        <v/>
      </c>
      <c r="Y2006" s="58" t="str">
        <f t="shared" ref="Y2006:AC2006" si="1846">TRIM(SUBSTITUTE(SUBSTITUTE(OFFSET($Q2006,0,COLUMN()-COLUMN($AL$1)),CHAR(160)," "),_xludf.UNICHAR(8239)," "))</f>
        <v>#NAME?</v>
      </c>
      <c r="Z2006" s="58" t="str">
        <f t="shared" si="1846"/>
        <v>#NAME?</v>
      </c>
      <c r="AA2006" s="58" t="str">
        <f t="shared" si="1846"/>
        <v>#NAME?</v>
      </c>
      <c r="AB2006" s="58" t="str">
        <f t="shared" si="1846"/>
        <v>#NAME?</v>
      </c>
      <c r="AC2006" s="58" t="str">
        <f t="shared" si="1846"/>
        <v>#NAME?</v>
      </c>
      <c r="AD2006" s="57">
        <f t="shared" si="906"/>
        <v>0</v>
      </c>
      <c r="AE2006" s="57" t="str">
        <f t="shared" si="907"/>
        <v/>
      </c>
      <c r="AF2006" s="57">
        <f t="shared" si="908"/>
        <v>0</v>
      </c>
      <c r="AG2006" s="59">
        <f t="shared" si="909"/>
        <v>0</v>
      </c>
      <c r="AH2006" s="15"/>
      <c r="AI2006" s="15"/>
      <c r="AJ2006" s="15"/>
      <c r="AK2006" s="15"/>
      <c r="AL2006" s="15"/>
      <c r="AM2006" s="15"/>
      <c r="AN2006" s="15"/>
      <c r="AO2006" s="15"/>
      <c r="AP2006" s="15"/>
      <c r="AQ2006" s="15"/>
      <c r="AR2006" s="15"/>
      <c r="AS2006" s="15"/>
      <c r="AT2006" s="15"/>
      <c r="AU2006" s="15"/>
    </row>
    <row r="2007" ht="24.0" customHeight="1">
      <c r="A2007" s="45">
        <v>3431.0</v>
      </c>
      <c r="B2007" s="57"/>
      <c r="C2007" s="57"/>
      <c r="D2007" s="88" t="str">
        <f t="array" ref="D2007">IFERROR(
  LOOKUP(2, 1/((TRIM(IMS!$E$8:$E$2574)=TRIM(IMS!$E2007))*(IMS!$C$8:$C$2574&lt;IMS!$C2007)),
         IMS!$C$8:$C$2574),
"")</f>
        <v/>
      </c>
      <c r="E2007" s="57"/>
      <c r="F2007" s="57"/>
      <c r="G2007" s="77" t="str">
        <f t="shared" si="901"/>
        <v/>
      </c>
      <c r="H2007" s="78" t="str">
        <f t="shared" si="902"/>
        <v/>
      </c>
      <c r="I2007" s="79"/>
      <c r="J2007" s="80" t="str">
        <f t="shared" si="903"/>
        <v>#NAME?</v>
      </c>
      <c r="K2007" s="58"/>
      <c r="L2007" s="58"/>
      <c r="M2007" s="57"/>
      <c r="N2007" s="57"/>
      <c r="O2007" s="58"/>
      <c r="P2007" s="82"/>
      <c r="Q2007" s="81"/>
      <c r="R2007" s="81"/>
      <c r="S2007" s="57"/>
      <c r="T2007" s="82"/>
      <c r="U2007" s="82"/>
      <c r="V2007" s="57"/>
      <c r="W2007" s="57"/>
      <c r="X2007" s="57" t="str">
        <f t="shared" si="917"/>
        <v/>
      </c>
      <c r="Y2007" s="58" t="str">
        <f t="shared" ref="Y2007:AC2007" si="1847">TRIM(SUBSTITUTE(SUBSTITUTE(OFFSET($Q2007,0,COLUMN()-COLUMN($AL$1)),CHAR(160)," "),_xludf.UNICHAR(8239)," "))</f>
        <v>#NAME?</v>
      </c>
      <c r="Z2007" s="58" t="str">
        <f t="shared" si="1847"/>
        <v>#NAME?</v>
      </c>
      <c r="AA2007" s="58" t="str">
        <f t="shared" si="1847"/>
        <v>#NAME?</v>
      </c>
      <c r="AB2007" s="58" t="str">
        <f t="shared" si="1847"/>
        <v>#NAME?</v>
      </c>
      <c r="AC2007" s="58" t="str">
        <f t="shared" si="1847"/>
        <v>#NAME?</v>
      </c>
      <c r="AD2007" s="57">
        <f t="shared" si="906"/>
        <v>0</v>
      </c>
      <c r="AE2007" s="57" t="str">
        <f t="shared" si="907"/>
        <v/>
      </c>
      <c r="AF2007" s="57">
        <f t="shared" si="908"/>
        <v>0</v>
      </c>
      <c r="AG2007" s="59">
        <f t="shared" si="909"/>
        <v>0</v>
      </c>
      <c r="AH2007" s="15"/>
      <c r="AI2007" s="15"/>
      <c r="AJ2007" s="15"/>
      <c r="AK2007" s="15"/>
      <c r="AL2007" s="15"/>
      <c r="AM2007" s="15"/>
      <c r="AN2007" s="15"/>
      <c r="AO2007" s="15"/>
      <c r="AP2007" s="15"/>
      <c r="AQ2007" s="15"/>
      <c r="AR2007" s="15"/>
      <c r="AS2007" s="15"/>
      <c r="AT2007" s="15"/>
      <c r="AU2007" s="15"/>
    </row>
    <row r="2008" ht="24.0" customHeight="1">
      <c r="A2008" s="45">
        <v>3432.0</v>
      </c>
      <c r="B2008" s="57"/>
      <c r="C2008" s="57"/>
      <c r="D2008" s="88" t="str">
        <f t="array" ref="D2008">IFERROR(
  LOOKUP(2, 1/((TRIM(IMS!$E$8:$E$2574)=TRIM(IMS!$E2008))*(IMS!$C$8:$C$2574&lt;IMS!$C2008)),
         IMS!$C$8:$C$2574),
"")</f>
        <v/>
      </c>
      <c r="E2008" s="57"/>
      <c r="F2008" s="57"/>
      <c r="G2008" s="77" t="str">
        <f t="shared" si="901"/>
        <v/>
      </c>
      <c r="H2008" s="78" t="str">
        <f t="shared" si="902"/>
        <v/>
      </c>
      <c r="I2008" s="79"/>
      <c r="J2008" s="80" t="str">
        <f t="shared" si="903"/>
        <v>#NAME?</v>
      </c>
      <c r="K2008" s="58"/>
      <c r="L2008" s="58"/>
      <c r="M2008" s="57"/>
      <c r="N2008" s="57"/>
      <c r="O2008" s="58"/>
      <c r="P2008" s="82"/>
      <c r="Q2008" s="81"/>
      <c r="R2008" s="81"/>
      <c r="S2008" s="57"/>
      <c r="T2008" s="82"/>
      <c r="U2008" s="82"/>
      <c r="V2008" s="57"/>
      <c r="W2008" s="57"/>
      <c r="X2008" s="57" t="str">
        <f t="shared" si="917"/>
        <v/>
      </c>
      <c r="Y2008" s="58" t="str">
        <f t="shared" ref="Y2008:AC2008" si="1848">TRIM(SUBSTITUTE(SUBSTITUTE(OFFSET($Q2008,0,COLUMN()-COLUMN($AL$1)),CHAR(160)," "),_xludf.UNICHAR(8239)," "))</f>
        <v>#NAME?</v>
      </c>
      <c r="Z2008" s="58" t="str">
        <f t="shared" si="1848"/>
        <v>#NAME?</v>
      </c>
      <c r="AA2008" s="58" t="str">
        <f t="shared" si="1848"/>
        <v>#NAME?</v>
      </c>
      <c r="AB2008" s="58" t="str">
        <f t="shared" si="1848"/>
        <v>#NAME?</v>
      </c>
      <c r="AC2008" s="58" t="str">
        <f t="shared" si="1848"/>
        <v>#NAME?</v>
      </c>
      <c r="AD2008" s="57">
        <f t="shared" si="906"/>
        <v>0</v>
      </c>
      <c r="AE2008" s="57" t="str">
        <f t="shared" si="907"/>
        <v/>
      </c>
      <c r="AF2008" s="57">
        <f t="shared" si="908"/>
        <v>0</v>
      </c>
      <c r="AG2008" s="59">
        <f t="shared" si="909"/>
        <v>0</v>
      </c>
      <c r="AH2008" s="15"/>
      <c r="AI2008" s="15"/>
      <c r="AJ2008" s="15"/>
      <c r="AK2008" s="15"/>
      <c r="AL2008" s="15"/>
      <c r="AM2008" s="15"/>
      <c r="AN2008" s="15"/>
      <c r="AO2008" s="15"/>
      <c r="AP2008" s="15"/>
      <c r="AQ2008" s="15"/>
      <c r="AR2008" s="15"/>
      <c r="AS2008" s="15"/>
      <c r="AT2008" s="15"/>
      <c r="AU2008" s="15"/>
    </row>
    <row r="2009" ht="24.0" customHeight="1">
      <c r="A2009" s="45">
        <v>3433.0</v>
      </c>
      <c r="B2009" s="57"/>
      <c r="C2009" s="57"/>
      <c r="D2009" s="88" t="str">
        <f t="array" ref="D2009">IFERROR(
  LOOKUP(2, 1/((TRIM(IMS!$E$8:$E$2574)=TRIM(IMS!$E2009))*(IMS!$C$8:$C$2574&lt;IMS!$C2009)),
         IMS!$C$8:$C$2574),
"")</f>
        <v/>
      </c>
      <c r="E2009" s="57"/>
      <c r="F2009" s="57"/>
      <c r="G2009" s="77" t="str">
        <f t="shared" si="901"/>
        <v/>
      </c>
      <c r="H2009" s="78" t="str">
        <f t="shared" si="902"/>
        <v/>
      </c>
      <c r="I2009" s="79"/>
      <c r="J2009" s="80" t="str">
        <f t="shared" si="903"/>
        <v>#NAME?</v>
      </c>
      <c r="K2009" s="58"/>
      <c r="L2009" s="58"/>
      <c r="M2009" s="57"/>
      <c r="N2009" s="57"/>
      <c r="O2009" s="58"/>
      <c r="P2009" s="82"/>
      <c r="Q2009" s="81"/>
      <c r="R2009" s="81"/>
      <c r="S2009" s="57"/>
      <c r="T2009" s="82"/>
      <c r="U2009" s="82"/>
      <c r="V2009" s="57"/>
      <c r="W2009" s="57"/>
      <c r="X2009" s="57" t="str">
        <f t="shared" si="917"/>
        <v/>
      </c>
      <c r="Y2009" s="58" t="str">
        <f t="shared" ref="Y2009:AC2009" si="1849">TRIM(SUBSTITUTE(SUBSTITUTE(OFFSET($Q2009,0,COLUMN()-COLUMN($AL$1)),CHAR(160)," "),_xludf.UNICHAR(8239)," "))</f>
        <v>#NAME?</v>
      </c>
      <c r="Z2009" s="58" t="str">
        <f t="shared" si="1849"/>
        <v>#NAME?</v>
      </c>
      <c r="AA2009" s="58" t="str">
        <f t="shared" si="1849"/>
        <v>#NAME?</v>
      </c>
      <c r="AB2009" s="58" t="str">
        <f t="shared" si="1849"/>
        <v>#NAME?</v>
      </c>
      <c r="AC2009" s="58" t="str">
        <f t="shared" si="1849"/>
        <v>#NAME?</v>
      </c>
      <c r="AD2009" s="57">
        <f t="shared" si="906"/>
        <v>0</v>
      </c>
      <c r="AE2009" s="57" t="str">
        <f t="shared" si="907"/>
        <v/>
      </c>
      <c r="AF2009" s="57">
        <f t="shared" si="908"/>
        <v>0</v>
      </c>
      <c r="AG2009" s="59">
        <f t="shared" si="909"/>
        <v>0</v>
      </c>
      <c r="AH2009" s="15"/>
      <c r="AI2009" s="15"/>
      <c r="AJ2009" s="15"/>
      <c r="AK2009" s="15"/>
      <c r="AL2009" s="15"/>
      <c r="AM2009" s="15"/>
      <c r="AN2009" s="15"/>
      <c r="AO2009" s="15"/>
      <c r="AP2009" s="15"/>
      <c r="AQ2009" s="15"/>
      <c r="AR2009" s="15"/>
      <c r="AS2009" s="15"/>
      <c r="AT2009" s="15"/>
      <c r="AU2009" s="15"/>
    </row>
    <row r="2010" ht="24.0" customHeight="1">
      <c r="A2010" s="45">
        <v>3434.0</v>
      </c>
      <c r="B2010" s="57"/>
      <c r="C2010" s="57"/>
      <c r="D2010" s="88" t="str">
        <f t="array" ref="D2010">IFERROR(
  LOOKUP(2, 1/((TRIM(IMS!$E$8:$E$2574)=TRIM(IMS!$E2010))*(IMS!$C$8:$C$2574&lt;IMS!$C2010)),
         IMS!$C$8:$C$2574),
"")</f>
        <v/>
      </c>
      <c r="E2010" s="57"/>
      <c r="F2010" s="57"/>
      <c r="G2010" s="77" t="str">
        <f t="shared" si="901"/>
        <v/>
      </c>
      <c r="H2010" s="78" t="str">
        <f t="shared" si="902"/>
        <v/>
      </c>
      <c r="I2010" s="79"/>
      <c r="J2010" s="80" t="str">
        <f t="shared" si="903"/>
        <v>#NAME?</v>
      </c>
      <c r="K2010" s="58"/>
      <c r="L2010" s="58"/>
      <c r="M2010" s="57"/>
      <c r="N2010" s="57"/>
      <c r="O2010" s="58"/>
      <c r="P2010" s="82"/>
      <c r="Q2010" s="81"/>
      <c r="R2010" s="81"/>
      <c r="S2010" s="57"/>
      <c r="T2010" s="82"/>
      <c r="U2010" s="82"/>
      <c r="V2010" s="57"/>
      <c r="W2010" s="57"/>
      <c r="X2010" s="57" t="str">
        <f t="shared" si="917"/>
        <v/>
      </c>
      <c r="Y2010" s="58" t="str">
        <f t="shared" ref="Y2010:AC2010" si="1850">TRIM(SUBSTITUTE(SUBSTITUTE(OFFSET($Q2010,0,COLUMN()-COLUMN($AL$1)),CHAR(160)," "),_xludf.UNICHAR(8239)," "))</f>
        <v>#NAME?</v>
      </c>
      <c r="Z2010" s="58" t="str">
        <f t="shared" si="1850"/>
        <v>#NAME?</v>
      </c>
      <c r="AA2010" s="58" t="str">
        <f t="shared" si="1850"/>
        <v>#NAME?</v>
      </c>
      <c r="AB2010" s="58" t="str">
        <f t="shared" si="1850"/>
        <v>#NAME?</v>
      </c>
      <c r="AC2010" s="58" t="str">
        <f t="shared" si="1850"/>
        <v>#NAME?</v>
      </c>
      <c r="AD2010" s="57">
        <f t="shared" si="906"/>
        <v>0</v>
      </c>
      <c r="AE2010" s="57" t="str">
        <f t="shared" si="907"/>
        <v/>
      </c>
      <c r="AF2010" s="57">
        <f t="shared" si="908"/>
        <v>0</v>
      </c>
      <c r="AG2010" s="59">
        <f t="shared" si="909"/>
        <v>0</v>
      </c>
      <c r="AH2010" s="15"/>
      <c r="AI2010" s="15"/>
      <c r="AJ2010" s="15"/>
      <c r="AK2010" s="15"/>
      <c r="AL2010" s="15"/>
      <c r="AM2010" s="15"/>
      <c r="AN2010" s="15"/>
      <c r="AO2010" s="15"/>
      <c r="AP2010" s="15"/>
      <c r="AQ2010" s="15"/>
      <c r="AR2010" s="15"/>
      <c r="AS2010" s="15"/>
      <c r="AT2010" s="15"/>
      <c r="AU2010" s="15"/>
    </row>
    <row r="2011" ht="24.0" customHeight="1">
      <c r="A2011" s="45">
        <v>3435.0</v>
      </c>
      <c r="B2011" s="57"/>
      <c r="C2011" s="57"/>
      <c r="D2011" s="88" t="str">
        <f t="array" ref="D2011">IFERROR(
  LOOKUP(2, 1/((TRIM(IMS!$E$8:$E$2574)=TRIM(IMS!$E2011))*(IMS!$C$8:$C$2574&lt;IMS!$C2011)),
         IMS!$C$8:$C$2574),
"")</f>
        <v/>
      </c>
      <c r="E2011" s="57"/>
      <c r="F2011" s="57"/>
      <c r="G2011" s="77" t="str">
        <f t="shared" si="901"/>
        <v/>
      </c>
      <c r="H2011" s="78" t="str">
        <f t="shared" si="902"/>
        <v/>
      </c>
      <c r="I2011" s="79"/>
      <c r="J2011" s="80" t="str">
        <f t="shared" si="903"/>
        <v>#NAME?</v>
      </c>
      <c r="K2011" s="58"/>
      <c r="L2011" s="58"/>
      <c r="M2011" s="57"/>
      <c r="N2011" s="57"/>
      <c r="O2011" s="58"/>
      <c r="P2011" s="82"/>
      <c r="Q2011" s="81"/>
      <c r="R2011" s="81"/>
      <c r="S2011" s="57"/>
      <c r="T2011" s="82"/>
      <c r="U2011" s="82"/>
      <c r="V2011" s="57"/>
      <c r="W2011" s="57"/>
      <c r="X2011" s="57" t="str">
        <f t="shared" si="917"/>
        <v/>
      </c>
      <c r="Y2011" s="58" t="str">
        <f t="shared" ref="Y2011:AC2011" si="1851">TRIM(SUBSTITUTE(SUBSTITUTE(OFFSET($Q2011,0,COLUMN()-COLUMN($AL$1)),CHAR(160)," "),_xludf.UNICHAR(8239)," "))</f>
        <v>#NAME?</v>
      </c>
      <c r="Z2011" s="58" t="str">
        <f t="shared" si="1851"/>
        <v>#NAME?</v>
      </c>
      <c r="AA2011" s="58" t="str">
        <f t="shared" si="1851"/>
        <v>#NAME?</v>
      </c>
      <c r="AB2011" s="58" t="str">
        <f t="shared" si="1851"/>
        <v>#NAME?</v>
      </c>
      <c r="AC2011" s="58" t="str">
        <f t="shared" si="1851"/>
        <v>#NAME?</v>
      </c>
      <c r="AD2011" s="57">
        <f t="shared" si="906"/>
        <v>0</v>
      </c>
      <c r="AE2011" s="57" t="str">
        <f t="shared" si="907"/>
        <v/>
      </c>
      <c r="AF2011" s="57">
        <f t="shared" si="908"/>
        <v>0</v>
      </c>
      <c r="AG2011" s="59">
        <f t="shared" si="909"/>
        <v>0</v>
      </c>
      <c r="AH2011" s="15"/>
      <c r="AI2011" s="15"/>
      <c r="AJ2011" s="15"/>
      <c r="AK2011" s="15"/>
      <c r="AL2011" s="15"/>
      <c r="AM2011" s="15"/>
      <c r="AN2011" s="15"/>
      <c r="AO2011" s="15"/>
      <c r="AP2011" s="15"/>
      <c r="AQ2011" s="15"/>
      <c r="AR2011" s="15"/>
      <c r="AS2011" s="15"/>
      <c r="AT2011" s="15"/>
      <c r="AU2011" s="15"/>
    </row>
    <row r="2012" ht="24.0" customHeight="1">
      <c r="A2012" s="45">
        <v>3436.0</v>
      </c>
      <c r="B2012" s="57"/>
      <c r="C2012" s="57"/>
      <c r="D2012" s="88" t="str">
        <f t="array" ref="D2012">IFERROR(
  LOOKUP(2, 1/((TRIM(IMS!$E$8:$E$2574)=TRIM(IMS!$E2012))*(IMS!$C$8:$C$2574&lt;IMS!$C2012)),
         IMS!$C$8:$C$2574),
"")</f>
        <v/>
      </c>
      <c r="E2012" s="57"/>
      <c r="F2012" s="57"/>
      <c r="G2012" s="77" t="str">
        <f t="shared" si="901"/>
        <v/>
      </c>
      <c r="H2012" s="78" t="str">
        <f t="shared" si="902"/>
        <v/>
      </c>
      <c r="I2012" s="79"/>
      <c r="J2012" s="80" t="str">
        <f t="shared" si="903"/>
        <v>#NAME?</v>
      </c>
      <c r="K2012" s="58"/>
      <c r="L2012" s="58"/>
      <c r="M2012" s="57"/>
      <c r="N2012" s="57"/>
      <c r="O2012" s="58"/>
      <c r="P2012" s="82"/>
      <c r="Q2012" s="81"/>
      <c r="R2012" s="81"/>
      <c r="S2012" s="57"/>
      <c r="T2012" s="82"/>
      <c r="U2012" s="82"/>
      <c r="V2012" s="57"/>
      <c r="W2012" s="57"/>
      <c r="X2012" s="57" t="str">
        <f t="shared" si="917"/>
        <v/>
      </c>
      <c r="Y2012" s="58" t="str">
        <f t="shared" ref="Y2012:AC2012" si="1852">TRIM(SUBSTITUTE(SUBSTITUTE(OFFSET($Q2012,0,COLUMN()-COLUMN($AL$1)),CHAR(160)," "),_xludf.UNICHAR(8239)," "))</f>
        <v>#NAME?</v>
      </c>
      <c r="Z2012" s="58" t="str">
        <f t="shared" si="1852"/>
        <v>#NAME?</v>
      </c>
      <c r="AA2012" s="58" t="str">
        <f t="shared" si="1852"/>
        <v>#NAME?</v>
      </c>
      <c r="AB2012" s="58" t="str">
        <f t="shared" si="1852"/>
        <v>#NAME?</v>
      </c>
      <c r="AC2012" s="58" t="str">
        <f t="shared" si="1852"/>
        <v>#NAME?</v>
      </c>
      <c r="AD2012" s="57">
        <f t="shared" si="906"/>
        <v>0</v>
      </c>
      <c r="AE2012" s="57" t="str">
        <f t="shared" si="907"/>
        <v/>
      </c>
      <c r="AF2012" s="57">
        <f t="shared" si="908"/>
        <v>0</v>
      </c>
      <c r="AG2012" s="59">
        <f t="shared" si="909"/>
        <v>0</v>
      </c>
      <c r="AH2012" s="15"/>
      <c r="AI2012" s="15"/>
      <c r="AJ2012" s="15"/>
      <c r="AK2012" s="15"/>
      <c r="AL2012" s="15"/>
      <c r="AM2012" s="15"/>
      <c r="AN2012" s="15"/>
      <c r="AO2012" s="15"/>
      <c r="AP2012" s="15"/>
      <c r="AQ2012" s="15"/>
      <c r="AR2012" s="15"/>
      <c r="AS2012" s="15"/>
      <c r="AT2012" s="15"/>
      <c r="AU2012" s="15"/>
    </row>
    <row r="2013" ht="24.0" customHeight="1">
      <c r="A2013" s="45">
        <v>3437.0</v>
      </c>
      <c r="B2013" s="57"/>
      <c r="C2013" s="57"/>
      <c r="D2013" s="88" t="str">
        <f t="array" ref="D2013">IFERROR(
  LOOKUP(2, 1/((TRIM(IMS!$E$8:$E$2574)=TRIM(IMS!$E2013))*(IMS!$C$8:$C$2574&lt;IMS!$C2013)),
         IMS!$C$8:$C$2574),
"")</f>
        <v/>
      </c>
      <c r="E2013" s="57"/>
      <c r="F2013" s="57"/>
      <c r="G2013" s="77" t="str">
        <f t="shared" si="901"/>
        <v/>
      </c>
      <c r="H2013" s="78" t="str">
        <f t="shared" si="902"/>
        <v/>
      </c>
      <c r="I2013" s="79"/>
      <c r="J2013" s="80" t="str">
        <f t="shared" si="903"/>
        <v>#NAME?</v>
      </c>
      <c r="K2013" s="58"/>
      <c r="L2013" s="58"/>
      <c r="M2013" s="57"/>
      <c r="N2013" s="57"/>
      <c r="O2013" s="58"/>
      <c r="P2013" s="82"/>
      <c r="Q2013" s="81"/>
      <c r="R2013" s="81"/>
      <c r="S2013" s="57"/>
      <c r="T2013" s="82"/>
      <c r="U2013" s="82"/>
      <c r="V2013" s="57"/>
      <c r="W2013" s="57"/>
      <c r="X2013" s="57" t="str">
        <f t="shared" si="917"/>
        <v/>
      </c>
      <c r="Y2013" s="58" t="str">
        <f t="shared" ref="Y2013:AC2013" si="1853">TRIM(SUBSTITUTE(SUBSTITUTE(OFFSET($Q2013,0,COLUMN()-COLUMN($AL$1)),CHAR(160)," "),_xludf.UNICHAR(8239)," "))</f>
        <v>#NAME?</v>
      </c>
      <c r="Z2013" s="58" t="str">
        <f t="shared" si="1853"/>
        <v>#NAME?</v>
      </c>
      <c r="AA2013" s="58" t="str">
        <f t="shared" si="1853"/>
        <v>#NAME?</v>
      </c>
      <c r="AB2013" s="58" t="str">
        <f t="shared" si="1853"/>
        <v>#NAME?</v>
      </c>
      <c r="AC2013" s="58" t="str">
        <f t="shared" si="1853"/>
        <v>#NAME?</v>
      </c>
      <c r="AD2013" s="57">
        <f t="shared" si="906"/>
        <v>0</v>
      </c>
      <c r="AE2013" s="57" t="str">
        <f t="shared" si="907"/>
        <v/>
      </c>
      <c r="AF2013" s="57">
        <f t="shared" si="908"/>
        <v>0</v>
      </c>
      <c r="AG2013" s="59">
        <f t="shared" si="909"/>
        <v>0</v>
      </c>
      <c r="AH2013" s="15"/>
      <c r="AI2013" s="15"/>
      <c r="AJ2013" s="15"/>
      <c r="AK2013" s="15"/>
      <c r="AL2013" s="15"/>
      <c r="AM2013" s="15"/>
      <c r="AN2013" s="15"/>
      <c r="AO2013" s="15"/>
      <c r="AP2013" s="15"/>
      <c r="AQ2013" s="15"/>
      <c r="AR2013" s="15"/>
      <c r="AS2013" s="15"/>
      <c r="AT2013" s="15"/>
      <c r="AU2013" s="15"/>
    </row>
    <row r="2014" ht="24.0" customHeight="1">
      <c r="A2014" s="45">
        <v>3438.0</v>
      </c>
      <c r="B2014" s="57"/>
      <c r="C2014" s="57"/>
      <c r="D2014" s="88" t="str">
        <f t="array" ref="D2014">IFERROR(
  LOOKUP(2, 1/((TRIM(IMS!$E$8:$E$2574)=TRIM(IMS!$E2014))*(IMS!$C$8:$C$2574&lt;IMS!$C2014)),
         IMS!$C$8:$C$2574),
"")</f>
        <v/>
      </c>
      <c r="E2014" s="57"/>
      <c r="F2014" s="57"/>
      <c r="G2014" s="77" t="str">
        <f t="shared" si="901"/>
        <v/>
      </c>
      <c r="H2014" s="78" t="str">
        <f t="shared" si="902"/>
        <v/>
      </c>
      <c r="I2014" s="79"/>
      <c r="J2014" s="80" t="str">
        <f t="shared" si="903"/>
        <v>#NAME?</v>
      </c>
      <c r="K2014" s="58"/>
      <c r="L2014" s="58"/>
      <c r="M2014" s="57"/>
      <c r="N2014" s="57"/>
      <c r="O2014" s="58"/>
      <c r="P2014" s="82"/>
      <c r="Q2014" s="81"/>
      <c r="R2014" s="81"/>
      <c r="S2014" s="57"/>
      <c r="T2014" s="82"/>
      <c r="U2014" s="82"/>
      <c r="V2014" s="57"/>
      <c r="W2014" s="57"/>
      <c r="X2014" s="57" t="str">
        <f t="shared" si="917"/>
        <v/>
      </c>
      <c r="Y2014" s="58" t="str">
        <f t="shared" ref="Y2014:AC2014" si="1854">TRIM(SUBSTITUTE(SUBSTITUTE(OFFSET($Q2014,0,COLUMN()-COLUMN($AL$1)),CHAR(160)," "),_xludf.UNICHAR(8239)," "))</f>
        <v>#NAME?</v>
      </c>
      <c r="Z2014" s="58" t="str">
        <f t="shared" si="1854"/>
        <v>#NAME?</v>
      </c>
      <c r="AA2014" s="58" t="str">
        <f t="shared" si="1854"/>
        <v>#NAME?</v>
      </c>
      <c r="AB2014" s="58" t="str">
        <f t="shared" si="1854"/>
        <v>#NAME?</v>
      </c>
      <c r="AC2014" s="58" t="str">
        <f t="shared" si="1854"/>
        <v>#NAME?</v>
      </c>
      <c r="AD2014" s="57">
        <f t="shared" si="906"/>
        <v>0</v>
      </c>
      <c r="AE2014" s="57" t="str">
        <f t="shared" si="907"/>
        <v/>
      </c>
      <c r="AF2014" s="57">
        <f t="shared" si="908"/>
        <v>0</v>
      </c>
      <c r="AG2014" s="59">
        <f t="shared" si="909"/>
        <v>0</v>
      </c>
      <c r="AH2014" s="15"/>
      <c r="AI2014" s="15"/>
      <c r="AJ2014" s="15"/>
      <c r="AK2014" s="15"/>
      <c r="AL2014" s="15"/>
      <c r="AM2014" s="15"/>
      <c r="AN2014" s="15"/>
      <c r="AO2014" s="15"/>
      <c r="AP2014" s="15"/>
      <c r="AQ2014" s="15"/>
      <c r="AR2014" s="15"/>
      <c r="AS2014" s="15"/>
      <c r="AT2014" s="15"/>
      <c r="AU2014" s="15"/>
    </row>
    <row r="2015" ht="24.0" customHeight="1">
      <c r="A2015" s="45">
        <v>3439.0</v>
      </c>
      <c r="B2015" s="57"/>
      <c r="C2015" s="57"/>
      <c r="D2015" s="88" t="str">
        <f t="array" ref="D2015">IFERROR(
  LOOKUP(2, 1/((TRIM(IMS!$E$8:$E$2574)=TRIM(IMS!$E2015))*(IMS!$C$8:$C$2574&lt;IMS!$C2015)),
         IMS!$C$8:$C$2574),
"")</f>
        <v/>
      </c>
      <c r="E2015" s="57"/>
      <c r="F2015" s="57"/>
      <c r="G2015" s="77" t="str">
        <f t="shared" si="901"/>
        <v/>
      </c>
      <c r="H2015" s="78" t="str">
        <f t="shared" si="902"/>
        <v/>
      </c>
      <c r="I2015" s="79"/>
      <c r="J2015" s="80" t="str">
        <f t="shared" si="903"/>
        <v>#NAME?</v>
      </c>
      <c r="K2015" s="58"/>
      <c r="L2015" s="58"/>
      <c r="M2015" s="57"/>
      <c r="N2015" s="57"/>
      <c r="O2015" s="58"/>
      <c r="P2015" s="82"/>
      <c r="Q2015" s="81"/>
      <c r="R2015" s="81"/>
      <c r="S2015" s="57"/>
      <c r="T2015" s="82"/>
      <c r="U2015" s="82"/>
      <c r="V2015" s="57"/>
      <c r="W2015" s="57"/>
      <c r="X2015" s="57" t="str">
        <f t="shared" si="917"/>
        <v/>
      </c>
      <c r="Y2015" s="58" t="str">
        <f t="shared" ref="Y2015:AC2015" si="1855">TRIM(SUBSTITUTE(SUBSTITUTE(OFFSET($Q2015,0,COLUMN()-COLUMN($AL$1)),CHAR(160)," "),_xludf.UNICHAR(8239)," "))</f>
        <v>#NAME?</v>
      </c>
      <c r="Z2015" s="58" t="str">
        <f t="shared" si="1855"/>
        <v>#NAME?</v>
      </c>
      <c r="AA2015" s="58" t="str">
        <f t="shared" si="1855"/>
        <v>#NAME?</v>
      </c>
      <c r="AB2015" s="58" t="str">
        <f t="shared" si="1855"/>
        <v>#NAME?</v>
      </c>
      <c r="AC2015" s="58" t="str">
        <f t="shared" si="1855"/>
        <v>#NAME?</v>
      </c>
      <c r="AD2015" s="57">
        <f t="shared" si="906"/>
        <v>0</v>
      </c>
      <c r="AE2015" s="57" t="str">
        <f t="shared" si="907"/>
        <v/>
      </c>
      <c r="AF2015" s="57">
        <f t="shared" si="908"/>
        <v>0</v>
      </c>
      <c r="AG2015" s="59">
        <f t="shared" si="909"/>
        <v>0</v>
      </c>
      <c r="AH2015" s="15"/>
      <c r="AI2015" s="15"/>
      <c r="AJ2015" s="15"/>
      <c r="AK2015" s="15"/>
      <c r="AL2015" s="15"/>
      <c r="AM2015" s="15"/>
      <c r="AN2015" s="15"/>
      <c r="AO2015" s="15"/>
      <c r="AP2015" s="15"/>
      <c r="AQ2015" s="15"/>
      <c r="AR2015" s="15"/>
      <c r="AS2015" s="15"/>
      <c r="AT2015" s="15"/>
      <c r="AU2015" s="15"/>
    </row>
    <row r="2016" ht="24.0" customHeight="1">
      <c r="A2016" s="45">
        <v>3440.0</v>
      </c>
      <c r="B2016" s="57"/>
      <c r="C2016" s="57"/>
      <c r="D2016" s="88" t="str">
        <f t="array" ref="D2016">IFERROR(
  LOOKUP(2, 1/((TRIM(IMS!$E$8:$E$2574)=TRIM(IMS!$E2016))*(IMS!$C$8:$C$2574&lt;IMS!$C2016)),
         IMS!$C$8:$C$2574),
"")</f>
        <v/>
      </c>
      <c r="E2016" s="57"/>
      <c r="F2016" s="57"/>
      <c r="G2016" s="77" t="str">
        <f t="shared" si="901"/>
        <v/>
      </c>
      <c r="H2016" s="78" t="str">
        <f t="shared" si="902"/>
        <v/>
      </c>
      <c r="I2016" s="79"/>
      <c r="J2016" s="80" t="str">
        <f t="shared" si="903"/>
        <v>#NAME?</v>
      </c>
      <c r="K2016" s="58"/>
      <c r="L2016" s="58"/>
      <c r="M2016" s="57"/>
      <c r="N2016" s="57"/>
      <c r="O2016" s="58"/>
      <c r="P2016" s="82"/>
      <c r="Q2016" s="81"/>
      <c r="R2016" s="81"/>
      <c r="S2016" s="57"/>
      <c r="T2016" s="82"/>
      <c r="U2016" s="82"/>
      <c r="V2016" s="57"/>
      <c r="W2016" s="57"/>
      <c r="X2016" s="57" t="str">
        <f t="shared" si="917"/>
        <v/>
      </c>
      <c r="Y2016" s="58" t="str">
        <f t="shared" ref="Y2016:AC2016" si="1856">TRIM(SUBSTITUTE(SUBSTITUTE(OFFSET($Q2016,0,COLUMN()-COLUMN($AL$1)),CHAR(160)," "),_xludf.UNICHAR(8239)," "))</f>
        <v>#NAME?</v>
      </c>
      <c r="Z2016" s="58" t="str">
        <f t="shared" si="1856"/>
        <v>#NAME?</v>
      </c>
      <c r="AA2016" s="58" t="str">
        <f t="shared" si="1856"/>
        <v>#NAME?</v>
      </c>
      <c r="AB2016" s="58" t="str">
        <f t="shared" si="1856"/>
        <v>#NAME?</v>
      </c>
      <c r="AC2016" s="58" t="str">
        <f t="shared" si="1856"/>
        <v>#NAME?</v>
      </c>
      <c r="AD2016" s="57">
        <f t="shared" si="906"/>
        <v>0</v>
      </c>
      <c r="AE2016" s="57" t="str">
        <f t="shared" si="907"/>
        <v/>
      </c>
      <c r="AF2016" s="57">
        <f t="shared" si="908"/>
        <v>0</v>
      </c>
      <c r="AG2016" s="59">
        <f t="shared" si="909"/>
        <v>0</v>
      </c>
      <c r="AH2016" s="15"/>
      <c r="AI2016" s="15"/>
      <c r="AJ2016" s="15"/>
      <c r="AK2016" s="15"/>
      <c r="AL2016" s="15"/>
      <c r="AM2016" s="15"/>
      <c r="AN2016" s="15"/>
      <c r="AO2016" s="15"/>
      <c r="AP2016" s="15"/>
      <c r="AQ2016" s="15"/>
      <c r="AR2016" s="15"/>
      <c r="AS2016" s="15"/>
      <c r="AT2016" s="15"/>
      <c r="AU2016" s="15"/>
    </row>
    <row r="2017" ht="24.0" customHeight="1">
      <c r="A2017" s="45">
        <v>3441.0</v>
      </c>
      <c r="B2017" s="57"/>
      <c r="C2017" s="57"/>
      <c r="D2017" s="88" t="str">
        <f t="array" ref="D2017">IFERROR(
  LOOKUP(2, 1/((TRIM(IMS!$E$8:$E$2574)=TRIM(IMS!$E2017))*(IMS!$C$8:$C$2574&lt;IMS!$C2017)),
         IMS!$C$8:$C$2574),
"")</f>
        <v/>
      </c>
      <c r="E2017" s="57"/>
      <c r="F2017" s="57"/>
      <c r="G2017" s="77" t="str">
        <f t="shared" si="901"/>
        <v/>
      </c>
      <c r="H2017" s="78" t="str">
        <f t="shared" si="902"/>
        <v/>
      </c>
      <c r="I2017" s="79"/>
      <c r="J2017" s="80" t="str">
        <f t="shared" si="903"/>
        <v>#NAME?</v>
      </c>
      <c r="K2017" s="58"/>
      <c r="L2017" s="58"/>
      <c r="M2017" s="57"/>
      <c r="N2017" s="57"/>
      <c r="O2017" s="58"/>
      <c r="P2017" s="82"/>
      <c r="Q2017" s="81"/>
      <c r="R2017" s="81"/>
      <c r="S2017" s="57"/>
      <c r="T2017" s="82"/>
      <c r="U2017" s="82"/>
      <c r="V2017" s="57"/>
      <c r="W2017" s="57"/>
      <c r="X2017" s="57" t="str">
        <f t="shared" si="917"/>
        <v/>
      </c>
      <c r="Y2017" s="58" t="str">
        <f t="shared" ref="Y2017:AC2017" si="1857">TRIM(SUBSTITUTE(SUBSTITUTE(OFFSET($Q2017,0,COLUMN()-COLUMN($AL$1)),CHAR(160)," "),_xludf.UNICHAR(8239)," "))</f>
        <v>#NAME?</v>
      </c>
      <c r="Z2017" s="58" t="str">
        <f t="shared" si="1857"/>
        <v>#NAME?</v>
      </c>
      <c r="AA2017" s="58" t="str">
        <f t="shared" si="1857"/>
        <v>#NAME?</v>
      </c>
      <c r="AB2017" s="58" t="str">
        <f t="shared" si="1857"/>
        <v>#NAME?</v>
      </c>
      <c r="AC2017" s="58" t="str">
        <f t="shared" si="1857"/>
        <v>#NAME?</v>
      </c>
      <c r="AD2017" s="57">
        <f t="shared" si="906"/>
        <v>0</v>
      </c>
      <c r="AE2017" s="57" t="str">
        <f t="shared" si="907"/>
        <v/>
      </c>
      <c r="AF2017" s="57">
        <f t="shared" si="908"/>
        <v>0</v>
      </c>
      <c r="AG2017" s="59">
        <f t="shared" si="909"/>
        <v>0</v>
      </c>
      <c r="AH2017" s="15"/>
      <c r="AI2017" s="15"/>
      <c r="AJ2017" s="15"/>
      <c r="AK2017" s="15"/>
      <c r="AL2017" s="15"/>
      <c r="AM2017" s="15"/>
      <c r="AN2017" s="15"/>
      <c r="AO2017" s="15"/>
      <c r="AP2017" s="15"/>
      <c r="AQ2017" s="15"/>
      <c r="AR2017" s="15"/>
      <c r="AS2017" s="15"/>
      <c r="AT2017" s="15"/>
      <c r="AU2017" s="15"/>
    </row>
    <row r="2018" ht="24.0" customHeight="1">
      <c r="A2018" s="45">
        <v>3442.0</v>
      </c>
      <c r="B2018" s="57"/>
      <c r="C2018" s="57"/>
      <c r="D2018" s="88" t="str">
        <f t="array" ref="D2018">IFERROR(
  LOOKUP(2, 1/((TRIM(IMS!$E$8:$E$2574)=TRIM(IMS!$E2018))*(IMS!$C$8:$C$2574&lt;IMS!$C2018)),
         IMS!$C$8:$C$2574),
"")</f>
        <v/>
      </c>
      <c r="E2018" s="57"/>
      <c r="F2018" s="57"/>
      <c r="G2018" s="77" t="str">
        <f t="shared" si="901"/>
        <v/>
      </c>
      <c r="H2018" s="78" t="str">
        <f t="shared" si="902"/>
        <v/>
      </c>
      <c r="I2018" s="79"/>
      <c r="J2018" s="80" t="str">
        <f t="shared" si="903"/>
        <v>#NAME?</v>
      </c>
      <c r="K2018" s="58"/>
      <c r="L2018" s="58"/>
      <c r="M2018" s="57"/>
      <c r="N2018" s="57"/>
      <c r="O2018" s="58"/>
      <c r="P2018" s="82"/>
      <c r="Q2018" s="81"/>
      <c r="R2018" s="81"/>
      <c r="S2018" s="57"/>
      <c r="T2018" s="82"/>
      <c r="U2018" s="82"/>
      <c r="V2018" s="57"/>
      <c r="W2018" s="57"/>
      <c r="X2018" s="57" t="str">
        <f t="shared" si="917"/>
        <v/>
      </c>
      <c r="Y2018" s="58" t="str">
        <f t="shared" ref="Y2018:AC2018" si="1858">TRIM(SUBSTITUTE(SUBSTITUTE(OFFSET($Q2018,0,COLUMN()-COLUMN($AL$1)),CHAR(160)," "),_xludf.UNICHAR(8239)," "))</f>
        <v>#NAME?</v>
      </c>
      <c r="Z2018" s="58" t="str">
        <f t="shared" si="1858"/>
        <v>#NAME?</v>
      </c>
      <c r="AA2018" s="58" t="str">
        <f t="shared" si="1858"/>
        <v>#NAME?</v>
      </c>
      <c r="AB2018" s="58" t="str">
        <f t="shared" si="1858"/>
        <v>#NAME?</v>
      </c>
      <c r="AC2018" s="58" t="str">
        <f t="shared" si="1858"/>
        <v>#NAME?</v>
      </c>
      <c r="AD2018" s="57">
        <f t="shared" si="906"/>
        <v>0</v>
      </c>
      <c r="AE2018" s="57" t="str">
        <f t="shared" si="907"/>
        <v/>
      </c>
      <c r="AF2018" s="57">
        <f t="shared" si="908"/>
        <v>0</v>
      </c>
      <c r="AG2018" s="59">
        <f t="shared" si="909"/>
        <v>0</v>
      </c>
      <c r="AH2018" s="15"/>
      <c r="AI2018" s="15"/>
      <c r="AJ2018" s="15"/>
      <c r="AK2018" s="15"/>
      <c r="AL2018" s="15"/>
      <c r="AM2018" s="15"/>
      <c r="AN2018" s="15"/>
      <c r="AO2018" s="15"/>
      <c r="AP2018" s="15"/>
      <c r="AQ2018" s="15"/>
      <c r="AR2018" s="15"/>
      <c r="AS2018" s="15"/>
      <c r="AT2018" s="15"/>
      <c r="AU2018" s="15"/>
    </row>
    <row r="2019" ht="24.0" customHeight="1">
      <c r="A2019" s="45">
        <v>3443.0</v>
      </c>
      <c r="B2019" s="57"/>
      <c r="C2019" s="57"/>
      <c r="D2019" s="88" t="str">
        <f t="array" ref="D2019">IFERROR(
  LOOKUP(2, 1/((TRIM(IMS!$E$8:$E$2574)=TRIM(IMS!$E2019))*(IMS!$C$8:$C$2574&lt;IMS!$C2019)),
         IMS!$C$8:$C$2574),
"")</f>
        <v/>
      </c>
      <c r="E2019" s="57"/>
      <c r="F2019" s="57"/>
      <c r="G2019" s="77" t="str">
        <f t="shared" si="901"/>
        <v/>
      </c>
      <c r="H2019" s="78" t="str">
        <f t="shared" si="902"/>
        <v/>
      </c>
      <c r="I2019" s="79"/>
      <c r="J2019" s="80" t="str">
        <f t="shared" si="903"/>
        <v>#NAME?</v>
      </c>
      <c r="K2019" s="58"/>
      <c r="L2019" s="58"/>
      <c r="M2019" s="57"/>
      <c r="N2019" s="57"/>
      <c r="O2019" s="58"/>
      <c r="P2019" s="82"/>
      <c r="Q2019" s="81"/>
      <c r="R2019" s="81"/>
      <c r="S2019" s="57"/>
      <c r="T2019" s="82"/>
      <c r="U2019" s="82"/>
      <c r="V2019" s="57"/>
      <c r="W2019" s="57"/>
      <c r="X2019" s="57" t="str">
        <f t="shared" si="917"/>
        <v/>
      </c>
      <c r="Y2019" s="58" t="str">
        <f t="shared" ref="Y2019:AC2019" si="1859">TRIM(SUBSTITUTE(SUBSTITUTE(OFFSET($Q2019,0,COLUMN()-COLUMN($AL$1)),CHAR(160)," "),_xludf.UNICHAR(8239)," "))</f>
        <v>#NAME?</v>
      </c>
      <c r="Z2019" s="58" t="str">
        <f t="shared" si="1859"/>
        <v>#NAME?</v>
      </c>
      <c r="AA2019" s="58" t="str">
        <f t="shared" si="1859"/>
        <v>#NAME?</v>
      </c>
      <c r="AB2019" s="58" t="str">
        <f t="shared" si="1859"/>
        <v>#NAME?</v>
      </c>
      <c r="AC2019" s="58" t="str">
        <f t="shared" si="1859"/>
        <v>#NAME?</v>
      </c>
      <c r="AD2019" s="57">
        <f t="shared" si="906"/>
        <v>0</v>
      </c>
      <c r="AE2019" s="57" t="str">
        <f t="shared" si="907"/>
        <v/>
      </c>
      <c r="AF2019" s="57">
        <f t="shared" si="908"/>
        <v>0</v>
      </c>
      <c r="AG2019" s="59">
        <f t="shared" si="909"/>
        <v>0</v>
      </c>
      <c r="AH2019" s="15"/>
      <c r="AI2019" s="15"/>
      <c r="AJ2019" s="15"/>
      <c r="AK2019" s="15"/>
      <c r="AL2019" s="15"/>
      <c r="AM2019" s="15"/>
      <c r="AN2019" s="15"/>
      <c r="AO2019" s="15"/>
      <c r="AP2019" s="15"/>
      <c r="AQ2019" s="15"/>
      <c r="AR2019" s="15"/>
      <c r="AS2019" s="15"/>
      <c r="AT2019" s="15"/>
      <c r="AU2019" s="15"/>
    </row>
    <row r="2020" ht="24.0" customHeight="1">
      <c r="A2020" s="45">
        <v>3444.0</v>
      </c>
      <c r="B2020" s="57"/>
      <c r="C2020" s="57"/>
      <c r="D2020" s="88" t="str">
        <f t="array" ref="D2020">IFERROR(
  LOOKUP(2, 1/((TRIM(IMS!$E$8:$E$2574)=TRIM(IMS!$E2020))*(IMS!$C$8:$C$2574&lt;IMS!$C2020)),
         IMS!$C$8:$C$2574),
"")</f>
        <v/>
      </c>
      <c r="E2020" s="57"/>
      <c r="F2020" s="57"/>
      <c r="G2020" s="77" t="str">
        <f t="shared" si="901"/>
        <v/>
      </c>
      <c r="H2020" s="78" t="str">
        <f t="shared" si="902"/>
        <v/>
      </c>
      <c r="I2020" s="79"/>
      <c r="J2020" s="80" t="str">
        <f t="shared" si="903"/>
        <v>#NAME?</v>
      </c>
      <c r="K2020" s="58"/>
      <c r="L2020" s="58"/>
      <c r="M2020" s="57"/>
      <c r="N2020" s="57"/>
      <c r="O2020" s="58"/>
      <c r="P2020" s="82"/>
      <c r="Q2020" s="81"/>
      <c r="R2020" s="81"/>
      <c r="S2020" s="57"/>
      <c r="T2020" s="82"/>
      <c r="U2020" s="82"/>
      <c r="V2020" s="57"/>
      <c r="W2020" s="57"/>
      <c r="X2020" s="57" t="str">
        <f t="shared" si="917"/>
        <v/>
      </c>
      <c r="Y2020" s="58" t="str">
        <f t="shared" ref="Y2020:AC2020" si="1860">TRIM(SUBSTITUTE(SUBSTITUTE(OFFSET($Q2020,0,COLUMN()-COLUMN($AL$1)),CHAR(160)," "),_xludf.UNICHAR(8239)," "))</f>
        <v>#NAME?</v>
      </c>
      <c r="Z2020" s="58" t="str">
        <f t="shared" si="1860"/>
        <v>#NAME?</v>
      </c>
      <c r="AA2020" s="58" t="str">
        <f t="shared" si="1860"/>
        <v>#NAME?</v>
      </c>
      <c r="AB2020" s="58" t="str">
        <f t="shared" si="1860"/>
        <v>#NAME?</v>
      </c>
      <c r="AC2020" s="58" t="str">
        <f t="shared" si="1860"/>
        <v>#NAME?</v>
      </c>
      <c r="AD2020" s="57">
        <f t="shared" si="906"/>
        <v>0</v>
      </c>
      <c r="AE2020" s="57" t="str">
        <f t="shared" si="907"/>
        <v/>
      </c>
      <c r="AF2020" s="57">
        <f t="shared" si="908"/>
        <v>0</v>
      </c>
      <c r="AG2020" s="59">
        <f t="shared" si="909"/>
        <v>0</v>
      </c>
      <c r="AH2020" s="15"/>
      <c r="AI2020" s="15"/>
      <c r="AJ2020" s="15"/>
      <c r="AK2020" s="15"/>
      <c r="AL2020" s="15"/>
      <c r="AM2020" s="15"/>
      <c r="AN2020" s="15"/>
      <c r="AO2020" s="15"/>
      <c r="AP2020" s="15"/>
      <c r="AQ2020" s="15"/>
      <c r="AR2020" s="15"/>
      <c r="AS2020" s="15"/>
      <c r="AT2020" s="15"/>
      <c r="AU2020" s="15"/>
    </row>
    <row r="2021" ht="24.0" customHeight="1">
      <c r="A2021" s="45">
        <v>3445.0</v>
      </c>
      <c r="B2021" s="57"/>
      <c r="C2021" s="57"/>
      <c r="D2021" s="88" t="str">
        <f t="array" ref="D2021">IFERROR(
  LOOKUP(2, 1/((TRIM(IMS!$E$8:$E$2574)=TRIM(IMS!$E2021))*(IMS!$C$8:$C$2574&lt;IMS!$C2021)),
         IMS!$C$8:$C$2574),
"")</f>
        <v/>
      </c>
      <c r="E2021" s="57"/>
      <c r="F2021" s="57"/>
      <c r="G2021" s="77" t="str">
        <f t="shared" si="901"/>
        <v/>
      </c>
      <c r="H2021" s="78" t="str">
        <f t="shared" si="902"/>
        <v/>
      </c>
      <c r="I2021" s="79"/>
      <c r="J2021" s="80" t="str">
        <f t="shared" si="903"/>
        <v>#NAME?</v>
      </c>
      <c r="K2021" s="58"/>
      <c r="L2021" s="58"/>
      <c r="M2021" s="57"/>
      <c r="N2021" s="57"/>
      <c r="O2021" s="58"/>
      <c r="P2021" s="82"/>
      <c r="Q2021" s="81"/>
      <c r="R2021" s="81"/>
      <c r="S2021" s="57"/>
      <c r="T2021" s="82"/>
      <c r="U2021" s="82"/>
      <c r="V2021" s="57"/>
      <c r="W2021" s="57"/>
      <c r="X2021" s="57" t="str">
        <f t="shared" si="917"/>
        <v/>
      </c>
      <c r="Y2021" s="58" t="str">
        <f t="shared" ref="Y2021:AC2021" si="1861">TRIM(SUBSTITUTE(SUBSTITUTE(OFFSET($Q2021,0,COLUMN()-COLUMN($AL$1)),CHAR(160)," "),_xludf.UNICHAR(8239)," "))</f>
        <v>#NAME?</v>
      </c>
      <c r="Z2021" s="58" t="str">
        <f t="shared" si="1861"/>
        <v>#NAME?</v>
      </c>
      <c r="AA2021" s="58" t="str">
        <f t="shared" si="1861"/>
        <v>#NAME?</v>
      </c>
      <c r="AB2021" s="58" t="str">
        <f t="shared" si="1861"/>
        <v>#NAME?</v>
      </c>
      <c r="AC2021" s="58" t="str">
        <f t="shared" si="1861"/>
        <v>#NAME?</v>
      </c>
      <c r="AD2021" s="57">
        <f t="shared" si="906"/>
        <v>0</v>
      </c>
      <c r="AE2021" s="57" t="str">
        <f t="shared" si="907"/>
        <v/>
      </c>
      <c r="AF2021" s="57">
        <f t="shared" si="908"/>
        <v>0</v>
      </c>
      <c r="AG2021" s="59">
        <f t="shared" si="909"/>
        <v>0</v>
      </c>
      <c r="AH2021" s="15"/>
      <c r="AI2021" s="15"/>
      <c r="AJ2021" s="15"/>
      <c r="AK2021" s="15"/>
      <c r="AL2021" s="15"/>
      <c r="AM2021" s="15"/>
      <c r="AN2021" s="15"/>
      <c r="AO2021" s="15"/>
      <c r="AP2021" s="15"/>
      <c r="AQ2021" s="15"/>
      <c r="AR2021" s="15"/>
      <c r="AS2021" s="15"/>
      <c r="AT2021" s="15"/>
      <c r="AU2021" s="15"/>
    </row>
    <row r="2022" ht="24.0" customHeight="1">
      <c r="A2022" s="45">
        <v>3446.0</v>
      </c>
      <c r="B2022" s="57"/>
      <c r="C2022" s="57"/>
      <c r="D2022" s="88" t="str">
        <f t="array" ref="D2022">IFERROR(
  LOOKUP(2, 1/((TRIM(IMS!$E$8:$E$2574)=TRIM(IMS!$E2022))*(IMS!$C$8:$C$2574&lt;IMS!$C2022)),
         IMS!$C$8:$C$2574),
"")</f>
        <v/>
      </c>
      <c r="E2022" s="57"/>
      <c r="F2022" s="57"/>
      <c r="G2022" s="77" t="str">
        <f t="shared" si="901"/>
        <v/>
      </c>
      <c r="H2022" s="78" t="str">
        <f t="shared" si="902"/>
        <v/>
      </c>
      <c r="I2022" s="79"/>
      <c r="J2022" s="80" t="str">
        <f t="shared" si="903"/>
        <v>#NAME?</v>
      </c>
      <c r="K2022" s="58"/>
      <c r="L2022" s="58"/>
      <c r="M2022" s="57"/>
      <c r="N2022" s="57"/>
      <c r="O2022" s="58"/>
      <c r="P2022" s="82"/>
      <c r="Q2022" s="81"/>
      <c r="R2022" s="81"/>
      <c r="S2022" s="57"/>
      <c r="T2022" s="82"/>
      <c r="U2022" s="82"/>
      <c r="V2022" s="57"/>
      <c r="W2022" s="57"/>
      <c r="X2022" s="57" t="str">
        <f t="shared" si="917"/>
        <v/>
      </c>
      <c r="Y2022" s="58" t="str">
        <f t="shared" ref="Y2022:AC2022" si="1862">TRIM(SUBSTITUTE(SUBSTITUTE(OFFSET($Q2022,0,COLUMN()-COLUMN($AL$1)),CHAR(160)," "),_xludf.UNICHAR(8239)," "))</f>
        <v>#NAME?</v>
      </c>
      <c r="Z2022" s="58" t="str">
        <f t="shared" si="1862"/>
        <v>#NAME?</v>
      </c>
      <c r="AA2022" s="58" t="str">
        <f t="shared" si="1862"/>
        <v>#NAME?</v>
      </c>
      <c r="AB2022" s="58" t="str">
        <f t="shared" si="1862"/>
        <v>#NAME?</v>
      </c>
      <c r="AC2022" s="58" t="str">
        <f t="shared" si="1862"/>
        <v>#NAME?</v>
      </c>
      <c r="AD2022" s="57">
        <f t="shared" si="906"/>
        <v>0</v>
      </c>
      <c r="AE2022" s="57" t="str">
        <f t="shared" si="907"/>
        <v/>
      </c>
      <c r="AF2022" s="57">
        <f t="shared" si="908"/>
        <v>0</v>
      </c>
      <c r="AG2022" s="59">
        <f t="shared" si="909"/>
        <v>0</v>
      </c>
      <c r="AH2022" s="15"/>
      <c r="AI2022" s="15"/>
      <c r="AJ2022" s="15"/>
      <c r="AK2022" s="15"/>
      <c r="AL2022" s="15"/>
      <c r="AM2022" s="15"/>
      <c r="AN2022" s="15"/>
      <c r="AO2022" s="15"/>
      <c r="AP2022" s="15"/>
      <c r="AQ2022" s="15"/>
      <c r="AR2022" s="15"/>
      <c r="AS2022" s="15"/>
      <c r="AT2022" s="15"/>
      <c r="AU2022" s="15"/>
    </row>
    <row r="2023" ht="24.0" customHeight="1">
      <c r="A2023" s="45">
        <v>3447.0</v>
      </c>
      <c r="B2023" s="57"/>
      <c r="C2023" s="57"/>
      <c r="D2023" s="88" t="str">
        <f t="array" ref="D2023">IFERROR(
  LOOKUP(2, 1/((TRIM(IMS!$E$8:$E$2574)=TRIM(IMS!$E2023))*(IMS!$C$8:$C$2574&lt;IMS!$C2023)),
         IMS!$C$8:$C$2574),
"")</f>
        <v/>
      </c>
      <c r="E2023" s="57"/>
      <c r="F2023" s="57"/>
      <c r="G2023" s="77" t="str">
        <f t="shared" si="901"/>
        <v/>
      </c>
      <c r="H2023" s="78" t="str">
        <f t="shared" si="902"/>
        <v/>
      </c>
      <c r="I2023" s="79"/>
      <c r="J2023" s="80" t="str">
        <f t="shared" si="903"/>
        <v>#NAME?</v>
      </c>
      <c r="K2023" s="58"/>
      <c r="L2023" s="58"/>
      <c r="M2023" s="57"/>
      <c r="N2023" s="57"/>
      <c r="O2023" s="58"/>
      <c r="P2023" s="82"/>
      <c r="Q2023" s="81"/>
      <c r="R2023" s="81"/>
      <c r="S2023" s="57"/>
      <c r="T2023" s="82"/>
      <c r="U2023" s="82"/>
      <c r="V2023" s="57"/>
      <c r="W2023" s="57"/>
      <c r="X2023" s="57" t="str">
        <f t="shared" si="917"/>
        <v/>
      </c>
      <c r="Y2023" s="58" t="str">
        <f t="shared" ref="Y2023:AC2023" si="1863">TRIM(SUBSTITUTE(SUBSTITUTE(OFFSET($Q2023,0,COLUMN()-COLUMN($AL$1)),CHAR(160)," "),_xludf.UNICHAR(8239)," "))</f>
        <v>#NAME?</v>
      </c>
      <c r="Z2023" s="58" t="str">
        <f t="shared" si="1863"/>
        <v>#NAME?</v>
      </c>
      <c r="AA2023" s="58" t="str">
        <f t="shared" si="1863"/>
        <v>#NAME?</v>
      </c>
      <c r="AB2023" s="58" t="str">
        <f t="shared" si="1863"/>
        <v>#NAME?</v>
      </c>
      <c r="AC2023" s="58" t="str">
        <f t="shared" si="1863"/>
        <v>#NAME?</v>
      </c>
      <c r="AD2023" s="57">
        <f t="shared" si="906"/>
        <v>0</v>
      </c>
      <c r="AE2023" s="57" t="str">
        <f t="shared" si="907"/>
        <v/>
      </c>
      <c r="AF2023" s="57">
        <f t="shared" si="908"/>
        <v>0</v>
      </c>
      <c r="AG2023" s="59">
        <f t="shared" si="909"/>
        <v>0</v>
      </c>
      <c r="AH2023" s="15"/>
      <c r="AI2023" s="15"/>
      <c r="AJ2023" s="15"/>
      <c r="AK2023" s="15"/>
      <c r="AL2023" s="15"/>
      <c r="AM2023" s="15"/>
      <c r="AN2023" s="15"/>
      <c r="AO2023" s="15"/>
      <c r="AP2023" s="15"/>
      <c r="AQ2023" s="15"/>
      <c r="AR2023" s="15"/>
      <c r="AS2023" s="15"/>
      <c r="AT2023" s="15"/>
      <c r="AU2023" s="15"/>
    </row>
    <row r="2024" ht="24.0" customHeight="1">
      <c r="A2024" s="45">
        <v>3448.0</v>
      </c>
      <c r="B2024" s="57"/>
      <c r="C2024" s="57"/>
      <c r="D2024" s="88" t="str">
        <f t="array" ref="D2024">IFERROR(
  LOOKUP(2, 1/((TRIM(IMS!$E$8:$E$2574)=TRIM(IMS!$E2024))*(IMS!$C$8:$C$2574&lt;IMS!$C2024)),
         IMS!$C$8:$C$2574),
"")</f>
        <v/>
      </c>
      <c r="E2024" s="57"/>
      <c r="F2024" s="57"/>
      <c r="G2024" s="77" t="str">
        <f t="shared" si="901"/>
        <v/>
      </c>
      <c r="H2024" s="78" t="str">
        <f t="shared" si="902"/>
        <v/>
      </c>
      <c r="I2024" s="79"/>
      <c r="J2024" s="80" t="str">
        <f t="shared" si="903"/>
        <v>#NAME?</v>
      </c>
      <c r="K2024" s="58"/>
      <c r="L2024" s="58"/>
      <c r="M2024" s="57"/>
      <c r="N2024" s="57"/>
      <c r="O2024" s="58"/>
      <c r="P2024" s="82"/>
      <c r="Q2024" s="81"/>
      <c r="R2024" s="81"/>
      <c r="S2024" s="57"/>
      <c r="T2024" s="82"/>
      <c r="U2024" s="82"/>
      <c r="V2024" s="57"/>
      <c r="W2024" s="57"/>
      <c r="X2024" s="57" t="str">
        <f t="shared" si="917"/>
        <v/>
      </c>
      <c r="Y2024" s="58" t="str">
        <f t="shared" ref="Y2024:AC2024" si="1864">TRIM(SUBSTITUTE(SUBSTITUTE(OFFSET($Q2024,0,COLUMN()-COLUMN($AL$1)),CHAR(160)," "),_xludf.UNICHAR(8239)," "))</f>
        <v>#NAME?</v>
      </c>
      <c r="Z2024" s="58" t="str">
        <f t="shared" si="1864"/>
        <v>#NAME?</v>
      </c>
      <c r="AA2024" s="58" t="str">
        <f t="shared" si="1864"/>
        <v>#NAME?</v>
      </c>
      <c r="AB2024" s="58" t="str">
        <f t="shared" si="1864"/>
        <v>#NAME?</v>
      </c>
      <c r="AC2024" s="58" t="str">
        <f t="shared" si="1864"/>
        <v>#NAME?</v>
      </c>
      <c r="AD2024" s="57">
        <f t="shared" si="906"/>
        <v>0</v>
      </c>
      <c r="AE2024" s="57" t="str">
        <f t="shared" si="907"/>
        <v/>
      </c>
      <c r="AF2024" s="57">
        <f t="shared" si="908"/>
        <v>0</v>
      </c>
      <c r="AG2024" s="59">
        <f t="shared" si="909"/>
        <v>0</v>
      </c>
      <c r="AH2024" s="15"/>
      <c r="AI2024" s="15"/>
      <c r="AJ2024" s="15"/>
      <c r="AK2024" s="15"/>
      <c r="AL2024" s="15"/>
      <c r="AM2024" s="15"/>
      <c r="AN2024" s="15"/>
      <c r="AO2024" s="15"/>
      <c r="AP2024" s="15"/>
      <c r="AQ2024" s="15"/>
      <c r="AR2024" s="15"/>
      <c r="AS2024" s="15"/>
      <c r="AT2024" s="15"/>
      <c r="AU2024" s="15"/>
    </row>
    <row r="2025" ht="24.0" customHeight="1">
      <c r="A2025" s="45">
        <v>3449.0</v>
      </c>
      <c r="B2025" s="57"/>
      <c r="C2025" s="57"/>
      <c r="D2025" s="88" t="str">
        <f t="array" ref="D2025">IFERROR(
  LOOKUP(2, 1/((TRIM(IMS!$E$8:$E$2574)=TRIM(IMS!$E2025))*(IMS!$C$8:$C$2574&lt;IMS!$C2025)),
         IMS!$C$8:$C$2574),
"")</f>
        <v/>
      </c>
      <c r="E2025" s="57"/>
      <c r="F2025" s="57"/>
      <c r="G2025" s="77" t="str">
        <f t="shared" si="901"/>
        <v/>
      </c>
      <c r="H2025" s="78" t="str">
        <f t="shared" si="902"/>
        <v/>
      </c>
      <c r="I2025" s="79"/>
      <c r="J2025" s="80" t="str">
        <f t="shared" si="903"/>
        <v>#NAME?</v>
      </c>
      <c r="K2025" s="58"/>
      <c r="L2025" s="58"/>
      <c r="M2025" s="57"/>
      <c r="N2025" s="57"/>
      <c r="O2025" s="58"/>
      <c r="P2025" s="82"/>
      <c r="Q2025" s="81"/>
      <c r="R2025" s="81"/>
      <c r="S2025" s="57"/>
      <c r="T2025" s="82"/>
      <c r="U2025" s="82"/>
      <c r="V2025" s="57"/>
      <c r="W2025" s="57"/>
      <c r="X2025" s="57" t="str">
        <f t="shared" si="917"/>
        <v/>
      </c>
      <c r="Y2025" s="58" t="str">
        <f t="shared" ref="Y2025:AC2025" si="1865">TRIM(SUBSTITUTE(SUBSTITUTE(OFFSET($Q2025,0,COLUMN()-COLUMN($AL$1)),CHAR(160)," "),_xludf.UNICHAR(8239)," "))</f>
        <v>#NAME?</v>
      </c>
      <c r="Z2025" s="58" t="str">
        <f t="shared" si="1865"/>
        <v>#NAME?</v>
      </c>
      <c r="AA2025" s="58" t="str">
        <f t="shared" si="1865"/>
        <v>#NAME?</v>
      </c>
      <c r="AB2025" s="58" t="str">
        <f t="shared" si="1865"/>
        <v>#NAME?</v>
      </c>
      <c r="AC2025" s="58" t="str">
        <f t="shared" si="1865"/>
        <v>#NAME?</v>
      </c>
      <c r="AD2025" s="57">
        <f t="shared" si="906"/>
        <v>0</v>
      </c>
      <c r="AE2025" s="57" t="str">
        <f t="shared" si="907"/>
        <v/>
      </c>
      <c r="AF2025" s="57">
        <f t="shared" si="908"/>
        <v>0</v>
      </c>
      <c r="AG2025" s="59">
        <f t="shared" si="909"/>
        <v>0</v>
      </c>
      <c r="AH2025" s="15"/>
      <c r="AI2025" s="15"/>
      <c r="AJ2025" s="15"/>
      <c r="AK2025" s="15"/>
      <c r="AL2025" s="15"/>
      <c r="AM2025" s="15"/>
      <c r="AN2025" s="15"/>
      <c r="AO2025" s="15"/>
      <c r="AP2025" s="15"/>
      <c r="AQ2025" s="15"/>
      <c r="AR2025" s="15"/>
      <c r="AS2025" s="15"/>
      <c r="AT2025" s="15"/>
      <c r="AU2025" s="15"/>
    </row>
    <row r="2026" ht="24.0" customHeight="1">
      <c r="A2026" s="45">
        <v>3450.0</v>
      </c>
      <c r="B2026" s="57"/>
      <c r="C2026" s="57"/>
      <c r="D2026" s="88" t="str">
        <f t="array" ref="D2026">IFERROR(
  LOOKUP(2, 1/((TRIM(IMS!$E$8:$E$2574)=TRIM(IMS!$E2026))*(IMS!$C$8:$C$2574&lt;IMS!$C2026)),
         IMS!$C$8:$C$2574),
"")</f>
        <v/>
      </c>
      <c r="E2026" s="57"/>
      <c r="F2026" s="57"/>
      <c r="G2026" s="77" t="str">
        <f t="shared" si="901"/>
        <v/>
      </c>
      <c r="H2026" s="78" t="str">
        <f t="shared" si="902"/>
        <v/>
      </c>
      <c r="I2026" s="79"/>
      <c r="J2026" s="80" t="str">
        <f t="shared" si="903"/>
        <v>#NAME?</v>
      </c>
      <c r="K2026" s="58"/>
      <c r="L2026" s="58"/>
      <c r="M2026" s="57"/>
      <c r="N2026" s="57"/>
      <c r="O2026" s="58"/>
      <c r="P2026" s="82"/>
      <c r="Q2026" s="81"/>
      <c r="R2026" s="81"/>
      <c r="S2026" s="57"/>
      <c r="T2026" s="82"/>
      <c r="U2026" s="82"/>
      <c r="V2026" s="57"/>
      <c r="W2026" s="57"/>
      <c r="X2026" s="57" t="str">
        <f t="shared" si="917"/>
        <v/>
      </c>
      <c r="Y2026" s="58" t="str">
        <f t="shared" ref="Y2026:AC2026" si="1866">TRIM(SUBSTITUTE(SUBSTITUTE(OFFSET($Q2026,0,COLUMN()-COLUMN($AL$1)),CHAR(160)," "),_xludf.UNICHAR(8239)," "))</f>
        <v>#NAME?</v>
      </c>
      <c r="Z2026" s="58" t="str">
        <f t="shared" si="1866"/>
        <v>#NAME?</v>
      </c>
      <c r="AA2026" s="58" t="str">
        <f t="shared" si="1866"/>
        <v>#NAME?</v>
      </c>
      <c r="AB2026" s="58" t="str">
        <f t="shared" si="1866"/>
        <v>#NAME?</v>
      </c>
      <c r="AC2026" s="58" t="str">
        <f t="shared" si="1866"/>
        <v>#NAME?</v>
      </c>
      <c r="AD2026" s="57">
        <f t="shared" si="906"/>
        <v>0</v>
      </c>
      <c r="AE2026" s="57" t="str">
        <f t="shared" si="907"/>
        <v/>
      </c>
      <c r="AF2026" s="57">
        <f t="shared" si="908"/>
        <v>0</v>
      </c>
      <c r="AG2026" s="59">
        <f t="shared" si="909"/>
        <v>0</v>
      </c>
      <c r="AH2026" s="15"/>
      <c r="AI2026" s="15"/>
      <c r="AJ2026" s="15"/>
      <c r="AK2026" s="15"/>
      <c r="AL2026" s="15"/>
      <c r="AM2026" s="15"/>
      <c r="AN2026" s="15"/>
      <c r="AO2026" s="15"/>
      <c r="AP2026" s="15"/>
      <c r="AQ2026" s="15"/>
      <c r="AR2026" s="15"/>
      <c r="AS2026" s="15"/>
      <c r="AT2026" s="15"/>
      <c r="AU2026" s="15"/>
    </row>
    <row r="2027" ht="24.0" customHeight="1">
      <c r="A2027" s="45">
        <v>3451.0</v>
      </c>
      <c r="B2027" s="57"/>
      <c r="C2027" s="57"/>
      <c r="D2027" s="88" t="str">
        <f t="array" ref="D2027">IFERROR(
  LOOKUP(2, 1/((TRIM(IMS!$E$8:$E$2574)=TRIM(IMS!$E2027))*(IMS!$C$8:$C$2574&lt;IMS!$C2027)),
         IMS!$C$8:$C$2574),
"")</f>
        <v/>
      </c>
      <c r="E2027" s="57"/>
      <c r="F2027" s="57"/>
      <c r="G2027" s="77" t="str">
        <f t="shared" si="901"/>
        <v/>
      </c>
      <c r="H2027" s="78" t="str">
        <f t="shared" si="902"/>
        <v/>
      </c>
      <c r="I2027" s="79"/>
      <c r="J2027" s="80" t="str">
        <f t="shared" si="903"/>
        <v>#NAME?</v>
      </c>
      <c r="K2027" s="58"/>
      <c r="L2027" s="58"/>
      <c r="M2027" s="57"/>
      <c r="N2027" s="57"/>
      <c r="O2027" s="58"/>
      <c r="P2027" s="82"/>
      <c r="Q2027" s="81"/>
      <c r="R2027" s="81"/>
      <c r="S2027" s="57"/>
      <c r="T2027" s="82"/>
      <c r="U2027" s="82"/>
      <c r="V2027" s="57"/>
      <c r="W2027" s="57"/>
      <c r="X2027" s="57" t="str">
        <f t="shared" si="917"/>
        <v/>
      </c>
      <c r="Y2027" s="58" t="str">
        <f t="shared" ref="Y2027:AC2027" si="1867">TRIM(SUBSTITUTE(SUBSTITUTE(OFFSET($Q2027,0,COLUMN()-COLUMN($AL$1)),CHAR(160)," "),_xludf.UNICHAR(8239)," "))</f>
        <v>#NAME?</v>
      </c>
      <c r="Z2027" s="58" t="str">
        <f t="shared" si="1867"/>
        <v>#NAME?</v>
      </c>
      <c r="AA2027" s="58" t="str">
        <f t="shared" si="1867"/>
        <v>#NAME?</v>
      </c>
      <c r="AB2027" s="58" t="str">
        <f t="shared" si="1867"/>
        <v>#NAME?</v>
      </c>
      <c r="AC2027" s="58" t="str">
        <f t="shared" si="1867"/>
        <v>#NAME?</v>
      </c>
      <c r="AD2027" s="57">
        <f t="shared" si="906"/>
        <v>0</v>
      </c>
      <c r="AE2027" s="57" t="str">
        <f t="shared" si="907"/>
        <v/>
      </c>
      <c r="AF2027" s="57">
        <f t="shared" si="908"/>
        <v>0</v>
      </c>
      <c r="AG2027" s="59">
        <f t="shared" si="909"/>
        <v>0</v>
      </c>
      <c r="AH2027" s="15"/>
      <c r="AI2027" s="15"/>
      <c r="AJ2027" s="15"/>
      <c r="AK2027" s="15"/>
      <c r="AL2027" s="15"/>
      <c r="AM2027" s="15"/>
      <c r="AN2027" s="15"/>
      <c r="AO2027" s="15"/>
      <c r="AP2027" s="15"/>
      <c r="AQ2027" s="15"/>
      <c r="AR2027" s="15"/>
      <c r="AS2027" s="15"/>
      <c r="AT2027" s="15"/>
      <c r="AU2027" s="15"/>
    </row>
    <row r="2028" ht="24.0" customHeight="1">
      <c r="A2028" s="45">
        <v>3452.0</v>
      </c>
      <c r="B2028" s="57"/>
      <c r="C2028" s="57"/>
      <c r="D2028" s="88" t="str">
        <f t="array" ref="D2028">IFERROR(
  LOOKUP(2, 1/((TRIM(IMS!$E$8:$E$2574)=TRIM(IMS!$E2028))*(IMS!$C$8:$C$2574&lt;IMS!$C2028)),
         IMS!$C$8:$C$2574),
"")</f>
        <v/>
      </c>
      <c r="E2028" s="57"/>
      <c r="F2028" s="57"/>
      <c r="G2028" s="77" t="str">
        <f t="shared" si="901"/>
        <v/>
      </c>
      <c r="H2028" s="78" t="str">
        <f t="shared" si="902"/>
        <v/>
      </c>
      <c r="I2028" s="79"/>
      <c r="J2028" s="80" t="str">
        <f t="shared" si="903"/>
        <v>#NAME?</v>
      </c>
      <c r="K2028" s="58"/>
      <c r="L2028" s="58"/>
      <c r="M2028" s="57"/>
      <c r="N2028" s="57"/>
      <c r="O2028" s="58"/>
      <c r="P2028" s="82"/>
      <c r="Q2028" s="81"/>
      <c r="R2028" s="81"/>
      <c r="S2028" s="57"/>
      <c r="T2028" s="82"/>
      <c r="U2028" s="82"/>
      <c r="V2028" s="57"/>
      <c r="W2028" s="57"/>
      <c r="X2028" s="57" t="str">
        <f t="shared" si="917"/>
        <v/>
      </c>
      <c r="Y2028" s="58" t="str">
        <f t="shared" ref="Y2028:AC2028" si="1868">TRIM(SUBSTITUTE(SUBSTITUTE(OFFSET($Q2028,0,COLUMN()-COLUMN($AL$1)),CHAR(160)," "),_xludf.UNICHAR(8239)," "))</f>
        <v>#NAME?</v>
      </c>
      <c r="Z2028" s="58" t="str">
        <f t="shared" si="1868"/>
        <v>#NAME?</v>
      </c>
      <c r="AA2028" s="58" t="str">
        <f t="shared" si="1868"/>
        <v>#NAME?</v>
      </c>
      <c r="AB2028" s="58" t="str">
        <f t="shared" si="1868"/>
        <v>#NAME?</v>
      </c>
      <c r="AC2028" s="58" t="str">
        <f t="shared" si="1868"/>
        <v>#NAME?</v>
      </c>
      <c r="AD2028" s="57">
        <f t="shared" si="906"/>
        <v>0</v>
      </c>
      <c r="AE2028" s="57" t="str">
        <f t="shared" si="907"/>
        <v/>
      </c>
      <c r="AF2028" s="57">
        <f t="shared" si="908"/>
        <v>0</v>
      </c>
      <c r="AG2028" s="59">
        <f t="shared" si="909"/>
        <v>0</v>
      </c>
      <c r="AH2028" s="15"/>
      <c r="AI2028" s="15"/>
      <c r="AJ2028" s="15"/>
      <c r="AK2028" s="15"/>
      <c r="AL2028" s="15"/>
      <c r="AM2028" s="15"/>
      <c r="AN2028" s="15"/>
      <c r="AO2028" s="15"/>
      <c r="AP2028" s="15"/>
      <c r="AQ2028" s="15"/>
      <c r="AR2028" s="15"/>
      <c r="AS2028" s="15"/>
      <c r="AT2028" s="15"/>
      <c r="AU2028" s="15"/>
    </row>
    <row r="2029" ht="24.0" customHeight="1">
      <c r="A2029" s="45">
        <v>3453.0</v>
      </c>
      <c r="B2029" s="57"/>
      <c r="C2029" s="57"/>
      <c r="D2029" s="88" t="str">
        <f t="array" ref="D2029">IFERROR(
  LOOKUP(2, 1/((TRIM(IMS!$E$8:$E$2574)=TRIM(IMS!$E2029))*(IMS!$C$8:$C$2574&lt;IMS!$C2029)),
         IMS!$C$8:$C$2574),
"")</f>
        <v/>
      </c>
      <c r="E2029" s="57"/>
      <c r="F2029" s="57"/>
      <c r="G2029" s="77" t="str">
        <f t="shared" si="901"/>
        <v/>
      </c>
      <c r="H2029" s="78" t="str">
        <f t="shared" si="902"/>
        <v/>
      </c>
      <c r="I2029" s="79"/>
      <c r="J2029" s="80" t="str">
        <f t="shared" si="903"/>
        <v>#NAME?</v>
      </c>
      <c r="K2029" s="58"/>
      <c r="L2029" s="58"/>
      <c r="M2029" s="57"/>
      <c r="N2029" s="57"/>
      <c r="O2029" s="58"/>
      <c r="P2029" s="82"/>
      <c r="Q2029" s="81"/>
      <c r="R2029" s="81"/>
      <c r="S2029" s="57"/>
      <c r="T2029" s="82"/>
      <c r="U2029" s="82"/>
      <c r="V2029" s="57"/>
      <c r="W2029" s="57"/>
      <c r="X2029" s="57" t="str">
        <f t="shared" si="917"/>
        <v/>
      </c>
      <c r="Y2029" s="58" t="str">
        <f t="shared" ref="Y2029:AC2029" si="1869">TRIM(SUBSTITUTE(SUBSTITUTE(OFFSET($Q2029,0,COLUMN()-COLUMN($AL$1)),CHAR(160)," "),_xludf.UNICHAR(8239)," "))</f>
        <v>#NAME?</v>
      </c>
      <c r="Z2029" s="58" t="str">
        <f t="shared" si="1869"/>
        <v>#NAME?</v>
      </c>
      <c r="AA2029" s="58" t="str">
        <f t="shared" si="1869"/>
        <v>#NAME?</v>
      </c>
      <c r="AB2029" s="58" t="str">
        <f t="shared" si="1869"/>
        <v>#NAME?</v>
      </c>
      <c r="AC2029" s="58" t="str">
        <f t="shared" si="1869"/>
        <v>#NAME?</v>
      </c>
      <c r="AD2029" s="57">
        <f t="shared" si="906"/>
        <v>0</v>
      </c>
      <c r="AE2029" s="57" t="str">
        <f t="shared" si="907"/>
        <v/>
      </c>
      <c r="AF2029" s="57">
        <f t="shared" si="908"/>
        <v>0</v>
      </c>
      <c r="AG2029" s="59">
        <f t="shared" si="909"/>
        <v>0</v>
      </c>
      <c r="AH2029" s="15"/>
      <c r="AI2029" s="15"/>
      <c r="AJ2029" s="15"/>
      <c r="AK2029" s="15"/>
      <c r="AL2029" s="15"/>
      <c r="AM2029" s="15"/>
      <c r="AN2029" s="15"/>
      <c r="AO2029" s="15"/>
      <c r="AP2029" s="15"/>
      <c r="AQ2029" s="15"/>
      <c r="AR2029" s="15"/>
      <c r="AS2029" s="15"/>
      <c r="AT2029" s="15"/>
      <c r="AU2029" s="15"/>
    </row>
    <row r="2030" ht="24.0" customHeight="1">
      <c r="A2030" s="45">
        <v>3454.0</v>
      </c>
      <c r="B2030" s="57"/>
      <c r="C2030" s="57"/>
      <c r="D2030" s="88" t="str">
        <f t="array" ref="D2030">IFERROR(
  LOOKUP(2, 1/((TRIM(IMS!$E$8:$E$2574)=TRIM(IMS!$E2030))*(IMS!$C$8:$C$2574&lt;IMS!$C2030)),
         IMS!$C$8:$C$2574),
"")</f>
        <v/>
      </c>
      <c r="E2030" s="57"/>
      <c r="F2030" s="57"/>
      <c r="G2030" s="77" t="str">
        <f t="shared" si="901"/>
        <v/>
      </c>
      <c r="H2030" s="78" t="str">
        <f t="shared" si="902"/>
        <v/>
      </c>
      <c r="I2030" s="79"/>
      <c r="J2030" s="80" t="str">
        <f t="shared" si="903"/>
        <v>#NAME?</v>
      </c>
      <c r="K2030" s="58"/>
      <c r="L2030" s="58"/>
      <c r="M2030" s="57"/>
      <c r="N2030" s="57"/>
      <c r="O2030" s="58"/>
      <c r="P2030" s="82"/>
      <c r="Q2030" s="81"/>
      <c r="R2030" s="81"/>
      <c r="S2030" s="57"/>
      <c r="T2030" s="82"/>
      <c r="U2030" s="82"/>
      <c r="V2030" s="57"/>
      <c r="W2030" s="57"/>
      <c r="X2030" s="57" t="str">
        <f t="shared" si="917"/>
        <v/>
      </c>
      <c r="Y2030" s="58" t="str">
        <f t="shared" ref="Y2030:AC2030" si="1870">TRIM(SUBSTITUTE(SUBSTITUTE(OFFSET($Q2030,0,COLUMN()-COLUMN($AL$1)),CHAR(160)," "),_xludf.UNICHAR(8239)," "))</f>
        <v>#NAME?</v>
      </c>
      <c r="Z2030" s="58" t="str">
        <f t="shared" si="1870"/>
        <v>#NAME?</v>
      </c>
      <c r="AA2030" s="58" t="str">
        <f t="shared" si="1870"/>
        <v>#NAME?</v>
      </c>
      <c r="AB2030" s="58" t="str">
        <f t="shared" si="1870"/>
        <v>#NAME?</v>
      </c>
      <c r="AC2030" s="58" t="str">
        <f t="shared" si="1870"/>
        <v>#NAME?</v>
      </c>
      <c r="AD2030" s="57">
        <f t="shared" si="906"/>
        <v>0</v>
      </c>
      <c r="AE2030" s="57" t="str">
        <f t="shared" si="907"/>
        <v/>
      </c>
      <c r="AF2030" s="57">
        <f t="shared" si="908"/>
        <v>0</v>
      </c>
      <c r="AG2030" s="59">
        <f t="shared" si="909"/>
        <v>0</v>
      </c>
      <c r="AH2030" s="15"/>
      <c r="AI2030" s="15"/>
      <c r="AJ2030" s="15"/>
      <c r="AK2030" s="15"/>
      <c r="AL2030" s="15"/>
      <c r="AM2030" s="15"/>
      <c r="AN2030" s="15"/>
      <c r="AO2030" s="15"/>
      <c r="AP2030" s="15"/>
      <c r="AQ2030" s="15"/>
      <c r="AR2030" s="15"/>
      <c r="AS2030" s="15"/>
      <c r="AT2030" s="15"/>
      <c r="AU2030" s="15"/>
    </row>
    <row r="2031" ht="24.0" customHeight="1">
      <c r="A2031" s="45">
        <v>3455.0</v>
      </c>
      <c r="B2031" s="57"/>
      <c r="C2031" s="57"/>
      <c r="D2031" s="88" t="str">
        <f t="array" ref="D2031">IFERROR(
  LOOKUP(2, 1/((TRIM(IMS!$E$8:$E$2574)=TRIM(IMS!$E2031))*(IMS!$C$8:$C$2574&lt;IMS!$C2031)),
         IMS!$C$8:$C$2574),
"")</f>
        <v/>
      </c>
      <c r="E2031" s="57"/>
      <c r="F2031" s="57"/>
      <c r="G2031" s="77" t="str">
        <f t="shared" si="901"/>
        <v/>
      </c>
      <c r="H2031" s="78" t="str">
        <f t="shared" si="902"/>
        <v/>
      </c>
      <c r="I2031" s="79"/>
      <c r="J2031" s="80" t="str">
        <f t="shared" si="903"/>
        <v>#NAME?</v>
      </c>
      <c r="K2031" s="58"/>
      <c r="L2031" s="58"/>
      <c r="M2031" s="57"/>
      <c r="N2031" s="57"/>
      <c r="O2031" s="58"/>
      <c r="P2031" s="82"/>
      <c r="Q2031" s="81"/>
      <c r="R2031" s="81"/>
      <c r="S2031" s="57"/>
      <c r="T2031" s="82"/>
      <c r="U2031" s="82"/>
      <c r="V2031" s="57"/>
      <c r="W2031" s="57"/>
      <c r="X2031" s="57" t="str">
        <f t="shared" si="917"/>
        <v/>
      </c>
      <c r="Y2031" s="58" t="str">
        <f t="shared" ref="Y2031:AC2031" si="1871">TRIM(SUBSTITUTE(SUBSTITUTE(OFFSET($Q2031,0,COLUMN()-COLUMN($AL$1)),CHAR(160)," "),_xludf.UNICHAR(8239)," "))</f>
        <v>#NAME?</v>
      </c>
      <c r="Z2031" s="58" t="str">
        <f t="shared" si="1871"/>
        <v>#NAME?</v>
      </c>
      <c r="AA2031" s="58" t="str">
        <f t="shared" si="1871"/>
        <v>#NAME?</v>
      </c>
      <c r="AB2031" s="58" t="str">
        <f t="shared" si="1871"/>
        <v>#NAME?</v>
      </c>
      <c r="AC2031" s="58" t="str">
        <f t="shared" si="1871"/>
        <v>#NAME?</v>
      </c>
      <c r="AD2031" s="57">
        <f t="shared" si="906"/>
        <v>0</v>
      </c>
      <c r="AE2031" s="57" t="str">
        <f t="shared" si="907"/>
        <v/>
      </c>
      <c r="AF2031" s="57">
        <f t="shared" si="908"/>
        <v>0</v>
      </c>
      <c r="AG2031" s="59">
        <f t="shared" si="909"/>
        <v>0</v>
      </c>
      <c r="AH2031" s="15"/>
      <c r="AI2031" s="15"/>
      <c r="AJ2031" s="15"/>
      <c r="AK2031" s="15"/>
      <c r="AL2031" s="15"/>
      <c r="AM2031" s="15"/>
      <c r="AN2031" s="15"/>
      <c r="AO2031" s="15"/>
      <c r="AP2031" s="15"/>
      <c r="AQ2031" s="15"/>
      <c r="AR2031" s="15"/>
      <c r="AS2031" s="15"/>
      <c r="AT2031" s="15"/>
      <c r="AU2031" s="15"/>
    </row>
    <row r="2032" ht="24.0" customHeight="1">
      <c r="A2032" s="45">
        <v>3456.0</v>
      </c>
      <c r="B2032" s="57"/>
      <c r="C2032" s="57"/>
      <c r="D2032" s="88" t="str">
        <f t="array" ref="D2032">IFERROR(
  LOOKUP(2, 1/((TRIM(IMS!$E$8:$E$2574)=TRIM(IMS!$E2032))*(IMS!$C$8:$C$2574&lt;IMS!$C2032)),
         IMS!$C$8:$C$2574),
"")</f>
        <v/>
      </c>
      <c r="E2032" s="57"/>
      <c r="F2032" s="57"/>
      <c r="G2032" s="77" t="str">
        <f t="shared" si="901"/>
        <v/>
      </c>
      <c r="H2032" s="78" t="str">
        <f t="shared" si="902"/>
        <v/>
      </c>
      <c r="I2032" s="79"/>
      <c r="J2032" s="80" t="str">
        <f t="shared" si="903"/>
        <v>#NAME?</v>
      </c>
      <c r="K2032" s="58"/>
      <c r="L2032" s="58"/>
      <c r="M2032" s="57"/>
      <c r="N2032" s="57"/>
      <c r="O2032" s="58"/>
      <c r="P2032" s="82"/>
      <c r="Q2032" s="81"/>
      <c r="R2032" s="81"/>
      <c r="S2032" s="57"/>
      <c r="T2032" s="82"/>
      <c r="U2032" s="82"/>
      <c r="V2032" s="57"/>
      <c r="W2032" s="57"/>
      <c r="X2032" s="57" t="str">
        <f t="shared" si="917"/>
        <v/>
      </c>
      <c r="Y2032" s="58" t="str">
        <f t="shared" ref="Y2032:AC2032" si="1872">TRIM(SUBSTITUTE(SUBSTITUTE(OFFSET($Q2032,0,COLUMN()-COLUMN($AL$1)),CHAR(160)," "),_xludf.UNICHAR(8239)," "))</f>
        <v>#NAME?</v>
      </c>
      <c r="Z2032" s="58" t="str">
        <f t="shared" si="1872"/>
        <v>#NAME?</v>
      </c>
      <c r="AA2032" s="58" t="str">
        <f t="shared" si="1872"/>
        <v>#NAME?</v>
      </c>
      <c r="AB2032" s="58" t="str">
        <f t="shared" si="1872"/>
        <v>#NAME?</v>
      </c>
      <c r="AC2032" s="58" t="str">
        <f t="shared" si="1872"/>
        <v>#NAME?</v>
      </c>
      <c r="AD2032" s="57">
        <f t="shared" si="906"/>
        <v>0</v>
      </c>
      <c r="AE2032" s="57" t="str">
        <f t="shared" si="907"/>
        <v/>
      </c>
      <c r="AF2032" s="57">
        <f t="shared" si="908"/>
        <v>0</v>
      </c>
      <c r="AG2032" s="59">
        <f t="shared" si="909"/>
        <v>0</v>
      </c>
      <c r="AH2032" s="15"/>
      <c r="AI2032" s="15"/>
      <c r="AJ2032" s="15"/>
      <c r="AK2032" s="15"/>
      <c r="AL2032" s="15"/>
      <c r="AM2032" s="15"/>
      <c r="AN2032" s="15"/>
      <c r="AO2032" s="15"/>
      <c r="AP2032" s="15"/>
      <c r="AQ2032" s="15"/>
      <c r="AR2032" s="15"/>
      <c r="AS2032" s="15"/>
      <c r="AT2032" s="15"/>
      <c r="AU2032" s="15"/>
    </row>
    <row r="2033" ht="24.0" customHeight="1">
      <c r="A2033" s="45">
        <v>3457.0</v>
      </c>
      <c r="B2033" s="57"/>
      <c r="C2033" s="57"/>
      <c r="D2033" s="88" t="str">
        <f t="array" ref="D2033">IFERROR(
  LOOKUP(2, 1/((TRIM(IMS!$E$8:$E$2574)=TRIM(IMS!$E2033))*(IMS!$C$8:$C$2574&lt;IMS!$C2033)),
         IMS!$C$8:$C$2574),
"")</f>
        <v/>
      </c>
      <c r="E2033" s="57"/>
      <c r="F2033" s="57"/>
      <c r="G2033" s="77" t="str">
        <f t="shared" si="901"/>
        <v/>
      </c>
      <c r="H2033" s="78" t="str">
        <f t="shared" si="902"/>
        <v/>
      </c>
      <c r="I2033" s="79"/>
      <c r="J2033" s="80" t="str">
        <f t="shared" si="903"/>
        <v>#NAME?</v>
      </c>
      <c r="K2033" s="58"/>
      <c r="L2033" s="58"/>
      <c r="M2033" s="57"/>
      <c r="N2033" s="57"/>
      <c r="O2033" s="58"/>
      <c r="P2033" s="82"/>
      <c r="Q2033" s="81"/>
      <c r="R2033" s="81"/>
      <c r="S2033" s="57"/>
      <c r="T2033" s="82"/>
      <c r="U2033" s="82"/>
      <c r="V2033" s="57"/>
      <c r="W2033" s="57"/>
      <c r="X2033" s="57" t="str">
        <f t="shared" si="917"/>
        <v/>
      </c>
      <c r="Y2033" s="58" t="str">
        <f t="shared" ref="Y2033:AC2033" si="1873">TRIM(SUBSTITUTE(SUBSTITUTE(OFFSET($Q2033,0,COLUMN()-COLUMN($AL$1)),CHAR(160)," "),_xludf.UNICHAR(8239)," "))</f>
        <v>#NAME?</v>
      </c>
      <c r="Z2033" s="58" t="str">
        <f t="shared" si="1873"/>
        <v>#NAME?</v>
      </c>
      <c r="AA2033" s="58" t="str">
        <f t="shared" si="1873"/>
        <v>#NAME?</v>
      </c>
      <c r="AB2033" s="58" t="str">
        <f t="shared" si="1873"/>
        <v>#NAME?</v>
      </c>
      <c r="AC2033" s="58" t="str">
        <f t="shared" si="1873"/>
        <v>#NAME?</v>
      </c>
      <c r="AD2033" s="57">
        <f t="shared" si="906"/>
        <v>0</v>
      </c>
      <c r="AE2033" s="57" t="str">
        <f t="shared" si="907"/>
        <v/>
      </c>
      <c r="AF2033" s="57">
        <f t="shared" si="908"/>
        <v>0</v>
      </c>
      <c r="AG2033" s="59">
        <f t="shared" si="909"/>
        <v>0</v>
      </c>
      <c r="AH2033" s="15"/>
      <c r="AI2033" s="15"/>
      <c r="AJ2033" s="15"/>
      <c r="AK2033" s="15"/>
      <c r="AL2033" s="15"/>
      <c r="AM2033" s="15"/>
      <c r="AN2033" s="15"/>
      <c r="AO2033" s="15"/>
      <c r="AP2033" s="15"/>
      <c r="AQ2033" s="15"/>
      <c r="AR2033" s="15"/>
      <c r="AS2033" s="15"/>
      <c r="AT2033" s="15"/>
      <c r="AU2033" s="15"/>
    </row>
    <row r="2034" ht="24.0" customHeight="1">
      <c r="A2034" s="45">
        <v>3458.0</v>
      </c>
      <c r="B2034" s="57"/>
      <c r="C2034" s="57"/>
      <c r="D2034" s="88" t="str">
        <f t="array" ref="D2034">IFERROR(
  LOOKUP(2, 1/((TRIM(IMS!$E$8:$E$2574)=TRIM(IMS!$E2034))*(IMS!$C$8:$C$2574&lt;IMS!$C2034)),
         IMS!$C$8:$C$2574),
"")</f>
        <v/>
      </c>
      <c r="E2034" s="57"/>
      <c r="F2034" s="57"/>
      <c r="G2034" s="77" t="str">
        <f t="shared" si="901"/>
        <v/>
      </c>
      <c r="H2034" s="78" t="str">
        <f t="shared" si="902"/>
        <v/>
      </c>
      <c r="I2034" s="79"/>
      <c r="J2034" s="80" t="str">
        <f t="shared" si="903"/>
        <v>#NAME?</v>
      </c>
      <c r="K2034" s="58"/>
      <c r="L2034" s="58"/>
      <c r="M2034" s="57"/>
      <c r="N2034" s="57"/>
      <c r="O2034" s="58"/>
      <c r="P2034" s="82"/>
      <c r="Q2034" s="81"/>
      <c r="R2034" s="81"/>
      <c r="S2034" s="57"/>
      <c r="T2034" s="82"/>
      <c r="U2034" s="82"/>
      <c r="V2034" s="57"/>
      <c r="W2034" s="57"/>
      <c r="X2034" s="57" t="str">
        <f t="shared" si="917"/>
        <v/>
      </c>
      <c r="Y2034" s="58" t="str">
        <f t="shared" ref="Y2034:AC2034" si="1874">TRIM(SUBSTITUTE(SUBSTITUTE(OFFSET($Q2034,0,COLUMN()-COLUMN($AL$1)),CHAR(160)," "),_xludf.UNICHAR(8239)," "))</f>
        <v>#NAME?</v>
      </c>
      <c r="Z2034" s="58" t="str">
        <f t="shared" si="1874"/>
        <v>#NAME?</v>
      </c>
      <c r="AA2034" s="58" t="str">
        <f t="shared" si="1874"/>
        <v>#NAME?</v>
      </c>
      <c r="AB2034" s="58" t="str">
        <f t="shared" si="1874"/>
        <v>#NAME?</v>
      </c>
      <c r="AC2034" s="58" t="str">
        <f t="shared" si="1874"/>
        <v>#NAME?</v>
      </c>
      <c r="AD2034" s="57">
        <f t="shared" si="906"/>
        <v>0</v>
      </c>
      <c r="AE2034" s="57" t="str">
        <f t="shared" si="907"/>
        <v/>
      </c>
      <c r="AF2034" s="57">
        <f t="shared" si="908"/>
        <v>0</v>
      </c>
      <c r="AG2034" s="59">
        <f t="shared" si="909"/>
        <v>0</v>
      </c>
      <c r="AH2034" s="15"/>
      <c r="AI2034" s="15"/>
      <c r="AJ2034" s="15"/>
      <c r="AK2034" s="15"/>
      <c r="AL2034" s="15"/>
      <c r="AM2034" s="15"/>
      <c r="AN2034" s="15"/>
      <c r="AO2034" s="15"/>
      <c r="AP2034" s="15"/>
      <c r="AQ2034" s="15"/>
      <c r="AR2034" s="15"/>
      <c r="AS2034" s="15"/>
      <c r="AT2034" s="15"/>
      <c r="AU2034" s="15"/>
    </row>
    <row r="2035" ht="24.0" customHeight="1">
      <c r="A2035" s="45">
        <v>3459.0</v>
      </c>
      <c r="B2035" s="57"/>
      <c r="C2035" s="57"/>
      <c r="D2035" s="88" t="str">
        <f t="array" ref="D2035">IFERROR(
  LOOKUP(2, 1/((TRIM(IMS!$E$8:$E$2574)=TRIM(IMS!$E2035))*(IMS!$C$8:$C$2574&lt;IMS!$C2035)),
         IMS!$C$8:$C$2574),
"")</f>
        <v/>
      </c>
      <c r="E2035" s="57"/>
      <c r="F2035" s="57"/>
      <c r="G2035" s="77" t="str">
        <f t="shared" si="901"/>
        <v/>
      </c>
      <c r="H2035" s="78" t="str">
        <f t="shared" si="902"/>
        <v/>
      </c>
      <c r="I2035" s="79"/>
      <c r="J2035" s="80" t="str">
        <f t="shared" si="903"/>
        <v>#NAME?</v>
      </c>
      <c r="K2035" s="58"/>
      <c r="L2035" s="58"/>
      <c r="M2035" s="57"/>
      <c r="N2035" s="57"/>
      <c r="O2035" s="58"/>
      <c r="P2035" s="82"/>
      <c r="Q2035" s="81"/>
      <c r="R2035" s="81"/>
      <c r="S2035" s="57"/>
      <c r="T2035" s="82"/>
      <c r="U2035" s="82"/>
      <c r="V2035" s="57"/>
      <c r="W2035" s="57"/>
      <c r="X2035" s="57" t="str">
        <f t="shared" si="917"/>
        <v/>
      </c>
      <c r="Y2035" s="58" t="str">
        <f t="shared" ref="Y2035:AC2035" si="1875">TRIM(SUBSTITUTE(SUBSTITUTE(OFFSET($Q2035,0,COLUMN()-COLUMN($AL$1)),CHAR(160)," "),_xludf.UNICHAR(8239)," "))</f>
        <v>#NAME?</v>
      </c>
      <c r="Z2035" s="58" t="str">
        <f t="shared" si="1875"/>
        <v>#NAME?</v>
      </c>
      <c r="AA2035" s="58" t="str">
        <f t="shared" si="1875"/>
        <v>#NAME?</v>
      </c>
      <c r="AB2035" s="58" t="str">
        <f t="shared" si="1875"/>
        <v>#NAME?</v>
      </c>
      <c r="AC2035" s="58" t="str">
        <f t="shared" si="1875"/>
        <v>#NAME?</v>
      </c>
      <c r="AD2035" s="57">
        <f t="shared" si="906"/>
        <v>0</v>
      </c>
      <c r="AE2035" s="57" t="str">
        <f t="shared" si="907"/>
        <v/>
      </c>
      <c r="AF2035" s="57">
        <f t="shared" si="908"/>
        <v>0</v>
      </c>
      <c r="AG2035" s="59">
        <f t="shared" si="909"/>
        <v>0</v>
      </c>
      <c r="AH2035" s="15"/>
      <c r="AI2035" s="15"/>
      <c r="AJ2035" s="15"/>
      <c r="AK2035" s="15"/>
      <c r="AL2035" s="15"/>
      <c r="AM2035" s="15"/>
      <c r="AN2035" s="15"/>
      <c r="AO2035" s="15"/>
      <c r="AP2035" s="15"/>
      <c r="AQ2035" s="15"/>
      <c r="AR2035" s="15"/>
      <c r="AS2035" s="15"/>
      <c r="AT2035" s="15"/>
      <c r="AU2035" s="15"/>
    </row>
    <row r="2036" ht="24.0" customHeight="1">
      <c r="A2036" s="45">
        <v>3460.0</v>
      </c>
      <c r="B2036" s="57"/>
      <c r="C2036" s="57"/>
      <c r="D2036" s="88" t="str">
        <f t="array" ref="D2036">IFERROR(
  LOOKUP(2, 1/((TRIM(IMS!$E$8:$E$2574)=TRIM(IMS!$E2036))*(IMS!$C$8:$C$2574&lt;IMS!$C2036)),
         IMS!$C$8:$C$2574),
"")</f>
        <v/>
      </c>
      <c r="E2036" s="57"/>
      <c r="F2036" s="57"/>
      <c r="G2036" s="77" t="str">
        <f t="shared" si="901"/>
        <v/>
      </c>
      <c r="H2036" s="78" t="str">
        <f t="shared" si="902"/>
        <v/>
      </c>
      <c r="I2036" s="79"/>
      <c r="J2036" s="80" t="str">
        <f t="shared" si="903"/>
        <v>#NAME?</v>
      </c>
      <c r="K2036" s="58"/>
      <c r="L2036" s="58"/>
      <c r="M2036" s="57"/>
      <c r="N2036" s="57"/>
      <c r="O2036" s="58"/>
      <c r="P2036" s="82"/>
      <c r="Q2036" s="81"/>
      <c r="R2036" s="81"/>
      <c r="S2036" s="57"/>
      <c r="T2036" s="82"/>
      <c r="U2036" s="82"/>
      <c r="V2036" s="57"/>
      <c r="W2036" s="57"/>
      <c r="X2036" s="57" t="str">
        <f t="shared" si="917"/>
        <v/>
      </c>
      <c r="Y2036" s="58" t="str">
        <f t="shared" ref="Y2036:AC2036" si="1876">TRIM(SUBSTITUTE(SUBSTITUTE(OFFSET($Q2036,0,COLUMN()-COLUMN($AL$1)),CHAR(160)," "),_xludf.UNICHAR(8239)," "))</f>
        <v>#NAME?</v>
      </c>
      <c r="Z2036" s="58" t="str">
        <f t="shared" si="1876"/>
        <v>#NAME?</v>
      </c>
      <c r="AA2036" s="58" t="str">
        <f t="shared" si="1876"/>
        <v>#NAME?</v>
      </c>
      <c r="AB2036" s="58" t="str">
        <f t="shared" si="1876"/>
        <v>#NAME?</v>
      </c>
      <c r="AC2036" s="58" t="str">
        <f t="shared" si="1876"/>
        <v>#NAME?</v>
      </c>
      <c r="AD2036" s="57">
        <f t="shared" si="906"/>
        <v>0</v>
      </c>
      <c r="AE2036" s="57" t="str">
        <f t="shared" si="907"/>
        <v/>
      </c>
      <c r="AF2036" s="57">
        <f t="shared" si="908"/>
        <v>0</v>
      </c>
      <c r="AG2036" s="59">
        <f t="shared" si="909"/>
        <v>0</v>
      </c>
      <c r="AH2036" s="15"/>
      <c r="AI2036" s="15"/>
      <c r="AJ2036" s="15"/>
      <c r="AK2036" s="15"/>
      <c r="AL2036" s="15"/>
      <c r="AM2036" s="15"/>
      <c r="AN2036" s="15"/>
      <c r="AO2036" s="15"/>
      <c r="AP2036" s="15"/>
      <c r="AQ2036" s="15"/>
      <c r="AR2036" s="15"/>
      <c r="AS2036" s="15"/>
      <c r="AT2036" s="15"/>
      <c r="AU2036" s="15"/>
    </row>
    <row r="2037" ht="24.0" customHeight="1">
      <c r="A2037" s="45">
        <v>3461.0</v>
      </c>
      <c r="B2037" s="57"/>
      <c r="C2037" s="57"/>
      <c r="D2037" s="88" t="str">
        <f t="array" ref="D2037">IFERROR(
  LOOKUP(2, 1/((TRIM(IMS!$E$8:$E$2574)=TRIM(IMS!$E2037))*(IMS!$C$8:$C$2574&lt;IMS!$C2037)),
         IMS!$C$8:$C$2574),
"")</f>
        <v/>
      </c>
      <c r="E2037" s="57"/>
      <c r="F2037" s="57"/>
      <c r="G2037" s="77" t="str">
        <f t="shared" si="901"/>
        <v/>
      </c>
      <c r="H2037" s="78" t="str">
        <f t="shared" si="902"/>
        <v/>
      </c>
      <c r="I2037" s="79"/>
      <c r="J2037" s="80" t="str">
        <f t="shared" si="903"/>
        <v>#NAME?</v>
      </c>
      <c r="K2037" s="58"/>
      <c r="L2037" s="58"/>
      <c r="M2037" s="57"/>
      <c r="N2037" s="57"/>
      <c r="O2037" s="58"/>
      <c r="P2037" s="82"/>
      <c r="Q2037" s="81"/>
      <c r="R2037" s="81"/>
      <c r="S2037" s="57"/>
      <c r="T2037" s="82"/>
      <c r="U2037" s="82"/>
      <c r="V2037" s="57"/>
      <c r="W2037" s="57"/>
      <c r="X2037" s="57" t="str">
        <f t="shared" si="917"/>
        <v/>
      </c>
      <c r="Y2037" s="58" t="str">
        <f t="shared" ref="Y2037:AC2037" si="1877">TRIM(SUBSTITUTE(SUBSTITUTE(OFFSET($Q2037,0,COLUMN()-COLUMN($AL$1)),CHAR(160)," "),_xludf.UNICHAR(8239)," "))</f>
        <v>#NAME?</v>
      </c>
      <c r="Z2037" s="58" t="str">
        <f t="shared" si="1877"/>
        <v>#NAME?</v>
      </c>
      <c r="AA2037" s="58" t="str">
        <f t="shared" si="1877"/>
        <v>#NAME?</v>
      </c>
      <c r="AB2037" s="58" t="str">
        <f t="shared" si="1877"/>
        <v>#NAME?</v>
      </c>
      <c r="AC2037" s="58" t="str">
        <f t="shared" si="1877"/>
        <v>#NAME?</v>
      </c>
      <c r="AD2037" s="57">
        <f t="shared" si="906"/>
        <v>0</v>
      </c>
      <c r="AE2037" s="57" t="str">
        <f t="shared" si="907"/>
        <v/>
      </c>
      <c r="AF2037" s="57">
        <f t="shared" si="908"/>
        <v>0</v>
      </c>
      <c r="AG2037" s="59">
        <f t="shared" si="909"/>
        <v>0</v>
      </c>
      <c r="AH2037" s="15"/>
      <c r="AI2037" s="15"/>
      <c r="AJ2037" s="15"/>
      <c r="AK2037" s="15"/>
      <c r="AL2037" s="15"/>
      <c r="AM2037" s="15"/>
      <c r="AN2037" s="15"/>
      <c r="AO2037" s="15"/>
      <c r="AP2037" s="15"/>
      <c r="AQ2037" s="15"/>
      <c r="AR2037" s="15"/>
      <c r="AS2037" s="15"/>
      <c r="AT2037" s="15"/>
      <c r="AU2037" s="15"/>
    </row>
    <row r="2038" ht="24.0" customHeight="1">
      <c r="A2038" s="45">
        <v>3462.0</v>
      </c>
      <c r="B2038" s="57"/>
      <c r="C2038" s="57"/>
      <c r="D2038" s="88" t="str">
        <f t="array" ref="D2038">IFERROR(
  LOOKUP(2, 1/((TRIM(IMS!$E$8:$E$2574)=TRIM(IMS!$E2038))*(IMS!$C$8:$C$2574&lt;IMS!$C2038)),
         IMS!$C$8:$C$2574),
"")</f>
        <v/>
      </c>
      <c r="E2038" s="57"/>
      <c r="F2038" s="57"/>
      <c r="G2038" s="77" t="str">
        <f t="shared" si="901"/>
        <v/>
      </c>
      <c r="H2038" s="78" t="str">
        <f t="shared" si="902"/>
        <v/>
      </c>
      <c r="I2038" s="79"/>
      <c r="J2038" s="80" t="str">
        <f t="shared" si="903"/>
        <v>#NAME?</v>
      </c>
      <c r="K2038" s="58"/>
      <c r="L2038" s="58"/>
      <c r="M2038" s="57"/>
      <c r="N2038" s="57"/>
      <c r="O2038" s="58"/>
      <c r="P2038" s="82"/>
      <c r="Q2038" s="81"/>
      <c r="R2038" s="81"/>
      <c r="S2038" s="57"/>
      <c r="T2038" s="82"/>
      <c r="U2038" s="82"/>
      <c r="V2038" s="57"/>
      <c r="W2038" s="57"/>
      <c r="X2038" s="57" t="str">
        <f t="shared" si="917"/>
        <v/>
      </c>
      <c r="Y2038" s="58" t="str">
        <f t="shared" ref="Y2038:AC2038" si="1878">TRIM(SUBSTITUTE(SUBSTITUTE(OFFSET($Q2038,0,COLUMN()-COLUMN($AL$1)),CHAR(160)," "),_xludf.UNICHAR(8239)," "))</f>
        <v>#NAME?</v>
      </c>
      <c r="Z2038" s="58" t="str">
        <f t="shared" si="1878"/>
        <v>#NAME?</v>
      </c>
      <c r="AA2038" s="58" t="str">
        <f t="shared" si="1878"/>
        <v>#NAME?</v>
      </c>
      <c r="AB2038" s="58" t="str">
        <f t="shared" si="1878"/>
        <v>#NAME?</v>
      </c>
      <c r="AC2038" s="58" t="str">
        <f t="shared" si="1878"/>
        <v>#NAME?</v>
      </c>
      <c r="AD2038" s="57">
        <f t="shared" si="906"/>
        <v>0</v>
      </c>
      <c r="AE2038" s="57" t="str">
        <f t="shared" si="907"/>
        <v/>
      </c>
      <c r="AF2038" s="57">
        <f t="shared" si="908"/>
        <v>0</v>
      </c>
      <c r="AG2038" s="59">
        <f t="shared" si="909"/>
        <v>0</v>
      </c>
      <c r="AH2038" s="15"/>
      <c r="AI2038" s="15"/>
      <c r="AJ2038" s="15"/>
      <c r="AK2038" s="15"/>
      <c r="AL2038" s="15"/>
      <c r="AM2038" s="15"/>
      <c r="AN2038" s="15"/>
      <c r="AO2038" s="15"/>
      <c r="AP2038" s="15"/>
      <c r="AQ2038" s="15"/>
      <c r="AR2038" s="15"/>
      <c r="AS2038" s="15"/>
      <c r="AT2038" s="15"/>
      <c r="AU2038" s="15"/>
    </row>
    <row r="2039" ht="24.0" customHeight="1">
      <c r="A2039" s="45">
        <v>3463.0</v>
      </c>
      <c r="B2039" s="57"/>
      <c r="C2039" s="57"/>
      <c r="D2039" s="88" t="str">
        <f t="array" ref="D2039">IFERROR(
  LOOKUP(2, 1/((TRIM(IMS!$E$8:$E$2574)=TRIM(IMS!$E2039))*(IMS!$C$8:$C$2574&lt;IMS!$C2039)),
         IMS!$C$8:$C$2574),
"")</f>
        <v/>
      </c>
      <c r="E2039" s="57"/>
      <c r="F2039" s="57"/>
      <c r="G2039" s="77" t="str">
        <f t="shared" si="901"/>
        <v/>
      </c>
      <c r="H2039" s="78" t="str">
        <f t="shared" si="902"/>
        <v/>
      </c>
      <c r="I2039" s="79"/>
      <c r="J2039" s="80" t="str">
        <f t="shared" si="903"/>
        <v>#NAME?</v>
      </c>
      <c r="K2039" s="58"/>
      <c r="L2039" s="58"/>
      <c r="M2039" s="57"/>
      <c r="N2039" s="57"/>
      <c r="O2039" s="58"/>
      <c r="P2039" s="82"/>
      <c r="Q2039" s="81"/>
      <c r="R2039" s="81"/>
      <c r="S2039" s="57"/>
      <c r="T2039" s="82"/>
      <c r="U2039" s="82"/>
      <c r="V2039" s="57"/>
      <c r="W2039" s="57"/>
      <c r="X2039" s="57" t="str">
        <f t="shared" si="917"/>
        <v/>
      </c>
      <c r="Y2039" s="58" t="str">
        <f t="shared" ref="Y2039:AC2039" si="1879">TRIM(SUBSTITUTE(SUBSTITUTE(OFFSET($Q2039,0,COLUMN()-COLUMN($AL$1)),CHAR(160)," "),_xludf.UNICHAR(8239)," "))</f>
        <v>#NAME?</v>
      </c>
      <c r="Z2039" s="58" t="str">
        <f t="shared" si="1879"/>
        <v>#NAME?</v>
      </c>
      <c r="AA2039" s="58" t="str">
        <f t="shared" si="1879"/>
        <v>#NAME?</v>
      </c>
      <c r="AB2039" s="58" t="str">
        <f t="shared" si="1879"/>
        <v>#NAME?</v>
      </c>
      <c r="AC2039" s="58" t="str">
        <f t="shared" si="1879"/>
        <v>#NAME?</v>
      </c>
      <c r="AD2039" s="57">
        <f t="shared" si="906"/>
        <v>0</v>
      </c>
      <c r="AE2039" s="57" t="str">
        <f t="shared" si="907"/>
        <v/>
      </c>
      <c r="AF2039" s="57">
        <f t="shared" si="908"/>
        <v>0</v>
      </c>
      <c r="AG2039" s="59">
        <f t="shared" si="909"/>
        <v>0</v>
      </c>
      <c r="AH2039" s="15"/>
      <c r="AI2039" s="15"/>
      <c r="AJ2039" s="15"/>
      <c r="AK2039" s="15"/>
      <c r="AL2039" s="15"/>
      <c r="AM2039" s="15"/>
      <c r="AN2039" s="15"/>
      <c r="AO2039" s="15"/>
      <c r="AP2039" s="15"/>
      <c r="AQ2039" s="15"/>
      <c r="AR2039" s="15"/>
      <c r="AS2039" s="15"/>
      <c r="AT2039" s="15"/>
      <c r="AU2039" s="15"/>
    </row>
    <row r="2040" ht="24.0" customHeight="1">
      <c r="A2040" s="45">
        <v>3464.0</v>
      </c>
      <c r="B2040" s="57"/>
      <c r="C2040" s="57"/>
      <c r="D2040" s="88" t="str">
        <f t="array" ref="D2040">IFERROR(
  LOOKUP(2, 1/((TRIM(IMS!$E$8:$E$2574)=TRIM(IMS!$E2040))*(IMS!$C$8:$C$2574&lt;IMS!$C2040)),
         IMS!$C$8:$C$2574),
"")</f>
        <v/>
      </c>
      <c r="E2040" s="57"/>
      <c r="F2040" s="57"/>
      <c r="G2040" s="77" t="str">
        <f t="shared" si="901"/>
        <v/>
      </c>
      <c r="H2040" s="78" t="str">
        <f t="shared" si="902"/>
        <v/>
      </c>
      <c r="I2040" s="79"/>
      <c r="J2040" s="80" t="str">
        <f t="shared" si="903"/>
        <v>#NAME?</v>
      </c>
      <c r="K2040" s="58"/>
      <c r="L2040" s="58"/>
      <c r="M2040" s="57"/>
      <c r="N2040" s="57"/>
      <c r="O2040" s="58"/>
      <c r="P2040" s="82"/>
      <c r="Q2040" s="81"/>
      <c r="R2040" s="81"/>
      <c r="S2040" s="57"/>
      <c r="T2040" s="82"/>
      <c r="U2040" s="82"/>
      <c r="V2040" s="57"/>
      <c r="W2040" s="57"/>
      <c r="X2040" s="57" t="str">
        <f t="shared" si="917"/>
        <v/>
      </c>
      <c r="Y2040" s="58" t="str">
        <f t="shared" ref="Y2040:AC2040" si="1880">TRIM(SUBSTITUTE(SUBSTITUTE(OFFSET($Q2040,0,COLUMN()-COLUMN($AL$1)),CHAR(160)," "),_xludf.UNICHAR(8239)," "))</f>
        <v>#NAME?</v>
      </c>
      <c r="Z2040" s="58" t="str">
        <f t="shared" si="1880"/>
        <v>#NAME?</v>
      </c>
      <c r="AA2040" s="58" t="str">
        <f t="shared" si="1880"/>
        <v>#NAME?</v>
      </c>
      <c r="AB2040" s="58" t="str">
        <f t="shared" si="1880"/>
        <v>#NAME?</v>
      </c>
      <c r="AC2040" s="58" t="str">
        <f t="shared" si="1880"/>
        <v>#NAME?</v>
      </c>
      <c r="AD2040" s="57">
        <f t="shared" si="906"/>
        <v>0</v>
      </c>
      <c r="AE2040" s="57" t="str">
        <f t="shared" si="907"/>
        <v/>
      </c>
      <c r="AF2040" s="57">
        <f t="shared" si="908"/>
        <v>0</v>
      </c>
      <c r="AG2040" s="59">
        <f t="shared" si="909"/>
        <v>0</v>
      </c>
      <c r="AH2040" s="15"/>
      <c r="AI2040" s="15"/>
      <c r="AJ2040" s="15"/>
      <c r="AK2040" s="15"/>
      <c r="AL2040" s="15"/>
      <c r="AM2040" s="15"/>
      <c r="AN2040" s="15"/>
      <c r="AO2040" s="15"/>
      <c r="AP2040" s="15"/>
      <c r="AQ2040" s="15"/>
      <c r="AR2040" s="15"/>
      <c r="AS2040" s="15"/>
      <c r="AT2040" s="15"/>
      <c r="AU2040" s="15"/>
    </row>
    <row r="2041" ht="24.0" customHeight="1">
      <c r="A2041" s="45">
        <v>3465.0</v>
      </c>
      <c r="B2041" s="57"/>
      <c r="C2041" s="57"/>
      <c r="D2041" s="88" t="str">
        <f t="array" ref="D2041">IFERROR(
  LOOKUP(2, 1/((TRIM(IMS!$E$8:$E$2574)=TRIM(IMS!$E2041))*(IMS!$C$8:$C$2574&lt;IMS!$C2041)),
         IMS!$C$8:$C$2574),
"")</f>
        <v/>
      </c>
      <c r="E2041" s="57"/>
      <c r="F2041" s="57"/>
      <c r="G2041" s="77" t="str">
        <f t="shared" si="901"/>
        <v/>
      </c>
      <c r="H2041" s="78" t="str">
        <f t="shared" si="902"/>
        <v/>
      </c>
      <c r="I2041" s="79"/>
      <c r="J2041" s="80" t="str">
        <f t="shared" si="903"/>
        <v>#NAME?</v>
      </c>
      <c r="K2041" s="58"/>
      <c r="L2041" s="58"/>
      <c r="M2041" s="57"/>
      <c r="N2041" s="57"/>
      <c r="O2041" s="58"/>
      <c r="P2041" s="82"/>
      <c r="Q2041" s="81"/>
      <c r="R2041" s="81"/>
      <c r="S2041" s="57"/>
      <c r="T2041" s="82"/>
      <c r="U2041" s="82"/>
      <c r="V2041" s="57"/>
      <c r="W2041" s="57"/>
      <c r="X2041" s="57" t="str">
        <f t="shared" si="917"/>
        <v/>
      </c>
      <c r="Y2041" s="58" t="str">
        <f t="shared" ref="Y2041:AC2041" si="1881">TRIM(SUBSTITUTE(SUBSTITUTE(OFFSET($Q2041,0,COLUMN()-COLUMN($AL$1)),CHAR(160)," "),_xludf.UNICHAR(8239)," "))</f>
        <v>#NAME?</v>
      </c>
      <c r="Z2041" s="58" t="str">
        <f t="shared" si="1881"/>
        <v>#NAME?</v>
      </c>
      <c r="AA2041" s="58" t="str">
        <f t="shared" si="1881"/>
        <v>#NAME?</v>
      </c>
      <c r="AB2041" s="58" t="str">
        <f t="shared" si="1881"/>
        <v>#NAME?</v>
      </c>
      <c r="AC2041" s="58" t="str">
        <f t="shared" si="1881"/>
        <v>#NAME?</v>
      </c>
      <c r="AD2041" s="57">
        <f t="shared" si="906"/>
        <v>0</v>
      </c>
      <c r="AE2041" s="57" t="str">
        <f t="shared" si="907"/>
        <v/>
      </c>
      <c r="AF2041" s="57">
        <f t="shared" si="908"/>
        <v>0</v>
      </c>
      <c r="AG2041" s="59">
        <f t="shared" si="909"/>
        <v>0</v>
      </c>
      <c r="AH2041" s="15"/>
      <c r="AI2041" s="15"/>
      <c r="AJ2041" s="15"/>
      <c r="AK2041" s="15"/>
      <c r="AL2041" s="15"/>
      <c r="AM2041" s="15"/>
      <c r="AN2041" s="15"/>
      <c r="AO2041" s="15"/>
      <c r="AP2041" s="15"/>
      <c r="AQ2041" s="15"/>
      <c r="AR2041" s="15"/>
      <c r="AS2041" s="15"/>
      <c r="AT2041" s="15"/>
      <c r="AU2041" s="15"/>
    </row>
    <row r="2042" ht="24.0" customHeight="1">
      <c r="A2042" s="45">
        <v>3466.0</v>
      </c>
      <c r="B2042" s="57"/>
      <c r="C2042" s="57"/>
      <c r="D2042" s="88" t="str">
        <f t="array" ref="D2042">IFERROR(
  LOOKUP(2, 1/((TRIM(IMS!$E$8:$E$2574)=TRIM(IMS!$E2042))*(IMS!$C$8:$C$2574&lt;IMS!$C2042)),
         IMS!$C$8:$C$2574),
"")</f>
        <v/>
      </c>
      <c r="E2042" s="57"/>
      <c r="F2042" s="57"/>
      <c r="G2042" s="77" t="str">
        <f t="shared" si="901"/>
        <v/>
      </c>
      <c r="H2042" s="78" t="str">
        <f t="shared" si="902"/>
        <v/>
      </c>
      <c r="I2042" s="79"/>
      <c r="J2042" s="80" t="str">
        <f t="shared" si="903"/>
        <v>#NAME?</v>
      </c>
      <c r="K2042" s="58"/>
      <c r="L2042" s="58"/>
      <c r="M2042" s="57"/>
      <c r="N2042" s="57"/>
      <c r="O2042" s="58"/>
      <c r="P2042" s="82"/>
      <c r="Q2042" s="81"/>
      <c r="R2042" s="81"/>
      <c r="S2042" s="57"/>
      <c r="T2042" s="82"/>
      <c r="U2042" s="82"/>
      <c r="V2042" s="57"/>
      <c r="W2042" s="57"/>
      <c r="X2042" s="57" t="str">
        <f t="shared" si="917"/>
        <v/>
      </c>
      <c r="Y2042" s="58" t="str">
        <f t="shared" ref="Y2042:AC2042" si="1882">TRIM(SUBSTITUTE(SUBSTITUTE(OFFSET($Q2042,0,COLUMN()-COLUMN($AL$1)),CHAR(160)," "),_xludf.UNICHAR(8239)," "))</f>
        <v>#NAME?</v>
      </c>
      <c r="Z2042" s="58" t="str">
        <f t="shared" si="1882"/>
        <v>#NAME?</v>
      </c>
      <c r="AA2042" s="58" t="str">
        <f t="shared" si="1882"/>
        <v>#NAME?</v>
      </c>
      <c r="AB2042" s="58" t="str">
        <f t="shared" si="1882"/>
        <v>#NAME?</v>
      </c>
      <c r="AC2042" s="58" t="str">
        <f t="shared" si="1882"/>
        <v>#NAME?</v>
      </c>
      <c r="AD2042" s="57">
        <f t="shared" si="906"/>
        <v>0</v>
      </c>
      <c r="AE2042" s="57" t="str">
        <f t="shared" si="907"/>
        <v/>
      </c>
      <c r="AF2042" s="57">
        <f t="shared" si="908"/>
        <v>0</v>
      </c>
      <c r="AG2042" s="59">
        <f t="shared" si="909"/>
        <v>0</v>
      </c>
      <c r="AH2042" s="15"/>
      <c r="AI2042" s="15"/>
      <c r="AJ2042" s="15"/>
      <c r="AK2042" s="15"/>
      <c r="AL2042" s="15"/>
      <c r="AM2042" s="15"/>
      <c r="AN2042" s="15"/>
      <c r="AO2042" s="15"/>
      <c r="AP2042" s="15"/>
      <c r="AQ2042" s="15"/>
      <c r="AR2042" s="15"/>
      <c r="AS2042" s="15"/>
      <c r="AT2042" s="15"/>
      <c r="AU2042" s="15"/>
    </row>
    <row r="2043" ht="24.0" customHeight="1">
      <c r="A2043" s="45">
        <v>3467.0</v>
      </c>
      <c r="B2043" s="57"/>
      <c r="C2043" s="57"/>
      <c r="D2043" s="88" t="str">
        <f t="array" ref="D2043">IFERROR(
  LOOKUP(2, 1/((TRIM(IMS!$E$8:$E$2574)=TRIM(IMS!$E2043))*(IMS!$C$8:$C$2574&lt;IMS!$C2043)),
         IMS!$C$8:$C$2574),
"")</f>
        <v/>
      </c>
      <c r="E2043" s="57"/>
      <c r="F2043" s="57"/>
      <c r="G2043" s="77" t="str">
        <f t="shared" si="901"/>
        <v/>
      </c>
      <c r="H2043" s="78" t="str">
        <f t="shared" si="902"/>
        <v/>
      </c>
      <c r="I2043" s="79"/>
      <c r="J2043" s="80" t="str">
        <f t="shared" si="903"/>
        <v>#NAME?</v>
      </c>
      <c r="K2043" s="58"/>
      <c r="L2043" s="58"/>
      <c r="M2043" s="57"/>
      <c r="N2043" s="57"/>
      <c r="O2043" s="58"/>
      <c r="P2043" s="82"/>
      <c r="Q2043" s="81"/>
      <c r="R2043" s="81"/>
      <c r="S2043" s="57"/>
      <c r="T2043" s="82"/>
      <c r="U2043" s="82"/>
      <c r="V2043" s="57"/>
      <c r="W2043" s="57"/>
      <c r="X2043" s="57" t="str">
        <f t="shared" si="917"/>
        <v/>
      </c>
      <c r="Y2043" s="58" t="str">
        <f t="shared" ref="Y2043:AC2043" si="1883">TRIM(SUBSTITUTE(SUBSTITUTE(OFFSET($Q2043,0,COLUMN()-COLUMN($AL$1)),CHAR(160)," "),_xludf.UNICHAR(8239)," "))</f>
        <v>#NAME?</v>
      </c>
      <c r="Z2043" s="58" t="str">
        <f t="shared" si="1883"/>
        <v>#NAME?</v>
      </c>
      <c r="AA2043" s="58" t="str">
        <f t="shared" si="1883"/>
        <v>#NAME?</v>
      </c>
      <c r="AB2043" s="58" t="str">
        <f t="shared" si="1883"/>
        <v>#NAME?</v>
      </c>
      <c r="AC2043" s="58" t="str">
        <f t="shared" si="1883"/>
        <v>#NAME?</v>
      </c>
      <c r="AD2043" s="57">
        <f t="shared" si="906"/>
        <v>0</v>
      </c>
      <c r="AE2043" s="57" t="str">
        <f t="shared" si="907"/>
        <v/>
      </c>
      <c r="AF2043" s="57">
        <f t="shared" si="908"/>
        <v>0</v>
      </c>
      <c r="AG2043" s="59">
        <f t="shared" si="909"/>
        <v>0</v>
      </c>
      <c r="AH2043" s="15"/>
      <c r="AI2043" s="15"/>
      <c r="AJ2043" s="15"/>
      <c r="AK2043" s="15"/>
      <c r="AL2043" s="15"/>
      <c r="AM2043" s="15"/>
      <c r="AN2043" s="15"/>
      <c r="AO2043" s="15"/>
      <c r="AP2043" s="15"/>
      <c r="AQ2043" s="15"/>
      <c r="AR2043" s="15"/>
      <c r="AS2043" s="15"/>
      <c r="AT2043" s="15"/>
      <c r="AU2043" s="15"/>
    </row>
    <row r="2044" ht="24.0" customHeight="1">
      <c r="A2044" s="45">
        <v>3468.0</v>
      </c>
      <c r="B2044" s="57"/>
      <c r="C2044" s="57"/>
      <c r="D2044" s="88" t="str">
        <f t="array" ref="D2044">IFERROR(
  LOOKUP(2, 1/((TRIM(IMS!$E$8:$E$2574)=TRIM(IMS!$E2044))*(IMS!$C$8:$C$2574&lt;IMS!$C2044)),
         IMS!$C$8:$C$2574),
"")</f>
        <v/>
      </c>
      <c r="E2044" s="57"/>
      <c r="F2044" s="57"/>
      <c r="G2044" s="77" t="str">
        <f t="shared" si="901"/>
        <v/>
      </c>
      <c r="H2044" s="78" t="str">
        <f t="shared" si="902"/>
        <v/>
      </c>
      <c r="I2044" s="79"/>
      <c r="J2044" s="80" t="str">
        <f t="shared" si="903"/>
        <v>#NAME?</v>
      </c>
      <c r="K2044" s="58"/>
      <c r="L2044" s="58"/>
      <c r="M2044" s="57"/>
      <c r="N2044" s="57"/>
      <c r="O2044" s="58"/>
      <c r="P2044" s="82"/>
      <c r="Q2044" s="81"/>
      <c r="R2044" s="81"/>
      <c r="S2044" s="57"/>
      <c r="T2044" s="82"/>
      <c r="U2044" s="82"/>
      <c r="V2044" s="57"/>
      <c r="W2044" s="57"/>
      <c r="X2044" s="57" t="str">
        <f t="shared" si="917"/>
        <v/>
      </c>
      <c r="Y2044" s="58" t="str">
        <f t="shared" ref="Y2044:AC2044" si="1884">TRIM(SUBSTITUTE(SUBSTITUTE(OFFSET($Q2044,0,COLUMN()-COLUMN($AL$1)),CHAR(160)," "),_xludf.UNICHAR(8239)," "))</f>
        <v>#NAME?</v>
      </c>
      <c r="Z2044" s="58" t="str">
        <f t="shared" si="1884"/>
        <v>#NAME?</v>
      </c>
      <c r="AA2044" s="58" t="str">
        <f t="shared" si="1884"/>
        <v>#NAME?</v>
      </c>
      <c r="AB2044" s="58" t="str">
        <f t="shared" si="1884"/>
        <v>#NAME?</v>
      </c>
      <c r="AC2044" s="58" t="str">
        <f t="shared" si="1884"/>
        <v>#NAME?</v>
      </c>
      <c r="AD2044" s="57">
        <f t="shared" si="906"/>
        <v>0</v>
      </c>
      <c r="AE2044" s="57" t="str">
        <f t="shared" si="907"/>
        <v/>
      </c>
      <c r="AF2044" s="57">
        <f t="shared" si="908"/>
        <v>0</v>
      </c>
      <c r="AG2044" s="59">
        <f t="shared" si="909"/>
        <v>0</v>
      </c>
      <c r="AH2044" s="15"/>
      <c r="AI2044" s="15"/>
      <c r="AJ2044" s="15"/>
      <c r="AK2044" s="15"/>
      <c r="AL2044" s="15"/>
      <c r="AM2044" s="15"/>
      <c r="AN2044" s="15"/>
      <c r="AO2044" s="15"/>
      <c r="AP2044" s="15"/>
      <c r="AQ2044" s="15"/>
      <c r="AR2044" s="15"/>
      <c r="AS2044" s="15"/>
      <c r="AT2044" s="15"/>
      <c r="AU2044" s="15"/>
    </row>
    <row r="2045" ht="24.0" customHeight="1">
      <c r="A2045" s="45">
        <v>3469.0</v>
      </c>
      <c r="B2045" s="57"/>
      <c r="C2045" s="57"/>
      <c r="D2045" s="88" t="str">
        <f t="array" ref="D2045">IFERROR(
  LOOKUP(2, 1/((TRIM(IMS!$E$8:$E$2574)=TRIM(IMS!$E2045))*(IMS!$C$8:$C$2574&lt;IMS!$C2045)),
         IMS!$C$8:$C$2574),
"")</f>
        <v/>
      </c>
      <c r="E2045" s="57"/>
      <c r="F2045" s="57"/>
      <c r="G2045" s="77" t="str">
        <f t="shared" si="901"/>
        <v/>
      </c>
      <c r="H2045" s="78" t="str">
        <f t="shared" si="902"/>
        <v/>
      </c>
      <c r="I2045" s="79"/>
      <c r="J2045" s="80" t="str">
        <f t="shared" si="903"/>
        <v>#NAME?</v>
      </c>
      <c r="K2045" s="58"/>
      <c r="L2045" s="58"/>
      <c r="M2045" s="57"/>
      <c r="N2045" s="57"/>
      <c r="O2045" s="58"/>
      <c r="P2045" s="82"/>
      <c r="Q2045" s="81"/>
      <c r="R2045" s="81"/>
      <c r="S2045" s="57"/>
      <c r="T2045" s="82"/>
      <c r="U2045" s="82"/>
      <c r="V2045" s="57"/>
      <c r="W2045" s="57"/>
      <c r="X2045" s="57" t="str">
        <f t="shared" si="917"/>
        <v/>
      </c>
      <c r="Y2045" s="58" t="str">
        <f t="shared" ref="Y2045:AC2045" si="1885">TRIM(SUBSTITUTE(SUBSTITUTE(OFFSET($Q2045,0,COLUMN()-COLUMN($AL$1)),CHAR(160)," "),_xludf.UNICHAR(8239)," "))</f>
        <v>#NAME?</v>
      </c>
      <c r="Z2045" s="58" t="str">
        <f t="shared" si="1885"/>
        <v>#NAME?</v>
      </c>
      <c r="AA2045" s="58" t="str">
        <f t="shared" si="1885"/>
        <v>#NAME?</v>
      </c>
      <c r="AB2045" s="58" t="str">
        <f t="shared" si="1885"/>
        <v>#NAME?</v>
      </c>
      <c r="AC2045" s="58" t="str">
        <f t="shared" si="1885"/>
        <v>#NAME?</v>
      </c>
      <c r="AD2045" s="57">
        <f t="shared" si="906"/>
        <v>0</v>
      </c>
      <c r="AE2045" s="57" t="str">
        <f t="shared" si="907"/>
        <v/>
      </c>
      <c r="AF2045" s="57">
        <f t="shared" si="908"/>
        <v>0</v>
      </c>
      <c r="AG2045" s="59">
        <f t="shared" si="909"/>
        <v>0</v>
      </c>
      <c r="AH2045" s="15"/>
      <c r="AI2045" s="15"/>
      <c r="AJ2045" s="15"/>
      <c r="AK2045" s="15"/>
      <c r="AL2045" s="15"/>
      <c r="AM2045" s="15"/>
      <c r="AN2045" s="15"/>
      <c r="AO2045" s="15"/>
      <c r="AP2045" s="15"/>
      <c r="AQ2045" s="15"/>
      <c r="AR2045" s="15"/>
      <c r="AS2045" s="15"/>
      <c r="AT2045" s="15"/>
      <c r="AU2045" s="15"/>
    </row>
    <row r="2046" ht="24.0" customHeight="1">
      <c r="A2046" s="45">
        <v>3470.0</v>
      </c>
      <c r="B2046" s="57"/>
      <c r="C2046" s="57"/>
      <c r="D2046" s="88" t="str">
        <f t="array" ref="D2046">IFERROR(
  LOOKUP(2, 1/((TRIM(IMS!$E$8:$E$2574)=TRIM(IMS!$E2046))*(IMS!$C$8:$C$2574&lt;IMS!$C2046)),
         IMS!$C$8:$C$2574),
"")</f>
        <v/>
      </c>
      <c r="E2046" s="57"/>
      <c r="F2046" s="57"/>
      <c r="G2046" s="77" t="str">
        <f t="shared" si="901"/>
        <v/>
      </c>
      <c r="H2046" s="78" t="str">
        <f t="shared" si="902"/>
        <v/>
      </c>
      <c r="I2046" s="79"/>
      <c r="J2046" s="80" t="str">
        <f t="shared" si="903"/>
        <v>#NAME?</v>
      </c>
      <c r="K2046" s="58"/>
      <c r="L2046" s="58"/>
      <c r="M2046" s="57"/>
      <c r="N2046" s="57"/>
      <c r="O2046" s="58"/>
      <c r="P2046" s="82"/>
      <c r="Q2046" s="81"/>
      <c r="R2046" s="81"/>
      <c r="S2046" s="57"/>
      <c r="T2046" s="82"/>
      <c r="U2046" s="82"/>
      <c r="V2046" s="57"/>
      <c r="W2046" s="57"/>
      <c r="X2046" s="57" t="str">
        <f t="shared" si="917"/>
        <v/>
      </c>
      <c r="Y2046" s="58" t="str">
        <f t="shared" ref="Y2046:AC2046" si="1886">TRIM(SUBSTITUTE(SUBSTITUTE(OFFSET($Q2046,0,COLUMN()-COLUMN($AL$1)),CHAR(160)," "),_xludf.UNICHAR(8239)," "))</f>
        <v>#NAME?</v>
      </c>
      <c r="Z2046" s="58" t="str">
        <f t="shared" si="1886"/>
        <v>#NAME?</v>
      </c>
      <c r="AA2046" s="58" t="str">
        <f t="shared" si="1886"/>
        <v>#NAME?</v>
      </c>
      <c r="AB2046" s="58" t="str">
        <f t="shared" si="1886"/>
        <v>#NAME?</v>
      </c>
      <c r="AC2046" s="58" t="str">
        <f t="shared" si="1886"/>
        <v>#NAME?</v>
      </c>
      <c r="AD2046" s="57">
        <f t="shared" si="906"/>
        <v>0</v>
      </c>
      <c r="AE2046" s="57" t="str">
        <f t="shared" si="907"/>
        <v/>
      </c>
      <c r="AF2046" s="57">
        <f t="shared" si="908"/>
        <v>0</v>
      </c>
      <c r="AG2046" s="59">
        <f t="shared" si="909"/>
        <v>0</v>
      </c>
      <c r="AH2046" s="15"/>
      <c r="AI2046" s="15"/>
      <c r="AJ2046" s="15"/>
      <c r="AK2046" s="15"/>
      <c r="AL2046" s="15"/>
      <c r="AM2046" s="15"/>
      <c r="AN2046" s="15"/>
      <c r="AO2046" s="15"/>
      <c r="AP2046" s="15"/>
      <c r="AQ2046" s="15"/>
      <c r="AR2046" s="15"/>
      <c r="AS2046" s="15"/>
      <c r="AT2046" s="15"/>
      <c r="AU2046" s="15"/>
    </row>
    <row r="2047" ht="24.0" customHeight="1">
      <c r="A2047" s="45">
        <v>3471.0</v>
      </c>
      <c r="B2047" s="57"/>
      <c r="C2047" s="57"/>
      <c r="D2047" s="88" t="str">
        <f t="array" ref="D2047">IFERROR(
  LOOKUP(2, 1/((TRIM(IMS!$E$8:$E$2574)=TRIM(IMS!$E2047))*(IMS!$C$8:$C$2574&lt;IMS!$C2047)),
         IMS!$C$8:$C$2574),
"")</f>
        <v/>
      </c>
      <c r="E2047" s="57"/>
      <c r="F2047" s="57"/>
      <c r="G2047" s="77" t="str">
        <f t="shared" si="901"/>
        <v/>
      </c>
      <c r="H2047" s="78" t="str">
        <f t="shared" si="902"/>
        <v/>
      </c>
      <c r="I2047" s="79"/>
      <c r="J2047" s="80" t="str">
        <f t="shared" si="903"/>
        <v>#NAME?</v>
      </c>
      <c r="K2047" s="58"/>
      <c r="L2047" s="58"/>
      <c r="M2047" s="57"/>
      <c r="N2047" s="57"/>
      <c r="O2047" s="58"/>
      <c r="P2047" s="82"/>
      <c r="Q2047" s="81"/>
      <c r="R2047" s="81"/>
      <c r="S2047" s="57"/>
      <c r="T2047" s="82"/>
      <c r="U2047" s="82"/>
      <c r="V2047" s="57"/>
      <c r="W2047" s="57"/>
      <c r="X2047" s="57" t="str">
        <f t="shared" si="917"/>
        <v/>
      </c>
      <c r="Y2047" s="58" t="str">
        <f t="shared" ref="Y2047:AC2047" si="1887">TRIM(SUBSTITUTE(SUBSTITUTE(OFFSET($Q2047,0,COLUMN()-COLUMN($AL$1)),CHAR(160)," "),_xludf.UNICHAR(8239)," "))</f>
        <v>#NAME?</v>
      </c>
      <c r="Z2047" s="58" t="str">
        <f t="shared" si="1887"/>
        <v>#NAME?</v>
      </c>
      <c r="AA2047" s="58" t="str">
        <f t="shared" si="1887"/>
        <v>#NAME?</v>
      </c>
      <c r="AB2047" s="58" t="str">
        <f t="shared" si="1887"/>
        <v>#NAME?</v>
      </c>
      <c r="AC2047" s="58" t="str">
        <f t="shared" si="1887"/>
        <v>#NAME?</v>
      </c>
      <c r="AD2047" s="57">
        <f t="shared" si="906"/>
        <v>0</v>
      </c>
      <c r="AE2047" s="57" t="str">
        <f t="shared" si="907"/>
        <v/>
      </c>
      <c r="AF2047" s="57">
        <f t="shared" si="908"/>
        <v>0</v>
      </c>
      <c r="AG2047" s="59">
        <f t="shared" si="909"/>
        <v>0</v>
      </c>
      <c r="AH2047" s="15"/>
      <c r="AI2047" s="15"/>
      <c r="AJ2047" s="15"/>
      <c r="AK2047" s="15"/>
      <c r="AL2047" s="15"/>
      <c r="AM2047" s="15"/>
      <c r="AN2047" s="15"/>
      <c r="AO2047" s="15"/>
      <c r="AP2047" s="15"/>
      <c r="AQ2047" s="15"/>
      <c r="AR2047" s="15"/>
      <c r="AS2047" s="15"/>
      <c r="AT2047" s="15"/>
      <c r="AU2047" s="15"/>
    </row>
    <row r="2048" ht="24.0" customHeight="1">
      <c r="A2048" s="45">
        <v>3472.0</v>
      </c>
      <c r="B2048" s="57"/>
      <c r="C2048" s="57"/>
      <c r="D2048" s="88" t="str">
        <f t="array" ref="D2048">IFERROR(
  LOOKUP(2, 1/((TRIM(IMS!$E$8:$E$2574)=TRIM(IMS!$E2048))*(IMS!$C$8:$C$2574&lt;IMS!$C2048)),
         IMS!$C$8:$C$2574),
"")</f>
        <v/>
      </c>
      <c r="E2048" s="57"/>
      <c r="F2048" s="57"/>
      <c r="G2048" s="77" t="str">
        <f t="shared" si="901"/>
        <v/>
      </c>
      <c r="H2048" s="78" t="str">
        <f t="shared" si="902"/>
        <v/>
      </c>
      <c r="I2048" s="79"/>
      <c r="J2048" s="80" t="str">
        <f t="shared" si="903"/>
        <v>#NAME?</v>
      </c>
      <c r="K2048" s="58"/>
      <c r="L2048" s="58"/>
      <c r="M2048" s="57"/>
      <c r="N2048" s="57"/>
      <c r="O2048" s="58"/>
      <c r="P2048" s="82"/>
      <c r="Q2048" s="81"/>
      <c r="R2048" s="81"/>
      <c r="S2048" s="57"/>
      <c r="T2048" s="82"/>
      <c r="U2048" s="82"/>
      <c r="V2048" s="57"/>
      <c r="W2048" s="57"/>
      <c r="X2048" s="57" t="str">
        <f t="shared" si="917"/>
        <v/>
      </c>
      <c r="Y2048" s="58" t="str">
        <f t="shared" ref="Y2048:AC2048" si="1888">TRIM(SUBSTITUTE(SUBSTITUTE(OFFSET($Q2048,0,COLUMN()-COLUMN($AL$1)),CHAR(160)," "),_xludf.UNICHAR(8239)," "))</f>
        <v>#NAME?</v>
      </c>
      <c r="Z2048" s="58" t="str">
        <f t="shared" si="1888"/>
        <v>#NAME?</v>
      </c>
      <c r="AA2048" s="58" t="str">
        <f t="shared" si="1888"/>
        <v>#NAME?</v>
      </c>
      <c r="AB2048" s="58" t="str">
        <f t="shared" si="1888"/>
        <v>#NAME?</v>
      </c>
      <c r="AC2048" s="58" t="str">
        <f t="shared" si="1888"/>
        <v>#NAME?</v>
      </c>
      <c r="AD2048" s="57">
        <f t="shared" si="906"/>
        <v>0</v>
      </c>
      <c r="AE2048" s="57" t="str">
        <f t="shared" si="907"/>
        <v/>
      </c>
      <c r="AF2048" s="57">
        <f t="shared" si="908"/>
        <v>0</v>
      </c>
      <c r="AG2048" s="59">
        <f t="shared" si="909"/>
        <v>0</v>
      </c>
      <c r="AH2048" s="15"/>
      <c r="AI2048" s="15"/>
      <c r="AJ2048" s="15"/>
      <c r="AK2048" s="15"/>
      <c r="AL2048" s="15"/>
      <c r="AM2048" s="15"/>
      <c r="AN2048" s="15"/>
      <c r="AO2048" s="15"/>
      <c r="AP2048" s="15"/>
      <c r="AQ2048" s="15"/>
      <c r="AR2048" s="15"/>
      <c r="AS2048" s="15"/>
      <c r="AT2048" s="15"/>
      <c r="AU2048" s="15"/>
    </row>
    <row r="2049" ht="24.0" customHeight="1">
      <c r="A2049" s="45">
        <v>3473.0</v>
      </c>
      <c r="B2049" s="57"/>
      <c r="C2049" s="57"/>
      <c r="D2049" s="88" t="str">
        <f t="array" ref="D2049">IFERROR(
  LOOKUP(2, 1/((TRIM(IMS!$E$8:$E$2574)=TRIM(IMS!$E2049))*(IMS!$C$8:$C$2574&lt;IMS!$C2049)),
         IMS!$C$8:$C$2574),
"")</f>
        <v/>
      </c>
      <c r="E2049" s="57"/>
      <c r="F2049" s="57"/>
      <c r="G2049" s="77" t="str">
        <f t="shared" si="901"/>
        <v/>
      </c>
      <c r="H2049" s="78" t="str">
        <f t="shared" si="902"/>
        <v/>
      </c>
      <c r="I2049" s="79"/>
      <c r="J2049" s="80" t="str">
        <f t="shared" si="903"/>
        <v>#NAME?</v>
      </c>
      <c r="K2049" s="58"/>
      <c r="L2049" s="58"/>
      <c r="M2049" s="57"/>
      <c r="N2049" s="57"/>
      <c r="O2049" s="58"/>
      <c r="P2049" s="82"/>
      <c r="Q2049" s="81"/>
      <c r="R2049" s="81"/>
      <c r="S2049" s="57"/>
      <c r="T2049" s="82"/>
      <c r="U2049" s="82"/>
      <c r="V2049" s="57"/>
      <c r="W2049" s="57"/>
      <c r="X2049" s="57" t="str">
        <f t="shared" si="917"/>
        <v/>
      </c>
      <c r="Y2049" s="58" t="str">
        <f t="shared" ref="Y2049:AC2049" si="1889">TRIM(SUBSTITUTE(SUBSTITUTE(OFFSET($Q2049,0,COLUMN()-COLUMN($AL$1)),CHAR(160)," "),_xludf.UNICHAR(8239)," "))</f>
        <v>#NAME?</v>
      </c>
      <c r="Z2049" s="58" t="str">
        <f t="shared" si="1889"/>
        <v>#NAME?</v>
      </c>
      <c r="AA2049" s="58" t="str">
        <f t="shared" si="1889"/>
        <v>#NAME?</v>
      </c>
      <c r="AB2049" s="58" t="str">
        <f t="shared" si="1889"/>
        <v>#NAME?</v>
      </c>
      <c r="AC2049" s="58" t="str">
        <f t="shared" si="1889"/>
        <v>#NAME?</v>
      </c>
      <c r="AD2049" s="57">
        <f t="shared" si="906"/>
        <v>0</v>
      </c>
      <c r="AE2049" s="57" t="str">
        <f t="shared" si="907"/>
        <v/>
      </c>
      <c r="AF2049" s="57">
        <f t="shared" si="908"/>
        <v>0</v>
      </c>
      <c r="AG2049" s="59">
        <f t="shared" si="909"/>
        <v>0</v>
      </c>
      <c r="AH2049" s="15"/>
      <c r="AI2049" s="15"/>
      <c r="AJ2049" s="15"/>
      <c r="AK2049" s="15"/>
      <c r="AL2049" s="15"/>
      <c r="AM2049" s="15"/>
      <c r="AN2049" s="15"/>
      <c r="AO2049" s="15"/>
      <c r="AP2049" s="15"/>
      <c r="AQ2049" s="15"/>
      <c r="AR2049" s="15"/>
      <c r="AS2049" s="15"/>
      <c r="AT2049" s="15"/>
      <c r="AU2049" s="15"/>
    </row>
    <row r="2050" ht="24.0" customHeight="1">
      <c r="A2050" s="45">
        <v>3474.0</v>
      </c>
      <c r="B2050" s="57"/>
      <c r="C2050" s="57"/>
      <c r="D2050" s="88" t="str">
        <f t="array" ref="D2050">IFERROR(
  LOOKUP(2, 1/((TRIM(IMS!$E$8:$E$2574)=TRIM(IMS!$E2050))*(IMS!$C$8:$C$2574&lt;IMS!$C2050)),
         IMS!$C$8:$C$2574),
"")</f>
        <v/>
      </c>
      <c r="E2050" s="57"/>
      <c r="F2050" s="57"/>
      <c r="G2050" s="77" t="str">
        <f t="shared" si="901"/>
        <v/>
      </c>
      <c r="H2050" s="78" t="str">
        <f t="shared" si="902"/>
        <v/>
      </c>
      <c r="I2050" s="79"/>
      <c r="J2050" s="80" t="str">
        <f t="shared" si="903"/>
        <v>#NAME?</v>
      </c>
      <c r="K2050" s="58"/>
      <c r="L2050" s="58"/>
      <c r="M2050" s="57"/>
      <c r="N2050" s="57"/>
      <c r="O2050" s="58"/>
      <c r="P2050" s="82"/>
      <c r="Q2050" s="81"/>
      <c r="R2050" s="81"/>
      <c r="S2050" s="57"/>
      <c r="T2050" s="82"/>
      <c r="U2050" s="82"/>
      <c r="V2050" s="57"/>
      <c r="W2050" s="57"/>
      <c r="X2050" s="57" t="str">
        <f t="shared" si="917"/>
        <v/>
      </c>
      <c r="Y2050" s="58" t="str">
        <f t="shared" ref="Y2050:AC2050" si="1890">TRIM(SUBSTITUTE(SUBSTITUTE(OFFSET($Q2050,0,COLUMN()-COLUMN($AL$1)),CHAR(160)," "),_xludf.UNICHAR(8239)," "))</f>
        <v>#NAME?</v>
      </c>
      <c r="Z2050" s="58" t="str">
        <f t="shared" si="1890"/>
        <v>#NAME?</v>
      </c>
      <c r="AA2050" s="58" t="str">
        <f t="shared" si="1890"/>
        <v>#NAME?</v>
      </c>
      <c r="AB2050" s="58" t="str">
        <f t="shared" si="1890"/>
        <v>#NAME?</v>
      </c>
      <c r="AC2050" s="58" t="str">
        <f t="shared" si="1890"/>
        <v>#NAME?</v>
      </c>
      <c r="AD2050" s="57">
        <f t="shared" si="906"/>
        <v>0</v>
      </c>
      <c r="AE2050" s="57" t="str">
        <f t="shared" si="907"/>
        <v/>
      </c>
      <c r="AF2050" s="57">
        <f t="shared" si="908"/>
        <v>0</v>
      </c>
      <c r="AG2050" s="59">
        <f t="shared" si="909"/>
        <v>0</v>
      </c>
      <c r="AH2050" s="15"/>
      <c r="AI2050" s="15"/>
      <c r="AJ2050" s="15"/>
      <c r="AK2050" s="15"/>
      <c r="AL2050" s="15"/>
      <c r="AM2050" s="15"/>
      <c r="AN2050" s="15"/>
      <c r="AO2050" s="15"/>
      <c r="AP2050" s="15"/>
      <c r="AQ2050" s="15"/>
      <c r="AR2050" s="15"/>
      <c r="AS2050" s="15"/>
      <c r="AT2050" s="15"/>
      <c r="AU2050" s="15"/>
    </row>
    <row r="2051" ht="24.0" customHeight="1">
      <c r="A2051" s="45">
        <v>3475.0</v>
      </c>
      <c r="B2051" s="57"/>
      <c r="C2051" s="57"/>
      <c r="D2051" s="88" t="str">
        <f t="array" ref="D2051">IFERROR(
  LOOKUP(2, 1/((TRIM(IMS!$E$8:$E$2574)=TRIM(IMS!$E2051))*(IMS!$C$8:$C$2574&lt;IMS!$C2051)),
         IMS!$C$8:$C$2574),
"")</f>
        <v/>
      </c>
      <c r="E2051" s="57"/>
      <c r="F2051" s="57"/>
      <c r="G2051" s="77" t="str">
        <f t="shared" si="901"/>
        <v/>
      </c>
      <c r="H2051" s="78" t="str">
        <f t="shared" si="902"/>
        <v/>
      </c>
      <c r="I2051" s="79"/>
      <c r="J2051" s="80" t="str">
        <f t="shared" si="903"/>
        <v>#NAME?</v>
      </c>
      <c r="K2051" s="58"/>
      <c r="L2051" s="58"/>
      <c r="M2051" s="57"/>
      <c r="N2051" s="57"/>
      <c r="O2051" s="58"/>
      <c r="P2051" s="82"/>
      <c r="Q2051" s="81"/>
      <c r="R2051" s="81"/>
      <c r="S2051" s="57"/>
      <c r="T2051" s="82"/>
      <c r="U2051" s="82"/>
      <c r="V2051" s="57"/>
      <c r="W2051" s="57"/>
      <c r="X2051" s="57" t="str">
        <f t="shared" si="917"/>
        <v/>
      </c>
      <c r="Y2051" s="58" t="str">
        <f t="shared" ref="Y2051:AC2051" si="1891">TRIM(SUBSTITUTE(SUBSTITUTE(OFFSET($Q2051,0,COLUMN()-COLUMN($AL$1)),CHAR(160)," "),_xludf.UNICHAR(8239)," "))</f>
        <v>#NAME?</v>
      </c>
      <c r="Z2051" s="58" t="str">
        <f t="shared" si="1891"/>
        <v>#NAME?</v>
      </c>
      <c r="AA2051" s="58" t="str">
        <f t="shared" si="1891"/>
        <v>#NAME?</v>
      </c>
      <c r="AB2051" s="58" t="str">
        <f t="shared" si="1891"/>
        <v>#NAME?</v>
      </c>
      <c r="AC2051" s="58" t="str">
        <f t="shared" si="1891"/>
        <v>#NAME?</v>
      </c>
      <c r="AD2051" s="57">
        <f t="shared" si="906"/>
        <v>0</v>
      </c>
      <c r="AE2051" s="57" t="str">
        <f t="shared" si="907"/>
        <v/>
      </c>
      <c r="AF2051" s="57">
        <f t="shared" si="908"/>
        <v>0</v>
      </c>
      <c r="AG2051" s="59">
        <f t="shared" si="909"/>
        <v>0</v>
      </c>
      <c r="AH2051" s="15"/>
      <c r="AI2051" s="15"/>
      <c r="AJ2051" s="15"/>
      <c r="AK2051" s="15"/>
      <c r="AL2051" s="15"/>
      <c r="AM2051" s="15"/>
      <c r="AN2051" s="15"/>
      <c r="AO2051" s="15"/>
      <c r="AP2051" s="15"/>
      <c r="AQ2051" s="15"/>
      <c r="AR2051" s="15"/>
      <c r="AS2051" s="15"/>
      <c r="AT2051" s="15"/>
      <c r="AU2051" s="15"/>
    </row>
    <row r="2052" ht="24.0" customHeight="1">
      <c r="A2052" s="45">
        <v>3476.0</v>
      </c>
      <c r="B2052" s="57"/>
      <c r="C2052" s="57"/>
      <c r="D2052" s="88" t="str">
        <f t="array" ref="D2052">IFERROR(
  LOOKUP(2, 1/((TRIM(IMS!$E$8:$E$2574)=TRIM(IMS!$E2052))*(IMS!$C$8:$C$2574&lt;IMS!$C2052)),
         IMS!$C$8:$C$2574),
"")</f>
        <v/>
      </c>
      <c r="E2052" s="57"/>
      <c r="F2052" s="57"/>
      <c r="G2052" s="77" t="str">
        <f t="shared" si="901"/>
        <v/>
      </c>
      <c r="H2052" s="78" t="str">
        <f t="shared" si="902"/>
        <v/>
      </c>
      <c r="I2052" s="79"/>
      <c r="J2052" s="80" t="str">
        <f t="shared" si="903"/>
        <v>#NAME?</v>
      </c>
      <c r="K2052" s="58"/>
      <c r="L2052" s="58"/>
      <c r="M2052" s="57"/>
      <c r="N2052" s="57"/>
      <c r="O2052" s="58"/>
      <c r="P2052" s="82"/>
      <c r="Q2052" s="81"/>
      <c r="R2052" s="81"/>
      <c r="S2052" s="57"/>
      <c r="T2052" s="82"/>
      <c r="U2052" s="82"/>
      <c r="V2052" s="57"/>
      <c r="W2052" s="57"/>
      <c r="X2052" s="57" t="str">
        <f t="shared" si="917"/>
        <v/>
      </c>
      <c r="Y2052" s="58" t="str">
        <f t="shared" ref="Y2052:AC2052" si="1892">TRIM(SUBSTITUTE(SUBSTITUTE(OFFSET($Q2052,0,COLUMN()-COLUMN($AL$1)),CHAR(160)," "),_xludf.UNICHAR(8239)," "))</f>
        <v>#NAME?</v>
      </c>
      <c r="Z2052" s="58" t="str">
        <f t="shared" si="1892"/>
        <v>#NAME?</v>
      </c>
      <c r="AA2052" s="58" t="str">
        <f t="shared" si="1892"/>
        <v>#NAME?</v>
      </c>
      <c r="AB2052" s="58" t="str">
        <f t="shared" si="1892"/>
        <v>#NAME?</v>
      </c>
      <c r="AC2052" s="58" t="str">
        <f t="shared" si="1892"/>
        <v>#NAME?</v>
      </c>
      <c r="AD2052" s="57">
        <f t="shared" si="906"/>
        <v>0</v>
      </c>
      <c r="AE2052" s="57" t="str">
        <f t="shared" si="907"/>
        <v/>
      </c>
      <c r="AF2052" s="57">
        <f t="shared" si="908"/>
        <v>0</v>
      </c>
      <c r="AG2052" s="59">
        <f t="shared" si="909"/>
        <v>0</v>
      </c>
      <c r="AH2052" s="15"/>
      <c r="AI2052" s="15"/>
      <c r="AJ2052" s="15"/>
      <c r="AK2052" s="15"/>
      <c r="AL2052" s="15"/>
      <c r="AM2052" s="15"/>
      <c r="AN2052" s="15"/>
      <c r="AO2052" s="15"/>
      <c r="AP2052" s="15"/>
      <c r="AQ2052" s="15"/>
      <c r="AR2052" s="15"/>
      <c r="AS2052" s="15"/>
      <c r="AT2052" s="15"/>
      <c r="AU2052" s="15"/>
    </row>
    <row r="2053" ht="24.0" customHeight="1">
      <c r="A2053" s="45">
        <v>3477.0</v>
      </c>
      <c r="B2053" s="57"/>
      <c r="C2053" s="57"/>
      <c r="D2053" s="88" t="str">
        <f t="array" ref="D2053">IFERROR(
  LOOKUP(2, 1/((TRIM(IMS!$E$8:$E$2574)=TRIM(IMS!$E2053))*(IMS!$C$8:$C$2574&lt;IMS!$C2053)),
         IMS!$C$8:$C$2574),
"")</f>
        <v/>
      </c>
      <c r="E2053" s="57"/>
      <c r="F2053" s="57"/>
      <c r="G2053" s="77" t="str">
        <f t="shared" si="901"/>
        <v/>
      </c>
      <c r="H2053" s="78" t="str">
        <f t="shared" si="902"/>
        <v/>
      </c>
      <c r="I2053" s="79"/>
      <c r="J2053" s="80" t="str">
        <f t="shared" si="903"/>
        <v>#NAME?</v>
      </c>
      <c r="K2053" s="58"/>
      <c r="L2053" s="58"/>
      <c r="M2053" s="57"/>
      <c r="N2053" s="57"/>
      <c r="O2053" s="58"/>
      <c r="P2053" s="82"/>
      <c r="Q2053" s="81"/>
      <c r="R2053" s="81"/>
      <c r="S2053" s="57"/>
      <c r="T2053" s="82"/>
      <c r="U2053" s="82"/>
      <c r="V2053" s="57"/>
      <c r="W2053" s="57"/>
      <c r="X2053" s="57" t="str">
        <f t="shared" si="917"/>
        <v/>
      </c>
      <c r="Y2053" s="58" t="str">
        <f t="shared" ref="Y2053:AC2053" si="1893">TRIM(SUBSTITUTE(SUBSTITUTE(OFFSET($Q2053,0,COLUMN()-COLUMN($AL$1)),CHAR(160)," "),_xludf.UNICHAR(8239)," "))</f>
        <v>#NAME?</v>
      </c>
      <c r="Z2053" s="58" t="str">
        <f t="shared" si="1893"/>
        <v>#NAME?</v>
      </c>
      <c r="AA2053" s="58" t="str">
        <f t="shared" si="1893"/>
        <v>#NAME?</v>
      </c>
      <c r="AB2053" s="58" t="str">
        <f t="shared" si="1893"/>
        <v>#NAME?</v>
      </c>
      <c r="AC2053" s="58" t="str">
        <f t="shared" si="1893"/>
        <v>#NAME?</v>
      </c>
      <c r="AD2053" s="57">
        <f t="shared" si="906"/>
        <v>0</v>
      </c>
      <c r="AE2053" s="57" t="str">
        <f t="shared" si="907"/>
        <v/>
      </c>
      <c r="AF2053" s="57">
        <f t="shared" si="908"/>
        <v>0</v>
      </c>
      <c r="AG2053" s="59">
        <f t="shared" si="909"/>
        <v>0</v>
      </c>
      <c r="AH2053" s="15"/>
      <c r="AI2053" s="15"/>
      <c r="AJ2053" s="15"/>
      <c r="AK2053" s="15"/>
      <c r="AL2053" s="15"/>
      <c r="AM2053" s="15"/>
      <c r="AN2053" s="15"/>
      <c r="AO2053" s="15"/>
      <c r="AP2053" s="15"/>
      <c r="AQ2053" s="15"/>
      <c r="AR2053" s="15"/>
      <c r="AS2053" s="15"/>
      <c r="AT2053" s="15"/>
      <c r="AU2053" s="15"/>
    </row>
    <row r="2054" ht="24.0" customHeight="1">
      <c r="A2054" s="45">
        <v>3478.0</v>
      </c>
      <c r="B2054" s="57"/>
      <c r="C2054" s="57"/>
      <c r="D2054" s="88" t="str">
        <f t="array" ref="D2054">IFERROR(
  LOOKUP(2, 1/((TRIM(IMS!$E$8:$E$2574)=TRIM(IMS!$E2054))*(IMS!$C$8:$C$2574&lt;IMS!$C2054)),
         IMS!$C$8:$C$2574),
"")</f>
        <v/>
      </c>
      <c r="E2054" s="57"/>
      <c r="F2054" s="57"/>
      <c r="G2054" s="77" t="str">
        <f t="shared" si="901"/>
        <v/>
      </c>
      <c r="H2054" s="78" t="str">
        <f t="shared" si="902"/>
        <v/>
      </c>
      <c r="I2054" s="79"/>
      <c r="J2054" s="80" t="str">
        <f t="shared" si="903"/>
        <v>#NAME?</v>
      </c>
      <c r="K2054" s="58"/>
      <c r="L2054" s="58"/>
      <c r="M2054" s="57"/>
      <c r="N2054" s="57"/>
      <c r="O2054" s="58"/>
      <c r="P2054" s="82"/>
      <c r="Q2054" s="81"/>
      <c r="R2054" s="81"/>
      <c r="S2054" s="57"/>
      <c r="T2054" s="82"/>
      <c r="U2054" s="82"/>
      <c r="V2054" s="57"/>
      <c r="W2054" s="57"/>
      <c r="X2054" s="57" t="str">
        <f t="shared" si="917"/>
        <v/>
      </c>
      <c r="Y2054" s="58" t="str">
        <f t="shared" ref="Y2054:AC2054" si="1894">TRIM(SUBSTITUTE(SUBSTITUTE(OFFSET($Q2054,0,COLUMN()-COLUMN($AL$1)),CHAR(160)," "),_xludf.UNICHAR(8239)," "))</f>
        <v>#NAME?</v>
      </c>
      <c r="Z2054" s="58" t="str">
        <f t="shared" si="1894"/>
        <v>#NAME?</v>
      </c>
      <c r="AA2054" s="58" t="str">
        <f t="shared" si="1894"/>
        <v>#NAME?</v>
      </c>
      <c r="AB2054" s="58" t="str">
        <f t="shared" si="1894"/>
        <v>#NAME?</v>
      </c>
      <c r="AC2054" s="58" t="str">
        <f t="shared" si="1894"/>
        <v>#NAME?</v>
      </c>
      <c r="AD2054" s="57">
        <f t="shared" si="906"/>
        <v>0</v>
      </c>
      <c r="AE2054" s="57" t="str">
        <f t="shared" si="907"/>
        <v/>
      </c>
      <c r="AF2054" s="57">
        <f t="shared" si="908"/>
        <v>0</v>
      </c>
      <c r="AG2054" s="59">
        <f t="shared" si="909"/>
        <v>0</v>
      </c>
      <c r="AH2054" s="15"/>
      <c r="AI2054" s="15"/>
      <c r="AJ2054" s="15"/>
      <c r="AK2054" s="15"/>
      <c r="AL2054" s="15"/>
      <c r="AM2054" s="15"/>
      <c r="AN2054" s="15"/>
      <c r="AO2054" s="15"/>
      <c r="AP2054" s="15"/>
      <c r="AQ2054" s="15"/>
      <c r="AR2054" s="15"/>
      <c r="AS2054" s="15"/>
      <c r="AT2054" s="15"/>
      <c r="AU2054" s="15"/>
    </row>
    <row r="2055" ht="24.0" customHeight="1">
      <c r="A2055" s="45">
        <v>3479.0</v>
      </c>
      <c r="B2055" s="57"/>
      <c r="C2055" s="57"/>
      <c r="D2055" s="88" t="str">
        <f t="array" ref="D2055">IFERROR(
  LOOKUP(2, 1/((TRIM(IMS!$E$8:$E$2574)=TRIM(IMS!$E2055))*(IMS!$C$8:$C$2574&lt;IMS!$C2055)),
         IMS!$C$8:$C$2574),
"")</f>
        <v/>
      </c>
      <c r="E2055" s="57"/>
      <c r="F2055" s="57"/>
      <c r="G2055" s="77" t="str">
        <f t="shared" si="901"/>
        <v/>
      </c>
      <c r="H2055" s="78" t="str">
        <f t="shared" si="902"/>
        <v/>
      </c>
      <c r="I2055" s="79"/>
      <c r="J2055" s="80" t="str">
        <f t="shared" si="903"/>
        <v>#NAME?</v>
      </c>
      <c r="K2055" s="58"/>
      <c r="L2055" s="58"/>
      <c r="M2055" s="57"/>
      <c r="N2055" s="57"/>
      <c r="O2055" s="58"/>
      <c r="P2055" s="82"/>
      <c r="Q2055" s="81"/>
      <c r="R2055" s="81"/>
      <c r="S2055" s="57"/>
      <c r="T2055" s="82"/>
      <c r="U2055" s="82"/>
      <c r="V2055" s="57"/>
      <c r="W2055" s="57"/>
      <c r="X2055" s="57" t="str">
        <f t="shared" si="917"/>
        <v/>
      </c>
      <c r="Y2055" s="58" t="str">
        <f t="shared" ref="Y2055:AC2055" si="1895">TRIM(SUBSTITUTE(SUBSTITUTE(OFFSET($Q2055,0,COLUMN()-COLUMN($AL$1)),CHAR(160)," "),_xludf.UNICHAR(8239)," "))</f>
        <v>#NAME?</v>
      </c>
      <c r="Z2055" s="58" t="str">
        <f t="shared" si="1895"/>
        <v>#NAME?</v>
      </c>
      <c r="AA2055" s="58" t="str">
        <f t="shared" si="1895"/>
        <v>#NAME?</v>
      </c>
      <c r="AB2055" s="58" t="str">
        <f t="shared" si="1895"/>
        <v>#NAME?</v>
      </c>
      <c r="AC2055" s="58" t="str">
        <f t="shared" si="1895"/>
        <v>#NAME?</v>
      </c>
      <c r="AD2055" s="57">
        <f t="shared" si="906"/>
        <v>0</v>
      </c>
      <c r="AE2055" s="57" t="str">
        <f t="shared" si="907"/>
        <v/>
      </c>
      <c r="AF2055" s="57">
        <f t="shared" si="908"/>
        <v>0</v>
      </c>
      <c r="AG2055" s="59">
        <f t="shared" si="909"/>
        <v>0</v>
      </c>
      <c r="AH2055" s="15"/>
      <c r="AI2055" s="15"/>
      <c r="AJ2055" s="15"/>
      <c r="AK2055" s="15"/>
      <c r="AL2055" s="15"/>
      <c r="AM2055" s="15"/>
      <c r="AN2055" s="15"/>
      <c r="AO2055" s="15"/>
      <c r="AP2055" s="15"/>
      <c r="AQ2055" s="15"/>
      <c r="AR2055" s="15"/>
      <c r="AS2055" s="15"/>
      <c r="AT2055" s="15"/>
      <c r="AU2055" s="15"/>
    </row>
    <row r="2056" ht="24.0" customHeight="1">
      <c r="A2056" s="45">
        <v>3480.0</v>
      </c>
      <c r="B2056" s="57"/>
      <c r="C2056" s="57"/>
      <c r="D2056" s="88" t="str">
        <f t="array" ref="D2056">IFERROR(
  LOOKUP(2, 1/((TRIM(IMS!$E$8:$E$2574)=TRIM(IMS!$E2056))*(IMS!$C$8:$C$2574&lt;IMS!$C2056)),
         IMS!$C$8:$C$2574),
"")</f>
        <v/>
      </c>
      <c r="E2056" s="57"/>
      <c r="F2056" s="57"/>
      <c r="G2056" s="77" t="str">
        <f t="shared" si="901"/>
        <v/>
      </c>
      <c r="H2056" s="78" t="str">
        <f t="shared" si="902"/>
        <v/>
      </c>
      <c r="I2056" s="79"/>
      <c r="J2056" s="80" t="str">
        <f t="shared" si="903"/>
        <v>#NAME?</v>
      </c>
      <c r="K2056" s="58"/>
      <c r="L2056" s="58"/>
      <c r="M2056" s="57"/>
      <c r="N2056" s="57"/>
      <c r="O2056" s="58"/>
      <c r="P2056" s="82"/>
      <c r="Q2056" s="81"/>
      <c r="R2056" s="81"/>
      <c r="S2056" s="57"/>
      <c r="T2056" s="82"/>
      <c r="U2056" s="82"/>
      <c r="V2056" s="57"/>
      <c r="W2056" s="57"/>
      <c r="X2056" s="57" t="str">
        <f t="shared" si="917"/>
        <v/>
      </c>
      <c r="Y2056" s="58" t="str">
        <f t="shared" ref="Y2056:AC2056" si="1896">TRIM(SUBSTITUTE(SUBSTITUTE(OFFSET($Q2056,0,COLUMN()-COLUMN($AL$1)),CHAR(160)," "),_xludf.UNICHAR(8239)," "))</f>
        <v>#NAME?</v>
      </c>
      <c r="Z2056" s="58" t="str">
        <f t="shared" si="1896"/>
        <v>#NAME?</v>
      </c>
      <c r="AA2056" s="58" t="str">
        <f t="shared" si="1896"/>
        <v>#NAME?</v>
      </c>
      <c r="AB2056" s="58" t="str">
        <f t="shared" si="1896"/>
        <v>#NAME?</v>
      </c>
      <c r="AC2056" s="58" t="str">
        <f t="shared" si="1896"/>
        <v>#NAME?</v>
      </c>
      <c r="AD2056" s="57">
        <f t="shared" si="906"/>
        <v>0</v>
      </c>
      <c r="AE2056" s="57" t="str">
        <f t="shared" si="907"/>
        <v/>
      </c>
      <c r="AF2056" s="57">
        <f t="shared" si="908"/>
        <v>0</v>
      </c>
      <c r="AG2056" s="59">
        <f t="shared" si="909"/>
        <v>0</v>
      </c>
      <c r="AH2056" s="15"/>
      <c r="AI2056" s="15"/>
      <c r="AJ2056" s="15"/>
      <c r="AK2056" s="15"/>
      <c r="AL2056" s="15"/>
      <c r="AM2056" s="15"/>
      <c r="AN2056" s="15"/>
      <c r="AO2056" s="15"/>
      <c r="AP2056" s="15"/>
      <c r="AQ2056" s="15"/>
      <c r="AR2056" s="15"/>
      <c r="AS2056" s="15"/>
      <c r="AT2056" s="15"/>
      <c r="AU2056" s="15"/>
    </row>
    <row r="2057" ht="24.0" customHeight="1">
      <c r="A2057" s="45">
        <v>3481.0</v>
      </c>
      <c r="B2057" s="57"/>
      <c r="C2057" s="57"/>
      <c r="D2057" s="88" t="str">
        <f t="array" ref="D2057">IFERROR(
  LOOKUP(2, 1/((TRIM(IMS!$E$8:$E$2574)=TRIM(IMS!$E2057))*(IMS!$C$8:$C$2574&lt;IMS!$C2057)),
         IMS!$C$8:$C$2574),
"")</f>
        <v/>
      </c>
      <c r="E2057" s="57"/>
      <c r="F2057" s="57"/>
      <c r="G2057" s="77" t="str">
        <f t="shared" si="901"/>
        <v/>
      </c>
      <c r="H2057" s="78" t="str">
        <f t="shared" si="902"/>
        <v/>
      </c>
      <c r="I2057" s="79"/>
      <c r="J2057" s="80" t="str">
        <f t="shared" si="903"/>
        <v>#NAME?</v>
      </c>
      <c r="K2057" s="58"/>
      <c r="L2057" s="58"/>
      <c r="M2057" s="57"/>
      <c r="N2057" s="57"/>
      <c r="O2057" s="58"/>
      <c r="P2057" s="82"/>
      <c r="Q2057" s="81"/>
      <c r="R2057" s="81"/>
      <c r="S2057" s="57"/>
      <c r="T2057" s="82"/>
      <c r="U2057" s="82"/>
      <c r="V2057" s="57"/>
      <c r="W2057" s="57"/>
      <c r="X2057" s="57" t="str">
        <f t="shared" si="917"/>
        <v/>
      </c>
      <c r="Y2057" s="58" t="str">
        <f t="shared" ref="Y2057:AC2057" si="1897">TRIM(SUBSTITUTE(SUBSTITUTE(OFFSET($Q2057,0,COLUMN()-COLUMN($AL$1)),CHAR(160)," "),_xludf.UNICHAR(8239)," "))</f>
        <v>#NAME?</v>
      </c>
      <c r="Z2057" s="58" t="str">
        <f t="shared" si="1897"/>
        <v>#NAME?</v>
      </c>
      <c r="AA2057" s="58" t="str">
        <f t="shared" si="1897"/>
        <v>#NAME?</v>
      </c>
      <c r="AB2057" s="58" t="str">
        <f t="shared" si="1897"/>
        <v>#NAME?</v>
      </c>
      <c r="AC2057" s="58" t="str">
        <f t="shared" si="1897"/>
        <v>#NAME?</v>
      </c>
      <c r="AD2057" s="57">
        <f t="shared" si="906"/>
        <v>0</v>
      </c>
      <c r="AE2057" s="57" t="str">
        <f t="shared" si="907"/>
        <v/>
      </c>
      <c r="AF2057" s="57">
        <f t="shared" si="908"/>
        <v>0</v>
      </c>
      <c r="AG2057" s="59">
        <f t="shared" si="909"/>
        <v>0</v>
      </c>
      <c r="AH2057" s="15"/>
      <c r="AI2057" s="15"/>
      <c r="AJ2057" s="15"/>
      <c r="AK2057" s="15"/>
      <c r="AL2057" s="15"/>
      <c r="AM2057" s="15"/>
      <c r="AN2057" s="15"/>
      <c r="AO2057" s="15"/>
      <c r="AP2057" s="15"/>
      <c r="AQ2057" s="15"/>
      <c r="AR2057" s="15"/>
      <c r="AS2057" s="15"/>
      <c r="AT2057" s="15"/>
      <c r="AU2057" s="15"/>
    </row>
    <row r="2058" ht="24.0" customHeight="1">
      <c r="A2058" s="45">
        <v>3482.0</v>
      </c>
      <c r="B2058" s="57"/>
      <c r="C2058" s="57"/>
      <c r="D2058" s="88" t="str">
        <f t="array" ref="D2058">IFERROR(
  LOOKUP(2, 1/((TRIM(IMS!$E$8:$E$2574)=TRIM(IMS!$E2058))*(IMS!$C$8:$C$2574&lt;IMS!$C2058)),
         IMS!$C$8:$C$2574),
"")</f>
        <v/>
      </c>
      <c r="E2058" s="57"/>
      <c r="F2058" s="57"/>
      <c r="G2058" s="77" t="str">
        <f t="shared" si="901"/>
        <v/>
      </c>
      <c r="H2058" s="78" t="str">
        <f t="shared" si="902"/>
        <v/>
      </c>
      <c r="I2058" s="79"/>
      <c r="J2058" s="80" t="str">
        <f t="shared" si="903"/>
        <v>#NAME?</v>
      </c>
      <c r="K2058" s="58"/>
      <c r="L2058" s="58"/>
      <c r="M2058" s="57"/>
      <c r="N2058" s="57"/>
      <c r="O2058" s="58"/>
      <c r="P2058" s="82"/>
      <c r="Q2058" s="81"/>
      <c r="R2058" s="81"/>
      <c r="S2058" s="57"/>
      <c r="T2058" s="82"/>
      <c r="U2058" s="82"/>
      <c r="V2058" s="57"/>
      <c r="W2058" s="57"/>
      <c r="X2058" s="57" t="str">
        <f t="shared" si="917"/>
        <v/>
      </c>
      <c r="Y2058" s="58" t="str">
        <f t="shared" ref="Y2058:AC2058" si="1898">TRIM(SUBSTITUTE(SUBSTITUTE(OFFSET($Q2058,0,COLUMN()-COLUMN($AL$1)),CHAR(160)," "),_xludf.UNICHAR(8239)," "))</f>
        <v>#NAME?</v>
      </c>
      <c r="Z2058" s="58" t="str">
        <f t="shared" si="1898"/>
        <v>#NAME?</v>
      </c>
      <c r="AA2058" s="58" t="str">
        <f t="shared" si="1898"/>
        <v>#NAME?</v>
      </c>
      <c r="AB2058" s="58" t="str">
        <f t="shared" si="1898"/>
        <v>#NAME?</v>
      </c>
      <c r="AC2058" s="58" t="str">
        <f t="shared" si="1898"/>
        <v>#NAME?</v>
      </c>
      <c r="AD2058" s="57">
        <f t="shared" si="906"/>
        <v>0</v>
      </c>
      <c r="AE2058" s="57" t="str">
        <f t="shared" si="907"/>
        <v/>
      </c>
      <c r="AF2058" s="57">
        <f t="shared" si="908"/>
        <v>0</v>
      </c>
      <c r="AG2058" s="59">
        <f t="shared" si="909"/>
        <v>0</v>
      </c>
      <c r="AH2058" s="15"/>
      <c r="AI2058" s="15"/>
      <c r="AJ2058" s="15"/>
      <c r="AK2058" s="15"/>
      <c r="AL2058" s="15"/>
      <c r="AM2058" s="15"/>
      <c r="AN2058" s="15"/>
      <c r="AO2058" s="15"/>
      <c r="AP2058" s="15"/>
      <c r="AQ2058" s="15"/>
      <c r="AR2058" s="15"/>
      <c r="AS2058" s="15"/>
      <c r="AT2058" s="15"/>
      <c r="AU2058" s="15"/>
    </row>
    <row r="2059" ht="24.0" customHeight="1">
      <c r="A2059" s="45">
        <v>3483.0</v>
      </c>
      <c r="B2059" s="57"/>
      <c r="C2059" s="57"/>
      <c r="D2059" s="88" t="str">
        <f t="array" ref="D2059">IFERROR(
  LOOKUP(2, 1/((TRIM(IMS!$E$8:$E$2574)=TRIM(IMS!$E2059))*(IMS!$C$8:$C$2574&lt;IMS!$C2059)),
         IMS!$C$8:$C$2574),
"")</f>
        <v/>
      </c>
      <c r="E2059" s="57"/>
      <c r="F2059" s="57"/>
      <c r="G2059" s="77" t="str">
        <f t="shared" si="901"/>
        <v/>
      </c>
      <c r="H2059" s="78" t="str">
        <f t="shared" si="902"/>
        <v/>
      </c>
      <c r="I2059" s="79"/>
      <c r="J2059" s="80" t="str">
        <f t="shared" si="903"/>
        <v>#NAME?</v>
      </c>
      <c r="K2059" s="58"/>
      <c r="L2059" s="58"/>
      <c r="M2059" s="57"/>
      <c r="N2059" s="57"/>
      <c r="O2059" s="58"/>
      <c r="P2059" s="82"/>
      <c r="Q2059" s="81"/>
      <c r="R2059" s="81"/>
      <c r="S2059" s="57"/>
      <c r="T2059" s="82"/>
      <c r="U2059" s="82"/>
      <c r="V2059" s="57"/>
      <c r="W2059" s="57"/>
      <c r="X2059" s="57" t="str">
        <f t="shared" si="917"/>
        <v/>
      </c>
      <c r="Y2059" s="58" t="str">
        <f t="shared" ref="Y2059:AC2059" si="1899">TRIM(SUBSTITUTE(SUBSTITUTE(OFFSET($Q2059,0,COLUMN()-COLUMN($AL$1)),CHAR(160)," "),_xludf.UNICHAR(8239)," "))</f>
        <v>#NAME?</v>
      </c>
      <c r="Z2059" s="58" t="str">
        <f t="shared" si="1899"/>
        <v>#NAME?</v>
      </c>
      <c r="AA2059" s="58" t="str">
        <f t="shared" si="1899"/>
        <v>#NAME?</v>
      </c>
      <c r="AB2059" s="58" t="str">
        <f t="shared" si="1899"/>
        <v>#NAME?</v>
      </c>
      <c r="AC2059" s="58" t="str">
        <f t="shared" si="1899"/>
        <v>#NAME?</v>
      </c>
      <c r="AD2059" s="57">
        <f t="shared" si="906"/>
        <v>0</v>
      </c>
      <c r="AE2059" s="57" t="str">
        <f t="shared" si="907"/>
        <v/>
      </c>
      <c r="AF2059" s="57">
        <f t="shared" si="908"/>
        <v>0</v>
      </c>
      <c r="AG2059" s="59">
        <f t="shared" si="909"/>
        <v>0</v>
      </c>
      <c r="AH2059" s="15"/>
      <c r="AI2059" s="15"/>
      <c r="AJ2059" s="15"/>
      <c r="AK2059" s="15"/>
      <c r="AL2059" s="15"/>
      <c r="AM2059" s="15"/>
      <c r="AN2059" s="15"/>
      <c r="AO2059" s="15"/>
      <c r="AP2059" s="15"/>
      <c r="AQ2059" s="15"/>
      <c r="AR2059" s="15"/>
      <c r="AS2059" s="15"/>
      <c r="AT2059" s="15"/>
      <c r="AU2059" s="15"/>
    </row>
    <row r="2060" ht="24.0" customHeight="1">
      <c r="A2060" s="45">
        <v>3484.0</v>
      </c>
      <c r="B2060" s="57"/>
      <c r="C2060" s="57"/>
      <c r="D2060" s="88" t="str">
        <f t="array" ref="D2060">IFERROR(
  LOOKUP(2, 1/((TRIM(IMS!$E$8:$E$2574)=TRIM(IMS!$E2060))*(IMS!$C$8:$C$2574&lt;IMS!$C2060)),
         IMS!$C$8:$C$2574),
"")</f>
        <v/>
      </c>
      <c r="E2060" s="57"/>
      <c r="F2060" s="57"/>
      <c r="G2060" s="77" t="str">
        <f t="shared" si="901"/>
        <v/>
      </c>
      <c r="H2060" s="78" t="str">
        <f t="shared" si="902"/>
        <v/>
      </c>
      <c r="I2060" s="79"/>
      <c r="J2060" s="80" t="str">
        <f t="shared" si="903"/>
        <v>#NAME?</v>
      </c>
      <c r="K2060" s="58"/>
      <c r="L2060" s="58"/>
      <c r="M2060" s="57"/>
      <c r="N2060" s="57"/>
      <c r="O2060" s="58"/>
      <c r="P2060" s="82"/>
      <c r="Q2060" s="81"/>
      <c r="R2060" s="81"/>
      <c r="S2060" s="57"/>
      <c r="T2060" s="82"/>
      <c r="U2060" s="82"/>
      <c r="V2060" s="57"/>
      <c r="W2060" s="57"/>
      <c r="X2060" s="57" t="str">
        <f t="shared" si="917"/>
        <v/>
      </c>
      <c r="Y2060" s="58" t="str">
        <f t="shared" ref="Y2060:AC2060" si="1900">TRIM(SUBSTITUTE(SUBSTITUTE(OFFSET($Q2060,0,COLUMN()-COLUMN($AL$1)),CHAR(160)," "),_xludf.UNICHAR(8239)," "))</f>
        <v>#NAME?</v>
      </c>
      <c r="Z2060" s="58" t="str">
        <f t="shared" si="1900"/>
        <v>#NAME?</v>
      </c>
      <c r="AA2060" s="58" t="str">
        <f t="shared" si="1900"/>
        <v>#NAME?</v>
      </c>
      <c r="AB2060" s="58" t="str">
        <f t="shared" si="1900"/>
        <v>#NAME?</v>
      </c>
      <c r="AC2060" s="58" t="str">
        <f t="shared" si="1900"/>
        <v>#NAME?</v>
      </c>
      <c r="AD2060" s="57">
        <f t="shared" si="906"/>
        <v>0</v>
      </c>
      <c r="AE2060" s="57" t="str">
        <f t="shared" si="907"/>
        <v/>
      </c>
      <c r="AF2060" s="57">
        <f t="shared" si="908"/>
        <v>0</v>
      </c>
      <c r="AG2060" s="59">
        <f t="shared" si="909"/>
        <v>0</v>
      </c>
      <c r="AH2060" s="15"/>
      <c r="AI2060" s="15"/>
      <c r="AJ2060" s="15"/>
      <c r="AK2060" s="15"/>
      <c r="AL2060" s="15"/>
      <c r="AM2060" s="15"/>
      <c r="AN2060" s="15"/>
      <c r="AO2060" s="15"/>
      <c r="AP2060" s="15"/>
      <c r="AQ2060" s="15"/>
      <c r="AR2060" s="15"/>
      <c r="AS2060" s="15"/>
      <c r="AT2060" s="15"/>
      <c r="AU2060" s="15"/>
    </row>
    <row r="2061" ht="24.0" customHeight="1">
      <c r="A2061" s="45">
        <v>3485.0</v>
      </c>
      <c r="B2061" s="57"/>
      <c r="C2061" s="57"/>
      <c r="D2061" s="88" t="str">
        <f t="array" ref="D2061">IFERROR(
  LOOKUP(2, 1/((TRIM(IMS!$E$8:$E$2574)=TRIM(IMS!$E2061))*(IMS!$C$8:$C$2574&lt;IMS!$C2061)),
         IMS!$C$8:$C$2574),
"")</f>
        <v/>
      </c>
      <c r="E2061" s="57"/>
      <c r="F2061" s="57"/>
      <c r="G2061" s="77" t="str">
        <f t="shared" si="901"/>
        <v/>
      </c>
      <c r="H2061" s="78" t="str">
        <f t="shared" si="902"/>
        <v/>
      </c>
      <c r="I2061" s="79"/>
      <c r="J2061" s="80" t="str">
        <f t="shared" si="903"/>
        <v>#NAME?</v>
      </c>
      <c r="K2061" s="58"/>
      <c r="L2061" s="58"/>
      <c r="M2061" s="57"/>
      <c r="N2061" s="57"/>
      <c r="O2061" s="58"/>
      <c r="P2061" s="82"/>
      <c r="Q2061" s="81"/>
      <c r="R2061" s="81"/>
      <c r="S2061" s="57"/>
      <c r="T2061" s="82"/>
      <c r="U2061" s="82"/>
      <c r="V2061" s="57"/>
      <c r="W2061" s="57"/>
      <c r="X2061" s="57" t="str">
        <f t="shared" si="917"/>
        <v/>
      </c>
      <c r="Y2061" s="58" t="str">
        <f t="shared" ref="Y2061:AC2061" si="1901">TRIM(SUBSTITUTE(SUBSTITUTE(OFFSET($Q2061,0,COLUMN()-COLUMN($AL$1)),CHAR(160)," "),_xludf.UNICHAR(8239)," "))</f>
        <v>#NAME?</v>
      </c>
      <c r="Z2061" s="58" t="str">
        <f t="shared" si="1901"/>
        <v>#NAME?</v>
      </c>
      <c r="AA2061" s="58" t="str">
        <f t="shared" si="1901"/>
        <v>#NAME?</v>
      </c>
      <c r="AB2061" s="58" t="str">
        <f t="shared" si="1901"/>
        <v>#NAME?</v>
      </c>
      <c r="AC2061" s="58" t="str">
        <f t="shared" si="1901"/>
        <v>#NAME?</v>
      </c>
      <c r="AD2061" s="57">
        <f t="shared" si="906"/>
        <v>0</v>
      </c>
      <c r="AE2061" s="57" t="str">
        <f t="shared" si="907"/>
        <v/>
      </c>
      <c r="AF2061" s="57">
        <f t="shared" si="908"/>
        <v>0</v>
      </c>
      <c r="AG2061" s="59">
        <f t="shared" si="909"/>
        <v>0</v>
      </c>
      <c r="AH2061" s="15"/>
      <c r="AI2061" s="15"/>
      <c r="AJ2061" s="15"/>
      <c r="AK2061" s="15"/>
      <c r="AL2061" s="15"/>
      <c r="AM2061" s="15"/>
      <c r="AN2061" s="15"/>
      <c r="AO2061" s="15"/>
      <c r="AP2061" s="15"/>
      <c r="AQ2061" s="15"/>
      <c r="AR2061" s="15"/>
      <c r="AS2061" s="15"/>
      <c r="AT2061" s="15"/>
      <c r="AU2061" s="15"/>
    </row>
    <row r="2062" ht="24.0" customHeight="1">
      <c r="A2062" s="45">
        <v>3486.0</v>
      </c>
      <c r="B2062" s="57"/>
      <c r="C2062" s="57"/>
      <c r="D2062" s="88" t="str">
        <f t="array" ref="D2062">IFERROR(
  LOOKUP(2, 1/((TRIM(IMS!$E$8:$E$2574)=TRIM(IMS!$E2062))*(IMS!$C$8:$C$2574&lt;IMS!$C2062)),
         IMS!$C$8:$C$2574),
"")</f>
        <v/>
      </c>
      <c r="E2062" s="57"/>
      <c r="F2062" s="57"/>
      <c r="G2062" s="77" t="str">
        <f t="shared" si="901"/>
        <v/>
      </c>
      <c r="H2062" s="78" t="str">
        <f t="shared" si="902"/>
        <v/>
      </c>
      <c r="I2062" s="79"/>
      <c r="J2062" s="80" t="str">
        <f t="shared" si="903"/>
        <v>#NAME?</v>
      </c>
      <c r="K2062" s="58"/>
      <c r="L2062" s="58"/>
      <c r="M2062" s="57"/>
      <c r="N2062" s="57"/>
      <c r="O2062" s="58"/>
      <c r="P2062" s="82"/>
      <c r="Q2062" s="81"/>
      <c r="R2062" s="81"/>
      <c r="S2062" s="57"/>
      <c r="T2062" s="82"/>
      <c r="U2062" s="82"/>
      <c r="V2062" s="57"/>
      <c r="W2062" s="57"/>
      <c r="X2062" s="57" t="str">
        <f t="shared" si="917"/>
        <v/>
      </c>
      <c r="Y2062" s="58" t="str">
        <f t="shared" ref="Y2062:AC2062" si="1902">TRIM(SUBSTITUTE(SUBSTITUTE(OFFSET($Q2062,0,COLUMN()-COLUMN($AL$1)),CHAR(160)," "),_xludf.UNICHAR(8239)," "))</f>
        <v>#NAME?</v>
      </c>
      <c r="Z2062" s="58" t="str">
        <f t="shared" si="1902"/>
        <v>#NAME?</v>
      </c>
      <c r="AA2062" s="58" t="str">
        <f t="shared" si="1902"/>
        <v>#NAME?</v>
      </c>
      <c r="AB2062" s="58" t="str">
        <f t="shared" si="1902"/>
        <v>#NAME?</v>
      </c>
      <c r="AC2062" s="58" t="str">
        <f t="shared" si="1902"/>
        <v>#NAME?</v>
      </c>
      <c r="AD2062" s="57">
        <f t="shared" si="906"/>
        <v>0</v>
      </c>
      <c r="AE2062" s="57" t="str">
        <f t="shared" si="907"/>
        <v/>
      </c>
      <c r="AF2062" s="57">
        <f t="shared" si="908"/>
        <v>0</v>
      </c>
      <c r="AG2062" s="59">
        <f t="shared" si="909"/>
        <v>0</v>
      </c>
      <c r="AH2062" s="15"/>
      <c r="AI2062" s="15"/>
      <c r="AJ2062" s="15"/>
      <c r="AK2062" s="15"/>
      <c r="AL2062" s="15"/>
      <c r="AM2062" s="15"/>
      <c r="AN2062" s="15"/>
      <c r="AO2062" s="15"/>
      <c r="AP2062" s="15"/>
      <c r="AQ2062" s="15"/>
      <c r="AR2062" s="15"/>
      <c r="AS2062" s="15"/>
      <c r="AT2062" s="15"/>
      <c r="AU2062" s="15"/>
    </row>
    <row r="2063" ht="24.0" customHeight="1">
      <c r="A2063" s="45">
        <v>3487.0</v>
      </c>
      <c r="B2063" s="57"/>
      <c r="C2063" s="57"/>
      <c r="D2063" s="88" t="str">
        <f t="array" ref="D2063">IFERROR(
  LOOKUP(2, 1/((TRIM(IMS!$E$8:$E$2574)=TRIM(IMS!$E2063))*(IMS!$C$8:$C$2574&lt;IMS!$C2063)),
         IMS!$C$8:$C$2574),
"")</f>
        <v/>
      </c>
      <c r="E2063" s="57"/>
      <c r="F2063" s="57"/>
      <c r="G2063" s="77" t="str">
        <f t="shared" si="901"/>
        <v/>
      </c>
      <c r="H2063" s="78" t="str">
        <f t="shared" si="902"/>
        <v/>
      </c>
      <c r="I2063" s="79"/>
      <c r="J2063" s="80" t="str">
        <f t="shared" si="903"/>
        <v>#NAME?</v>
      </c>
      <c r="K2063" s="58"/>
      <c r="L2063" s="58"/>
      <c r="M2063" s="57"/>
      <c r="N2063" s="57"/>
      <c r="O2063" s="58"/>
      <c r="P2063" s="82"/>
      <c r="Q2063" s="81"/>
      <c r="R2063" s="81"/>
      <c r="S2063" s="57"/>
      <c r="T2063" s="82"/>
      <c r="U2063" s="82"/>
      <c r="V2063" s="57"/>
      <c r="W2063" s="57"/>
      <c r="X2063" s="57" t="str">
        <f t="shared" si="917"/>
        <v/>
      </c>
      <c r="Y2063" s="58" t="str">
        <f t="shared" ref="Y2063:AC2063" si="1903">TRIM(SUBSTITUTE(SUBSTITUTE(OFFSET($Q2063,0,COLUMN()-COLUMN($AL$1)),CHAR(160)," "),_xludf.UNICHAR(8239)," "))</f>
        <v>#NAME?</v>
      </c>
      <c r="Z2063" s="58" t="str">
        <f t="shared" si="1903"/>
        <v>#NAME?</v>
      </c>
      <c r="AA2063" s="58" t="str">
        <f t="shared" si="1903"/>
        <v>#NAME?</v>
      </c>
      <c r="AB2063" s="58" t="str">
        <f t="shared" si="1903"/>
        <v>#NAME?</v>
      </c>
      <c r="AC2063" s="58" t="str">
        <f t="shared" si="1903"/>
        <v>#NAME?</v>
      </c>
      <c r="AD2063" s="57">
        <f t="shared" si="906"/>
        <v>0</v>
      </c>
      <c r="AE2063" s="57" t="str">
        <f t="shared" si="907"/>
        <v/>
      </c>
      <c r="AF2063" s="57">
        <f t="shared" si="908"/>
        <v>0</v>
      </c>
      <c r="AG2063" s="59">
        <f t="shared" si="909"/>
        <v>0</v>
      </c>
      <c r="AH2063" s="15"/>
      <c r="AI2063" s="15"/>
      <c r="AJ2063" s="15"/>
      <c r="AK2063" s="15"/>
      <c r="AL2063" s="15"/>
      <c r="AM2063" s="15"/>
      <c r="AN2063" s="15"/>
      <c r="AO2063" s="15"/>
      <c r="AP2063" s="15"/>
      <c r="AQ2063" s="15"/>
      <c r="AR2063" s="15"/>
      <c r="AS2063" s="15"/>
      <c r="AT2063" s="15"/>
      <c r="AU2063" s="15"/>
    </row>
    <row r="2064" ht="24.0" customHeight="1">
      <c r="A2064" s="45">
        <v>3488.0</v>
      </c>
      <c r="B2064" s="57"/>
      <c r="C2064" s="57"/>
      <c r="D2064" s="88" t="str">
        <f t="array" ref="D2064">IFERROR(
  LOOKUP(2, 1/((TRIM(IMS!$E$8:$E$2574)=TRIM(IMS!$E2064))*(IMS!$C$8:$C$2574&lt;IMS!$C2064)),
         IMS!$C$8:$C$2574),
"")</f>
        <v/>
      </c>
      <c r="E2064" s="57"/>
      <c r="F2064" s="57"/>
      <c r="G2064" s="77" t="str">
        <f t="shared" si="901"/>
        <v/>
      </c>
      <c r="H2064" s="78" t="str">
        <f t="shared" si="902"/>
        <v/>
      </c>
      <c r="I2064" s="79"/>
      <c r="J2064" s="80" t="str">
        <f t="shared" si="903"/>
        <v>#NAME?</v>
      </c>
      <c r="K2064" s="58"/>
      <c r="L2064" s="58"/>
      <c r="M2064" s="57"/>
      <c r="N2064" s="57"/>
      <c r="O2064" s="58"/>
      <c r="P2064" s="82"/>
      <c r="Q2064" s="81"/>
      <c r="R2064" s="81"/>
      <c r="S2064" s="57"/>
      <c r="T2064" s="82"/>
      <c r="U2064" s="82"/>
      <c r="V2064" s="57"/>
      <c r="W2064" s="57"/>
      <c r="X2064" s="57" t="str">
        <f t="shared" si="917"/>
        <v/>
      </c>
      <c r="Y2064" s="58" t="str">
        <f t="shared" ref="Y2064:AC2064" si="1904">TRIM(SUBSTITUTE(SUBSTITUTE(OFFSET($Q2064,0,COLUMN()-COLUMN($AL$1)),CHAR(160)," "),_xludf.UNICHAR(8239)," "))</f>
        <v>#NAME?</v>
      </c>
      <c r="Z2064" s="58" t="str">
        <f t="shared" si="1904"/>
        <v>#NAME?</v>
      </c>
      <c r="AA2064" s="58" t="str">
        <f t="shared" si="1904"/>
        <v>#NAME?</v>
      </c>
      <c r="AB2064" s="58" t="str">
        <f t="shared" si="1904"/>
        <v>#NAME?</v>
      </c>
      <c r="AC2064" s="58" t="str">
        <f t="shared" si="1904"/>
        <v>#NAME?</v>
      </c>
      <c r="AD2064" s="57">
        <f t="shared" si="906"/>
        <v>0</v>
      </c>
      <c r="AE2064" s="57" t="str">
        <f t="shared" si="907"/>
        <v/>
      </c>
      <c r="AF2064" s="57">
        <f t="shared" si="908"/>
        <v>0</v>
      </c>
      <c r="AG2064" s="59">
        <f t="shared" si="909"/>
        <v>0</v>
      </c>
      <c r="AH2064" s="15"/>
      <c r="AI2064" s="15"/>
      <c r="AJ2064" s="15"/>
      <c r="AK2064" s="15"/>
      <c r="AL2064" s="15"/>
      <c r="AM2064" s="15"/>
      <c r="AN2064" s="15"/>
      <c r="AO2064" s="15"/>
      <c r="AP2064" s="15"/>
      <c r="AQ2064" s="15"/>
      <c r="AR2064" s="15"/>
      <c r="AS2064" s="15"/>
      <c r="AT2064" s="15"/>
      <c r="AU2064" s="15"/>
    </row>
    <row r="2065" ht="24.0" customHeight="1">
      <c r="A2065" s="45">
        <v>3489.0</v>
      </c>
      <c r="B2065" s="57"/>
      <c r="C2065" s="57"/>
      <c r="D2065" s="88" t="str">
        <f t="array" ref="D2065">IFERROR(
  LOOKUP(2, 1/((TRIM(IMS!$E$8:$E$2574)=TRIM(IMS!$E2065))*(IMS!$C$8:$C$2574&lt;IMS!$C2065)),
         IMS!$C$8:$C$2574),
"")</f>
        <v/>
      </c>
      <c r="E2065" s="57"/>
      <c r="F2065" s="57"/>
      <c r="G2065" s="77" t="str">
        <f t="shared" si="901"/>
        <v/>
      </c>
      <c r="H2065" s="78" t="str">
        <f t="shared" si="902"/>
        <v/>
      </c>
      <c r="I2065" s="79"/>
      <c r="J2065" s="80" t="str">
        <f t="shared" si="903"/>
        <v>#NAME?</v>
      </c>
      <c r="K2065" s="58"/>
      <c r="L2065" s="58"/>
      <c r="M2065" s="57"/>
      <c r="N2065" s="57"/>
      <c r="O2065" s="58"/>
      <c r="P2065" s="82"/>
      <c r="Q2065" s="81"/>
      <c r="R2065" s="81"/>
      <c r="S2065" s="57"/>
      <c r="T2065" s="82"/>
      <c r="U2065" s="82"/>
      <c r="V2065" s="57"/>
      <c r="W2065" s="57"/>
      <c r="X2065" s="57" t="str">
        <f t="shared" si="917"/>
        <v/>
      </c>
      <c r="Y2065" s="58" t="str">
        <f t="shared" ref="Y2065:AC2065" si="1905">TRIM(SUBSTITUTE(SUBSTITUTE(OFFSET($Q2065,0,COLUMN()-COLUMN($AL$1)),CHAR(160)," "),_xludf.UNICHAR(8239)," "))</f>
        <v>#NAME?</v>
      </c>
      <c r="Z2065" s="58" t="str">
        <f t="shared" si="1905"/>
        <v>#NAME?</v>
      </c>
      <c r="AA2065" s="58" t="str">
        <f t="shared" si="1905"/>
        <v>#NAME?</v>
      </c>
      <c r="AB2065" s="58" t="str">
        <f t="shared" si="1905"/>
        <v>#NAME?</v>
      </c>
      <c r="AC2065" s="58" t="str">
        <f t="shared" si="1905"/>
        <v>#NAME?</v>
      </c>
      <c r="AD2065" s="57">
        <f t="shared" si="906"/>
        <v>0</v>
      </c>
      <c r="AE2065" s="57" t="str">
        <f t="shared" si="907"/>
        <v/>
      </c>
      <c r="AF2065" s="57">
        <f t="shared" si="908"/>
        <v>0</v>
      </c>
      <c r="AG2065" s="59">
        <f t="shared" si="909"/>
        <v>0</v>
      </c>
      <c r="AH2065" s="15"/>
      <c r="AI2065" s="15"/>
      <c r="AJ2065" s="15"/>
      <c r="AK2065" s="15"/>
      <c r="AL2065" s="15"/>
      <c r="AM2065" s="15"/>
      <c r="AN2065" s="15"/>
      <c r="AO2065" s="15"/>
      <c r="AP2065" s="15"/>
      <c r="AQ2065" s="15"/>
      <c r="AR2065" s="15"/>
      <c r="AS2065" s="15"/>
      <c r="AT2065" s="15"/>
      <c r="AU2065" s="15"/>
    </row>
    <row r="2066" ht="24.0" customHeight="1">
      <c r="A2066" s="45">
        <v>3490.0</v>
      </c>
      <c r="B2066" s="57"/>
      <c r="C2066" s="57"/>
      <c r="D2066" s="88" t="str">
        <f t="array" ref="D2066">IFERROR(
  LOOKUP(2, 1/((TRIM(IMS!$E$8:$E$2574)=TRIM(IMS!$E2066))*(IMS!$C$8:$C$2574&lt;IMS!$C2066)),
         IMS!$C$8:$C$2574),
"")</f>
        <v/>
      </c>
      <c r="E2066" s="57"/>
      <c r="F2066" s="57"/>
      <c r="G2066" s="77" t="str">
        <f t="shared" si="901"/>
        <v/>
      </c>
      <c r="H2066" s="78" t="str">
        <f t="shared" si="902"/>
        <v/>
      </c>
      <c r="I2066" s="79"/>
      <c r="J2066" s="80" t="str">
        <f t="shared" si="903"/>
        <v>#NAME?</v>
      </c>
      <c r="K2066" s="58"/>
      <c r="L2066" s="58"/>
      <c r="M2066" s="57"/>
      <c r="N2066" s="57"/>
      <c r="O2066" s="58"/>
      <c r="P2066" s="82"/>
      <c r="Q2066" s="81"/>
      <c r="R2066" s="81"/>
      <c r="S2066" s="57"/>
      <c r="T2066" s="82"/>
      <c r="U2066" s="82"/>
      <c r="V2066" s="57"/>
      <c r="W2066" s="57"/>
      <c r="X2066" s="57" t="str">
        <f t="shared" si="917"/>
        <v/>
      </c>
      <c r="Y2066" s="58" t="str">
        <f t="shared" ref="Y2066:AC2066" si="1906">TRIM(SUBSTITUTE(SUBSTITUTE(OFFSET($Q2066,0,COLUMN()-COLUMN($AL$1)),CHAR(160)," "),_xludf.UNICHAR(8239)," "))</f>
        <v>#NAME?</v>
      </c>
      <c r="Z2066" s="58" t="str">
        <f t="shared" si="1906"/>
        <v>#NAME?</v>
      </c>
      <c r="AA2066" s="58" t="str">
        <f t="shared" si="1906"/>
        <v>#NAME?</v>
      </c>
      <c r="AB2066" s="58" t="str">
        <f t="shared" si="1906"/>
        <v>#NAME?</v>
      </c>
      <c r="AC2066" s="58" t="str">
        <f t="shared" si="1906"/>
        <v>#NAME?</v>
      </c>
      <c r="AD2066" s="57">
        <f t="shared" si="906"/>
        <v>0</v>
      </c>
      <c r="AE2066" s="57" t="str">
        <f t="shared" si="907"/>
        <v/>
      </c>
      <c r="AF2066" s="57">
        <f t="shared" si="908"/>
        <v>0</v>
      </c>
      <c r="AG2066" s="59">
        <f t="shared" si="909"/>
        <v>0</v>
      </c>
      <c r="AH2066" s="15"/>
      <c r="AI2066" s="15"/>
      <c r="AJ2066" s="15"/>
      <c r="AK2066" s="15"/>
      <c r="AL2066" s="15"/>
      <c r="AM2066" s="15"/>
      <c r="AN2066" s="15"/>
      <c r="AO2066" s="15"/>
      <c r="AP2066" s="15"/>
      <c r="AQ2066" s="15"/>
      <c r="AR2066" s="15"/>
      <c r="AS2066" s="15"/>
      <c r="AT2066" s="15"/>
      <c r="AU2066" s="15"/>
    </row>
    <row r="2067" ht="24.0" customHeight="1">
      <c r="A2067" s="45">
        <v>3491.0</v>
      </c>
      <c r="B2067" s="57"/>
      <c r="C2067" s="57"/>
      <c r="D2067" s="88" t="str">
        <f t="array" ref="D2067">IFERROR(
  LOOKUP(2, 1/((TRIM(IMS!$E$8:$E$2574)=TRIM(IMS!$E2067))*(IMS!$C$8:$C$2574&lt;IMS!$C2067)),
         IMS!$C$8:$C$2574),
"")</f>
        <v/>
      </c>
      <c r="E2067" s="57"/>
      <c r="F2067" s="57"/>
      <c r="G2067" s="77" t="str">
        <f t="shared" si="901"/>
        <v/>
      </c>
      <c r="H2067" s="78" t="str">
        <f t="shared" si="902"/>
        <v/>
      </c>
      <c r="I2067" s="79"/>
      <c r="J2067" s="80" t="str">
        <f t="shared" si="903"/>
        <v>#NAME?</v>
      </c>
      <c r="K2067" s="58"/>
      <c r="L2067" s="58"/>
      <c r="M2067" s="57"/>
      <c r="N2067" s="57"/>
      <c r="O2067" s="58"/>
      <c r="P2067" s="82"/>
      <c r="Q2067" s="81"/>
      <c r="R2067" s="81"/>
      <c r="S2067" s="57"/>
      <c r="T2067" s="82"/>
      <c r="U2067" s="82"/>
      <c r="V2067" s="57"/>
      <c r="W2067" s="57"/>
      <c r="X2067" s="57" t="str">
        <f t="shared" si="917"/>
        <v/>
      </c>
      <c r="Y2067" s="58" t="str">
        <f t="shared" ref="Y2067:AC2067" si="1907">TRIM(SUBSTITUTE(SUBSTITUTE(OFFSET($Q2067,0,COLUMN()-COLUMN($AL$1)),CHAR(160)," "),_xludf.UNICHAR(8239)," "))</f>
        <v>#NAME?</v>
      </c>
      <c r="Z2067" s="58" t="str">
        <f t="shared" si="1907"/>
        <v>#NAME?</v>
      </c>
      <c r="AA2067" s="58" t="str">
        <f t="shared" si="1907"/>
        <v>#NAME?</v>
      </c>
      <c r="AB2067" s="58" t="str">
        <f t="shared" si="1907"/>
        <v>#NAME?</v>
      </c>
      <c r="AC2067" s="58" t="str">
        <f t="shared" si="1907"/>
        <v>#NAME?</v>
      </c>
      <c r="AD2067" s="57">
        <f t="shared" si="906"/>
        <v>0</v>
      </c>
      <c r="AE2067" s="57" t="str">
        <f t="shared" si="907"/>
        <v/>
      </c>
      <c r="AF2067" s="57">
        <f t="shared" si="908"/>
        <v>0</v>
      </c>
      <c r="AG2067" s="59">
        <f t="shared" si="909"/>
        <v>0</v>
      </c>
      <c r="AH2067" s="15"/>
      <c r="AI2067" s="15"/>
      <c r="AJ2067" s="15"/>
      <c r="AK2067" s="15"/>
      <c r="AL2067" s="15"/>
      <c r="AM2067" s="15"/>
      <c r="AN2067" s="15"/>
      <c r="AO2067" s="15"/>
      <c r="AP2067" s="15"/>
      <c r="AQ2067" s="15"/>
      <c r="AR2067" s="15"/>
      <c r="AS2067" s="15"/>
      <c r="AT2067" s="15"/>
      <c r="AU2067" s="15"/>
    </row>
    <row r="2068" ht="24.0" customHeight="1">
      <c r="A2068" s="45">
        <v>3492.0</v>
      </c>
      <c r="B2068" s="57"/>
      <c r="C2068" s="57"/>
      <c r="D2068" s="88" t="str">
        <f t="array" ref="D2068">IFERROR(
  LOOKUP(2, 1/((TRIM(IMS!$E$8:$E$2574)=TRIM(IMS!$E2068))*(IMS!$C$8:$C$2574&lt;IMS!$C2068)),
         IMS!$C$8:$C$2574),
"")</f>
        <v/>
      </c>
      <c r="E2068" s="57"/>
      <c r="F2068" s="57"/>
      <c r="G2068" s="77" t="str">
        <f t="shared" si="901"/>
        <v/>
      </c>
      <c r="H2068" s="78" t="str">
        <f t="shared" si="902"/>
        <v/>
      </c>
      <c r="I2068" s="79"/>
      <c r="J2068" s="80" t="str">
        <f t="shared" si="903"/>
        <v>#NAME?</v>
      </c>
      <c r="K2068" s="58"/>
      <c r="L2068" s="58"/>
      <c r="M2068" s="57"/>
      <c r="N2068" s="57"/>
      <c r="O2068" s="58"/>
      <c r="P2068" s="82"/>
      <c r="Q2068" s="81"/>
      <c r="R2068" s="81"/>
      <c r="S2068" s="57"/>
      <c r="T2068" s="82"/>
      <c r="U2068" s="82"/>
      <c r="V2068" s="57"/>
      <c r="W2068" s="57"/>
      <c r="X2068" s="57" t="str">
        <f t="shared" si="917"/>
        <v/>
      </c>
      <c r="Y2068" s="58" t="str">
        <f t="shared" ref="Y2068:AC2068" si="1908">TRIM(SUBSTITUTE(SUBSTITUTE(OFFSET($Q2068,0,COLUMN()-COLUMN($AL$1)),CHAR(160)," "),_xludf.UNICHAR(8239)," "))</f>
        <v>#NAME?</v>
      </c>
      <c r="Z2068" s="58" t="str">
        <f t="shared" si="1908"/>
        <v>#NAME?</v>
      </c>
      <c r="AA2068" s="58" t="str">
        <f t="shared" si="1908"/>
        <v>#NAME?</v>
      </c>
      <c r="AB2068" s="58" t="str">
        <f t="shared" si="1908"/>
        <v>#NAME?</v>
      </c>
      <c r="AC2068" s="58" t="str">
        <f t="shared" si="1908"/>
        <v>#NAME?</v>
      </c>
      <c r="AD2068" s="57">
        <f t="shared" si="906"/>
        <v>0</v>
      </c>
      <c r="AE2068" s="57" t="str">
        <f t="shared" si="907"/>
        <v/>
      </c>
      <c r="AF2068" s="57">
        <f t="shared" si="908"/>
        <v>0</v>
      </c>
      <c r="AG2068" s="59">
        <f t="shared" si="909"/>
        <v>0</v>
      </c>
      <c r="AH2068" s="15"/>
      <c r="AI2068" s="15"/>
      <c r="AJ2068" s="15"/>
      <c r="AK2068" s="15"/>
      <c r="AL2068" s="15"/>
      <c r="AM2068" s="15"/>
      <c r="AN2068" s="15"/>
      <c r="AO2068" s="15"/>
      <c r="AP2068" s="15"/>
      <c r="AQ2068" s="15"/>
      <c r="AR2068" s="15"/>
      <c r="AS2068" s="15"/>
      <c r="AT2068" s="15"/>
      <c r="AU2068" s="15"/>
    </row>
    <row r="2069" ht="24.0" customHeight="1">
      <c r="A2069" s="45">
        <v>3493.0</v>
      </c>
      <c r="B2069" s="57"/>
      <c r="C2069" s="57"/>
      <c r="D2069" s="88" t="str">
        <f t="array" ref="D2069">IFERROR(
  LOOKUP(2, 1/((TRIM(IMS!$E$8:$E$2574)=TRIM(IMS!$E2069))*(IMS!$C$8:$C$2574&lt;IMS!$C2069)),
         IMS!$C$8:$C$2574),
"")</f>
        <v/>
      </c>
      <c r="E2069" s="57"/>
      <c r="F2069" s="57"/>
      <c r="G2069" s="77" t="str">
        <f t="shared" si="901"/>
        <v/>
      </c>
      <c r="H2069" s="78" t="str">
        <f t="shared" si="902"/>
        <v/>
      </c>
      <c r="I2069" s="79"/>
      <c r="J2069" s="80" t="str">
        <f t="shared" si="903"/>
        <v>#NAME?</v>
      </c>
      <c r="K2069" s="58"/>
      <c r="L2069" s="58"/>
      <c r="M2069" s="57"/>
      <c r="N2069" s="57"/>
      <c r="O2069" s="58"/>
      <c r="P2069" s="82"/>
      <c r="Q2069" s="81"/>
      <c r="R2069" s="81"/>
      <c r="S2069" s="57"/>
      <c r="T2069" s="82"/>
      <c r="U2069" s="82"/>
      <c r="V2069" s="57"/>
      <c r="W2069" s="57"/>
      <c r="X2069" s="57" t="str">
        <f t="shared" si="917"/>
        <v/>
      </c>
      <c r="Y2069" s="58" t="str">
        <f t="shared" ref="Y2069:AC2069" si="1909">TRIM(SUBSTITUTE(SUBSTITUTE(OFFSET($Q2069,0,COLUMN()-COLUMN($AL$1)),CHAR(160)," "),_xludf.UNICHAR(8239)," "))</f>
        <v>#NAME?</v>
      </c>
      <c r="Z2069" s="58" t="str">
        <f t="shared" si="1909"/>
        <v>#NAME?</v>
      </c>
      <c r="AA2069" s="58" t="str">
        <f t="shared" si="1909"/>
        <v>#NAME?</v>
      </c>
      <c r="AB2069" s="58" t="str">
        <f t="shared" si="1909"/>
        <v>#NAME?</v>
      </c>
      <c r="AC2069" s="58" t="str">
        <f t="shared" si="1909"/>
        <v>#NAME?</v>
      </c>
      <c r="AD2069" s="57">
        <f t="shared" si="906"/>
        <v>0</v>
      </c>
      <c r="AE2069" s="57" t="str">
        <f t="shared" si="907"/>
        <v/>
      </c>
      <c r="AF2069" s="57">
        <f t="shared" si="908"/>
        <v>0</v>
      </c>
      <c r="AG2069" s="59">
        <f t="shared" si="909"/>
        <v>0</v>
      </c>
      <c r="AH2069" s="15"/>
      <c r="AI2069" s="15"/>
      <c r="AJ2069" s="15"/>
      <c r="AK2069" s="15"/>
      <c r="AL2069" s="15"/>
      <c r="AM2069" s="15"/>
      <c r="AN2069" s="15"/>
      <c r="AO2069" s="15"/>
      <c r="AP2069" s="15"/>
      <c r="AQ2069" s="15"/>
      <c r="AR2069" s="15"/>
      <c r="AS2069" s="15"/>
      <c r="AT2069" s="15"/>
      <c r="AU2069" s="15"/>
    </row>
    <row r="2070" ht="24.0" customHeight="1">
      <c r="A2070" s="45">
        <v>3494.0</v>
      </c>
      <c r="B2070" s="57"/>
      <c r="C2070" s="57"/>
      <c r="D2070" s="88" t="str">
        <f t="array" ref="D2070">IFERROR(
  LOOKUP(2, 1/((TRIM(IMS!$E$8:$E$2574)=TRIM(IMS!$E2070))*(IMS!$C$8:$C$2574&lt;IMS!$C2070)),
         IMS!$C$8:$C$2574),
"")</f>
        <v/>
      </c>
      <c r="E2070" s="57"/>
      <c r="F2070" s="57"/>
      <c r="G2070" s="77" t="str">
        <f t="shared" si="901"/>
        <v/>
      </c>
      <c r="H2070" s="78" t="str">
        <f t="shared" si="902"/>
        <v/>
      </c>
      <c r="I2070" s="79"/>
      <c r="J2070" s="80" t="str">
        <f t="shared" si="903"/>
        <v>#NAME?</v>
      </c>
      <c r="K2070" s="58"/>
      <c r="L2070" s="58"/>
      <c r="M2070" s="57"/>
      <c r="N2070" s="57"/>
      <c r="O2070" s="58"/>
      <c r="P2070" s="82"/>
      <c r="Q2070" s="81"/>
      <c r="R2070" s="81"/>
      <c r="S2070" s="57"/>
      <c r="T2070" s="82"/>
      <c r="U2070" s="82"/>
      <c r="V2070" s="57"/>
      <c r="W2070" s="57"/>
      <c r="X2070" s="57" t="str">
        <f t="shared" si="917"/>
        <v/>
      </c>
      <c r="Y2070" s="58" t="str">
        <f t="shared" ref="Y2070:AC2070" si="1910">TRIM(SUBSTITUTE(SUBSTITUTE(OFFSET($Q2070,0,COLUMN()-COLUMN($AL$1)),CHAR(160)," "),_xludf.UNICHAR(8239)," "))</f>
        <v>#NAME?</v>
      </c>
      <c r="Z2070" s="58" t="str">
        <f t="shared" si="1910"/>
        <v>#NAME?</v>
      </c>
      <c r="AA2070" s="58" t="str">
        <f t="shared" si="1910"/>
        <v>#NAME?</v>
      </c>
      <c r="AB2070" s="58" t="str">
        <f t="shared" si="1910"/>
        <v>#NAME?</v>
      </c>
      <c r="AC2070" s="58" t="str">
        <f t="shared" si="1910"/>
        <v>#NAME?</v>
      </c>
      <c r="AD2070" s="57">
        <f t="shared" si="906"/>
        <v>0</v>
      </c>
      <c r="AE2070" s="57" t="str">
        <f t="shared" si="907"/>
        <v/>
      </c>
      <c r="AF2070" s="57">
        <f t="shared" si="908"/>
        <v>0</v>
      </c>
      <c r="AG2070" s="59">
        <f t="shared" si="909"/>
        <v>0</v>
      </c>
      <c r="AH2070" s="15"/>
      <c r="AI2070" s="15"/>
      <c r="AJ2070" s="15"/>
      <c r="AK2070" s="15"/>
      <c r="AL2070" s="15"/>
      <c r="AM2070" s="15"/>
      <c r="AN2070" s="15"/>
      <c r="AO2070" s="15"/>
      <c r="AP2070" s="15"/>
      <c r="AQ2070" s="15"/>
      <c r="AR2070" s="15"/>
      <c r="AS2070" s="15"/>
      <c r="AT2070" s="15"/>
      <c r="AU2070" s="15"/>
    </row>
    <row r="2071" ht="24.0" customHeight="1">
      <c r="A2071" s="45">
        <v>3495.0</v>
      </c>
      <c r="B2071" s="57"/>
      <c r="C2071" s="57"/>
      <c r="D2071" s="88" t="str">
        <f t="array" ref="D2071">IFERROR(
  LOOKUP(2, 1/((TRIM(IMS!$E$8:$E$2574)=TRIM(IMS!$E2071))*(IMS!$C$8:$C$2574&lt;IMS!$C2071)),
         IMS!$C$8:$C$2574),
"")</f>
        <v/>
      </c>
      <c r="E2071" s="57"/>
      <c r="F2071" s="57"/>
      <c r="G2071" s="77" t="str">
        <f t="shared" si="901"/>
        <v/>
      </c>
      <c r="H2071" s="78" t="str">
        <f t="shared" si="902"/>
        <v/>
      </c>
      <c r="I2071" s="79"/>
      <c r="J2071" s="80" t="str">
        <f t="shared" si="903"/>
        <v>#NAME?</v>
      </c>
      <c r="K2071" s="58"/>
      <c r="L2071" s="58"/>
      <c r="M2071" s="57"/>
      <c r="N2071" s="57"/>
      <c r="O2071" s="58"/>
      <c r="P2071" s="82"/>
      <c r="Q2071" s="81"/>
      <c r="R2071" s="81"/>
      <c r="S2071" s="57"/>
      <c r="T2071" s="82"/>
      <c r="U2071" s="82"/>
      <c r="V2071" s="57"/>
      <c r="W2071" s="57"/>
      <c r="X2071" s="57" t="str">
        <f t="shared" si="917"/>
        <v/>
      </c>
      <c r="Y2071" s="58" t="str">
        <f t="shared" ref="Y2071:AC2071" si="1911">TRIM(SUBSTITUTE(SUBSTITUTE(OFFSET($Q2071,0,COLUMN()-COLUMN($AL$1)),CHAR(160)," "),_xludf.UNICHAR(8239)," "))</f>
        <v>#NAME?</v>
      </c>
      <c r="Z2071" s="58" t="str">
        <f t="shared" si="1911"/>
        <v>#NAME?</v>
      </c>
      <c r="AA2071" s="58" t="str">
        <f t="shared" si="1911"/>
        <v>#NAME?</v>
      </c>
      <c r="AB2071" s="58" t="str">
        <f t="shared" si="1911"/>
        <v>#NAME?</v>
      </c>
      <c r="AC2071" s="58" t="str">
        <f t="shared" si="1911"/>
        <v>#NAME?</v>
      </c>
      <c r="AD2071" s="57">
        <f t="shared" si="906"/>
        <v>0</v>
      </c>
      <c r="AE2071" s="57" t="str">
        <f t="shared" si="907"/>
        <v/>
      </c>
      <c r="AF2071" s="57">
        <f t="shared" si="908"/>
        <v>0</v>
      </c>
      <c r="AG2071" s="59">
        <f t="shared" si="909"/>
        <v>0</v>
      </c>
      <c r="AH2071" s="15"/>
      <c r="AI2071" s="15"/>
      <c r="AJ2071" s="15"/>
      <c r="AK2071" s="15"/>
      <c r="AL2071" s="15"/>
      <c r="AM2071" s="15"/>
      <c r="AN2071" s="15"/>
      <c r="AO2071" s="15"/>
      <c r="AP2071" s="15"/>
      <c r="AQ2071" s="15"/>
      <c r="AR2071" s="15"/>
      <c r="AS2071" s="15"/>
      <c r="AT2071" s="15"/>
      <c r="AU2071" s="15"/>
    </row>
    <row r="2072" ht="24.0" customHeight="1">
      <c r="A2072" s="45">
        <v>3496.0</v>
      </c>
      <c r="B2072" s="57"/>
      <c r="C2072" s="57"/>
      <c r="D2072" s="88" t="str">
        <f t="array" ref="D2072">IFERROR(
  LOOKUP(2, 1/((TRIM(IMS!$E$8:$E$2574)=TRIM(IMS!$E2072))*(IMS!$C$8:$C$2574&lt;IMS!$C2072)),
         IMS!$C$8:$C$2574),
"")</f>
        <v/>
      </c>
      <c r="E2072" s="57"/>
      <c r="F2072" s="57"/>
      <c r="G2072" s="77" t="str">
        <f t="shared" si="901"/>
        <v/>
      </c>
      <c r="H2072" s="78" t="str">
        <f t="shared" si="902"/>
        <v/>
      </c>
      <c r="I2072" s="79"/>
      <c r="J2072" s="80" t="str">
        <f t="shared" si="903"/>
        <v>#NAME?</v>
      </c>
      <c r="K2072" s="58"/>
      <c r="L2072" s="58"/>
      <c r="M2072" s="57"/>
      <c r="N2072" s="57"/>
      <c r="O2072" s="58"/>
      <c r="P2072" s="82"/>
      <c r="Q2072" s="81"/>
      <c r="R2072" s="81"/>
      <c r="S2072" s="57"/>
      <c r="T2072" s="82"/>
      <c r="U2072" s="82"/>
      <c r="V2072" s="57"/>
      <c r="W2072" s="57"/>
      <c r="X2072" s="57" t="str">
        <f t="shared" si="917"/>
        <v/>
      </c>
      <c r="Y2072" s="58" t="str">
        <f t="shared" ref="Y2072:AC2072" si="1912">TRIM(SUBSTITUTE(SUBSTITUTE(OFFSET($Q2072,0,COLUMN()-COLUMN($AL$1)),CHAR(160)," "),_xludf.UNICHAR(8239)," "))</f>
        <v>#NAME?</v>
      </c>
      <c r="Z2072" s="58" t="str">
        <f t="shared" si="1912"/>
        <v>#NAME?</v>
      </c>
      <c r="AA2072" s="58" t="str">
        <f t="shared" si="1912"/>
        <v>#NAME?</v>
      </c>
      <c r="AB2072" s="58" t="str">
        <f t="shared" si="1912"/>
        <v>#NAME?</v>
      </c>
      <c r="AC2072" s="58" t="str">
        <f t="shared" si="1912"/>
        <v>#NAME?</v>
      </c>
      <c r="AD2072" s="57">
        <f t="shared" si="906"/>
        <v>0</v>
      </c>
      <c r="AE2072" s="57" t="str">
        <f t="shared" si="907"/>
        <v/>
      </c>
      <c r="AF2072" s="57">
        <f t="shared" si="908"/>
        <v>0</v>
      </c>
      <c r="AG2072" s="59">
        <f t="shared" si="909"/>
        <v>0</v>
      </c>
      <c r="AH2072" s="15"/>
      <c r="AI2072" s="15"/>
      <c r="AJ2072" s="15"/>
      <c r="AK2072" s="15"/>
      <c r="AL2072" s="15"/>
      <c r="AM2072" s="15"/>
      <c r="AN2072" s="15"/>
      <c r="AO2072" s="15"/>
      <c r="AP2072" s="15"/>
      <c r="AQ2072" s="15"/>
      <c r="AR2072" s="15"/>
      <c r="AS2072" s="15"/>
      <c r="AT2072" s="15"/>
      <c r="AU2072" s="15"/>
    </row>
    <row r="2073" ht="24.0" customHeight="1">
      <c r="A2073" s="45">
        <v>3497.0</v>
      </c>
      <c r="B2073" s="57"/>
      <c r="C2073" s="57"/>
      <c r="D2073" s="88" t="str">
        <f t="array" ref="D2073">IFERROR(
  LOOKUP(2, 1/((TRIM(IMS!$E$8:$E$2574)=TRIM(IMS!$E2073))*(IMS!$C$8:$C$2574&lt;IMS!$C2073)),
         IMS!$C$8:$C$2574),
"")</f>
        <v/>
      </c>
      <c r="E2073" s="57"/>
      <c r="F2073" s="57"/>
      <c r="G2073" s="77" t="str">
        <f t="shared" si="901"/>
        <v/>
      </c>
      <c r="H2073" s="78" t="str">
        <f t="shared" si="902"/>
        <v/>
      </c>
      <c r="I2073" s="79"/>
      <c r="J2073" s="80" t="str">
        <f t="shared" si="903"/>
        <v>#NAME?</v>
      </c>
      <c r="K2073" s="58"/>
      <c r="L2073" s="58"/>
      <c r="M2073" s="57"/>
      <c r="N2073" s="57"/>
      <c r="O2073" s="58"/>
      <c r="P2073" s="82"/>
      <c r="Q2073" s="81"/>
      <c r="R2073" s="81"/>
      <c r="S2073" s="57"/>
      <c r="T2073" s="82"/>
      <c r="U2073" s="82"/>
      <c r="V2073" s="57"/>
      <c r="W2073" s="57"/>
      <c r="X2073" s="57" t="str">
        <f t="shared" si="917"/>
        <v/>
      </c>
      <c r="Y2073" s="58" t="str">
        <f t="shared" ref="Y2073:AC2073" si="1913">TRIM(SUBSTITUTE(SUBSTITUTE(OFFSET($Q2073,0,COLUMN()-COLUMN($AL$1)),CHAR(160)," "),_xludf.UNICHAR(8239)," "))</f>
        <v>#NAME?</v>
      </c>
      <c r="Z2073" s="58" t="str">
        <f t="shared" si="1913"/>
        <v>#NAME?</v>
      </c>
      <c r="AA2073" s="58" t="str">
        <f t="shared" si="1913"/>
        <v>#NAME?</v>
      </c>
      <c r="AB2073" s="58" t="str">
        <f t="shared" si="1913"/>
        <v>#NAME?</v>
      </c>
      <c r="AC2073" s="58" t="str">
        <f t="shared" si="1913"/>
        <v>#NAME?</v>
      </c>
      <c r="AD2073" s="57">
        <f t="shared" si="906"/>
        <v>0</v>
      </c>
      <c r="AE2073" s="57" t="str">
        <f t="shared" si="907"/>
        <v/>
      </c>
      <c r="AF2073" s="57">
        <f t="shared" si="908"/>
        <v>0</v>
      </c>
      <c r="AG2073" s="59">
        <f t="shared" si="909"/>
        <v>0</v>
      </c>
      <c r="AH2073" s="15"/>
      <c r="AI2073" s="15"/>
      <c r="AJ2073" s="15"/>
      <c r="AK2073" s="15"/>
      <c r="AL2073" s="15"/>
      <c r="AM2073" s="15"/>
      <c r="AN2073" s="15"/>
      <c r="AO2073" s="15"/>
      <c r="AP2073" s="15"/>
      <c r="AQ2073" s="15"/>
      <c r="AR2073" s="15"/>
      <c r="AS2073" s="15"/>
      <c r="AT2073" s="15"/>
      <c r="AU2073" s="15"/>
    </row>
    <row r="2074" ht="24.0" customHeight="1">
      <c r="A2074" s="45">
        <v>3498.0</v>
      </c>
      <c r="B2074" s="57"/>
      <c r="C2074" s="57"/>
      <c r="D2074" s="88" t="str">
        <f t="array" ref="D2074">IFERROR(
  LOOKUP(2, 1/((TRIM(IMS!$E$8:$E$2574)=TRIM(IMS!$E2074))*(IMS!$C$8:$C$2574&lt;IMS!$C2074)),
         IMS!$C$8:$C$2574),
"")</f>
        <v/>
      </c>
      <c r="E2074" s="57"/>
      <c r="F2074" s="57"/>
      <c r="G2074" s="77" t="str">
        <f t="shared" si="901"/>
        <v/>
      </c>
      <c r="H2074" s="78" t="str">
        <f t="shared" si="902"/>
        <v/>
      </c>
      <c r="I2074" s="79"/>
      <c r="J2074" s="80" t="str">
        <f t="shared" si="903"/>
        <v>#NAME?</v>
      </c>
      <c r="K2074" s="58"/>
      <c r="L2074" s="58"/>
      <c r="M2074" s="57"/>
      <c r="N2074" s="57"/>
      <c r="O2074" s="58"/>
      <c r="P2074" s="82"/>
      <c r="Q2074" s="81"/>
      <c r="R2074" s="81"/>
      <c r="S2074" s="57"/>
      <c r="T2074" s="82"/>
      <c r="U2074" s="82"/>
      <c r="V2074" s="57"/>
      <c r="W2074" s="57"/>
      <c r="X2074" s="57" t="str">
        <f t="shared" si="917"/>
        <v/>
      </c>
      <c r="Y2074" s="58" t="str">
        <f t="shared" ref="Y2074:AC2074" si="1914">TRIM(SUBSTITUTE(SUBSTITUTE(OFFSET($Q2074,0,COLUMN()-COLUMN($AL$1)),CHAR(160)," "),_xludf.UNICHAR(8239)," "))</f>
        <v>#NAME?</v>
      </c>
      <c r="Z2074" s="58" t="str">
        <f t="shared" si="1914"/>
        <v>#NAME?</v>
      </c>
      <c r="AA2074" s="58" t="str">
        <f t="shared" si="1914"/>
        <v>#NAME?</v>
      </c>
      <c r="AB2074" s="58" t="str">
        <f t="shared" si="1914"/>
        <v>#NAME?</v>
      </c>
      <c r="AC2074" s="58" t="str">
        <f t="shared" si="1914"/>
        <v>#NAME?</v>
      </c>
      <c r="AD2074" s="57">
        <f t="shared" si="906"/>
        <v>0</v>
      </c>
      <c r="AE2074" s="57" t="str">
        <f t="shared" si="907"/>
        <v/>
      </c>
      <c r="AF2074" s="57">
        <f t="shared" si="908"/>
        <v>0</v>
      </c>
      <c r="AG2074" s="59">
        <f t="shared" si="909"/>
        <v>0</v>
      </c>
      <c r="AH2074" s="15"/>
      <c r="AI2074" s="15"/>
      <c r="AJ2074" s="15"/>
      <c r="AK2074" s="15"/>
      <c r="AL2074" s="15"/>
      <c r="AM2074" s="15"/>
      <c r="AN2074" s="15"/>
      <c r="AO2074" s="15"/>
      <c r="AP2074" s="15"/>
      <c r="AQ2074" s="15"/>
      <c r="AR2074" s="15"/>
      <c r="AS2074" s="15"/>
      <c r="AT2074" s="15"/>
      <c r="AU2074" s="15"/>
    </row>
    <row r="2075" ht="24.0" customHeight="1">
      <c r="A2075" s="45">
        <v>3499.0</v>
      </c>
      <c r="B2075" s="57"/>
      <c r="C2075" s="57"/>
      <c r="D2075" s="88" t="str">
        <f t="array" ref="D2075">IFERROR(
  LOOKUP(2, 1/((TRIM(IMS!$E$8:$E$2574)=TRIM(IMS!$E2075))*(IMS!$C$8:$C$2574&lt;IMS!$C2075)),
         IMS!$C$8:$C$2574),
"")</f>
        <v/>
      </c>
      <c r="E2075" s="57"/>
      <c r="F2075" s="57"/>
      <c r="G2075" s="77" t="str">
        <f t="shared" si="901"/>
        <v/>
      </c>
      <c r="H2075" s="78" t="str">
        <f t="shared" si="902"/>
        <v/>
      </c>
      <c r="I2075" s="79"/>
      <c r="J2075" s="80" t="str">
        <f t="shared" si="903"/>
        <v>#NAME?</v>
      </c>
      <c r="K2075" s="58"/>
      <c r="L2075" s="58"/>
      <c r="M2075" s="57"/>
      <c r="N2075" s="57"/>
      <c r="O2075" s="58"/>
      <c r="P2075" s="82"/>
      <c r="Q2075" s="81"/>
      <c r="R2075" s="81"/>
      <c r="S2075" s="57"/>
      <c r="T2075" s="82"/>
      <c r="U2075" s="82"/>
      <c r="V2075" s="57"/>
      <c r="W2075" s="57"/>
      <c r="X2075" s="57" t="str">
        <f t="shared" si="917"/>
        <v/>
      </c>
      <c r="Y2075" s="58" t="str">
        <f t="shared" ref="Y2075:AC2075" si="1915">TRIM(SUBSTITUTE(SUBSTITUTE(OFFSET($Q2075,0,COLUMN()-COLUMN($AL$1)),CHAR(160)," "),_xludf.UNICHAR(8239)," "))</f>
        <v>#NAME?</v>
      </c>
      <c r="Z2075" s="58" t="str">
        <f t="shared" si="1915"/>
        <v>#NAME?</v>
      </c>
      <c r="AA2075" s="58" t="str">
        <f t="shared" si="1915"/>
        <v>#NAME?</v>
      </c>
      <c r="AB2075" s="58" t="str">
        <f t="shared" si="1915"/>
        <v>#NAME?</v>
      </c>
      <c r="AC2075" s="58" t="str">
        <f t="shared" si="1915"/>
        <v>#NAME?</v>
      </c>
      <c r="AD2075" s="57">
        <f t="shared" si="906"/>
        <v>0</v>
      </c>
      <c r="AE2075" s="57" t="str">
        <f t="shared" si="907"/>
        <v/>
      </c>
      <c r="AF2075" s="57">
        <f t="shared" si="908"/>
        <v>0</v>
      </c>
      <c r="AG2075" s="59">
        <f t="shared" si="909"/>
        <v>0</v>
      </c>
      <c r="AH2075" s="15"/>
      <c r="AI2075" s="15"/>
      <c r="AJ2075" s="15"/>
      <c r="AK2075" s="15"/>
      <c r="AL2075" s="15"/>
      <c r="AM2075" s="15"/>
      <c r="AN2075" s="15"/>
      <c r="AO2075" s="15"/>
      <c r="AP2075" s="15"/>
      <c r="AQ2075" s="15"/>
      <c r="AR2075" s="15"/>
      <c r="AS2075" s="15"/>
      <c r="AT2075" s="15"/>
      <c r="AU2075" s="15"/>
    </row>
    <row r="2076" ht="24.0" customHeight="1">
      <c r="A2076" s="45">
        <v>3500.0</v>
      </c>
      <c r="B2076" s="57"/>
      <c r="C2076" s="57"/>
      <c r="D2076" s="88" t="str">
        <f t="array" ref="D2076">IFERROR(
  LOOKUP(2, 1/((TRIM(IMS!$E$8:$E$2574)=TRIM(IMS!$E2076))*(IMS!$C$8:$C$2574&lt;IMS!$C2076)),
         IMS!$C$8:$C$2574),
"")</f>
        <v/>
      </c>
      <c r="E2076" s="57"/>
      <c r="F2076" s="57"/>
      <c r="G2076" s="77" t="str">
        <f t="shared" si="901"/>
        <v/>
      </c>
      <c r="H2076" s="78" t="str">
        <f t="shared" si="902"/>
        <v/>
      </c>
      <c r="I2076" s="79"/>
      <c r="J2076" s="80" t="str">
        <f t="shared" si="903"/>
        <v>#NAME?</v>
      </c>
      <c r="K2076" s="58"/>
      <c r="L2076" s="58"/>
      <c r="M2076" s="57"/>
      <c r="N2076" s="57"/>
      <c r="O2076" s="58"/>
      <c r="P2076" s="82"/>
      <c r="Q2076" s="81"/>
      <c r="R2076" s="81"/>
      <c r="S2076" s="57"/>
      <c r="T2076" s="82"/>
      <c r="U2076" s="82"/>
      <c r="V2076" s="57"/>
      <c r="W2076" s="57"/>
      <c r="X2076" s="57" t="str">
        <f t="shared" si="917"/>
        <v/>
      </c>
      <c r="Y2076" s="58" t="str">
        <f t="shared" ref="Y2076:AC2076" si="1916">TRIM(SUBSTITUTE(SUBSTITUTE(OFFSET($Q2076,0,COLUMN()-COLUMN($AL$1)),CHAR(160)," "),_xludf.UNICHAR(8239)," "))</f>
        <v>#NAME?</v>
      </c>
      <c r="Z2076" s="58" t="str">
        <f t="shared" si="1916"/>
        <v>#NAME?</v>
      </c>
      <c r="AA2076" s="58" t="str">
        <f t="shared" si="1916"/>
        <v>#NAME?</v>
      </c>
      <c r="AB2076" s="58" t="str">
        <f t="shared" si="1916"/>
        <v>#NAME?</v>
      </c>
      <c r="AC2076" s="58" t="str">
        <f t="shared" si="1916"/>
        <v>#NAME?</v>
      </c>
      <c r="AD2076" s="57">
        <f t="shared" si="906"/>
        <v>0</v>
      </c>
      <c r="AE2076" s="57" t="str">
        <f t="shared" si="907"/>
        <v/>
      </c>
      <c r="AF2076" s="57">
        <f t="shared" si="908"/>
        <v>0</v>
      </c>
      <c r="AG2076" s="59">
        <f t="shared" si="909"/>
        <v>0</v>
      </c>
      <c r="AH2076" s="15"/>
      <c r="AI2076" s="15"/>
      <c r="AJ2076" s="15"/>
      <c r="AK2076" s="15"/>
      <c r="AL2076" s="15"/>
      <c r="AM2076" s="15"/>
      <c r="AN2076" s="15"/>
      <c r="AO2076" s="15"/>
      <c r="AP2076" s="15"/>
      <c r="AQ2076" s="15"/>
      <c r="AR2076" s="15"/>
      <c r="AS2076" s="15"/>
      <c r="AT2076" s="15"/>
      <c r="AU2076" s="15"/>
    </row>
    <row r="2077" ht="24.0" customHeight="1">
      <c r="A2077" s="45">
        <v>3501.0</v>
      </c>
      <c r="B2077" s="57"/>
      <c r="C2077" s="57"/>
      <c r="D2077" s="88" t="str">
        <f t="array" ref="D2077">IFERROR(
  LOOKUP(2, 1/((TRIM(IMS!$E$8:$E$2574)=TRIM(IMS!$E2077))*(IMS!$C$8:$C$2574&lt;IMS!$C2077)),
         IMS!$C$8:$C$2574),
"")</f>
        <v/>
      </c>
      <c r="E2077" s="57"/>
      <c r="F2077" s="57"/>
      <c r="G2077" s="77" t="str">
        <f t="shared" si="901"/>
        <v/>
      </c>
      <c r="H2077" s="78" t="str">
        <f t="shared" si="902"/>
        <v/>
      </c>
      <c r="I2077" s="79"/>
      <c r="J2077" s="80" t="str">
        <f t="shared" si="903"/>
        <v>#NAME?</v>
      </c>
      <c r="K2077" s="58"/>
      <c r="L2077" s="58"/>
      <c r="M2077" s="57"/>
      <c r="N2077" s="57"/>
      <c r="O2077" s="58"/>
      <c r="P2077" s="82"/>
      <c r="Q2077" s="81"/>
      <c r="R2077" s="81"/>
      <c r="S2077" s="57"/>
      <c r="T2077" s="82"/>
      <c r="U2077" s="82"/>
      <c r="V2077" s="57"/>
      <c r="W2077" s="57"/>
      <c r="X2077" s="57" t="str">
        <f t="shared" si="917"/>
        <v/>
      </c>
      <c r="Y2077" s="58" t="str">
        <f t="shared" ref="Y2077:AC2077" si="1917">TRIM(SUBSTITUTE(SUBSTITUTE(OFFSET($Q2077,0,COLUMN()-COLUMN($AL$1)),CHAR(160)," "),_xludf.UNICHAR(8239)," "))</f>
        <v>#NAME?</v>
      </c>
      <c r="Z2077" s="58" t="str">
        <f t="shared" si="1917"/>
        <v>#NAME?</v>
      </c>
      <c r="AA2077" s="58" t="str">
        <f t="shared" si="1917"/>
        <v>#NAME?</v>
      </c>
      <c r="AB2077" s="58" t="str">
        <f t="shared" si="1917"/>
        <v>#NAME?</v>
      </c>
      <c r="AC2077" s="58" t="str">
        <f t="shared" si="1917"/>
        <v>#NAME?</v>
      </c>
      <c r="AD2077" s="57">
        <f t="shared" si="906"/>
        <v>0</v>
      </c>
      <c r="AE2077" s="57" t="str">
        <f t="shared" si="907"/>
        <v/>
      </c>
      <c r="AF2077" s="57">
        <f t="shared" si="908"/>
        <v>0</v>
      </c>
      <c r="AG2077" s="59">
        <f t="shared" si="909"/>
        <v>0</v>
      </c>
      <c r="AH2077" s="15"/>
      <c r="AI2077" s="15"/>
      <c r="AJ2077" s="15"/>
      <c r="AK2077" s="15"/>
      <c r="AL2077" s="15"/>
      <c r="AM2077" s="15"/>
      <c r="AN2077" s="15"/>
      <c r="AO2077" s="15"/>
      <c r="AP2077" s="15"/>
      <c r="AQ2077" s="15"/>
      <c r="AR2077" s="15"/>
      <c r="AS2077" s="15"/>
      <c r="AT2077" s="15"/>
      <c r="AU2077" s="15"/>
    </row>
    <row r="2078" ht="24.0" customHeight="1">
      <c r="A2078" s="45">
        <v>3502.0</v>
      </c>
      <c r="B2078" s="57"/>
      <c r="C2078" s="57"/>
      <c r="D2078" s="88" t="str">
        <f t="array" ref="D2078">IFERROR(
  LOOKUP(2, 1/((TRIM(IMS!$E$8:$E$2574)=TRIM(IMS!$E2078))*(IMS!$C$8:$C$2574&lt;IMS!$C2078)),
         IMS!$C$8:$C$2574),
"")</f>
        <v/>
      </c>
      <c r="E2078" s="57"/>
      <c r="F2078" s="57"/>
      <c r="G2078" s="77" t="str">
        <f t="shared" si="901"/>
        <v/>
      </c>
      <c r="H2078" s="78" t="str">
        <f t="shared" si="902"/>
        <v/>
      </c>
      <c r="I2078" s="79"/>
      <c r="J2078" s="80" t="str">
        <f t="shared" si="903"/>
        <v>#NAME?</v>
      </c>
      <c r="K2078" s="58"/>
      <c r="L2078" s="58"/>
      <c r="M2078" s="57"/>
      <c r="N2078" s="57"/>
      <c r="O2078" s="58"/>
      <c r="P2078" s="82"/>
      <c r="Q2078" s="81"/>
      <c r="R2078" s="81"/>
      <c r="S2078" s="57"/>
      <c r="T2078" s="82"/>
      <c r="U2078" s="82"/>
      <c r="V2078" s="57"/>
      <c r="W2078" s="57"/>
      <c r="X2078" s="57" t="str">
        <f t="shared" si="917"/>
        <v/>
      </c>
      <c r="Y2078" s="58" t="str">
        <f t="shared" ref="Y2078:AC2078" si="1918">TRIM(SUBSTITUTE(SUBSTITUTE(OFFSET($Q2078,0,COLUMN()-COLUMN($AL$1)),CHAR(160)," "),_xludf.UNICHAR(8239)," "))</f>
        <v>#NAME?</v>
      </c>
      <c r="Z2078" s="58" t="str">
        <f t="shared" si="1918"/>
        <v>#NAME?</v>
      </c>
      <c r="AA2078" s="58" t="str">
        <f t="shared" si="1918"/>
        <v>#NAME?</v>
      </c>
      <c r="AB2078" s="58" t="str">
        <f t="shared" si="1918"/>
        <v>#NAME?</v>
      </c>
      <c r="AC2078" s="58" t="str">
        <f t="shared" si="1918"/>
        <v>#NAME?</v>
      </c>
      <c r="AD2078" s="57">
        <f t="shared" si="906"/>
        <v>0</v>
      </c>
      <c r="AE2078" s="57" t="str">
        <f t="shared" si="907"/>
        <v/>
      </c>
      <c r="AF2078" s="57">
        <f t="shared" si="908"/>
        <v>0</v>
      </c>
      <c r="AG2078" s="59">
        <f t="shared" si="909"/>
        <v>0</v>
      </c>
      <c r="AH2078" s="15"/>
      <c r="AI2078" s="15"/>
      <c r="AJ2078" s="15"/>
      <c r="AK2078" s="15"/>
      <c r="AL2078" s="15"/>
      <c r="AM2078" s="15"/>
      <c r="AN2078" s="15"/>
      <c r="AO2078" s="15"/>
      <c r="AP2078" s="15"/>
      <c r="AQ2078" s="15"/>
      <c r="AR2078" s="15"/>
      <c r="AS2078" s="15"/>
      <c r="AT2078" s="15"/>
      <c r="AU2078" s="15"/>
    </row>
    <row r="2079" ht="24.0" customHeight="1">
      <c r="A2079" s="45">
        <v>3503.0</v>
      </c>
      <c r="B2079" s="57"/>
      <c r="C2079" s="57"/>
      <c r="D2079" s="88" t="str">
        <f t="array" ref="D2079">IFERROR(
  LOOKUP(2, 1/((TRIM(IMS!$E$8:$E$2574)=TRIM(IMS!$E2079))*(IMS!$C$8:$C$2574&lt;IMS!$C2079)),
         IMS!$C$8:$C$2574),
"")</f>
        <v/>
      </c>
      <c r="E2079" s="57"/>
      <c r="F2079" s="57"/>
      <c r="G2079" s="77" t="str">
        <f t="shared" si="901"/>
        <v/>
      </c>
      <c r="H2079" s="78" t="str">
        <f t="shared" si="902"/>
        <v/>
      </c>
      <c r="I2079" s="79"/>
      <c r="J2079" s="80" t="str">
        <f t="shared" si="903"/>
        <v>#NAME?</v>
      </c>
      <c r="K2079" s="58"/>
      <c r="L2079" s="58"/>
      <c r="M2079" s="57"/>
      <c r="N2079" s="57"/>
      <c r="O2079" s="58"/>
      <c r="P2079" s="82"/>
      <c r="Q2079" s="81"/>
      <c r="R2079" s="81"/>
      <c r="S2079" s="57"/>
      <c r="T2079" s="82"/>
      <c r="U2079" s="82"/>
      <c r="V2079" s="57"/>
      <c r="W2079" s="57"/>
      <c r="X2079" s="57" t="str">
        <f t="shared" si="917"/>
        <v/>
      </c>
      <c r="Y2079" s="58" t="str">
        <f t="shared" ref="Y2079:AC2079" si="1919">TRIM(SUBSTITUTE(SUBSTITUTE(OFFSET($Q2079,0,COLUMN()-COLUMN($AL$1)),CHAR(160)," "),_xludf.UNICHAR(8239)," "))</f>
        <v>#NAME?</v>
      </c>
      <c r="Z2079" s="58" t="str">
        <f t="shared" si="1919"/>
        <v>#NAME?</v>
      </c>
      <c r="AA2079" s="58" t="str">
        <f t="shared" si="1919"/>
        <v>#NAME?</v>
      </c>
      <c r="AB2079" s="58" t="str">
        <f t="shared" si="1919"/>
        <v>#NAME?</v>
      </c>
      <c r="AC2079" s="58" t="str">
        <f t="shared" si="1919"/>
        <v>#NAME?</v>
      </c>
      <c r="AD2079" s="57">
        <f t="shared" si="906"/>
        <v>0</v>
      </c>
      <c r="AE2079" s="57" t="str">
        <f t="shared" si="907"/>
        <v/>
      </c>
      <c r="AF2079" s="57">
        <f t="shared" si="908"/>
        <v>0</v>
      </c>
      <c r="AG2079" s="59">
        <f t="shared" si="909"/>
        <v>0</v>
      </c>
      <c r="AH2079" s="15"/>
      <c r="AI2079" s="15"/>
      <c r="AJ2079" s="15"/>
      <c r="AK2079" s="15"/>
      <c r="AL2079" s="15"/>
      <c r="AM2079" s="15"/>
      <c r="AN2079" s="15"/>
      <c r="AO2079" s="15"/>
      <c r="AP2079" s="15"/>
      <c r="AQ2079" s="15"/>
      <c r="AR2079" s="15"/>
      <c r="AS2079" s="15"/>
      <c r="AT2079" s="15"/>
      <c r="AU2079" s="15"/>
    </row>
    <row r="2080" ht="24.0" customHeight="1">
      <c r="A2080" s="45">
        <v>3504.0</v>
      </c>
      <c r="B2080" s="57"/>
      <c r="C2080" s="57"/>
      <c r="D2080" s="88" t="str">
        <f t="array" ref="D2080">IFERROR(
  LOOKUP(2, 1/((TRIM(IMS!$E$8:$E$2574)=TRIM(IMS!$E2080))*(IMS!$C$8:$C$2574&lt;IMS!$C2080)),
         IMS!$C$8:$C$2574),
"")</f>
        <v/>
      </c>
      <c r="E2080" s="57"/>
      <c r="F2080" s="57"/>
      <c r="G2080" s="77" t="str">
        <f t="shared" si="901"/>
        <v/>
      </c>
      <c r="H2080" s="78" t="str">
        <f t="shared" si="902"/>
        <v/>
      </c>
      <c r="I2080" s="79"/>
      <c r="J2080" s="80" t="str">
        <f t="shared" si="903"/>
        <v>#NAME?</v>
      </c>
      <c r="K2080" s="58"/>
      <c r="L2080" s="58"/>
      <c r="M2080" s="57"/>
      <c r="N2080" s="57"/>
      <c r="O2080" s="58"/>
      <c r="P2080" s="82"/>
      <c r="Q2080" s="81"/>
      <c r="R2080" s="81"/>
      <c r="S2080" s="57"/>
      <c r="T2080" s="82"/>
      <c r="U2080" s="82"/>
      <c r="V2080" s="57"/>
      <c r="W2080" s="57"/>
      <c r="X2080" s="57" t="str">
        <f t="shared" si="917"/>
        <v/>
      </c>
      <c r="Y2080" s="58" t="str">
        <f t="shared" ref="Y2080:AC2080" si="1920">TRIM(SUBSTITUTE(SUBSTITUTE(OFFSET($Q2080,0,COLUMN()-COLUMN($AL$1)),CHAR(160)," "),_xludf.UNICHAR(8239)," "))</f>
        <v>#NAME?</v>
      </c>
      <c r="Z2080" s="58" t="str">
        <f t="shared" si="1920"/>
        <v>#NAME?</v>
      </c>
      <c r="AA2080" s="58" t="str">
        <f t="shared" si="1920"/>
        <v>#NAME?</v>
      </c>
      <c r="AB2080" s="58" t="str">
        <f t="shared" si="1920"/>
        <v>#NAME?</v>
      </c>
      <c r="AC2080" s="58" t="str">
        <f t="shared" si="1920"/>
        <v>#NAME?</v>
      </c>
      <c r="AD2080" s="57">
        <f t="shared" si="906"/>
        <v>0</v>
      </c>
      <c r="AE2080" s="57" t="str">
        <f t="shared" si="907"/>
        <v/>
      </c>
      <c r="AF2080" s="57">
        <f t="shared" si="908"/>
        <v>0</v>
      </c>
      <c r="AG2080" s="59">
        <f t="shared" si="909"/>
        <v>0</v>
      </c>
      <c r="AH2080" s="15"/>
      <c r="AI2080" s="15"/>
      <c r="AJ2080" s="15"/>
      <c r="AK2080" s="15"/>
      <c r="AL2080" s="15"/>
      <c r="AM2080" s="15"/>
      <c r="AN2080" s="15"/>
      <c r="AO2080" s="15"/>
      <c r="AP2080" s="15"/>
      <c r="AQ2080" s="15"/>
      <c r="AR2080" s="15"/>
      <c r="AS2080" s="15"/>
      <c r="AT2080" s="15"/>
      <c r="AU2080" s="15"/>
    </row>
    <row r="2081" ht="24.0" customHeight="1">
      <c r="A2081" s="45">
        <v>3505.0</v>
      </c>
      <c r="B2081" s="57"/>
      <c r="C2081" s="57"/>
      <c r="D2081" s="88" t="str">
        <f t="array" ref="D2081">IFERROR(
  LOOKUP(2, 1/((TRIM(IMS!$E$8:$E$2574)=TRIM(IMS!$E2081))*(IMS!$C$8:$C$2574&lt;IMS!$C2081)),
         IMS!$C$8:$C$2574),
"")</f>
        <v/>
      </c>
      <c r="E2081" s="57"/>
      <c r="F2081" s="57"/>
      <c r="G2081" s="77" t="str">
        <f t="shared" si="901"/>
        <v/>
      </c>
      <c r="H2081" s="78" t="str">
        <f t="shared" si="902"/>
        <v/>
      </c>
      <c r="I2081" s="79"/>
      <c r="J2081" s="80" t="str">
        <f t="shared" si="903"/>
        <v>#NAME?</v>
      </c>
      <c r="K2081" s="58"/>
      <c r="L2081" s="58"/>
      <c r="M2081" s="57"/>
      <c r="N2081" s="57"/>
      <c r="O2081" s="58"/>
      <c r="P2081" s="82"/>
      <c r="Q2081" s="81"/>
      <c r="R2081" s="81"/>
      <c r="S2081" s="57"/>
      <c r="T2081" s="82"/>
      <c r="U2081" s="82"/>
      <c r="V2081" s="57"/>
      <c r="W2081" s="57"/>
      <c r="X2081" s="57" t="str">
        <f t="shared" si="917"/>
        <v/>
      </c>
      <c r="Y2081" s="58" t="str">
        <f t="shared" ref="Y2081:AC2081" si="1921">TRIM(SUBSTITUTE(SUBSTITUTE(OFFSET($Q2081,0,COLUMN()-COLUMN($AL$1)),CHAR(160)," "),_xludf.UNICHAR(8239)," "))</f>
        <v>#NAME?</v>
      </c>
      <c r="Z2081" s="58" t="str">
        <f t="shared" si="1921"/>
        <v>#NAME?</v>
      </c>
      <c r="AA2081" s="58" t="str">
        <f t="shared" si="1921"/>
        <v>#NAME?</v>
      </c>
      <c r="AB2081" s="58" t="str">
        <f t="shared" si="1921"/>
        <v>#NAME?</v>
      </c>
      <c r="AC2081" s="58" t="str">
        <f t="shared" si="1921"/>
        <v>#NAME?</v>
      </c>
      <c r="AD2081" s="57">
        <f t="shared" si="906"/>
        <v>0</v>
      </c>
      <c r="AE2081" s="57" t="str">
        <f t="shared" si="907"/>
        <v/>
      </c>
      <c r="AF2081" s="57">
        <f t="shared" si="908"/>
        <v>0</v>
      </c>
      <c r="AG2081" s="59">
        <f t="shared" si="909"/>
        <v>0</v>
      </c>
      <c r="AH2081" s="15"/>
      <c r="AI2081" s="15"/>
      <c r="AJ2081" s="15"/>
      <c r="AK2081" s="15"/>
      <c r="AL2081" s="15"/>
      <c r="AM2081" s="15"/>
      <c r="AN2081" s="15"/>
      <c r="AO2081" s="15"/>
      <c r="AP2081" s="15"/>
      <c r="AQ2081" s="15"/>
      <c r="AR2081" s="15"/>
      <c r="AS2081" s="15"/>
      <c r="AT2081" s="15"/>
      <c r="AU2081" s="15"/>
    </row>
    <row r="2082" ht="24.0" customHeight="1">
      <c r="A2082" s="45">
        <v>3506.0</v>
      </c>
      <c r="B2082" s="57"/>
      <c r="C2082" s="57"/>
      <c r="D2082" s="88" t="str">
        <f t="array" ref="D2082">IFERROR(
  LOOKUP(2, 1/((TRIM(IMS!$E$8:$E$2574)=TRIM(IMS!$E2082))*(IMS!$C$8:$C$2574&lt;IMS!$C2082)),
         IMS!$C$8:$C$2574),
"")</f>
        <v/>
      </c>
      <c r="E2082" s="57"/>
      <c r="F2082" s="57"/>
      <c r="G2082" s="77" t="str">
        <f t="shared" si="901"/>
        <v/>
      </c>
      <c r="H2082" s="78" t="str">
        <f t="shared" si="902"/>
        <v/>
      </c>
      <c r="I2082" s="79"/>
      <c r="J2082" s="80" t="str">
        <f t="shared" si="903"/>
        <v>#NAME?</v>
      </c>
      <c r="K2082" s="58"/>
      <c r="L2082" s="58"/>
      <c r="M2082" s="57"/>
      <c r="N2082" s="57"/>
      <c r="O2082" s="58"/>
      <c r="P2082" s="82"/>
      <c r="Q2082" s="81"/>
      <c r="R2082" s="81"/>
      <c r="S2082" s="57"/>
      <c r="T2082" s="82"/>
      <c r="U2082" s="82"/>
      <c r="V2082" s="57"/>
      <c r="W2082" s="57"/>
      <c r="X2082" s="57" t="str">
        <f t="shared" si="917"/>
        <v/>
      </c>
      <c r="Y2082" s="58" t="str">
        <f t="shared" ref="Y2082:AC2082" si="1922">TRIM(SUBSTITUTE(SUBSTITUTE(OFFSET($Q2082,0,COLUMN()-COLUMN($AL$1)),CHAR(160)," "),_xludf.UNICHAR(8239)," "))</f>
        <v>#NAME?</v>
      </c>
      <c r="Z2082" s="58" t="str">
        <f t="shared" si="1922"/>
        <v>#NAME?</v>
      </c>
      <c r="AA2082" s="58" t="str">
        <f t="shared" si="1922"/>
        <v>#NAME?</v>
      </c>
      <c r="AB2082" s="58" t="str">
        <f t="shared" si="1922"/>
        <v>#NAME?</v>
      </c>
      <c r="AC2082" s="58" t="str">
        <f t="shared" si="1922"/>
        <v>#NAME?</v>
      </c>
      <c r="AD2082" s="57">
        <f t="shared" si="906"/>
        <v>0</v>
      </c>
      <c r="AE2082" s="57" t="str">
        <f t="shared" si="907"/>
        <v/>
      </c>
      <c r="AF2082" s="57">
        <f t="shared" si="908"/>
        <v>0</v>
      </c>
      <c r="AG2082" s="59">
        <f t="shared" si="909"/>
        <v>0</v>
      </c>
      <c r="AH2082" s="15"/>
      <c r="AI2082" s="15"/>
      <c r="AJ2082" s="15"/>
      <c r="AK2082" s="15"/>
      <c r="AL2082" s="15"/>
      <c r="AM2082" s="15"/>
      <c r="AN2082" s="15"/>
      <c r="AO2082" s="15"/>
      <c r="AP2082" s="15"/>
      <c r="AQ2082" s="15"/>
      <c r="AR2082" s="15"/>
      <c r="AS2082" s="15"/>
      <c r="AT2082" s="15"/>
      <c r="AU2082" s="15"/>
    </row>
    <row r="2083" ht="24.0" customHeight="1">
      <c r="A2083" s="45">
        <v>3507.0</v>
      </c>
      <c r="B2083" s="57"/>
      <c r="C2083" s="57"/>
      <c r="D2083" s="88" t="str">
        <f t="array" ref="D2083">IFERROR(
  LOOKUP(2, 1/((TRIM(IMS!$E$8:$E$2574)=TRIM(IMS!$E2083))*(IMS!$C$8:$C$2574&lt;IMS!$C2083)),
         IMS!$C$8:$C$2574),
"")</f>
        <v/>
      </c>
      <c r="E2083" s="57"/>
      <c r="F2083" s="57"/>
      <c r="G2083" s="77" t="str">
        <f t="shared" si="901"/>
        <v/>
      </c>
      <c r="H2083" s="78" t="str">
        <f t="shared" si="902"/>
        <v/>
      </c>
      <c r="I2083" s="79"/>
      <c r="J2083" s="80" t="str">
        <f t="shared" si="903"/>
        <v>#NAME?</v>
      </c>
      <c r="K2083" s="58"/>
      <c r="L2083" s="58"/>
      <c r="M2083" s="57"/>
      <c r="N2083" s="57"/>
      <c r="O2083" s="58"/>
      <c r="P2083" s="82"/>
      <c r="Q2083" s="81"/>
      <c r="R2083" s="81"/>
      <c r="S2083" s="57"/>
      <c r="T2083" s="82"/>
      <c r="U2083" s="82"/>
      <c r="V2083" s="57"/>
      <c r="W2083" s="57"/>
      <c r="X2083" s="57" t="str">
        <f t="shared" si="917"/>
        <v/>
      </c>
      <c r="Y2083" s="58" t="str">
        <f t="shared" ref="Y2083:AC2083" si="1923">TRIM(SUBSTITUTE(SUBSTITUTE(OFFSET($Q2083,0,COLUMN()-COLUMN($AL$1)),CHAR(160)," "),_xludf.UNICHAR(8239)," "))</f>
        <v>#NAME?</v>
      </c>
      <c r="Z2083" s="58" t="str">
        <f t="shared" si="1923"/>
        <v>#NAME?</v>
      </c>
      <c r="AA2083" s="58" t="str">
        <f t="shared" si="1923"/>
        <v>#NAME?</v>
      </c>
      <c r="AB2083" s="58" t="str">
        <f t="shared" si="1923"/>
        <v>#NAME?</v>
      </c>
      <c r="AC2083" s="58" t="str">
        <f t="shared" si="1923"/>
        <v>#NAME?</v>
      </c>
      <c r="AD2083" s="57">
        <f t="shared" si="906"/>
        <v>0</v>
      </c>
      <c r="AE2083" s="57" t="str">
        <f t="shared" si="907"/>
        <v/>
      </c>
      <c r="AF2083" s="57">
        <f t="shared" si="908"/>
        <v>0</v>
      </c>
      <c r="AG2083" s="59">
        <f t="shared" si="909"/>
        <v>0</v>
      </c>
      <c r="AH2083" s="15"/>
      <c r="AI2083" s="15"/>
      <c r="AJ2083" s="15"/>
      <c r="AK2083" s="15"/>
      <c r="AL2083" s="15"/>
      <c r="AM2083" s="15"/>
      <c r="AN2083" s="15"/>
      <c r="AO2083" s="15"/>
      <c r="AP2083" s="15"/>
      <c r="AQ2083" s="15"/>
      <c r="AR2083" s="15"/>
      <c r="AS2083" s="15"/>
      <c r="AT2083" s="15"/>
      <c r="AU2083" s="15"/>
    </row>
    <row r="2084" ht="24.0" customHeight="1">
      <c r="A2084" s="45">
        <v>3508.0</v>
      </c>
      <c r="B2084" s="57"/>
      <c r="C2084" s="57"/>
      <c r="D2084" s="88" t="str">
        <f t="array" ref="D2084">IFERROR(
  LOOKUP(2, 1/((TRIM(IMS!$E$8:$E$2574)=TRIM(IMS!$E2084))*(IMS!$C$8:$C$2574&lt;IMS!$C2084)),
         IMS!$C$8:$C$2574),
"")</f>
        <v/>
      </c>
      <c r="E2084" s="57"/>
      <c r="F2084" s="57"/>
      <c r="G2084" s="77" t="str">
        <f t="shared" si="901"/>
        <v/>
      </c>
      <c r="H2084" s="78" t="str">
        <f t="shared" si="902"/>
        <v/>
      </c>
      <c r="I2084" s="79"/>
      <c r="J2084" s="80" t="str">
        <f t="shared" si="903"/>
        <v>#NAME?</v>
      </c>
      <c r="K2084" s="58"/>
      <c r="L2084" s="58"/>
      <c r="M2084" s="57"/>
      <c r="N2084" s="57"/>
      <c r="O2084" s="58"/>
      <c r="P2084" s="82"/>
      <c r="Q2084" s="81"/>
      <c r="R2084" s="81"/>
      <c r="S2084" s="57"/>
      <c r="T2084" s="82"/>
      <c r="U2084" s="82"/>
      <c r="V2084" s="57"/>
      <c r="W2084" s="57"/>
      <c r="X2084" s="57" t="str">
        <f t="shared" si="917"/>
        <v/>
      </c>
      <c r="Y2084" s="58" t="str">
        <f t="shared" ref="Y2084:AC2084" si="1924">TRIM(SUBSTITUTE(SUBSTITUTE(OFFSET($Q2084,0,COLUMN()-COLUMN($AL$1)),CHAR(160)," "),_xludf.UNICHAR(8239)," "))</f>
        <v>#NAME?</v>
      </c>
      <c r="Z2084" s="58" t="str">
        <f t="shared" si="1924"/>
        <v>#NAME?</v>
      </c>
      <c r="AA2084" s="58" t="str">
        <f t="shared" si="1924"/>
        <v>#NAME?</v>
      </c>
      <c r="AB2084" s="58" t="str">
        <f t="shared" si="1924"/>
        <v>#NAME?</v>
      </c>
      <c r="AC2084" s="58" t="str">
        <f t="shared" si="1924"/>
        <v>#NAME?</v>
      </c>
      <c r="AD2084" s="57">
        <f t="shared" si="906"/>
        <v>0</v>
      </c>
      <c r="AE2084" s="57" t="str">
        <f t="shared" si="907"/>
        <v/>
      </c>
      <c r="AF2084" s="57">
        <f t="shared" si="908"/>
        <v>0</v>
      </c>
      <c r="AG2084" s="59">
        <f t="shared" si="909"/>
        <v>0</v>
      </c>
      <c r="AH2084" s="15"/>
      <c r="AI2084" s="15"/>
      <c r="AJ2084" s="15"/>
      <c r="AK2084" s="15"/>
      <c r="AL2084" s="15"/>
      <c r="AM2084" s="15"/>
      <c r="AN2084" s="15"/>
      <c r="AO2084" s="15"/>
      <c r="AP2084" s="15"/>
      <c r="AQ2084" s="15"/>
      <c r="AR2084" s="15"/>
      <c r="AS2084" s="15"/>
      <c r="AT2084" s="15"/>
      <c r="AU2084" s="15"/>
    </row>
    <row r="2085" ht="24.0" customHeight="1">
      <c r="A2085" s="45">
        <v>3509.0</v>
      </c>
      <c r="B2085" s="57"/>
      <c r="C2085" s="57"/>
      <c r="D2085" s="88" t="str">
        <f t="array" ref="D2085">IFERROR(
  LOOKUP(2, 1/((TRIM(IMS!$E$8:$E$2574)=TRIM(IMS!$E2085))*(IMS!$C$8:$C$2574&lt;IMS!$C2085)),
         IMS!$C$8:$C$2574),
"")</f>
        <v/>
      </c>
      <c r="E2085" s="57"/>
      <c r="F2085" s="57"/>
      <c r="G2085" s="77" t="str">
        <f t="shared" si="901"/>
        <v/>
      </c>
      <c r="H2085" s="78" t="str">
        <f t="shared" si="902"/>
        <v/>
      </c>
      <c r="I2085" s="79"/>
      <c r="J2085" s="80" t="str">
        <f t="shared" si="903"/>
        <v>#NAME?</v>
      </c>
      <c r="K2085" s="58"/>
      <c r="L2085" s="58"/>
      <c r="M2085" s="57"/>
      <c r="N2085" s="57"/>
      <c r="O2085" s="58"/>
      <c r="P2085" s="82"/>
      <c r="Q2085" s="81"/>
      <c r="R2085" s="81"/>
      <c r="S2085" s="57"/>
      <c r="T2085" s="82"/>
      <c r="U2085" s="82"/>
      <c r="V2085" s="57"/>
      <c r="W2085" s="57"/>
      <c r="X2085" s="57" t="str">
        <f t="shared" si="917"/>
        <v/>
      </c>
      <c r="Y2085" s="58" t="str">
        <f t="shared" ref="Y2085:AC2085" si="1925">TRIM(SUBSTITUTE(SUBSTITUTE(OFFSET($Q2085,0,COLUMN()-COLUMN($AL$1)),CHAR(160)," "),_xludf.UNICHAR(8239)," "))</f>
        <v>#NAME?</v>
      </c>
      <c r="Z2085" s="58" t="str">
        <f t="shared" si="1925"/>
        <v>#NAME?</v>
      </c>
      <c r="AA2085" s="58" t="str">
        <f t="shared" si="1925"/>
        <v>#NAME?</v>
      </c>
      <c r="AB2085" s="58" t="str">
        <f t="shared" si="1925"/>
        <v>#NAME?</v>
      </c>
      <c r="AC2085" s="58" t="str">
        <f t="shared" si="1925"/>
        <v>#NAME?</v>
      </c>
      <c r="AD2085" s="57">
        <f t="shared" si="906"/>
        <v>0</v>
      </c>
      <c r="AE2085" s="57" t="str">
        <f t="shared" si="907"/>
        <v/>
      </c>
      <c r="AF2085" s="57">
        <f t="shared" si="908"/>
        <v>0</v>
      </c>
      <c r="AG2085" s="59">
        <f t="shared" si="909"/>
        <v>0</v>
      </c>
      <c r="AH2085" s="15"/>
      <c r="AI2085" s="15"/>
      <c r="AJ2085" s="15"/>
      <c r="AK2085" s="15"/>
      <c r="AL2085" s="15"/>
      <c r="AM2085" s="15"/>
      <c r="AN2085" s="15"/>
      <c r="AO2085" s="15"/>
      <c r="AP2085" s="15"/>
      <c r="AQ2085" s="15"/>
      <c r="AR2085" s="15"/>
      <c r="AS2085" s="15"/>
      <c r="AT2085" s="15"/>
      <c r="AU2085" s="15"/>
    </row>
    <row r="2086" ht="24.0" customHeight="1">
      <c r="A2086" s="45">
        <v>3510.0</v>
      </c>
      <c r="B2086" s="57"/>
      <c r="C2086" s="57"/>
      <c r="D2086" s="88" t="str">
        <f t="array" ref="D2086">IFERROR(
  LOOKUP(2, 1/((TRIM(IMS!$E$8:$E$2574)=TRIM(IMS!$E2086))*(IMS!$C$8:$C$2574&lt;IMS!$C2086)),
         IMS!$C$8:$C$2574),
"")</f>
        <v/>
      </c>
      <c r="E2086" s="57"/>
      <c r="F2086" s="57"/>
      <c r="G2086" s="77" t="str">
        <f t="shared" si="901"/>
        <v/>
      </c>
      <c r="H2086" s="78" t="str">
        <f t="shared" si="902"/>
        <v/>
      </c>
      <c r="I2086" s="79"/>
      <c r="J2086" s="80" t="str">
        <f t="shared" si="903"/>
        <v>#NAME?</v>
      </c>
      <c r="K2086" s="58"/>
      <c r="L2086" s="58"/>
      <c r="M2086" s="57"/>
      <c r="N2086" s="57"/>
      <c r="O2086" s="58"/>
      <c r="P2086" s="82"/>
      <c r="Q2086" s="81"/>
      <c r="R2086" s="81"/>
      <c r="S2086" s="57"/>
      <c r="T2086" s="82"/>
      <c r="U2086" s="82"/>
      <c r="V2086" s="57"/>
      <c r="W2086" s="57"/>
      <c r="X2086" s="57" t="str">
        <f t="shared" si="917"/>
        <v/>
      </c>
      <c r="Y2086" s="58" t="str">
        <f t="shared" ref="Y2086:AC2086" si="1926">TRIM(SUBSTITUTE(SUBSTITUTE(OFFSET($Q2086,0,COLUMN()-COLUMN($AL$1)),CHAR(160)," "),_xludf.UNICHAR(8239)," "))</f>
        <v>#NAME?</v>
      </c>
      <c r="Z2086" s="58" t="str">
        <f t="shared" si="1926"/>
        <v>#NAME?</v>
      </c>
      <c r="AA2086" s="58" t="str">
        <f t="shared" si="1926"/>
        <v>#NAME?</v>
      </c>
      <c r="AB2086" s="58" t="str">
        <f t="shared" si="1926"/>
        <v>#NAME?</v>
      </c>
      <c r="AC2086" s="58" t="str">
        <f t="shared" si="1926"/>
        <v>#NAME?</v>
      </c>
      <c r="AD2086" s="57">
        <f t="shared" si="906"/>
        <v>0</v>
      </c>
      <c r="AE2086" s="57" t="str">
        <f t="shared" si="907"/>
        <v/>
      </c>
      <c r="AF2086" s="57">
        <f t="shared" si="908"/>
        <v>0</v>
      </c>
      <c r="AG2086" s="59">
        <f t="shared" si="909"/>
        <v>0</v>
      </c>
      <c r="AH2086" s="15"/>
      <c r="AI2086" s="15"/>
      <c r="AJ2086" s="15"/>
      <c r="AK2086" s="15"/>
      <c r="AL2086" s="15"/>
      <c r="AM2086" s="15"/>
      <c r="AN2086" s="15"/>
      <c r="AO2086" s="15"/>
      <c r="AP2086" s="15"/>
      <c r="AQ2086" s="15"/>
      <c r="AR2086" s="15"/>
      <c r="AS2086" s="15"/>
      <c r="AT2086" s="15"/>
      <c r="AU2086" s="15"/>
    </row>
    <row r="2087" ht="24.0" customHeight="1">
      <c r="A2087" s="45">
        <v>3511.0</v>
      </c>
      <c r="B2087" s="57"/>
      <c r="C2087" s="57"/>
      <c r="D2087" s="88" t="str">
        <f t="array" ref="D2087">IFERROR(
  LOOKUP(2, 1/((TRIM(IMS!$E$8:$E$2574)=TRIM(IMS!$E2087))*(IMS!$C$8:$C$2574&lt;IMS!$C2087)),
         IMS!$C$8:$C$2574),
"")</f>
        <v/>
      </c>
      <c r="E2087" s="57"/>
      <c r="F2087" s="57"/>
      <c r="G2087" s="77" t="str">
        <f t="shared" si="901"/>
        <v/>
      </c>
      <c r="H2087" s="78" t="str">
        <f t="shared" si="902"/>
        <v/>
      </c>
      <c r="I2087" s="79"/>
      <c r="J2087" s="80" t="str">
        <f t="shared" si="903"/>
        <v>#NAME?</v>
      </c>
      <c r="K2087" s="58"/>
      <c r="L2087" s="58"/>
      <c r="M2087" s="57"/>
      <c r="N2087" s="57"/>
      <c r="O2087" s="58"/>
      <c r="P2087" s="82"/>
      <c r="Q2087" s="81"/>
      <c r="R2087" s="81"/>
      <c r="S2087" s="57"/>
      <c r="T2087" s="82"/>
      <c r="U2087" s="82"/>
      <c r="V2087" s="57"/>
      <c r="W2087" s="57"/>
      <c r="X2087" s="57" t="str">
        <f t="shared" si="917"/>
        <v/>
      </c>
      <c r="Y2087" s="58" t="str">
        <f t="shared" ref="Y2087:AC2087" si="1927">TRIM(SUBSTITUTE(SUBSTITUTE(OFFSET($Q2087,0,COLUMN()-COLUMN($AL$1)),CHAR(160)," "),_xludf.UNICHAR(8239)," "))</f>
        <v>#NAME?</v>
      </c>
      <c r="Z2087" s="58" t="str">
        <f t="shared" si="1927"/>
        <v>#NAME?</v>
      </c>
      <c r="AA2087" s="58" t="str">
        <f t="shared" si="1927"/>
        <v>#NAME?</v>
      </c>
      <c r="AB2087" s="58" t="str">
        <f t="shared" si="1927"/>
        <v>#NAME?</v>
      </c>
      <c r="AC2087" s="58" t="str">
        <f t="shared" si="1927"/>
        <v>#NAME?</v>
      </c>
      <c r="AD2087" s="57">
        <f t="shared" si="906"/>
        <v>0</v>
      </c>
      <c r="AE2087" s="57" t="str">
        <f t="shared" si="907"/>
        <v/>
      </c>
      <c r="AF2087" s="57">
        <f t="shared" si="908"/>
        <v>0</v>
      </c>
      <c r="AG2087" s="59">
        <f t="shared" si="909"/>
        <v>0</v>
      </c>
      <c r="AH2087" s="15"/>
      <c r="AI2087" s="15"/>
      <c r="AJ2087" s="15"/>
      <c r="AK2087" s="15"/>
      <c r="AL2087" s="15"/>
      <c r="AM2087" s="15"/>
      <c r="AN2087" s="15"/>
      <c r="AO2087" s="15"/>
      <c r="AP2087" s="15"/>
      <c r="AQ2087" s="15"/>
      <c r="AR2087" s="15"/>
      <c r="AS2087" s="15"/>
      <c r="AT2087" s="15"/>
      <c r="AU2087" s="15"/>
    </row>
    <row r="2088" ht="24.0" customHeight="1">
      <c r="A2088" s="45">
        <v>3512.0</v>
      </c>
      <c r="B2088" s="57"/>
      <c r="C2088" s="57"/>
      <c r="D2088" s="88" t="str">
        <f t="array" ref="D2088">IFERROR(
  LOOKUP(2, 1/((TRIM(IMS!$E$8:$E$2574)=TRIM(IMS!$E2088))*(IMS!$C$8:$C$2574&lt;IMS!$C2088)),
         IMS!$C$8:$C$2574),
"")</f>
        <v/>
      </c>
      <c r="E2088" s="57"/>
      <c r="F2088" s="57"/>
      <c r="G2088" s="77" t="str">
        <f t="shared" si="901"/>
        <v/>
      </c>
      <c r="H2088" s="78" t="str">
        <f t="shared" si="902"/>
        <v/>
      </c>
      <c r="I2088" s="79"/>
      <c r="J2088" s="80" t="str">
        <f t="shared" si="903"/>
        <v>#NAME?</v>
      </c>
      <c r="K2088" s="58"/>
      <c r="L2088" s="58"/>
      <c r="M2088" s="57"/>
      <c r="N2088" s="57"/>
      <c r="O2088" s="58"/>
      <c r="P2088" s="82"/>
      <c r="Q2088" s="81"/>
      <c r="R2088" s="81"/>
      <c r="S2088" s="57"/>
      <c r="T2088" s="82"/>
      <c r="U2088" s="82"/>
      <c r="V2088" s="57"/>
      <c r="W2088" s="57"/>
      <c r="X2088" s="57" t="str">
        <f t="shared" si="917"/>
        <v/>
      </c>
      <c r="Y2088" s="58" t="str">
        <f t="shared" ref="Y2088:AC2088" si="1928">TRIM(SUBSTITUTE(SUBSTITUTE(OFFSET($Q2088,0,COLUMN()-COLUMN($AL$1)),CHAR(160)," "),_xludf.UNICHAR(8239)," "))</f>
        <v>#NAME?</v>
      </c>
      <c r="Z2088" s="58" t="str">
        <f t="shared" si="1928"/>
        <v>#NAME?</v>
      </c>
      <c r="AA2088" s="58" t="str">
        <f t="shared" si="1928"/>
        <v>#NAME?</v>
      </c>
      <c r="AB2088" s="58" t="str">
        <f t="shared" si="1928"/>
        <v>#NAME?</v>
      </c>
      <c r="AC2088" s="58" t="str">
        <f t="shared" si="1928"/>
        <v>#NAME?</v>
      </c>
      <c r="AD2088" s="57">
        <f t="shared" si="906"/>
        <v>0</v>
      </c>
      <c r="AE2088" s="57" t="str">
        <f t="shared" si="907"/>
        <v/>
      </c>
      <c r="AF2088" s="57">
        <f t="shared" si="908"/>
        <v>0</v>
      </c>
      <c r="AG2088" s="59">
        <f t="shared" si="909"/>
        <v>0</v>
      </c>
      <c r="AH2088" s="15"/>
      <c r="AI2088" s="15"/>
      <c r="AJ2088" s="15"/>
      <c r="AK2088" s="15"/>
      <c r="AL2088" s="15"/>
      <c r="AM2088" s="15"/>
      <c r="AN2088" s="15"/>
      <c r="AO2088" s="15"/>
      <c r="AP2088" s="15"/>
      <c r="AQ2088" s="15"/>
      <c r="AR2088" s="15"/>
      <c r="AS2088" s="15"/>
      <c r="AT2088" s="15"/>
      <c r="AU2088" s="15"/>
    </row>
    <row r="2089" ht="24.0" customHeight="1">
      <c r="A2089" s="45">
        <v>3513.0</v>
      </c>
      <c r="B2089" s="57"/>
      <c r="C2089" s="57"/>
      <c r="D2089" s="88" t="str">
        <f t="array" ref="D2089">IFERROR(
  LOOKUP(2, 1/((TRIM(IMS!$E$8:$E$2574)=TRIM(IMS!$E2089))*(IMS!$C$8:$C$2574&lt;IMS!$C2089)),
         IMS!$C$8:$C$2574),
"")</f>
        <v/>
      </c>
      <c r="E2089" s="57"/>
      <c r="F2089" s="57"/>
      <c r="G2089" s="77" t="str">
        <f t="shared" si="901"/>
        <v/>
      </c>
      <c r="H2089" s="78" t="str">
        <f t="shared" si="902"/>
        <v/>
      </c>
      <c r="I2089" s="79"/>
      <c r="J2089" s="80" t="str">
        <f t="shared" si="903"/>
        <v>#NAME?</v>
      </c>
      <c r="K2089" s="58"/>
      <c r="L2089" s="58"/>
      <c r="M2089" s="57"/>
      <c r="N2089" s="57"/>
      <c r="O2089" s="58"/>
      <c r="P2089" s="82"/>
      <c r="Q2089" s="81"/>
      <c r="R2089" s="81"/>
      <c r="S2089" s="57"/>
      <c r="T2089" s="82"/>
      <c r="U2089" s="82"/>
      <c r="V2089" s="57"/>
      <c r="W2089" s="57"/>
      <c r="X2089" s="57" t="str">
        <f t="shared" si="917"/>
        <v/>
      </c>
      <c r="Y2089" s="58" t="str">
        <f t="shared" ref="Y2089:AC2089" si="1929">TRIM(SUBSTITUTE(SUBSTITUTE(OFFSET($Q2089,0,COLUMN()-COLUMN($AL$1)),CHAR(160)," "),_xludf.UNICHAR(8239)," "))</f>
        <v>#NAME?</v>
      </c>
      <c r="Z2089" s="58" t="str">
        <f t="shared" si="1929"/>
        <v>#NAME?</v>
      </c>
      <c r="AA2089" s="58" t="str">
        <f t="shared" si="1929"/>
        <v>#NAME?</v>
      </c>
      <c r="AB2089" s="58" t="str">
        <f t="shared" si="1929"/>
        <v>#NAME?</v>
      </c>
      <c r="AC2089" s="58" t="str">
        <f t="shared" si="1929"/>
        <v>#NAME?</v>
      </c>
      <c r="AD2089" s="57">
        <f t="shared" si="906"/>
        <v>0</v>
      </c>
      <c r="AE2089" s="57" t="str">
        <f t="shared" si="907"/>
        <v/>
      </c>
      <c r="AF2089" s="57">
        <f t="shared" si="908"/>
        <v>0</v>
      </c>
      <c r="AG2089" s="59">
        <f t="shared" si="909"/>
        <v>0</v>
      </c>
      <c r="AH2089" s="15"/>
      <c r="AI2089" s="15"/>
      <c r="AJ2089" s="15"/>
      <c r="AK2089" s="15"/>
      <c r="AL2089" s="15"/>
      <c r="AM2089" s="15"/>
      <c r="AN2089" s="15"/>
      <c r="AO2089" s="15"/>
      <c r="AP2089" s="15"/>
      <c r="AQ2089" s="15"/>
      <c r="AR2089" s="15"/>
      <c r="AS2089" s="15"/>
      <c r="AT2089" s="15"/>
      <c r="AU2089" s="15"/>
    </row>
    <row r="2090" ht="24.0" customHeight="1">
      <c r="A2090" s="45">
        <v>3514.0</v>
      </c>
      <c r="B2090" s="57"/>
      <c r="C2090" s="57"/>
      <c r="D2090" s="88" t="str">
        <f t="array" ref="D2090">IFERROR(
  LOOKUP(2, 1/((TRIM(IMS!$E$8:$E$2574)=TRIM(IMS!$E2090))*(IMS!$C$8:$C$2574&lt;IMS!$C2090)),
         IMS!$C$8:$C$2574),
"")</f>
        <v/>
      </c>
      <c r="E2090" s="57"/>
      <c r="F2090" s="57"/>
      <c r="G2090" s="77" t="str">
        <f t="shared" si="901"/>
        <v/>
      </c>
      <c r="H2090" s="78" t="str">
        <f t="shared" si="902"/>
        <v/>
      </c>
      <c r="I2090" s="79"/>
      <c r="J2090" s="80" t="str">
        <f t="shared" si="903"/>
        <v>#NAME?</v>
      </c>
      <c r="K2090" s="58"/>
      <c r="L2090" s="58"/>
      <c r="M2090" s="57"/>
      <c r="N2090" s="57"/>
      <c r="O2090" s="58"/>
      <c r="P2090" s="82"/>
      <c r="Q2090" s="81"/>
      <c r="R2090" s="81"/>
      <c r="S2090" s="57"/>
      <c r="T2090" s="82"/>
      <c r="U2090" s="82"/>
      <c r="V2090" s="57"/>
      <c r="W2090" s="57"/>
      <c r="X2090" s="57" t="str">
        <f t="shared" si="917"/>
        <v/>
      </c>
      <c r="Y2090" s="58" t="str">
        <f t="shared" ref="Y2090:AC2090" si="1930">TRIM(SUBSTITUTE(SUBSTITUTE(OFFSET($Q2090,0,COLUMN()-COLUMN($AL$1)),CHAR(160)," "),_xludf.UNICHAR(8239)," "))</f>
        <v>#NAME?</v>
      </c>
      <c r="Z2090" s="58" t="str">
        <f t="shared" si="1930"/>
        <v>#NAME?</v>
      </c>
      <c r="AA2090" s="58" t="str">
        <f t="shared" si="1930"/>
        <v>#NAME?</v>
      </c>
      <c r="AB2090" s="58" t="str">
        <f t="shared" si="1930"/>
        <v>#NAME?</v>
      </c>
      <c r="AC2090" s="58" t="str">
        <f t="shared" si="1930"/>
        <v>#NAME?</v>
      </c>
      <c r="AD2090" s="57">
        <f t="shared" si="906"/>
        <v>0</v>
      </c>
      <c r="AE2090" s="57" t="str">
        <f t="shared" si="907"/>
        <v/>
      </c>
      <c r="AF2090" s="57">
        <f t="shared" si="908"/>
        <v>0</v>
      </c>
      <c r="AG2090" s="59">
        <f t="shared" si="909"/>
        <v>0</v>
      </c>
      <c r="AH2090" s="15"/>
      <c r="AI2090" s="15"/>
      <c r="AJ2090" s="15"/>
      <c r="AK2090" s="15"/>
      <c r="AL2090" s="15"/>
      <c r="AM2090" s="15"/>
      <c r="AN2090" s="15"/>
      <c r="AO2090" s="15"/>
      <c r="AP2090" s="15"/>
      <c r="AQ2090" s="15"/>
      <c r="AR2090" s="15"/>
      <c r="AS2090" s="15"/>
      <c r="AT2090" s="15"/>
      <c r="AU2090" s="15"/>
    </row>
    <row r="2091" ht="24.0" customHeight="1">
      <c r="A2091" s="45">
        <v>3515.0</v>
      </c>
      <c r="B2091" s="57"/>
      <c r="C2091" s="57"/>
      <c r="D2091" s="88" t="str">
        <f t="array" ref="D2091">IFERROR(
  LOOKUP(2, 1/((TRIM(IMS!$E$8:$E$2574)=TRIM(IMS!$E2091))*(IMS!$C$8:$C$2574&lt;IMS!$C2091)),
         IMS!$C$8:$C$2574),
"")</f>
        <v/>
      </c>
      <c r="E2091" s="57"/>
      <c r="F2091" s="57"/>
      <c r="G2091" s="77" t="str">
        <f t="shared" si="901"/>
        <v/>
      </c>
      <c r="H2091" s="78" t="str">
        <f t="shared" si="902"/>
        <v/>
      </c>
      <c r="I2091" s="79"/>
      <c r="J2091" s="80" t="str">
        <f t="shared" si="903"/>
        <v>#NAME?</v>
      </c>
      <c r="K2091" s="58"/>
      <c r="L2091" s="58"/>
      <c r="M2091" s="57"/>
      <c r="N2091" s="57"/>
      <c r="O2091" s="58"/>
      <c r="P2091" s="82"/>
      <c r="Q2091" s="81"/>
      <c r="R2091" s="81"/>
      <c r="S2091" s="57"/>
      <c r="T2091" s="82"/>
      <c r="U2091" s="82"/>
      <c r="V2091" s="57"/>
      <c r="W2091" s="57"/>
      <c r="X2091" s="57" t="str">
        <f t="shared" si="917"/>
        <v/>
      </c>
      <c r="Y2091" s="58" t="str">
        <f t="shared" ref="Y2091:AC2091" si="1931">TRIM(SUBSTITUTE(SUBSTITUTE(OFFSET($Q2091,0,COLUMN()-COLUMN($AL$1)),CHAR(160)," "),_xludf.UNICHAR(8239)," "))</f>
        <v>#NAME?</v>
      </c>
      <c r="Z2091" s="58" t="str">
        <f t="shared" si="1931"/>
        <v>#NAME?</v>
      </c>
      <c r="AA2091" s="58" t="str">
        <f t="shared" si="1931"/>
        <v>#NAME?</v>
      </c>
      <c r="AB2091" s="58" t="str">
        <f t="shared" si="1931"/>
        <v>#NAME?</v>
      </c>
      <c r="AC2091" s="58" t="str">
        <f t="shared" si="1931"/>
        <v>#NAME?</v>
      </c>
      <c r="AD2091" s="57">
        <f t="shared" si="906"/>
        <v>0</v>
      </c>
      <c r="AE2091" s="57" t="str">
        <f t="shared" si="907"/>
        <v/>
      </c>
      <c r="AF2091" s="57">
        <f t="shared" si="908"/>
        <v>0</v>
      </c>
      <c r="AG2091" s="59">
        <f t="shared" si="909"/>
        <v>0</v>
      </c>
      <c r="AH2091" s="15"/>
      <c r="AI2091" s="15"/>
      <c r="AJ2091" s="15"/>
      <c r="AK2091" s="15"/>
      <c r="AL2091" s="15"/>
      <c r="AM2091" s="15"/>
      <c r="AN2091" s="15"/>
      <c r="AO2091" s="15"/>
      <c r="AP2091" s="15"/>
      <c r="AQ2091" s="15"/>
      <c r="AR2091" s="15"/>
      <c r="AS2091" s="15"/>
      <c r="AT2091" s="15"/>
      <c r="AU2091" s="15"/>
    </row>
    <row r="2092" ht="24.0" customHeight="1">
      <c r="A2092" s="45">
        <v>3516.0</v>
      </c>
      <c r="B2092" s="57"/>
      <c r="C2092" s="57"/>
      <c r="D2092" s="88" t="str">
        <f t="array" ref="D2092">IFERROR(
  LOOKUP(2, 1/((TRIM(IMS!$E$8:$E$2574)=TRIM(IMS!$E2092))*(IMS!$C$8:$C$2574&lt;IMS!$C2092)),
         IMS!$C$8:$C$2574),
"")</f>
        <v/>
      </c>
      <c r="E2092" s="57"/>
      <c r="F2092" s="57"/>
      <c r="G2092" s="77" t="str">
        <f t="shared" si="901"/>
        <v/>
      </c>
      <c r="H2092" s="78" t="str">
        <f t="shared" si="902"/>
        <v/>
      </c>
      <c r="I2092" s="79"/>
      <c r="J2092" s="80" t="str">
        <f t="shared" si="903"/>
        <v>#NAME?</v>
      </c>
      <c r="K2092" s="58"/>
      <c r="L2092" s="58"/>
      <c r="M2092" s="57"/>
      <c r="N2092" s="57"/>
      <c r="O2092" s="58"/>
      <c r="P2092" s="82"/>
      <c r="Q2092" s="81"/>
      <c r="R2092" s="81"/>
      <c r="S2092" s="57"/>
      <c r="T2092" s="82"/>
      <c r="U2092" s="82"/>
      <c r="V2092" s="57"/>
      <c r="W2092" s="57"/>
      <c r="X2092" s="57" t="str">
        <f t="shared" si="917"/>
        <v/>
      </c>
      <c r="Y2092" s="58" t="str">
        <f t="shared" ref="Y2092:AC2092" si="1932">TRIM(SUBSTITUTE(SUBSTITUTE(OFFSET($Q2092,0,COLUMN()-COLUMN($AL$1)),CHAR(160)," "),_xludf.UNICHAR(8239)," "))</f>
        <v>#NAME?</v>
      </c>
      <c r="Z2092" s="58" t="str">
        <f t="shared" si="1932"/>
        <v>#NAME?</v>
      </c>
      <c r="AA2092" s="58" t="str">
        <f t="shared" si="1932"/>
        <v>#NAME?</v>
      </c>
      <c r="AB2092" s="58" t="str">
        <f t="shared" si="1932"/>
        <v>#NAME?</v>
      </c>
      <c r="AC2092" s="58" t="str">
        <f t="shared" si="1932"/>
        <v>#NAME?</v>
      </c>
      <c r="AD2092" s="57">
        <f t="shared" si="906"/>
        <v>0</v>
      </c>
      <c r="AE2092" s="57" t="str">
        <f t="shared" si="907"/>
        <v/>
      </c>
      <c r="AF2092" s="57">
        <f t="shared" si="908"/>
        <v>0</v>
      </c>
      <c r="AG2092" s="59">
        <f t="shared" si="909"/>
        <v>0</v>
      </c>
      <c r="AH2092" s="15"/>
      <c r="AI2092" s="15"/>
      <c r="AJ2092" s="15"/>
      <c r="AK2092" s="15"/>
      <c r="AL2092" s="15"/>
      <c r="AM2092" s="15"/>
      <c r="AN2092" s="15"/>
      <c r="AO2092" s="15"/>
      <c r="AP2092" s="15"/>
      <c r="AQ2092" s="15"/>
      <c r="AR2092" s="15"/>
      <c r="AS2092" s="15"/>
      <c r="AT2092" s="15"/>
      <c r="AU2092" s="15"/>
    </row>
    <row r="2093" ht="24.0" customHeight="1">
      <c r="A2093" s="45">
        <v>3517.0</v>
      </c>
      <c r="B2093" s="57"/>
      <c r="C2093" s="57"/>
      <c r="D2093" s="88" t="str">
        <f t="array" ref="D2093">IFERROR(
  LOOKUP(2, 1/((TRIM(IMS!$E$8:$E$2574)=TRIM(IMS!$E2093))*(IMS!$C$8:$C$2574&lt;IMS!$C2093)),
         IMS!$C$8:$C$2574),
"")</f>
        <v/>
      </c>
      <c r="E2093" s="57"/>
      <c r="F2093" s="57"/>
      <c r="G2093" s="77" t="str">
        <f t="shared" si="901"/>
        <v/>
      </c>
      <c r="H2093" s="78" t="str">
        <f t="shared" si="902"/>
        <v/>
      </c>
      <c r="I2093" s="79"/>
      <c r="J2093" s="80" t="str">
        <f t="shared" si="903"/>
        <v>#NAME?</v>
      </c>
      <c r="K2093" s="58"/>
      <c r="L2093" s="58"/>
      <c r="M2093" s="57"/>
      <c r="N2093" s="57"/>
      <c r="O2093" s="58"/>
      <c r="P2093" s="82"/>
      <c r="Q2093" s="81"/>
      <c r="R2093" s="81"/>
      <c r="S2093" s="57"/>
      <c r="T2093" s="82"/>
      <c r="U2093" s="82"/>
      <c r="V2093" s="57"/>
      <c r="W2093" s="57"/>
      <c r="X2093" s="57" t="str">
        <f t="shared" si="917"/>
        <v/>
      </c>
      <c r="Y2093" s="58" t="str">
        <f t="shared" ref="Y2093:AC2093" si="1933">TRIM(SUBSTITUTE(SUBSTITUTE(OFFSET($Q2093,0,COLUMN()-COLUMN($AL$1)),CHAR(160)," "),_xludf.UNICHAR(8239)," "))</f>
        <v>#NAME?</v>
      </c>
      <c r="Z2093" s="58" t="str">
        <f t="shared" si="1933"/>
        <v>#NAME?</v>
      </c>
      <c r="AA2093" s="58" t="str">
        <f t="shared" si="1933"/>
        <v>#NAME?</v>
      </c>
      <c r="AB2093" s="58" t="str">
        <f t="shared" si="1933"/>
        <v>#NAME?</v>
      </c>
      <c r="AC2093" s="58" t="str">
        <f t="shared" si="1933"/>
        <v>#NAME?</v>
      </c>
      <c r="AD2093" s="57">
        <f t="shared" si="906"/>
        <v>0</v>
      </c>
      <c r="AE2093" s="57" t="str">
        <f t="shared" si="907"/>
        <v/>
      </c>
      <c r="AF2093" s="57">
        <f t="shared" si="908"/>
        <v>0</v>
      </c>
      <c r="AG2093" s="59">
        <f t="shared" si="909"/>
        <v>0</v>
      </c>
      <c r="AH2093" s="15"/>
      <c r="AI2093" s="15"/>
      <c r="AJ2093" s="15"/>
      <c r="AK2093" s="15"/>
      <c r="AL2093" s="15"/>
      <c r="AM2093" s="15"/>
      <c r="AN2093" s="15"/>
      <c r="AO2093" s="15"/>
      <c r="AP2093" s="15"/>
      <c r="AQ2093" s="15"/>
      <c r="AR2093" s="15"/>
      <c r="AS2093" s="15"/>
      <c r="AT2093" s="15"/>
      <c r="AU2093" s="15"/>
    </row>
    <row r="2094" ht="24.0" customHeight="1">
      <c r="A2094" s="45">
        <v>3518.0</v>
      </c>
      <c r="B2094" s="57"/>
      <c r="C2094" s="57"/>
      <c r="D2094" s="88" t="str">
        <f t="array" ref="D2094">IFERROR(
  LOOKUP(2, 1/((TRIM(IMS!$E$8:$E$2574)=TRIM(IMS!$E2094))*(IMS!$C$8:$C$2574&lt;IMS!$C2094)),
         IMS!$C$8:$C$2574),
"")</f>
        <v/>
      </c>
      <c r="E2094" s="57"/>
      <c r="F2094" s="57"/>
      <c r="G2094" s="77" t="str">
        <f t="shared" si="901"/>
        <v/>
      </c>
      <c r="H2094" s="78" t="str">
        <f t="shared" si="902"/>
        <v/>
      </c>
      <c r="I2094" s="79"/>
      <c r="J2094" s="80" t="str">
        <f t="shared" si="903"/>
        <v>#NAME?</v>
      </c>
      <c r="K2094" s="58"/>
      <c r="L2094" s="58"/>
      <c r="M2094" s="57"/>
      <c r="N2094" s="57"/>
      <c r="O2094" s="58"/>
      <c r="P2094" s="82"/>
      <c r="Q2094" s="81"/>
      <c r="R2094" s="81"/>
      <c r="S2094" s="57"/>
      <c r="T2094" s="82"/>
      <c r="U2094" s="82"/>
      <c r="V2094" s="57"/>
      <c r="W2094" s="57"/>
      <c r="X2094" s="57" t="str">
        <f t="shared" si="917"/>
        <v/>
      </c>
      <c r="Y2094" s="58" t="str">
        <f t="shared" ref="Y2094:AC2094" si="1934">TRIM(SUBSTITUTE(SUBSTITUTE(OFFSET($Q2094,0,COLUMN()-COLUMN($AL$1)),CHAR(160)," "),_xludf.UNICHAR(8239)," "))</f>
        <v>#NAME?</v>
      </c>
      <c r="Z2094" s="58" t="str">
        <f t="shared" si="1934"/>
        <v>#NAME?</v>
      </c>
      <c r="AA2094" s="58" t="str">
        <f t="shared" si="1934"/>
        <v>#NAME?</v>
      </c>
      <c r="AB2094" s="58" t="str">
        <f t="shared" si="1934"/>
        <v>#NAME?</v>
      </c>
      <c r="AC2094" s="58" t="str">
        <f t="shared" si="1934"/>
        <v>#NAME?</v>
      </c>
      <c r="AD2094" s="57">
        <f t="shared" si="906"/>
        <v>0</v>
      </c>
      <c r="AE2094" s="57" t="str">
        <f t="shared" si="907"/>
        <v/>
      </c>
      <c r="AF2094" s="57">
        <f t="shared" si="908"/>
        <v>0</v>
      </c>
      <c r="AG2094" s="59">
        <f t="shared" si="909"/>
        <v>0</v>
      </c>
      <c r="AH2094" s="15"/>
      <c r="AI2094" s="15"/>
      <c r="AJ2094" s="15"/>
      <c r="AK2094" s="15"/>
      <c r="AL2094" s="15"/>
      <c r="AM2094" s="15"/>
      <c r="AN2094" s="15"/>
      <c r="AO2094" s="15"/>
      <c r="AP2094" s="15"/>
      <c r="AQ2094" s="15"/>
      <c r="AR2094" s="15"/>
      <c r="AS2094" s="15"/>
      <c r="AT2094" s="15"/>
      <c r="AU2094" s="15"/>
    </row>
    <row r="2095" ht="24.0" customHeight="1">
      <c r="A2095" s="45">
        <v>3519.0</v>
      </c>
      <c r="B2095" s="57"/>
      <c r="C2095" s="57"/>
      <c r="D2095" s="88" t="str">
        <f t="array" ref="D2095">IFERROR(
  LOOKUP(2, 1/((TRIM(IMS!$E$8:$E$2574)=TRIM(IMS!$E2095))*(IMS!$C$8:$C$2574&lt;IMS!$C2095)),
         IMS!$C$8:$C$2574),
"")</f>
        <v/>
      </c>
      <c r="E2095" s="57"/>
      <c r="F2095" s="57"/>
      <c r="G2095" s="77" t="str">
        <f t="shared" si="901"/>
        <v/>
      </c>
      <c r="H2095" s="78" t="str">
        <f t="shared" si="902"/>
        <v/>
      </c>
      <c r="I2095" s="79"/>
      <c r="J2095" s="80" t="str">
        <f t="shared" si="903"/>
        <v>#NAME?</v>
      </c>
      <c r="K2095" s="58"/>
      <c r="L2095" s="58"/>
      <c r="M2095" s="57"/>
      <c r="N2095" s="57"/>
      <c r="O2095" s="58"/>
      <c r="P2095" s="82"/>
      <c r="Q2095" s="81"/>
      <c r="R2095" s="81"/>
      <c r="S2095" s="57"/>
      <c r="T2095" s="82"/>
      <c r="U2095" s="82"/>
      <c r="V2095" s="57"/>
      <c r="W2095" s="57"/>
      <c r="X2095" s="57" t="str">
        <f t="shared" si="917"/>
        <v/>
      </c>
      <c r="Y2095" s="58" t="str">
        <f t="shared" ref="Y2095:AC2095" si="1935">TRIM(SUBSTITUTE(SUBSTITUTE(OFFSET($Q2095,0,COLUMN()-COLUMN($AL$1)),CHAR(160)," "),_xludf.UNICHAR(8239)," "))</f>
        <v>#NAME?</v>
      </c>
      <c r="Z2095" s="58" t="str">
        <f t="shared" si="1935"/>
        <v>#NAME?</v>
      </c>
      <c r="AA2095" s="58" t="str">
        <f t="shared" si="1935"/>
        <v>#NAME?</v>
      </c>
      <c r="AB2095" s="58" t="str">
        <f t="shared" si="1935"/>
        <v>#NAME?</v>
      </c>
      <c r="AC2095" s="58" t="str">
        <f t="shared" si="1935"/>
        <v>#NAME?</v>
      </c>
      <c r="AD2095" s="57">
        <f t="shared" si="906"/>
        <v>0</v>
      </c>
      <c r="AE2095" s="57" t="str">
        <f t="shared" si="907"/>
        <v/>
      </c>
      <c r="AF2095" s="57">
        <f t="shared" si="908"/>
        <v>0</v>
      </c>
      <c r="AG2095" s="59">
        <f t="shared" si="909"/>
        <v>0</v>
      </c>
      <c r="AH2095" s="15"/>
      <c r="AI2095" s="15"/>
      <c r="AJ2095" s="15"/>
      <c r="AK2095" s="15"/>
      <c r="AL2095" s="15"/>
      <c r="AM2095" s="15"/>
      <c r="AN2095" s="15"/>
      <c r="AO2095" s="15"/>
      <c r="AP2095" s="15"/>
      <c r="AQ2095" s="15"/>
      <c r="AR2095" s="15"/>
      <c r="AS2095" s="15"/>
      <c r="AT2095" s="15"/>
      <c r="AU2095" s="15"/>
    </row>
    <row r="2096" ht="24.0" customHeight="1">
      <c r="A2096" s="45">
        <v>3520.0</v>
      </c>
      <c r="B2096" s="57"/>
      <c r="C2096" s="57"/>
      <c r="D2096" s="88" t="str">
        <f t="array" ref="D2096">IFERROR(
  LOOKUP(2, 1/((TRIM(IMS!$E$8:$E$2574)=TRIM(IMS!$E2096))*(IMS!$C$8:$C$2574&lt;IMS!$C2096)),
         IMS!$C$8:$C$2574),
"")</f>
        <v/>
      </c>
      <c r="E2096" s="57"/>
      <c r="F2096" s="57"/>
      <c r="G2096" s="77" t="str">
        <f t="shared" si="901"/>
        <v/>
      </c>
      <c r="H2096" s="78" t="str">
        <f t="shared" si="902"/>
        <v/>
      </c>
      <c r="I2096" s="79"/>
      <c r="J2096" s="80" t="str">
        <f t="shared" si="903"/>
        <v>#NAME?</v>
      </c>
      <c r="K2096" s="58"/>
      <c r="L2096" s="58"/>
      <c r="M2096" s="57"/>
      <c r="N2096" s="57"/>
      <c r="O2096" s="58"/>
      <c r="P2096" s="82"/>
      <c r="Q2096" s="81"/>
      <c r="R2096" s="81"/>
      <c r="S2096" s="57"/>
      <c r="T2096" s="82"/>
      <c r="U2096" s="82"/>
      <c r="V2096" s="57"/>
      <c r="W2096" s="57"/>
      <c r="X2096" s="57" t="str">
        <f t="shared" si="917"/>
        <v/>
      </c>
      <c r="Y2096" s="58" t="str">
        <f t="shared" ref="Y2096:AC2096" si="1936">TRIM(SUBSTITUTE(SUBSTITUTE(OFFSET($Q2096,0,COLUMN()-COLUMN($AL$1)),CHAR(160)," "),_xludf.UNICHAR(8239)," "))</f>
        <v>#NAME?</v>
      </c>
      <c r="Z2096" s="58" t="str">
        <f t="shared" si="1936"/>
        <v>#NAME?</v>
      </c>
      <c r="AA2096" s="58" t="str">
        <f t="shared" si="1936"/>
        <v>#NAME?</v>
      </c>
      <c r="AB2096" s="58" t="str">
        <f t="shared" si="1936"/>
        <v>#NAME?</v>
      </c>
      <c r="AC2096" s="58" t="str">
        <f t="shared" si="1936"/>
        <v>#NAME?</v>
      </c>
      <c r="AD2096" s="57">
        <f t="shared" si="906"/>
        <v>0</v>
      </c>
      <c r="AE2096" s="57" t="str">
        <f t="shared" si="907"/>
        <v/>
      </c>
      <c r="AF2096" s="57">
        <f t="shared" si="908"/>
        <v>0</v>
      </c>
      <c r="AG2096" s="59">
        <f t="shared" si="909"/>
        <v>0</v>
      </c>
      <c r="AH2096" s="15"/>
      <c r="AI2096" s="15"/>
      <c r="AJ2096" s="15"/>
      <c r="AK2096" s="15"/>
      <c r="AL2096" s="15"/>
      <c r="AM2096" s="15"/>
      <c r="AN2096" s="15"/>
      <c r="AO2096" s="15"/>
      <c r="AP2096" s="15"/>
      <c r="AQ2096" s="15"/>
      <c r="AR2096" s="15"/>
      <c r="AS2096" s="15"/>
      <c r="AT2096" s="15"/>
      <c r="AU2096" s="15"/>
    </row>
    <row r="2097" ht="24.0" customHeight="1">
      <c r="A2097" s="45">
        <v>3521.0</v>
      </c>
      <c r="B2097" s="57"/>
      <c r="C2097" s="57"/>
      <c r="D2097" s="88" t="str">
        <f t="array" ref="D2097">IFERROR(
  LOOKUP(2, 1/((TRIM(IMS!$E$8:$E$2574)=TRIM(IMS!$E2097))*(IMS!$C$8:$C$2574&lt;IMS!$C2097)),
         IMS!$C$8:$C$2574),
"")</f>
        <v/>
      </c>
      <c r="E2097" s="57"/>
      <c r="F2097" s="57"/>
      <c r="G2097" s="77" t="str">
        <f t="shared" si="901"/>
        <v/>
      </c>
      <c r="H2097" s="78" t="str">
        <f t="shared" si="902"/>
        <v/>
      </c>
      <c r="I2097" s="79"/>
      <c r="J2097" s="80" t="str">
        <f t="shared" si="903"/>
        <v>#NAME?</v>
      </c>
      <c r="K2097" s="58"/>
      <c r="L2097" s="58"/>
      <c r="M2097" s="57"/>
      <c r="N2097" s="57"/>
      <c r="O2097" s="58"/>
      <c r="P2097" s="82"/>
      <c r="Q2097" s="81"/>
      <c r="R2097" s="81"/>
      <c r="S2097" s="57"/>
      <c r="T2097" s="82"/>
      <c r="U2097" s="82"/>
      <c r="V2097" s="57"/>
      <c r="W2097" s="57"/>
      <c r="X2097" s="57" t="str">
        <f t="shared" si="917"/>
        <v/>
      </c>
      <c r="Y2097" s="58" t="str">
        <f t="shared" ref="Y2097:AC2097" si="1937">TRIM(SUBSTITUTE(SUBSTITUTE(OFFSET($Q2097,0,COLUMN()-COLUMN($AL$1)),CHAR(160)," "),_xludf.UNICHAR(8239)," "))</f>
        <v>#NAME?</v>
      </c>
      <c r="Z2097" s="58" t="str">
        <f t="shared" si="1937"/>
        <v>#NAME?</v>
      </c>
      <c r="AA2097" s="58" t="str">
        <f t="shared" si="1937"/>
        <v>#NAME?</v>
      </c>
      <c r="AB2097" s="58" t="str">
        <f t="shared" si="1937"/>
        <v>#NAME?</v>
      </c>
      <c r="AC2097" s="58" t="str">
        <f t="shared" si="1937"/>
        <v>#NAME?</v>
      </c>
      <c r="AD2097" s="57">
        <f t="shared" si="906"/>
        <v>0</v>
      </c>
      <c r="AE2097" s="57" t="str">
        <f t="shared" si="907"/>
        <v/>
      </c>
      <c r="AF2097" s="57">
        <f t="shared" si="908"/>
        <v>0</v>
      </c>
      <c r="AG2097" s="59">
        <f t="shared" si="909"/>
        <v>0</v>
      </c>
      <c r="AH2097" s="15"/>
      <c r="AI2097" s="15"/>
      <c r="AJ2097" s="15"/>
      <c r="AK2097" s="15"/>
      <c r="AL2097" s="15"/>
      <c r="AM2097" s="15"/>
      <c r="AN2097" s="15"/>
      <c r="AO2097" s="15"/>
      <c r="AP2097" s="15"/>
      <c r="AQ2097" s="15"/>
      <c r="AR2097" s="15"/>
      <c r="AS2097" s="15"/>
      <c r="AT2097" s="15"/>
      <c r="AU2097" s="15"/>
    </row>
    <row r="2098" ht="24.0" customHeight="1">
      <c r="A2098" s="45">
        <v>3522.0</v>
      </c>
      <c r="B2098" s="57"/>
      <c r="C2098" s="57"/>
      <c r="D2098" s="88" t="str">
        <f t="array" ref="D2098">IFERROR(
  LOOKUP(2, 1/((TRIM(IMS!$E$8:$E$2574)=TRIM(IMS!$E2098))*(IMS!$C$8:$C$2574&lt;IMS!$C2098)),
         IMS!$C$8:$C$2574),
"")</f>
        <v/>
      </c>
      <c r="E2098" s="57"/>
      <c r="F2098" s="57"/>
      <c r="G2098" s="77" t="str">
        <f t="shared" si="901"/>
        <v/>
      </c>
      <c r="H2098" s="78" t="str">
        <f t="shared" si="902"/>
        <v/>
      </c>
      <c r="I2098" s="79"/>
      <c r="J2098" s="80" t="str">
        <f t="shared" si="903"/>
        <v>#NAME?</v>
      </c>
      <c r="K2098" s="58"/>
      <c r="L2098" s="58"/>
      <c r="M2098" s="57"/>
      <c r="N2098" s="57"/>
      <c r="O2098" s="58"/>
      <c r="P2098" s="82"/>
      <c r="Q2098" s="81"/>
      <c r="R2098" s="81"/>
      <c r="S2098" s="57"/>
      <c r="T2098" s="82"/>
      <c r="U2098" s="82"/>
      <c r="V2098" s="57"/>
      <c r="W2098" s="57"/>
      <c r="X2098" s="57" t="str">
        <f t="shared" si="917"/>
        <v/>
      </c>
      <c r="Y2098" s="58" t="str">
        <f t="shared" ref="Y2098:AC2098" si="1938">TRIM(SUBSTITUTE(SUBSTITUTE(OFFSET($Q2098,0,COLUMN()-COLUMN($AL$1)),CHAR(160)," "),_xludf.UNICHAR(8239)," "))</f>
        <v>#NAME?</v>
      </c>
      <c r="Z2098" s="58" t="str">
        <f t="shared" si="1938"/>
        <v>#NAME?</v>
      </c>
      <c r="AA2098" s="58" t="str">
        <f t="shared" si="1938"/>
        <v>#NAME?</v>
      </c>
      <c r="AB2098" s="58" t="str">
        <f t="shared" si="1938"/>
        <v>#NAME?</v>
      </c>
      <c r="AC2098" s="58" t="str">
        <f t="shared" si="1938"/>
        <v>#NAME?</v>
      </c>
      <c r="AD2098" s="57">
        <f t="shared" si="906"/>
        <v>0</v>
      </c>
      <c r="AE2098" s="57" t="str">
        <f t="shared" si="907"/>
        <v/>
      </c>
      <c r="AF2098" s="57">
        <f t="shared" si="908"/>
        <v>0</v>
      </c>
      <c r="AG2098" s="59">
        <f t="shared" si="909"/>
        <v>0</v>
      </c>
      <c r="AH2098" s="15"/>
      <c r="AI2098" s="15"/>
      <c r="AJ2098" s="15"/>
      <c r="AK2098" s="15"/>
      <c r="AL2098" s="15"/>
      <c r="AM2098" s="15"/>
      <c r="AN2098" s="15"/>
      <c r="AO2098" s="15"/>
      <c r="AP2098" s="15"/>
      <c r="AQ2098" s="15"/>
      <c r="AR2098" s="15"/>
      <c r="AS2098" s="15"/>
      <c r="AT2098" s="15"/>
      <c r="AU2098" s="15"/>
    </row>
    <row r="2099" ht="24.0" customHeight="1">
      <c r="A2099" s="45">
        <v>3523.0</v>
      </c>
      <c r="B2099" s="57"/>
      <c r="C2099" s="57"/>
      <c r="D2099" s="88" t="str">
        <f t="array" ref="D2099">IFERROR(
  LOOKUP(2, 1/((TRIM(IMS!$E$8:$E$2574)=TRIM(IMS!$E2099))*(IMS!$C$8:$C$2574&lt;IMS!$C2099)),
         IMS!$C$8:$C$2574),
"")</f>
        <v/>
      </c>
      <c r="E2099" s="57"/>
      <c r="F2099" s="57"/>
      <c r="G2099" s="77" t="str">
        <f t="shared" si="901"/>
        <v/>
      </c>
      <c r="H2099" s="78" t="str">
        <f t="shared" si="902"/>
        <v/>
      </c>
      <c r="I2099" s="79"/>
      <c r="J2099" s="80" t="str">
        <f t="shared" si="903"/>
        <v>#NAME?</v>
      </c>
      <c r="K2099" s="58"/>
      <c r="L2099" s="58"/>
      <c r="M2099" s="57"/>
      <c r="N2099" s="57"/>
      <c r="O2099" s="58"/>
      <c r="P2099" s="82"/>
      <c r="Q2099" s="81"/>
      <c r="R2099" s="81"/>
      <c r="S2099" s="57"/>
      <c r="T2099" s="82"/>
      <c r="U2099" s="82"/>
      <c r="V2099" s="57"/>
      <c r="W2099" s="57"/>
      <c r="X2099" s="57" t="str">
        <f t="shared" si="917"/>
        <v/>
      </c>
      <c r="Y2099" s="58" t="str">
        <f t="shared" ref="Y2099:AC2099" si="1939">TRIM(SUBSTITUTE(SUBSTITUTE(OFFSET($Q2099,0,COLUMN()-COLUMN($AL$1)),CHAR(160)," "),_xludf.UNICHAR(8239)," "))</f>
        <v>#NAME?</v>
      </c>
      <c r="Z2099" s="58" t="str">
        <f t="shared" si="1939"/>
        <v>#NAME?</v>
      </c>
      <c r="AA2099" s="58" t="str">
        <f t="shared" si="1939"/>
        <v>#NAME?</v>
      </c>
      <c r="AB2099" s="58" t="str">
        <f t="shared" si="1939"/>
        <v>#NAME?</v>
      </c>
      <c r="AC2099" s="58" t="str">
        <f t="shared" si="1939"/>
        <v>#NAME?</v>
      </c>
      <c r="AD2099" s="57">
        <f t="shared" si="906"/>
        <v>0</v>
      </c>
      <c r="AE2099" s="57" t="str">
        <f t="shared" si="907"/>
        <v/>
      </c>
      <c r="AF2099" s="57">
        <f t="shared" si="908"/>
        <v>0</v>
      </c>
      <c r="AG2099" s="59">
        <f t="shared" si="909"/>
        <v>0</v>
      </c>
      <c r="AH2099" s="15"/>
      <c r="AI2099" s="15"/>
      <c r="AJ2099" s="15"/>
      <c r="AK2099" s="15"/>
      <c r="AL2099" s="15"/>
      <c r="AM2099" s="15"/>
      <c r="AN2099" s="15"/>
      <c r="AO2099" s="15"/>
      <c r="AP2099" s="15"/>
      <c r="AQ2099" s="15"/>
      <c r="AR2099" s="15"/>
      <c r="AS2099" s="15"/>
      <c r="AT2099" s="15"/>
      <c r="AU2099" s="15"/>
    </row>
    <row r="2100" ht="24.0" customHeight="1">
      <c r="A2100" s="45">
        <v>3524.0</v>
      </c>
      <c r="B2100" s="57"/>
      <c r="C2100" s="57"/>
      <c r="D2100" s="88" t="str">
        <f t="array" ref="D2100">IFERROR(
  LOOKUP(2, 1/((TRIM(IMS!$E$8:$E$2574)=TRIM(IMS!$E2100))*(IMS!$C$8:$C$2574&lt;IMS!$C2100)),
         IMS!$C$8:$C$2574),
"")</f>
        <v/>
      </c>
      <c r="E2100" s="57"/>
      <c r="F2100" s="57"/>
      <c r="G2100" s="77" t="str">
        <f t="shared" si="901"/>
        <v/>
      </c>
      <c r="H2100" s="78" t="str">
        <f t="shared" si="902"/>
        <v/>
      </c>
      <c r="I2100" s="79"/>
      <c r="J2100" s="80" t="str">
        <f t="shared" si="903"/>
        <v>#NAME?</v>
      </c>
      <c r="K2100" s="58"/>
      <c r="L2100" s="58"/>
      <c r="M2100" s="57"/>
      <c r="N2100" s="57"/>
      <c r="O2100" s="58"/>
      <c r="P2100" s="82"/>
      <c r="Q2100" s="81"/>
      <c r="R2100" s="81"/>
      <c r="S2100" s="57"/>
      <c r="T2100" s="82"/>
      <c r="U2100" s="82"/>
      <c r="V2100" s="57"/>
      <c r="W2100" s="57"/>
      <c r="X2100" s="57" t="str">
        <f t="shared" si="917"/>
        <v/>
      </c>
      <c r="Y2100" s="58" t="str">
        <f t="shared" ref="Y2100:AC2100" si="1940">TRIM(SUBSTITUTE(SUBSTITUTE(OFFSET($Q2100,0,COLUMN()-COLUMN($AL$1)),CHAR(160)," "),_xludf.UNICHAR(8239)," "))</f>
        <v>#NAME?</v>
      </c>
      <c r="Z2100" s="58" t="str">
        <f t="shared" si="1940"/>
        <v>#NAME?</v>
      </c>
      <c r="AA2100" s="58" t="str">
        <f t="shared" si="1940"/>
        <v>#NAME?</v>
      </c>
      <c r="AB2100" s="58" t="str">
        <f t="shared" si="1940"/>
        <v>#NAME?</v>
      </c>
      <c r="AC2100" s="58" t="str">
        <f t="shared" si="1940"/>
        <v>#NAME?</v>
      </c>
      <c r="AD2100" s="57">
        <f t="shared" si="906"/>
        <v>0</v>
      </c>
      <c r="AE2100" s="57" t="str">
        <f t="shared" si="907"/>
        <v/>
      </c>
      <c r="AF2100" s="57">
        <f t="shared" si="908"/>
        <v>0</v>
      </c>
      <c r="AG2100" s="59">
        <f t="shared" si="909"/>
        <v>0</v>
      </c>
      <c r="AH2100" s="15"/>
      <c r="AI2100" s="15"/>
      <c r="AJ2100" s="15"/>
      <c r="AK2100" s="15"/>
      <c r="AL2100" s="15"/>
      <c r="AM2100" s="15"/>
      <c r="AN2100" s="15"/>
      <c r="AO2100" s="15"/>
      <c r="AP2100" s="15"/>
      <c r="AQ2100" s="15"/>
      <c r="AR2100" s="15"/>
      <c r="AS2100" s="15"/>
      <c r="AT2100" s="15"/>
      <c r="AU2100" s="15"/>
    </row>
    <row r="2101" ht="24.0" customHeight="1">
      <c r="A2101" s="45">
        <v>3525.0</v>
      </c>
      <c r="B2101" s="57"/>
      <c r="C2101" s="57"/>
      <c r="D2101" s="88" t="str">
        <f t="array" ref="D2101">IFERROR(
  LOOKUP(2, 1/((TRIM(IMS!$E$8:$E$2574)=TRIM(IMS!$E2101))*(IMS!$C$8:$C$2574&lt;IMS!$C2101)),
         IMS!$C$8:$C$2574),
"")</f>
        <v/>
      </c>
      <c r="E2101" s="57"/>
      <c r="F2101" s="57"/>
      <c r="G2101" s="77" t="str">
        <f t="shared" si="901"/>
        <v/>
      </c>
      <c r="H2101" s="78" t="str">
        <f t="shared" si="902"/>
        <v/>
      </c>
      <c r="I2101" s="79"/>
      <c r="J2101" s="80" t="str">
        <f t="shared" si="903"/>
        <v>#NAME?</v>
      </c>
      <c r="K2101" s="58"/>
      <c r="L2101" s="58"/>
      <c r="M2101" s="57"/>
      <c r="N2101" s="57"/>
      <c r="O2101" s="58"/>
      <c r="P2101" s="82"/>
      <c r="Q2101" s="81"/>
      <c r="R2101" s="81"/>
      <c r="S2101" s="57"/>
      <c r="T2101" s="82"/>
      <c r="U2101" s="82"/>
      <c r="V2101" s="57"/>
      <c r="W2101" s="57"/>
      <c r="X2101" s="57" t="str">
        <f t="shared" si="917"/>
        <v/>
      </c>
      <c r="Y2101" s="58" t="str">
        <f t="shared" ref="Y2101:AC2101" si="1941">TRIM(SUBSTITUTE(SUBSTITUTE(OFFSET($Q2101,0,COLUMN()-COLUMN($AL$1)),CHAR(160)," "),_xludf.UNICHAR(8239)," "))</f>
        <v>#NAME?</v>
      </c>
      <c r="Z2101" s="58" t="str">
        <f t="shared" si="1941"/>
        <v>#NAME?</v>
      </c>
      <c r="AA2101" s="58" t="str">
        <f t="shared" si="1941"/>
        <v>#NAME?</v>
      </c>
      <c r="AB2101" s="58" t="str">
        <f t="shared" si="1941"/>
        <v>#NAME?</v>
      </c>
      <c r="AC2101" s="58" t="str">
        <f t="shared" si="1941"/>
        <v>#NAME?</v>
      </c>
      <c r="AD2101" s="57">
        <f t="shared" si="906"/>
        <v>0</v>
      </c>
      <c r="AE2101" s="57" t="str">
        <f t="shared" si="907"/>
        <v/>
      </c>
      <c r="AF2101" s="57">
        <f t="shared" si="908"/>
        <v>0</v>
      </c>
      <c r="AG2101" s="59">
        <f t="shared" si="909"/>
        <v>0</v>
      </c>
      <c r="AH2101" s="15"/>
      <c r="AI2101" s="15"/>
      <c r="AJ2101" s="15"/>
      <c r="AK2101" s="15"/>
      <c r="AL2101" s="15"/>
      <c r="AM2101" s="15"/>
      <c r="AN2101" s="15"/>
      <c r="AO2101" s="15"/>
      <c r="AP2101" s="15"/>
      <c r="AQ2101" s="15"/>
      <c r="AR2101" s="15"/>
      <c r="AS2101" s="15"/>
      <c r="AT2101" s="15"/>
      <c r="AU2101" s="15"/>
    </row>
    <row r="2102" ht="24.0" customHeight="1">
      <c r="A2102" s="45">
        <v>3526.0</v>
      </c>
      <c r="B2102" s="57"/>
      <c r="C2102" s="57"/>
      <c r="D2102" s="88" t="str">
        <f t="array" ref="D2102">IFERROR(
  LOOKUP(2, 1/((TRIM(IMS!$E$8:$E$2574)=TRIM(IMS!$E2102))*(IMS!$C$8:$C$2574&lt;IMS!$C2102)),
         IMS!$C$8:$C$2574),
"")</f>
        <v/>
      </c>
      <c r="E2102" s="57"/>
      <c r="F2102" s="57"/>
      <c r="G2102" s="77" t="str">
        <f t="shared" si="901"/>
        <v/>
      </c>
      <c r="H2102" s="78" t="str">
        <f t="shared" si="902"/>
        <v/>
      </c>
      <c r="I2102" s="79"/>
      <c r="J2102" s="80" t="str">
        <f t="shared" si="903"/>
        <v>#NAME?</v>
      </c>
      <c r="K2102" s="58"/>
      <c r="L2102" s="58"/>
      <c r="M2102" s="57"/>
      <c r="N2102" s="57"/>
      <c r="O2102" s="58"/>
      <c r="P2102" s="82"/>
      <c r="Q2102" s="81"/>
      <c r="R2102" s="81"/>
      <c r="S2102" s="57"/>
      <c r="T2102" s="82"/>
      <c r="U2102" s="82"/>
      <c r="V2102" s="57"/>
      <c r="W2102" s="57"/>
      <c r="X2102" s="57" t="str">
        <f t="shared" si="917"/>
        <v/>
      </c>
      <c r="Y2102" s="58" t="str">
        <f t="shared" ref="Y2102:AC2102" si="1942">TRIM(SUBSTITUTE(SUBSTITUTE(OFFSET($Q2102,0,COLUMN()-COLUMN($AL$1)),CHAR(160)," "),_xludf.UNICHAR(8239)," "))</f>
        <v>#NAME?</v>
      </c>
      <c r="Z2102" s="58" t="str">
        <f t="shared" si="1942"/>
        <v>#NAME?</v>
      </c>
      <c r="AA2102" s="58" t="str">
        <f t="shared" si="1942"/>
        <v>#NAME?</v>
      </c>
      <c r="AB2102" s="58" t="str">
        <f t="shared" si="1942"/>
        <v>#NAME?</v>
      </c>
      <c r="AC2102" s="58" t="str">
        <f t="shared" si="1942"/>
        <v>#NAME?</v>
      </c>
      <c r="AD2102" s="57">
        <f t="shared" si="906"/>
        <v>0</v>
      </c>
      <c r="AE2102" s="57" t="str">
        <f t="shared" si="907"/>
        <v/>
      </c>
      <c r="AF2102" s="57">
        <f t="shared" si="908"/>
        <v>0</v>
      </c>
      <c r="AG2102" s="59">
        <f t="shared" si="909"/>
        <v>0</v>
      </c>
      <c r="AH2102" s="15"/>
      <c r="AI2102" s="15"/>
      <c r="AJ2102" s="15"/>
      <c r="AK2102" s="15"/>
      <c r="AL2102" s="15"/>
      <c r="AM2102" s="15"/>
      <c r="AN2102" s="15"/>
      <c r="AO2102" s="15"/>
      <c r="AP2102" s="15"/>
      <c r="AQ2102" s="15"/>
      <c r="AR2102" s="15"/>
      <c r="AS2102" s="15"/>
      <c r="AT2102" s="15"/>
      <c r="AU2102" s="15"/>
    </row>
    <row r="2103" ht="24.0" customHeight="1">
      <c r="A2103" s="45">
        <v>3527.0</v>
      </c>
      <c r="B2103" s="57"/>
      <c r="C2103" s="57"/>
      <c r="D2103" s="88" t="str">
        <f t="array" ref="D2103">IFERROR(
  LOOKUP(2, 1/((TRIM(IMS!$E$8:$E$2574)=TRIM(IMS!$E2103))*(IMS!$C$8:$C$2574&lt;IMS!$C2103)),
         IMS!$C$8:$C$2574),
"")</f>
        <v/>
      </c>
      <c r="E2103" s="57"/>
      <c r="F2103" s="57"/>
      <c r="G2103" s="77" t="str">
        <f t="shared" si="901"/>
        <v/>
      </c>
      <c r="H2103" s="78" t="str">
        <f t="shared" si="902"/>
        <v/>
      </c>
      <c r="I2103" s="79"/>
      <c r="J2103" s="80" t="str">
        <f t="shared" si="903"/>
        <v>#NAME?</v>
      </c>
      <c r="K2103" s="58"/>
      <c r="L2103" s="58"/>
      <c r="M2103" s="57"/>
      <c r="N2103" s="57"/>
      <c r="O2103" s="58"/>
      <c r="P2103" s="82"/>
      <c r="Q2103" s="81"/>
      <c r="R2103" s="81"/>
      <c r="S2103" s="57"/>
      <c r="T2103" s="82"/>
      <c r="U2103" s="82"/>
      <c r="V2103" s="57"/>
      <c r="W2103" s="57"/>
      <c r="X2103" s="57" t="str">
        <f t="shared" si="917"/>
        <v/>
      </c>
      <c r="Y2103" s="58" t="str">
        <f t="shared" ref="Y2103:AC2103" si="1943">TRIM(SUBSTITUTE(SUBSTITUTE(OFFSET($Q2103,0,COLUMN()-COLUMN($AL$1)),CHAR(160)," "),_xludf.UNICHAR(8239)," "))</f>
        <v>#NAME?</v>
      </c>
      <c r="Z2103" s="58" t="str">
        <f t="shared" si="1943"/>
        <v>#NAME?</v>
      </c>
      <c r="AA2103" s="58" t="str">
        <f t="shared" si="1943"/>
        <v>#NAME?</v>
      </c>
      <c r="AB2103" s="58" t="str">
        <f t="shared" si="1943"/>
        <v>#NAME?</v>
      </c>
      <c r="AC2103" s="58" t="str">
        <f t="shared" si="1943"/>
        <v>#NAME?</v>
      </c>
      <c r="AD2103" s="57">
        <f t="shared" si="906"/>
        <v>0</v>
      </c>
      <c r="AE2103" s="57" t="str">
        <f t="shared" si="907"/>
        <v/>
      </c>
      <c r="AF2103" s="57">
        <f t="shared" si="908"/>
        <v>0</v>
      </c>
      <c r="AG2103" s="59">
        <f t="shared" si="909"/>
        <v>0</v>
      </c>
      <c r="AH2103" s="15"/>
      <c r="AI2103" s="15"/>
      <c r="AJ2103" s="15"/>
      <c r="AK2103" s="15"/>
      <c r="AL2103" s="15"/>
      <c r="AM2103" s="15"/>
      <c r="AN2103" s="15"/>
      <c r="AO2103" s="15"/>
      <c r="AP2103" s="15"/>
      <c r="AQ2103" s="15"/>
      <c r="AR2103" s="15"/>
      <c r="AS2103" s="15"/>
      <c r="AT2103" s="15"/>
      <c r="AU2103" s="15"/>
    </row>
    <row r="2104" ht="24.0" customHeight="1">
      <c r="A2104" s="45">
        <v>3528.0</v>
      </c>
      <c r="B2104" s="57"/>
      <c r="C2104" s="57"/>
      <c r="D2104" s="88" t="str">
        <f t="array" ref="D2104">IFERROR(
  LOOKUP(2, 1/((TRIM(IMS!$E$8:$E$2574)=TRIM(IMS!$E2104))*(IMS!$C$8:$C$2574&lt;IMS!$C2104)),
         IMS!$C$8:$C$2574),
"")</f>
        <v/>
      </c>
      <c r="E2104" s="57"/>
      <c r="F2104" s="57"/>
      <c r="G2104" s="77" t="str">
        <f t="shared" si="901"/>
        <v/>
      </c>
      <c r="H2104" s="78" t="str">
        <f t="shared" si="902"/>
        <v/>
      </c>
      <c r="I2104" s="79"/>
      <c r="J2104" s="80" t="str">
        <f t="shared" si="903"/>
        <v>#NAME?</v>
      </c>
      <c r="K2104" s="58"/>
      <c r="L2104" s="58"/>
      <c r="M2104" s="57"/>
      <c r="N2104" s="57"/>
      <c r="O2104" s="58"/>
      <c r="P2104" s="82"/>
      <c r="Q2104" s="81"/>
      <c r="R2104" s="81"/>
      <c r="S2104" s="57"/>
      <c r="T2104" s="82"/>
      <c r="U2104" s="82"/>
      <c r="V2104" s="57"/>
      <c r="W2104" s="57"/>
      <c r="X2104" s="57" t="str">
        <f t="shared" si="917"/>
        <v/>
      </c>
      <c r="Y2104" s="58" t="str">
        <f t="shared" ref="Y2104:AC2104" si="1944">TRIM(SUBSTITUTE(SUBSTITUTE(OFFSET($Q2104,0,COLUMN()-COLUMN($AL$1)),CHAR(160)," "),_xludf.UNICHAR(8239)," "))</f>
        <v>#NAME?</v>
      </c>
      <c r="Z2104" s="58" t="str">
        <f t="shared" si="1944"/>
        <v>#NAME?</v>
      </c>
      <c r="AA2104" s="58" t="str">
        <f t="shared" si="1944"/>
        <v>#NAME?</v>
      </c>
      <c r="AB2104" s="58" t="str">
        <f t="shared" si="1944"/>
        <v>#NAME?</v>
      </c>
      <c r="AC2104" s="58" t="str">
        <f t="shared" si="1944"/>
        <v>#NAME?</v>
      </c>
      <c r="AD2104" s="57">
        <f t="shared" si="906"/>
        <v>0</v>
      </c>
      <c r="AE2104" s="57" t="str">
        <f t="shared" si="907"/>
        <v/>
      </c>
      <c r="AF2104" s="57">
        <f t="shared" si="908"/>
        <v>0</v>
      </c>
      <c r="AG2104" s="59">
        <f t="shared" si="909"/>
        <v>0</v>
      </c>
      <c r="AH2104" s="15"/>
      <c r="AI2104" s="15"/>
      <c r="AJ2104" s="15"/>
      <c r="AK2104" s="15"/>
      <c r="AL2104" s="15"/>
      <c r="AM2104" s="15"/>
      <c r="AN2104" s="15"/>
      <c r="AO2104" s="15"/>
      <c r="AP2104" s="15"/>
      <c r="AQ2104" s="15"/>
      <c r="AR2104" s="15"/>
      <c r="AS2104" s="15"/>
      <c r="AT2104" s="15"/>
      <c r="AU2104" s="15"/>
    </row>
    <row r="2105" ht="24.0" customHeight="1">
      <c r="A2105" s="45">
        <v>3529.0</v>
      </c>
      <c r="B2105" s="57"/>
      <c r="C2105" s="57"/>
      <c r="D2105" s="88" t="str">
        <f t="array" ref="D2105">IFERROR(
  LOOKUP(2, 1/((TRIM(IMS!$E$8:$E$2574)=TRIM(IMS!$E2105))*(IMS!$C$8:$C$2574&lt;IMS!$C2105)),
         IMS!$C$8:$C$2574),
"")</f>
        <v/>
      </c>
      <c r="E2105" s="57"/>
      <c r="F2105" s="57"/>
      <c r="G2105" s="77" t="str">
        <f t="shared" si="901"/>
        <v/>
      </c>
      <c r="H2105" s="78" t="str">
        <f t="shared" si="902"/>
        <v/>
      </c>
      <c r="I2105" s="79"/>
      <c r="J2105" s="80" t="str">
        <f t="shared" si="903"/>
        <v>#NAME?</v>
      </c>
      <c r="K2105" s="58"/>
      <c r="L2105" s="58"/>
      <c r="M2105" s="57"/>
      <c r="N2105" s="57"/>
      <c r="O2105" s="58"/>
      <c r="P2105" s="82"/>
      <c r="Q2105" s="81"/>
      <c r="R2105" s="81"/>
      <c r="S2105" s="57"/>
      <c r="T2105" s="82"/>
      <c r="U2105" s="82"/>
      <c r="V2105" s="57"/>
      <c r="W2105" s="57"/>
      <c r="X2105" s="57" t="str">
        <f t="shared" si="917"/>
        <v/>
      </c>
      <c r="Y2105" s="58" t="str">
        <f t="shared" ref="Y2105:AC2105" si="1945">TRIM(SUBSTITUTE(SUBSTITUTE(OFFSET($Q2105,0,COLUMN()-COLUMN($AL$1)),CHAR(160)," "),_xludf.UNICHAR(8239)," "))</f>
        <v>#NAME?</v>
      </c>
      <c r="Z2105" s="58" t="str">
        <f t="shared" si="1945"/>
        <v>#NAME?</v>
      </c>
      <c r="AA2105" s="58" t="str">
        <f t="shared" si="1945"/>
        <v>#NAME?</v>
      </c>
      <c r="AB2105" s="58" t="str">
        <f t="shared" si="1945"/>
        <v>#NAME?</v>
      </c>
      <c r="AC2105" s="58" t="str">
        <f t="shared" si="1945"/>
        <v>#NAME?</v>
      </c>
      <c r="AD2105" s="57">
        <f t="shared" si="906"/>
        <v>0</v>
      </c>
      <c r="AE2105" s="57" t="str">
        <f t="shared" si="907"/>
        <v/>
      </c>
      <c r="AF2105" s="57">
        <f t="shared" si="908"/>
        <v>0</v>
      </c>
      <c r="AG2105" s="59">
        <f t="shared" si="909"/>
        <v>0</v>
      </c>
      <c r="AH2105" s="15"/>
      <c r="AI2105" s="15"/>
      <c r="AJ2105" s="15"/>
      <c r="AK2105" s="15"/>
      <c r="AL2105" s="15"/>
      <c r="AM2105" s="15"/>
      <c r="AN2105" s="15"/>
      <c r="AO2105" s="15"/>
      <c r="AP2105" s="15"/>
      <c r="AQ2105" s="15"/>
      <c r="AR2105" s="15"/>
      <c r="AS2105" s="15"/>
      <c r="AT2105" s="15"/>
      <c r="AU2105" s="15"/>
    </row>
    <row r="2106" ht="24.0" customHeight="1">
      <c r="A2106" s="45">
        <v>3530.0</v>
      </c>
      <c r="B2106" s="57"/>
      <c r="C2106" s="57"/>
      <c r="D2106" s="88" t="str">
        <f t="array" ref="D2106">IFERROR(
  LOOKUP(2, 1/((TRIM(IMS!$E$8:$E$2574)=TRIM(IMS!$E2106))*(IMS!$C$8:$C$2574&lt;IMS!$C2106)),
         IMS!$C$8:$C$2574),
"")</f>
        <v/>
      </c>
      <c r="E2106" s="57"/>
      <c r="F2106" s="57"/>
      <c r="G2106" s="77" t="str">
        <f t="shared" si="901"/>
        <v/>
      </c>
      <c r="H2106" s="78" t="str">
        <f t="shared" si="902"/>
        <v/>
      </c>
      <c r="I2106" s="79"/>
      <c r="J2106" s="80" t="str">
        <f t="shared" si="903"/>
        <v>#NAME?</v>
      </c>
      <c r="K2106" s="58"/>
      <c r="L2106" s="58"/>
      <c r="M2106" s="57"/>
      <c r="N2106" s="57"/>
      <c r="O2106" s="58"/>
      <c r="P2106" s="82"/>
      <c r="Q2106" s="81"/>
      <c r="R2106" s="81"/>
      <c r="S2106" s="57"/>
      <c r="T2106" s="82"/>
      <c r="U2106" s="82"/>
      <c r="V2106" s="57"/>
      <c r="W2106" s="57"/>
      <c r="X2106" s="57" t="str">
        <f t="shared" si="917"/>
        <v/>
      </c>
      <c r="Y2106" s="58" t="str">
        <f t="shared" ref="Y2106:AC2106" si="1946">TRIM(SUBSTITUTE(SUBSTITUTE(OFFSET($Q2106,0,COLUMN()-COLUMN($AL$1)),CHAR(160)," "),_xludf.UNICHAR(8239)," "))</f>
        <v>#NAME?</v>
      </c>
      <c r="Z2106" s="58" t="str">
        <f t="shared" si="1946"/>
        <v>#NAME?</v>
      </c>
      <c r="AA2106" s="58" t="str">
        <f t="shared" si="1946"/>
        <v>#NAME?</v>
      </c>
      <c r="AB2106" s="58" t="str">
        <f t="shared" si="1946"/>
        <v>#NAME?</v>
      </c>
      <c r="AC2106" s="58" t="str">
        <f t="shared" si="1946"/>
        <v>#NAME?</v>
      </c>
      <c r="AD2106" s="57">
        <f t="shared" si="906"/>
        <v>0</v>
      </c>
      <c r="AE2106" s="57" t="str">
        <f t="shared" si="907"/>
        <v/>
      </c>
      <c r="AF2106" s="57">
        <f t="shared" si="908"/>
        <v>0</v>
      </c>
      <c r="AG2106" s="59">
        <f t="shared" si="909"/>
        <v>0</v>
      </c>
      <c r="AH2106" s="15"/>
      <c r="AI2106" s="15"/>
      <c r="AJ2106" s="15"/>
      <c r="AK2106" s="15"/>
      <c r="AL2106" s="15"/>
      <c r="AM2106" s="15"/>
      <c r="AN2106" s="15"/>
      <c r="AO2106" s="15"/>
      <c r="AP2106" s="15"/>
      <c r="AQ2106" s="15"/>
      <c r="AR2106" s="15"/>
      <c r="AS2106" s="15"/>
      <c r="AT2106" s="15"/>
      <c r="AU2106" s="15"/>
    </row>
    <row r="2107" ht="24.0" customHeight="1">
      <c r="A2107" s="45">
        <v>3531.0</v>
      </c>
      <c r="B2107" s="57"/>
      <c r="C2107" s="57"/>
      <c r="D2107" s="88" t="str">
        <f t="array" ref="D2107">IFERROR(
  LOOKUP(2, 1/((TRIM(IMS!$E$8:$E$2574)=TRIM(IMS!$E2107))*(IMS!$C$8:$C$2574&lt;IMS!$C2107)),
         IMS!$C$8:$C$2574),
"")</f>
        <v/>
      </c>
      <c r="E2107" s="57"/>
      <c r="F2107" s="57"/>
      <c r="G2107" s="77" t="str">
        <f t="shared" si="901"/>
        <v/>
      </c>
      <c r="H2107" s="78" t="str">
        <f t="shared" si="902"/>
        <v/>
      </c>
      <c r="I2107" s="79"/>
      <c r="J2107" s="80" t="str">
        <f t="shared" si="903"/>
        <v>#NAME?</v>
      </c>
      <c r="K2107" s="58"/>
      <c r="L2107" s="58"/>
      <c r="M2107" s="57"/>
      <c r="N2107" s="57"/>
      <c r="O2107" s="58"/>
      <c r="P2107" s="82"/>
      <c r="Q2107" s="81"/>
      <c r="R2107" s="81"/>
      <c r="S2107" s="57"/>
      <c r="T2107" s="82"/>
      <c r="U2107" s="82"/>
      <c r="V2107" s="57"/>
      <c r="W2107" s="57"/>
      <c r="X2107" s="57" t="str">
        <f t="shared" si="917"/>
        <v/>
      </c>
      <c r="Y2107" s="58" t="str">
        <f t="shared" ref="Y2107:AC2107" si="1947">TRIM(SUBSTITUTE(SUBSTITUTE(OFFSET($Q2107,0,COLUMN()-COLUMN($AL$1)),CHAR(160)," "),_xludf.UNICHAR(8239)," "))</f>
        <v>#NAME?</v>
      </c>
      <c r="Z2107" s="58" t="str">
        <f t="shared" si="1947"/>
        <v>#NAME?</v>
      </c>
      <c r="AA2107" s="58" t="str">
        <f t="shared" si="1947"/>
        <v>#NAME?</v>
      </c>
      <c r="AB2107" s="58" t="str">
        <f t="shared" si="1947"/>
        <v>#NAME?</v>
      </c>
      <c r="AC2107" s="58" t="str">
        <f t="shared" si="1947"/>
        <v>#NAME?</v>
      </c>
      <c r="AD2107" s="57">
        <f t="shared" si="906"/>
        <v>0</v>
      </c>
      <c r="AE2107" s="57" t="str">
        <f t="shared" si="907"/>
        <v/>
      </c>
      <c r="AF2107" s="57">
        <f t="shared" si="908"/>
        <v>0</v>
      </c>
      <c r="AG2107" s="59">
        <f t="shared" si="909"/>
        <v>0</v>
      </c>
      <c r="AH2107" s="15"/>
      <c r="AI2107" s="15"/>
      <c r="AJ2107" s="15"/>
      <c r="AK2107" s="15"/>
      <c r="AL2107" s="15"/>
      <c r="AM2107" s="15"/>
      <c r="AN2107" s="15"/>
      <c r="AO2107" s="15"/>
      <c r="AP2107" s="15"/>
      <c r="AQ2107" s="15"/>
      <c r="AR2107" s="15"/>
      <c r="AS2107" s="15"/>
      <c r="AT2107" s="15"/>
      <c r="AU2107" s="15"/>
    </row>
    <row r="2108" ht="24.0" customHeight="1">
      <c r="A2108" s="45">
        <v>3532.0</v>
      </c>
      <c r="B2108" s="57"/>
      <c r="C2108" s="57"/>
      <c r="D2108" s="88" t="str">
        <f t="array" ref="D2108">IFERROR(
  LOOKUP(2, 1/((TRIM(IMS!$E$8:$E$2574)=TRIM(IMS!$E2108))*(IMS!$C$8:$C$2574&lt;IMS!$C2108)),
         IMS!$C$8:$C$2574),
"")</f>
        <v/>
      </c>
      <c r="E2108" s="57"/>
      <c r="F2108" s="57"/>
      <c r="G2108" s="77" t="str">
        <f t="shared" si="901"/>
        <v/>
      </c>
      <c r="H2108" s="78" t="str">
        <f t="shared" si="902"/>
        <v/>
      </c>
      <c r="I2108" s="79"/>
      <c r="J2108" s="80" t="str">
        <f t="shared" si="903"/>
        <v>#NAME?</v>
      </c>
      <c r="K2108" s="58"/>
      <c r="L2108" s="58"/>
      <c r="M2108" s="57"/>
      <c r="N2108" s="57"/>
      <c r="O2108" s="58"/>
      <c r="P2108" s="82"/>
      <c r="Q2108" s="81"/>
      <c r="R2108" s="81"/>
      <c r="S2108" s="57"/>
      <c r="T2108" s="82"/>
      <c r="U2108" s="82"/>
      <c r="V2108" s="57"/>
      <c r="W2108" s="57"/>
      <c r="X2108" s="57" t="str">
        <f t="shared" si="917"/>
        <v/>
      </c>
      <c r="Y2108" s="58" t="str">
        <f t="shared" ref="Y2108:AC2108" si="1948">TRIM(SUBSTITUTE(SUBSTITUTE(OFFSET($Q2108,0,COLUMN()-COLUMN($AL$1)),CHAR(160)," "),_xludf.UNICHAR(8239)," "))</f>
        <v>#NAME?</v>
      </c>
      <c r="Z2108" s="58" t="str">
        <f t="shared" si="1948"/>
        <v>#NAME?</v>
      </c>
      <c r="AA2108" s="58" t="str">
        <f t="shared" si="1948"/>
        <v>#NAME?</v>
      </c>
      <c r="AB2108" s="58" t="str">
        <f t="shared" si="1948"/>
        <v>#NAME?</v>
      </c>
      <c r="AC2108" s="58" t="str">
        <f t="shared" si="1948"/>
        <v>#NAME?</v>
      </c>
      <c r="AD2108" s="57">
        <f t="shared" si="906"/>
        <v>0</v>
      </c>
      <c r="AE2108" s="57" t="str">
        <f t="shared" si="907"/>
        <v/>
      </c>
      <c r="AF2108" s="57">
        <f t="shared" si="908"/>
        <v>0</v>
      </c>
      <c r="AG2108" s="59">
        <f t="shared" si="909"/>
        <v>0</v>
      </c>
      <c r="AH2108" s="15"/>
      <c r="AI2108" s="15"/>
      <c r="AJ2108" s="15"/>
      <c r="AK2108" s="15"/>
      <c r="AL2108" s="15"/>
      <c r="AM2108" s="15"/>
      <c r="AN2108" s="15"/>
      <c r="AO2108" s="15"/>
      <c r="AP2108" s="15"/>
      <c r="AQ2108" s="15"/>
      <c r="AR2108" s="15"/>
      <c r="AS2108" s="15"/>
      <c r="AT2108" s="15"/>
      <c r="AU2108" s="15"/>
    </row>
    <row r="2109" ht="24.0" customHeight="1">
      <c r="A2109" s="45">
        <v>3533.0</v>
      </c>
      <c r="B2109" s="57"/>
      <c r="C2109" s="57"/>
      <c r="D2109" s="88" t="str">
        <f t="array" ref="D2109">IFERROR(
  LOOKUP(2, 1/((TRIM(IMS!$E$8:$E$2574)=TRIM(IMS!$E2109))*(IMS!$C$8:$C$2574&lt;IMS!$C2109)),
         IMS!$C$8:$C$2574),
"")</f>
        <v/>
      </c>
      <c r="E2109" s="57"/>
      <c r="F2109" s="57"/>
      <c r="G2109" s="77" t="str">
        <f t="shared" si="901"/>
        <v/>
      </c>
      <c r="H2109" s="78" t="str">
        <f t="shared" si="902"/>
        <v/>
      </c>
      <c r="I2109" s="79"/>
      <c r="J2109" s="80" t="str">
        <f t="shared" si="903"/>
        <v>#NAME?</v>
      </c>
      <c r="K2109" s="58"/>
      <c r="L2109" s="58"/>
      <c r="M2109" s="57"/>
      <c r="N2109" s="57"/>
      <c r="O2109" s="58"/>
      <c r="P2109" s="82"/>
      <c r="Q2109" s="81"/>
      <c r="R2109" s="81"/>
      <c r="S2109" s="57"/>
      <c r="T2109" s="82"/>
      <c r="U2109" s="82"/>
      <c r="V2109" s="57"/>
      <c r="W2109" s="57"/>
      <c r="X2109" s="57" t="str">
        <f t="shared" si="917"/>
        <v/>
      </c>
      <c r="Y2109" s="58" t="str">
        <f t="shared" ref="Y2109:AC2109" si="1949">TRIM(SUBSTITUTE(SUBSTITUTE(OFFSET($Q2109,0,COLUMN()-COLUMN($AL$1)),CHAR(160)," "),_xludf.UNICHAR(8239)," "))</f>
        <v>#NAME?</v>
      </c>
      <c r="Z2109" s="58" t="str">
        <f t="shared" si="1949"/>
        <v>#NAME?</v>
      </c>
      <c r="AA2109" s="58" t="str">
        <f t="shared" si="1949"/>
        <v>#NAME?</v>
      </c>
      <c r="AB2109" s="58" t="str">
        <f t="shared" si="1949"/>
        <v>#NAME?</v>
      </c>
      <c r="AC2109" s="58" t="str">
        <f t="shared" si="1949"/>
        <v>#NAME?</v>
      </c>
      <c r="AD2109" s="57">
        <f t="shared" si="906"/>
        <v>0</v>
      </c>
      <c r="AE2109" s="57" t="str">
        <f t="shared" si="907"/>
        <v/>
      </c>
      <c r="AF2109" s="57">
        <f t="shared" si="908"/>
        <v>0</v>
      </c>
      <c r="AG2109" s="59">
        <f t="shared" si="909"/>
        <v>0</v>
      </c>
      <c r="AH2109" s="15"/>
      <c r="AI2109" s="15"/>
      <c r="AJ2109" s="15"/>
      <c r="AK2109" s="15"/>
      <c r="AL2109" s="15"/>
      <c r="AM2109" s="15"/>
      <c r="AN2109" s="15"/>
      <c r="AO2109" s="15"/>
      <c r="AP2109" s="15"/>
      <c r="AQ2109" s="15"/>
      <c r="AR2109" s="15"/>
      <c r="AS2109" s="15"/>
      <c r="AT2109" s="15"/>
      <c r="AU2109" s="15"/>
    </row>
    <row r="2110" ht="24.0" customHeight="1">
      <c r="A2110" s="45">
        <v>3534.0</v>
      </c>
      <c r="B2110" s="57"/>
      <c r="C2110" s="57"/>
      <c r="D2110" s="88" t="str">
        <f t="array" ref="D2110">IFERROR(
  LOOKUP(2, 1/((TRIM(IMS!$E$8:$E$2574)=TRIM(IMS!$E2110))*(IMS!$C$8:$C$2574&lt;IMS!$C2110)),
         IMS!$C$8:$C$2574),
"")</f>
        <v/>
      </c>
      <c r="E2110" s="57"/>
      <c r="F2110" s="57"/>
      <c r="G2110" s="77" t="str">
        <f t="shared" si="901"/>
        <v/>
      </c>
      <c r="H2110" s="78" t="str">
        <f t="shared" si="902"/>
        <v/>
      </c>
      <c r="I2110" s="79"/>
      <c r="J2110" s="80" t="str">
        <f t="shared" si="903"/>
        <v>#NAME?</v>
      </c>
      <c r="K2110" s="58"/>
      <c r="L2110" s="58"/>
      <c r="M2110" s="57"/>
      <c r="N2110" s="57"/>
      <c r="O2110" s="58"/>
      <c r="P2110" s="82"/>
      <c r="Q2110" s="81"/>
      <c r="R2110" s="81"/>
      <c r="S2110" s="57"/>
      <c r="T2110" s="82"/>
      <c r="U2110" s="82"/>
      <c r="V2110" s="57"/>
      <c r="W2110" s="57"/>
      <c r="X2110" s="57" t="str">
        <f t="shared" si="917"/>
        <v/>
      </c>
      <c r="Y2110" s="58" t="str">
        <f t="shared" ref="Y2110:AC2110" si="1950">TRIM(SUBSTITUTE(SUBSTITUTE(OFFSET($Q2110,0,COLUMN()-COLUMN($AL$1)),CHAR(160)," "),_xludf.UNICHAR(8239)," "))</f>
        <v>#NAME?</v>
      </c>
      <c r="Z2110" s="58" t="str">
        <f t="shared" si="1950"/>
        <v>#NAME?</v>
      </c>
      <c r="AA2110" s="58" t="str">
        <f t="shared" si="1950"/>
        <v>#NAME?</v>
      </c>
      <c r="AB2110" s="58" t="str">
        <f t="shared" si="1950"/>
        <v>#NAME?</v>
      </c>
      <c r="AC2110" s="58" t="str">
        <f t="shared" si="1950"/>
        <v>#NAME?</v>
      </c>
      <c r="AD2110" s="57">
        <f t="shared" si="906"/>
        <v>0</v>
      </c>
      <c r="AE2110" s="57" t="str">
        <f t="shared" si="907"/>
        <v/>
      </c>
      <c r="AF2110" s="57">
        <f t="shared" si="908"/>
        <v>0</v>
      </c>
      <c r="AG2110" s="59">
        <f t="shared" si="909"/>
        <v>0</v>
      </c>
      <c r="AH2110" s="15"/>
      <c r="AI2110" s="15"/>
      <c r="AJ2110" s="15"/>
      <c r="AK2110" s="15"/>
      <c r="AL2110" s="15"/>
      <c r="AM2110" s="15"/>
      <c r="AN2110" s="15"/>
      <c r="AO2110" s="15"/>
      <c r="AP2110" s="15"/>
      <c r="AQ2110" s="15"/>
      <c r="AR2110" s="15"/>
      <c r="AS2110" s="15"/>
      <c r="AT2110" s="15"/>
      <c r="AU2110" s="15"/>
    </row>
    <row r="2111" ht="24.0" customHeight="1">
      <c r="A2111" s="45">
        <v>3535.0</v>
      </c>
      <c r="B2111" s="57"/>
      <c r="C2111" s="57"/>
      <c r="D2111" s="88" t="str">
        <f t="array" ref="D2111">IFERROR(
  LOOKUP(2, 1/((TRIM(IMS!$E$8:$E$2574)=TRIM(IMS!$E2111))*(IMS!$C$8:$C$2574&lt;IMS!$C2111)),
         IMS!$C$8:$C$2574),
"")</f>
        <v/>
      </c>
      <c r="E2111" s="57"/>
      <c r="F2111" s="57"/>
      <c r="G2111" s="77" t="str">
        <f t="shared" si="901"/>
        <v/>
      </c>
      <c r="H2111" s="78" t="str">
        <f t="shared" si="902"/>
        <v/>
      </c>
      <c r="I2111" s="79"/>
      <c r="J2111" s="80" t="str">
        <f t="shared" si="903"/>
        <v>#NAME?</v>
      </c>
      <c r="K2111" s="58"/>
      <c r="L2111" s="58"/>
      <c r="M2111" s="57"/>
      <c r="N2111" s="57"/>
      <c r="O2111" s="58"/>
      <c r="P2111" s="82"/>
      <c r="Q2111" s="81"/>
      <c r="R2111" s="81"/>
      <c r="S2111" s="57"/>
      <c r="T2111" s="82"/>
      <c r="U2111" s="82"/>
      <c r="V2111" s="57"/>
      <c r="W2111" s="57"/>
      <c r="X2111" s="57" t="str">
        <f t="shared" si="917"/>
        <v/>
      </c>
      <c r="Y2111" s="58" t="str">
        <f t="shared" ref="Y2111:AC2111" si="1951">TRIM(SUBSTITUTE(SUBSTITUTE(OFFSET($Q2111,0,COLUMN()-COLUMN($AL$1)),CHAR(160)," "),_xludf.UNICHAR(8239)," "))</f>
        <v>#NAME?</v>
      </c>
      <c r="Z2111" s="58" t="str">
        <f t="shared" si="1951"/>
        <v>#NAME?</v>
      </c>
      <c r="AA2111" s="58" t="str">
        <f t="shared" si="1951"/>
        <v>#NAME?</v>
      </c>
      <c r="AB2111" s="58" t="str">
        <f t="shared" si="1951"/>
        <v>#NAME?</v>
      </c>
      <c r="AC2111" s="58" t="str">
        <f t="shared" si="1951"/>
        <v>#NAME?</v>
      </c>
      <c r="AD2111" s="57">
        <f t="shared" si="906"/>
        <v>0</v>
      </c>
      <c r="AE2111" s="57" t="str">
        <f t="shared" si="907"/>
        <v/>
      </c>
      <c r="AF2111" s="57">
        <f t="shared" si="908"/>
        <v>0</v>
      </c>
      <c r="AG2111" s="59">
        <f t="shared" si="909"/>
        <v>0</v>
      </c>
      <c r="AH2111" s="15"/>
      <c r="AI2111" s="15"/>
      <c r="AJ2111" s="15"/>
      <c r="AK2111" s="15"/>
      <c r="AL2111" s="15"/>
      <c r="AM2111" s="15"/>
      <c r="AN2111" s="15"/>
      <c r="AO2111" s="15"/>
      <c r="AP2111" s="15"/>
      <c r="AQ2111" s="15"/>
      <c r="AR2111" s="15"/>
      <c r="AS2111" s="15"/>
      <c r="AT2111" s="15"/>
      <c r="AU2111" s="15"/>
    </row>
    <row r="2112" ht="24.0" customHeight="1">
      <c r="A2112" s="45">
        <v>3536.0</v>
      </c>
      <c r="B2112" s="57"/>
      <c r="C2112" s="57"/>
      <c r="D2112" s="88" t="str">
        <f t="array" ref="D2112">IFERROR(
  LOOKUP(2, 1/((TRIM(IMS!$E$8:$E$2574)=TRIM(IMS!$E2112))*(IMS!$C$8:$C$2574&lt;IMS!$C2112)),
         IMS!$C$8:$C$2574),
"")</f>
        <v/>
      </c>
      <c r="E2112" s="57"/>
      <c r="F2112" s="57"/>
      <c r="G2112" s="77" t="str">
        <f t="shared" si="901"/>
        <v/>
      </c>
      <c r="H2112" s="78" t="str">
        <f t="shared" si="902"/>
        <v/>
      </c>
      <c r="I2112" s="79"/>
      <c r="J2112" s="80" t="str">
        <f t="shared" si="903"/>
        <v>#NAME?</v>
      </c>
      <c r="K2112" s="58"/>
      <c r="L2112" s="58"/>
      <c r="M2112" s="57"/>
      <c r="N2112" s="57"/>
      <c r="O2112" s="58"/>
      <c r="P2112" s="82"/>
      <c r="Q2112" s="81"/>
      <c r="R2112" s="81"/>
      <c r="S2112" s="57"/>
      <c r="T2112" s="82"/>
      <c r="U2112" s="82"/>
      <c r="V2112" s="57"/>
      <c r="W2112" s="57"/>
      <c r="X2112" s="57" t="str">
        <f t="shared" si="917"/>
        <v/>
      </c>
      <c r="Y2112" s="58" t="str">
        <f t="shared" ref="Y2112:AC2112" si="1952">TRIM(SUBSTITUTE(SUBSTITUTE(OFFSET($Q2112,0,COLUMN()-COLUMN($AL$1)),CHAR(160)," "),_xludf.UNICHAR(8239)," "))</f>
        <v>#NAME?</v>
      </c>
      <c r="Z2112" s="58" t="str">
        <f t="shared" si="1952"/>
        <v>#NAME?</v>
      </c>
      <c r="AA2112" s="58" t="str">
        <f t="shared" si="1952"/>
        <v>#NAME?</v>
      </c>
      <c r="AB2112" s="58" t="str">
        <f t="shared" si="1952"/>
        <v>#NAME?</v>
      </c>
      <c r="AC2112" s="58" t="str">
        <f t="shared" si="1952"/>
        <v>#NAME?</v>
      </c>
      <c r="AD2112" s="57">
        <f t="shared" si="906"/>
        <v>0</v>
      </c>
      <c r="AE2112" s="57" t="str">
        <f t="shared" si="907"/>
        <v/>
      </c>
      <c r="AF2112" s="57">
        <f t="shared" si="908"/>
        <v>0</v>
      </c>
      <c r="AG2112" s="59">
        <f t="shared" si="909"/>
        <v>0</v>
      </c>
      <c r="AH2112" s="15"/>
      <c r="AI2112" s="15"/>
      <c r="AJ2112" s="15"/>
      <c r="AK2112" s="15"/>
      <c r="AL2112" s="15"/>
      <c r="AM2112" s="15"/>
      <c r="AN2112" s="15"/>
      <c r="AO2112" s="15"/>
      <c r="AP2112" s="15"/>
      <c r="AQ2112" s="15"/>
      <c r="AR2112" s="15"/>
      <c r="AS2112" s="15"/>
      <c r="AT2112" s="15"/>
      <c r="AU2112" s="15"/>
    </row>
    <row r="2113" ht="24.0" customHeight="1">
      <c r="A2113" s="45">
        <v>3537.0</v>
      </c>
      <c r="B2113" s="57"/>
      <c r="C2113" s="57"/>
      <c r="D2113" s="88" t="str">
        <f t="array" ref="D2113">IFERROR(
  LOOKUP(2, 1/((TRIM(IMS!$E$8:$E$2574)=TRIM(IMS!$E2113))*(IMS!$C$8:$C$2574&lt;IMS!$C2113)),
         IMS!$C$8:$C$2574),
"")</f>
        <v/>
      </c>
      <c r="E2113" s="57"/>
      <c r="F2113" s="57"/>
      <c r="G2113" s="77" t="str">
        <f t="shared" si="901"/>
        <v/>
      </c>
      <c r="H2113" s="78" t="str">
        <f t="shared" si="902"/>
        <v/>
      </c>
      <c r="I2113" s="79"/>
      <c r="J2113" s="80" t="str">
        <f t="shared" si="903"/>
        <v>#NAME?</v>
      </c>
      <c r="K2113" s="58"/>
      <c r="L2113" s="58"/>
      <c r="M2113" s="57"/>
      <c r="N2113" s="57"/>
      <c r="O2113" s="58"/>
      <c r="P2113" s="82"/>
      <c r="Q2113" s="81"/>
      <c r="R2113" s="81"/>
      <c r="S2113" s="57"/>
      <c r="T2113" s="82"/>
      <c r="U2113" s="82"/>
      <c r="V2113" s="57"/>
      <c r="W2113" s="57"/>
      <c r="X2113" s="57" t="str">
        <f t="shared" si="917"/>
        <v/>
      </c>
      <c r="Y2113" s="58" t="str">
        <f t="shared" ref="Y2113:AC2113" si="1953">TRIM(SUBSTITUTE(SUBSTITUTE(OFFSET($Q2113,0,COLUMN()-COLUMN($AL$1)),CHAR(160)," "),_xludf.UNICHAR(8239)," "))</f>
        <v>#NAME?</v>
      </c>
      <c r="Z2113" s="58" t="str">
        <f t="shared" si="1953"/>
        <v>#NAME?</v>
      </c>
      <c r="AA2113" s="58" t="str">
        <f t="shared" si="1953"/>
        <v>#NAME?</v>
      </c>
      <c r="AB2113" s="58" t="str">
        <f t="shared" si="1953"/>
        <v>#NAME?</v>
      </c>
      <c r="AC2113" s="58" t="str">
        <f t="shared" si="1953"/>
        <v>#NAME?</v>
      </c>
      <c r="AD2113" s="57">
        <f t="shared" si="906"/>
        <v>0</v>
      </c>
      <c r="AE2113" s="57" t="str">
        <f t="shared" si="907"/>
        <v/>
      </c>
      <c r="AF2113" s="57">
        <f t="shared" si="908"/>
        <v>0</v>
      </c>
      <c r="AG2113" s="59">
        <f t="shared" si="909"/>
        <v>0</v>
      </c>
      <c r="AH2113" s="15"/>
      <c r="AI2113" s="15"/>
      <c r="AJ2113" s="15"/>
      <c r="AK2113" s="15"/>
      <c r="AL2113" s="15"/>
      <c r="AM2113" s="15"/>
      <c r="AN2113" s="15"/>
      <c r="AO2113" s="15"/>
      <c r="AP2113" s="15"/>
      <c r="AQ2113" s="15"/>
      <c r="AR2113" s="15"/>
      <c r="AS2113" s="15"/>
      <c r="AT2113" s="15"/>
      <c r="AU2113" s="15"/>
    </row>
    <row r="2114" ht="24.0" customHeight="1">
      <c r="A2114" s="45">
        <v>3538.0</v>
      </c>
      <c r="B2114" s="57"/>
      <c r="C2114" s="57"/>
      <c r="D2114" s="88" t="str">
        <f t="array" ref="D2114">IFERROR(
  LOOKUP(2, 1/((TRIM(IMS!$E$8:$E$2574)=TRIM(IMS!$E2114))*(IMS!$C$8:$C$2574&lt;IMS!$C2114)),
         IMS!$C$8:$C$2574),
"")</f>
        <v/>
      </c>
      <c r="E2114" s="57"/>
      <c r="F2114" s="57"/>
      <c r="G2114" s="77" t="str">
        <f t="shared" si="901"/>
        <v/>
      </c>
      <c r="H2114" s="78" t="str">
        <f t="shared" si="902"/>
        <v/>
      </c>
      <c r="I2114" s="79"/>
      <c r="J2114" s="80" t="str">
        <f t="shared" si="903"/>
        <v>#NAME?</v>
      </c>
      <c r="K2114" s="58"/>
      <c r="L2114" s="58"/>
      <c r="M2114" s="57"/>
      <c r="N2114" s="57"/>
      <c r="O2114" s="58"/>
      <c r="P2114" s="82"/>
      <c r="Q2114" s="81"/>
      <c r="R2114" s="81"/>
      <c r="S2114" s="57"/>
      <c r="T2114" s="82"/>
      <c r="U2114" s="82"/>
      <c r="V2114" s="57"/>
      <c r="W2114" s="57"/>
      <c r="X2114" s="57" t="str">
        <f t="shared" si="917"/>
        <v/>
      </c>
      <c r="Y2114" s="58" t="str">
        <f t="shared" ref="Y2114:AC2114" si="1954">TRIM(SUBSTITUTE(SUBSTITUTE(OFFSET($Q2114,0,COLUMN()-COLUMN($AL$1)),CHAR(160)," "),_xludf.UNICHAR(8239)," "))</f>
        <v>#NAME?</v>
      </c>
      <c r="Z2114" s="58" t="str">
        <f t="shared" si="1954"/>
        <v>#NAME?</v>
      </c>
      <c r="AA2114" s="58" t="str">
        <f t="shared" si="1954"/>
        <v>#NAME?</v>
      </c>
      <c r="AB2114" s="58" t="str">
        <f t="shared" si="1954"/>
        <v>#NAME?</v>
      </c>
      <c r="AC2114" s="58" t="str">
        <f t="shared" si="1954"/>
        <v>#NAME?</v>
      </c>
      <c r="AD2114" s="57">
        <f t="shared" si="906"/>
        <v>0</v>
      </c>
      <c r="AE2114" s="57" t="str">
        <f t="shared" si="907"/>
        <v/>
      </c>
      <c r="AF2114" s="57">
        <f t="shared" si="908"/>
        <v>0</v>
      </c>
      <c r="AG2114" s="59">
        <f t="shared" si="909"/>
        <v>0</v>
      </c>
      <c r="AH2114" s="15"/>
      <c r="AI2114" s="15"/>
      <c r="AJ2114" s="15"/>
      <c r="AK2114" s="15"/>
      <c r="AL2114" s="15"/>
      <c r="AM2114" s="15"/>
      <c r="AN2114" s="15"/>
      <c r="AO2114" s="15"/>
      <c r="AP2114" s="15"/>
      <c r="AQ2114" s="15"/>
      <c r="AR2114" s="15"/>
      <c r="AS2114" s="15"/>
      <c r="AT2114" s="15"/>
      <c r="AU2114" s="15"/>
    </row>
    <row r="2115" ht="24.0" customHeight="1">
      <c r="A2115" s="45">
        <v>3539.0</v>
      </c>
      <c r="B2115" s="57"/>
      <c r="C2115" s="57"/>
      <c r="D2115" s="88" t="str">
        <f t="array" ref="D2115">IFERROR(
  LOOKUP(2, 1/((TRIM(IMS!$E$8:$E$2574)=TRIM(IMS!$E2115))*(IMS!$C$8:$C$2574&lt;IMS!$C2115)),
         IMS!$C$8:$C$2574),
"")</f>
        <v/>
      </c>
      <c r="E2115" s="57"/>
      <c r="F2115" s="57"/>
      <c r="G2115" s="77" t="str">
        <f t="shared" si="901"/>
        <v/>
      </c>
      <c r="H2115" s="78" t="str">
        <f t="shared" si="902"/>
        <v/>
      </c>
      <c r="I2115" s="79"/>
      <c r="J2115" s="80" t="str">
        <f t="shared" si="903"/>
        <v>#NAME?</v>
      </c>
      <c r="K2115" s="58"/>
      <c r="L2115" s="58"/>
      <c r="M2115" s="57"/>
      <c r="N2115" s="57"/>
      <c r="O2115" s="58"/>
      <c r="P2115" s="82"/>
      <c r="Q2115" s="81"/>
      <c r="R2115" s="81"/>
      <c r="S2115" s="57"/>
      <c r="T2115" s="82"/>
      <c r="U2115" s="82"/>
      <c r="V2115" s="57"/>
      <c r="W2115" s="57"/>
      <c r="X2115" s="57" t="str">
        <f t="shared" si="917"/>
        <v/>
      </c>
      <c r="Y2115" s="58" t="str">
        <f t="shared" ref="Y2115:AC2115" si="1955">TRIM(SUBSTITUTE(SUBSTITUTE(OFFSET($Q2115,0,COLUMN()-COLUMN($AL$1)),CHAR(160)," "),_xludf.UNICHAR(8239)," "))</f>
        <v>#NAME?</v>
      </c>
      <c r="Z2115" s="58" t="str">
        <f t="shared" si="1955"/>
        <v>#NAME?</v>
      </c>
      <c r="AA2115" s="58" t="str">
        <f t="shared" si="1955"/>
        <v>#NAME?</v>
      </c>
      <c r="AB2115" s="58" t="str">
        <f t="shared" si="1955"/>
        <v>#NAME?</v>
      </c>
      <c r="AC2115" s="58" t="str">
        <f t="shared" si="1955"/>
        <v>#NAME?</v>
      </c>
      <c r="AD2115" s="57">
        <f t="shared" si="906"/>
        <v>0</v>
      </c>
      <c r="AE2115" s="57" t="str">
        <f t="shared" si="907"/>
        <v/>
      </c>
      <c r="AF2115" s="57">
        <f t="shared" si="908"/>
        <v>0</v>
      </c>
      <c r="AG2115" s="59">
        <f t="shared" si="909"/>
        <v>0</v>
      </c>
      <c r="AH2115" s="15"/>
      <c r="AI2115" s="15"/>
      <c r="AJ2115" s="15"/>
      <c r="AK2115" s="15"/>
      <c r="AL2115" s="15"/>
      <c r="AM2115" s="15"/>
      <c r="AN2115" s="15"/>
      <c r="AO2115" s="15"/>
      <c r="AP2115" s="15"/>
      <c r="AQ2115" s="15"/>
      <c r="AR2115" s="15"/>
      <c r="AS2115" s="15"/>
      <c r="AT2115" s="15"/>
      <c r="AU2115" s="15"/>
    </row>
    <row r="2116" ht="24.0" customHeight="1">
      <c r="A2116" s="45">
        <v>3540.0</v>
      </c>
      <c r="B2116" s="57"/>
      <c r="C2116" s="57"/>
      <c r="D2116" s="88" t="str">
        <f t="array" ref="D2116">IFERROR(
  LOOKUP(2, 1/((TRIM(IMS!$E$8:$E$2574)=TRIM(IMS!$E2116))*(IMS!$C$8:$C$2574&lt;IMS!$C2116)),
         IMS!$C$8:$C$2574),
"")</f>
        <v/>
      </c>
      <c r="E2116" s="57"/>
      <c r="F2116" s="57"/>
      <c r="G2116" s="77" t="str">
        <f t="shared" si="901"/>
        <v/>
      </c>
      <c r="H2116" s="78" t="str">
        <f t="shared" si="902"/>
        <v/>
      </c>
      <c r="I2116" s="79"/>
      <c r="J2116" s="80" t="str">
        <f t="shared" si="903"/>
        <v>#NAME?</v>
      </c>
      <c r="K2116" s="58"/>
      <c r="L2116" s="58"/>
      <c r="M2116" s="57"/>
      <c r="N2116" s="57"/>
      <c r="O2116" s="58"/>
      <c r="P2116" s="82"/>
      <c r="Q2116" s="81"/>
      <c r="R2116" s="81"/>
      <c r="S2116" s="57"/>
      <c r="T2116" s="82"/>
      <c r="U2116" s="82"/>
      <c r="V2116" s="57"/>
      <c r="W2116" s="57"/>
      <c r="X2116" s="57" t="str">
        <f t="shared" si="917"/>
        <v/>
      </c>
      <c r="Y2116" s="58" t="str">
        <f t="shared" ref="Y2116:AC2116" si="1956">TRIM(SUBSTITUTE(SUBSTITUTE(OFFSET($Q2116,0,COLUMN()-COLUMN($AL$1)),CHAR(160)," "),_xludf.UNICHAR(8239)," "))</f>
        <v>#NAME?</v>
      </c>
      <c r="Z2116" s="58" t="str">
        <f t="shared" si="1956"/>
        <v>#NAME?</v>
      </c>
      <c r="AA2116" s="58" t="str">
        <f t="shared" si="1956"/>
        <v>#NAME?</v>
      </c>
      <c r="AB2116" s="58" t="str">
        <f t="shared" si="1956"/>
        <v>#NAME?</v>
      </c>
      <c r="AC2116" s="58" t="str">
        <f t="shared" si="1956"/>
        <v>#NAME?</v>
      </c>
      <c r="AD2116" s="57">
        <f t="shared" si="906"/>
        <v>0</v>
      </c>
      <c r="AE2116" s="57" t="str">
        <f t="shared" si="907"/>
        <v/>
      </c>
      <c r="AF2116" s="57">
        <f t="shared" si="908"/>
        <v>0</v>
      </c>
      <c r="AG2116" s="59">
        <f t="shared" si="909"/>
        <v>0</v>
      </c>
      <c r="AH2116" s="15"/>
      <c r="AI2116" s="15"/>
      <c r="AJ2116" s="15"/>
      <c r="AK2116" s="15"/>
      <c r="AL2116" s="15"/>
      <c r="AM2116" s="15"/>
      <c r="AN2116" s="15"/>
      <c r="AO2116" s="15"/>
      <c r="AP2116" s="15"/>
      <c r="AQ2116" s="15"/>
      <c r="AR2116" s="15"/>
      <c r="AS2116" s="15"/>
      <c r="AT2116" s="15"/>
      <c r="AU2116" s="15"/>
    </row>
    <row r="2117" ht="24.0" customHeight="1">
      <c r="A2117" s="45">
        <v>3541.0</v>
      </c>
      <c r="B2117" s="57"/>
      <c r="C2117" s="57"/>
      <c r="D2117" s="88" t="str">
        <f t="array" ref="D2117">IFERROR(
  LOOKUP(2, 1/((TRIM(IMS!$E$8:$E$2574)=TRIM(IMS!$E2117))*(IMS!$C$8:$C$2574&lt;IMS!$C2117)),
         IMS!$C$8:$C$2574),
"")</f>
        <v/>
      </c>
      <c r="E2117" s="57"/>
      <c r="F2117" s="57"/>
      <c r="G2117" s="77" t="str">
        <f t="shared" si="901"/>
        <v/>
      </c>
      <c r="H2117" s="78" t="str">
        <f t="shared" si="902"/>
        <v/>
      </c>
      <c r="I2117" s="79"/>
      <c r="J2117" s="80" t="str">
        <f t="shared" si="903"/>
        <v>#NAME?</v>
      </c>
      <c r="K2117" s="58"/>
      <c r="L2117" s="58"/>
      <c r="M2117" s="57"/>
      <c r="N2117" s="57"/>
      <c r="O2117" s="58"/>
      <c r="P2117" s="82"/>
      <c r="Q2117" s="81"/>
      <c r="R2117" s="81"/>
      <c r="S2117" s="57"/>
      <c r="T2117" s="82"/>
      <c r="U2117" s="82"/>
      <c r="V2117" s="57"/>
      <c r="W2117" s="57"/>
      <c r="X2117" s="57" t="str">
        <f t="shared" si="917"/>
        <v/>
      </c>
      <c r="Y2117" s="58" t="str">
        <f t="shared" ref="Y2117:AC2117" si="1957">TRIM(SUBSTITUTE(SUBSTITUTE(OFFSET($Q2117,0,COLUMN()-COLUMN($AL$1)),CHAR(160)," "),_xludf.UNICHAR(8239)," "))</f>
        <v>#NAME?</v>
      </c>
      <c r="Z2117" s="58" t="str">
        <f t="shared" si="1957"/>
        <v>#NAME?</v>
      </c>
      <c r="AA2117" s="58" t="str">
        <f t="shared" si="1957"/>
        <v>#NAME?</v>
      </c>
      <c r="AB2117" s="58" t="str">
        <f t="shared" si="1957"/>
        <v>#NAME?</v>
      </c>
      <c r="AC2117" s="58" t="str">
        <f t="shared" si="1957"/>
        <v>#NAME?</v>
      </c>
      <c r="AD2117" s="57">
        <f t="shared" si="906"/>
        <v>0</v>
      </c>
      <c r="AE2117" s="57" t="str">
        <f t="shared" si="907"/>
        <v/>
      </c>
      <c r="AF2117" s="57">
        <f t="shared" si="908"/>
        <v>0</v>
      </c>
      <c r="AG2117" s="59">
        <f t="shared" si="909"/>
        <v>0</v>
      </c>
      <c r="AH2117" s="15"/>
      <c r="AI2117" s="15"/>
      <c r="AJ2117" s="15"/>
      <c r="AK2117" s="15"/>
      <c r="AL2117" s="15"/>
      <c r="AM2117" s="15"/>
      <c r="AN2117" s="15"/>
      <c r="AO2117" s="15"/>
      <c r="AP2117" s="15"/>
      <c r="AQ2117" s="15"/>
      <c r="AR2117" s="15"/>
      <c r="AS2117" s="15"/>
      <c r="AT2117" s="15"/>
      <c r="AU2117" s="15"/>
    </row>
    <row r="2118" ht="24.0" customHeight="1">
      <c r="A2118" s="45">
        <v>3542.0</v>
      </c>
      <c r="B2118" s="57"/>
      <c r="C2118" s="57"/>
      <c r="D2118" s="88" t="str">
        <f t="array" ref="D2118">IFERROR(
  LOOKUP(2, 1/((TRIM(IMS!$E$8:$E$2574)=TRIM(IMS!$E2118))*(IMS!$C$8:$C$2574&lt;IMS!$C2118)),
         IMS!$C$8:$C$2574),
"")</f>
        <v/>
      </c>
      <c r="E2118" s="57"/>
      <c r="F2118" s="57"/>
      <c r="G2118" s="77" t="str">
        <f t="shared" si="901"/>
        <v/>
      </c>
      <c r="H2118" s="78" t="str">
        <f t="shared" si="902"/>
        <v/>
      </c>
      <c r="I2118" s="79"/>
      <c r="J2118" s="80" t="str">
        <f t="shared" si="903"/>
        <v>#NAME?</v>
      </c>
      <c r="K2118" s="58"/>
      <c r="L2118" s="58"/>
      <c r="M2118" s="57"/>
      <c r="N2118" s="57"/>
      <c r="O2118" s="58"/>
      <c r="P2118" s="82"/>
      <c r="Q2118" s="81"/>
      <c r="R2118" s="81"/>
      <c r="S2118" s="57"/>
      <c r="T2118" s="82"/>
      <c r="U2118" s="82"/>
      <c r="V2118" s="57"/>
      <c r="W2118" s="57"/>
      <c r="X2118" s="57" t="str">
        <f t="shared" si="917"/>
        <v/>
      </c>
      <c r="Y2118" s="58" t="str">
        <f t="shared" ref="Y2118:AC2118" si="1958">TRIM(SUBSTITUTE(SUBSTITUTE(OFFSET($Q2118,0,COLUMN()-COLUMN($AL$1)),CHAR(160)," "),_xludf.UNICHAR(8239)," "))</f>
        <v>#NAME?</v>
      </c>
      <c r="Z2118" s="58" t="str">
        <f t="shared" si="1958"/>
        <v>#NAME?</v>
      </c>
      <c r="AA2118" s="58" t="str">
        <f t="shared" si="1958"/>
        <v>#NAME?</v>
      </c>
      <c r="AB2118" s="58" t="str">
        <f t="shared" si="1958"/>
        <v>#NAME?</v>
      </c>
      <c r="AC2118" s="58" t="str">
        <f t="shared" si="1958"/>
        <v>#NAME?</v>
      </c>
      <c r="AD2118" s="57">
        <f t="shared" si="906"/>
        <v>0</v>
      </c>
      <c r="AE2118" s="57" t="str">
        <f t="shared" si="907"/>
        <v/>
      </c>
      <c r="AF2118" s="57">
        <f t="shared" si="908"/>
        <v>0</v>
      </c>
      <c r="AG2118" s="59">
        <f t="shared" si="909"/>
        <v>0</v>
      </c>
      <c r="AH2118" s="15"/>
      <c r="AI2118" s="15"/>
      <c r="AJ2118" s="15"/>
      <c r="AK2118" s="15"/>
      <c r="AL2118" s="15"/>
      <c r="AM2118" s="15"/>
      <c r="AN2118" s="15"/>
      <c r="AO2118" s="15"/>
      <c r="AP2118" s="15"/>
      <c r="AQ2118" s="15"/>
      <c r="AR2118" s="15"/>
      <c r="AS2118" s="15"/>
      <c r="AT2118" s="15"/>
      <c r="AU2118" s="15"/>
    </row>
    <row r="2119" ht="24.0" customHeight="1">
      <c r="A2119" s="45">
        <v>3543.0</v>
      </c>
      <c r="B2119" s="57"/>
      <c r="C2119" s="57"/>
      <c r="D2119" s="88" t="str">
        <f t="array" ref="D2119">IFERROR(
  LOOKUP(2, 1/((TRIM(IMS!$E$8:$E$2574)=TRIM(IMS!$E2119))*(IMS!$C$8:$C$2574&lt;IMS!$C2119)),
         IMS!$C$8:$C$2574),
"")</f>
        <v/>
      </c>
      <c r="E2119" s="57"/>
      <c r="F2119" s="57"/>
      <c r="G2119" s="77" t="str">
        <f t="shared" si="901"/>
        <v/>
      </c>
      <c r="H2119" s="78" t="str">
        <f t="shared" si="902"/>
        <v/>
      </c>
      <c r="I2119" s="79"/>
      <c r="J2119" s="80" t="str">
        <f t="shared" si="903"/>
        <v>#NAME?</v>
      </c>
      <c r="K2119" s="58"/>
      <c r="L2119" s="58"/>
      <c r="M2119" s="57"/>
      <c r="N2119" s="57"/>
      <c r="O2119" s="58"/>
      <c r="P2119" s="82"/>
      <c r="Q2119" s="81"/>
      <c r="R2119" s="81"/>
      <c r="S2119" s="57"/>
      <c r="T2119" s="82"/>
      <c r="U2119" s="82"/>
      <c r="V2119" s="57"/>
      <c r="W2119" s="57"/>
      <c r="X2119" s="57" t="str">
        <f t="shared" si="917"/>
        <v/>
      </c>
      <c r="Y2119" s="58" t="str">
        <f t="shared" ref="Y2119:AC2119" si="1959">TRIM(SUBSTITUTE(SUBSTITUTE(OFFSET($Q2119,0,COLUMN()-COLUMN($AL$1)),CHAR(160)," "),_xludf.UNICHAR(8239)," "))</f>
        <v>#NAME?</v>
      </c>
      <c r="Z2119" s="58" t="str">
        <f t="shared" si="1959"/>
        <v>#NAME?</v>
      </c>
      <c r="AA2119" s="58" t="str">
        <f t="shared" si="1959"/>
        <v>#NAME?</v>
      </c>
      <c r="AB2119" s="58" t="str">
        <f t="shared" si="1959"/>
        <v>#NAME?</v>
      </c>
      <c r="AC2119" s="58" t="str">
        <f t="shared" si="1959"/>
        <v>#NAME?</v>
      </c>
      <c r="AD2119" s="57">
        <f t="shared" si="906"/>
        <v>0</v>
      </c>
      <c r="AE2119" s="57" t="str">
        <f t="shared" si="907"/>
        <v/>
      </c>
      <c r="AF2119" s="57">
        <f t="shared" si="908"/>
        <v>0</v>
      </c>
      <c r="AG2119" s="59">
        <f t="shared" si="909"/>
        <v>0</v>
      </c>
      <c r="AH2119" s="15"/>
      <c r="AI2119" s="15"/>
      <c r="AJ2119" s="15"/>
      <c r="AK2119" s="15"/>
      <c r="AL2119" s="15"/>
      <c r="AM2119" s="15"/>
      <c r="AN2119" s="15"/>
      <c r="AO2119" s="15"/>
      <c r="AP2119" s="15"/>
      <c r="AQ2119" s="15"/>
      <c r="AR2119" s="15"/>
      <c r="AS2119" s="15"/>
      <c r="AT2119" s="15"/>
      <c r="AU2119" s="15"/>
    </row>
    <row r="2120" ht="24.0" customHeight="1">
      <c r="A2120" s="45">
        <v>3544.0</v>
      </c>
      <c r="B2120" s="57"/>
      <c r="C2120" s="57"/>
      <c r="D2120" s="88" t="str">
        <f t="array" ref="D2120">IFERROR(
  LOOKUP(2, 1/((TRIM(IMS!$E$8:$E$2574)=TRIM(IMS!$E2120))*(IMS!$C$8:$C$2574&lt;IMS!$C2120)),
         IMS!$C$8:$C$2574),
"")</f>
        <v/>
      </c>
      <c r="E2120" s="57"/>
      <c r="F2120" s="57"/>
      <c r="G2120" s="77" t="str">
        <f t="shared" si="901"/>
        <v/>
      </c>
      <c r="H2120" s="78" t="str">
        <f t="shared" si="902"/>
        <v/>
      </c>
      <c r="I2120" s="79"/>
      <c r="J2120" s="80" t="str">
        <f t="shared" si="903"/>
        <v>#NAME?</v>
      </c>
      <c r="K2120" s="58"/>
      <c r="L2120" s="58"/>
      <c r="M2120" s="57"/>
      <c r="N2120" s="57"/>
      <c r="O2120" s="58"/>
      <c r="P2120" s="82"/>
      <c r="Q2120" s="81"/>
      <c r="R2120" s="81"/>
      <c r="S2120" s="57"/>
      <c r="T2120" s="82"/>
      <c r="U2120" s="82"/>
      <c r="V2120" s="57"/>
      <c r="W2120" s="57"/>
      <c r="X2120" s="57" t="str">
        <f t="shared" si="917"/>
        <v/>
      </c>
      <c r="Y2120" s="58" t="str">
        <f t="shared" ref="Y2120:AC2120" si="1960">TRIM(SUBSTITUTE(SUBSTITUTE(OFFSET($Q2120,0,COLUMN()-COLUMN($AL$1)),CHAR(160)," "),_xludf.UNICHAR(8239)," "))</f>
        <v>#NAME?</v>
      </c>
      <c r="Z2120" s="58" t="str">
        <f t="shared" si="1960"/>
        <v>#NAME?</v>
      </c>
      <c r="AA2120" s="58" t="str">
        <f t="shared" si="1960"/>
        <v>#NAME?</v>
      </c>
      <c r="AB2120" s="58" t="str">
        <f t="shared" si="1960"/>
        <v>#NAME?</v>
      </c>
      <c r="AC2120" s="58" t="str">
        <f t="shared" si="1960"/>
        <v>#NAME?</v>
      </c>
      <c r="AD2120" s="57">
        <f t="shared" si="906"/>
        <v>0</v>
      </c>
      <c r="AE2120" s="57" t="str">
        <f t="shared" si="907"/>
        <v/>
      </c>
      <c r="AF2120" s="57">
        <f t="shared" si="908"/>
        <v>0</v>
      </c>
      <c r="AG2120" s="59">
        <f t="shared" si="909"/>
        <v>0</v>
      </c>
      <c r="AH2120" s="15"/>
      <c r="AI2120" s="15"/>
      <c r="AJ2120" s="15"/>
      <c r="AK2120" s="15"/>
      <c r="AL2120" s="15"/>
      <c r="AM2120" s="15"/>
      <c r="AN2120" s="15"/>
      <c r="AO2120" s="15"/>
      <c r="AP2120" s="15"/>
      <c r="AQ2120" s="15"/>
      <c r="AR2120" s="15"/>
      <c r="AS2120" s="15"/>
      <c r="AT2120" s="15"/>
      <c r="AU2120" s="15"/>
    </row>
    <row r="2121" ht="24.0" customHeight="1">
      <c r="A2121" s="45">
        <v>3545.0</v>
      </c>
      <c r="B2121" s="57"/>
      <c r="C2121" s="57"/>
      <c r="D2121" s="88" t="str">
        <f t="array" ref="D2121">IFERROR(
  LOOKUP(2, 1/((TRIM(IMS!$E$8:$E$2574)=TRIM(IMS!$E2121))*(IMS!$C$8:$C$2574&lt;IMS!$C2121)),
         IMS!$C$8:$C$2574),
"")</f>
        <v/>
      </c>
      <c r="E2121" s="57"/>
      <c r="F2121" s="57"/>
      <c r="G2121" s="77" t="str">
        <f t="shared" si="901"/>
        <v/>
      </c>
      <c r="H2121" s="78" t="str">
        <f t="shared" si="902"/>
        <v/>
      </c>
      <c r="I2121" s="79"/>
      <c r="J2121" s="80" t="str">
        <f t="shared" si="903"/>
        <v>#NAME?</v>
      </c>
      <c r="K2121" s="58"/>
      <c r="L2121" s="58"/>
      <c r="M2121" s="57"/>
      <c r="N2121" s="57"/>
      <c r="O2121" s="58"/>
      <c r="P2121" s="82"/>
      <c r="Q2121" s="81"/>
      <c r="R2121" s="81"/>
      <c r="S2121" s="57"/>
      <c r="T2121" s="82"/>
      <c r="U2121" s="82"/>
      <c r="V2121" s="57"/>
      <c r="W2121" s="57"/>
      <c r="X2121" s="57" t="str">
        <f t="shared" si="917"/>
        <v/>
      </c>
      <c r="Y2121" s="58" t="str">
        <f t="shared" ref="Y2121:AC2121" si="1961">TRIM(SUBSTITUTE(SUBSTITUTE(OFFSET($Q2121,0,COLUMN()-COLUMN($AL$1)),CHAR(160)," "),_xludf.UNICHAR(8239)," "))</f>
        <v>#NAME?</v>
      </c>
      <c r="Z2121" s="58" t="str">
        <f t="shared" si="1961"/>
        <v>#NAME?</v>
      </c>
      <c r="AA2121" s="58" t="str">
        <f t="shared" si="1961"/>
        <v>#NAME?</v>
      </c>
      <c r="AB2121" s="58" t="str">
        <f t="shared" si="1961"/>
        <v>#NAME?</v>
      </c>
      <c r="AC2121" s="58" t="str">
        <f t="shared" si="1961"/>
        <v>#NAME?</v>
      </c>
      <c r="AD2121" s="57">
        <f t="shared" si="906"/>
        <v>0</v>
      </c>
      <c r="AE2121" s="57" t="str">
        <f t="shared" si="907"/>
        <v/>
      </c>
      <c r="AF2121" s="57">
        <f t="shared" si="908"/>
        <v>0</v>
      </c>
      <c r="AG2121" s="59">
        <f t="shared" si="909"/>
        <v>0</v>
      </c>
      <c r="AH2121" s="15"/>
      <c r="AI2121" s="15"/>
      <c r="AJ2121" s="15"/>
      <c r="AK2121" s="15"/>
      <c r="AL2121" s="15"/>
      <c r="AM2121" s="15"/>
      <c r="AN2121" s="15"/>
      <c r="AO2121" s="15"/>
      <c r="AP2121" s="15"/>
      <c r="AQ2121" s="15"/>
      <c r="AR2121" s="15"/>
      <c r="AS2121" s="15"/>
      <c r="AT2121" s="15"/>
      <c r="AU2121" s="15"/>
    </row>
    <row r="2122" ht="24.0" customHeight="1">
      <c r="A2122" s="45">
        <v>3546.0</v>
      </c>
      <c r="B2122" s="57"/>
      <c r="C2122" s="57"/>
      <c r="D2122" s="88" t="str">
        <f t="array" ref="D2122">IFERROR(
  LOOKUP(2, 1/((TRIM(IMS!$E$8:$E$2574)=TRIM(IMS!$E2122))*(IMS!$C$8:$C$2574&lt;IMS!$C2122)),
         IMS!$C$8:$C$2574),
"")</f>
        <v/>
      </c>
      <c r="E2122" s="57"/>
      <c r="F2122" s="57"/>
      <c r="G2122" s="77" t="str">
        <f t="shared" si="901"/>
        <v/>
      </c>
      <c r="H2122" s="78" t="str">
        <f t="shared" si="902"/>
        <v/>
      </c>
      <c r="I2122" s="79"/>
      <c r="J2122" s="80" t="str">
        <f t="shared" si="903"/>
        <v>#NAME?</v>
      </c>
      <c r="K2122" s="58"/>
      <c r="L2122" s="58"/>
      <c r="M2122" s="57"/>
      <c r="N2122" s="57"/>
      <c r="O2122" s="58"/>
      <c r="P2122" s="82"/>
      <c r="Q2122" s="81"/>
      <c r="R2122" s="81"/>
      <c r="S2122" s="57"/>
      <c r="T2122" s="82"/>
      <c r="U2122" s="82"/>
      <c r="V2122" s="57"/>
      <c r="W2122" s="57"/>
      <c r="X2122" s="57" t="str">
        <f t="shared" si="917"/>
        <v/>
      </c>
      <c r="Y2122" s="58" t="str">
        <f t="shared" ref="Y2122:AC2122" si="1962">TRIM(SUBSTITUTE(SUBSTITUTE(OFFSET($Q2122,0,COLUMN()-COLUMN($AL$1)),CHAR(160)," "),_xludf.UNICHAR(8239)," "))</f>
        <v>#NAME?</v>
      </c>
      <c r="Z2122" s="58" t="str">
        <f t="shared" si="1962"/>
        <v>#NAME?</v>
      </c>
      <c r="AA2122" s="58" t="str">
        <f t="shared" si="1962"/>
        <v>#NAME?</v>
      </c>
      <c r="AB2122" s="58" t="str">
        <f t="shared" si="1962"/>
        <v>#NAME?</v>
      </c>
      <c r="AC2122" s="58" t="str">
        <f t="shared" si="1962"/>
        <v>#NAME?</v>
      </c>
      <c r="AD2122" s="57">
        <f t="shared" si="906"/>
        <v>0</v>
      </c>
      <c r="AE2122" s="57" t="str">
        <f t="shared" si="907"/>
        <v/>
      </c>
      <c r="AF2122" s="57">
        <f t="shared" si="908"/>
        <v>0</v>
      </c>
      <c r="AG2122" s="59">
        <f t="shared" si="909"/>
        <v>0</v>
      </c>
      <c r="AH2122" s="15"/>
      <c r="AI2122" s="15"/>
      <c r="AJ2122" s="15"/>
      <c r="AK2122" s="15"/>
      <c r="AL2122" s="15"/>
      <c r="AM2122" s="15"/>
      <c r="AN2122" s="15"/>
      <c r="AO2122" s="15"/>
      <c r="AP2122" s="15"/>
      <c r="AQ2122" s="15"/>
      <c r="AR2122" s="15"/>
      <c r="AS2122" s="15"/>
      <c r="AT2122" s="15"/>
      <c r="AU2122" s="15"/>
    </row>
    <row r="2123" ht="24.0" customHeight="1">
      <c r="A2123" s="45">
        <v>3547.0</v>
      </c>
      <c r="B2123" s="57"/>
      <c r="C2123" s="57"/>
      <c r="D2123" s="88" t="str">
        <f t="array" ref="D2123">IFERROR(
  LOOKUP(2, 1/((TRIM(IMS!$E$8:$E$2574)=TRIM(IMS!$E2123))*(IMS!$C$8:$C$2574&lt;IMS!$C2123)),
         IMS!$C$8:$C$2574),
"")</f>
        <v/>
      </c>
      <c r="E2123" s="57"/>
      <c r="F2123" s="57"/>
      <c r="G2123" s="77" t="str">
        <f t="shared" si="901"/>
        <v/>
      </c>
      <c r="H2123" s="78" t="str">
        <f t="shared" si="902"/>
        <v/>
      </c>
      <c r="I2123" s="79"/>
      <c r="J2123" s="80" t="str">
        <f t="shared" si="903"/>
        <v>#NAME?</v>
      </c>
      <c r="K2123" s="58"/>
      <c r="L2123" s="58"/>
      <c r="M2123" s="57"/>
      <c r="N2123" s="57"/>
      <c r="O2123" s="58"/>
      <c r="P2123" s="82"/>
      <c r="Q2123" s="81"/>
      <c r="R2123" s="81"/>
      <c r="S2123" s="57"/>
      <c r="T2123" s="82"/>
      <c r="U2123" s="82"/>
      <c r="V2123" s="57"/>
      <c r="W2123" s="57"/>
      <c r="X2123" s="57" t="str">
        <f t="shared" si="917"/>
        <v/>
      </c>
      <c r="Y2123" s="58" t="str">
        <f t="shared" ref="Y2123:AC2123" si="1963">TRIM(SUBSTITUTE(SUBSTITUTE(OFFSET($Q2123,0,COLUMN()-COLUMN($AL$1)),CHAR(160)," "),_xludf.UNICHAR(8239)," "))</f>
        <v>#NAME?</v>
      </c>
      <c r="Z2123" s="58" t="str">
        <f t="shared" si="1963"/>
        <v>#NAME?</v>
      </c>
      <c r="AA2123" s="58" t="str">
        <f t="shared" si="1963"/>
        <v>#NAME?</v>
      </c>
      <c r="AB2123" s="58" t="str">
        <f t="shared" si="1963"/>
        <v>#NAME?</v>
      </c>
      <c r="AC2123" s="58" t="str">
        <f t="shared" si="1963"/>
        <v>#NAME?</v>
      </c>
      <c r="AD2123" s="57">
        <f t="shared" si="906"/>
        <v>0</v>
      </c>
      <c r="AE2123" s="57" t="str">
        <f t="shared" si="907"/>
        <v/>
      </c>
      <c r="AF2123" s="57">
        <f t="shared" si="908"/>
        <v>0</v>
      </c>
      <c r="AG2123" s="59">
        <f t="shared" si="909"/>
        <v>0</v>
      </c>
      <c r="AH2123" s="15"/>
      <c r="AI2123" s="15"/>
      <c r="AJ2123" s="15"/>
      <c r="AK2123" s="15"/>
      <c r="AL2123" s="15"/>
      <c r="AM2123" s="15"/>
      <c r="AN2123" s="15"/>
      <c r="AO2123" s="15"/>
      <c r="AP2123" s="15"/>
      <c r="AQ2123" s="15"/>
      <c r="AR2123" s="15"/>
      <c r="AS2123" s="15"/>
      <c r="AT2123" s="15"/>
      <c r="AU2123" s="15"/>
    </row>
    <row r="2124" ht="24.0" customHeight="1">
      <c r="A2124" s="45">
        <v>3548.0</v>
      </c>
      <c r="B2124" s="57"/>
      <c r="C2124" s="57"/>
      <c r="D2124" s="88" t="str">
        <f t="array" ref="D2124">IFERROR(
  LOOKUP(2, 1/((TRIM(IMS!$E$8:$E$2574)=TRIM(IMS!$E2124))*(IMS!$C$8:$C$2574&lt;IMS!$C2124)),
         IMS!$C$8:$C$2574),
"")</f>
        <v/>
      </c>
      <c r="E2124" s="57"/>
      <c r="F2124" s="57"/>
      <c r="G2124" s="77" t="str">
        <f t="shared" si="901"/>
        <v/>
      </c>
      <c r="H2124" s="78" t="str">
        <f t="shared" si="902"/>
        <v/>
      </c>
      <c r="I2124" s="79"/>
      <c r="J2124" s="80" t="str">
        <f t="shared" si="903"/>
        <v>#NAME?</v>
      </c>
      <c r="K2124" s="58"/>
      <c r="L2124" s="58"/>
      <c r="M2124" s="57"/>
      <c r="N2124" s="57"/>
      <c r="O2124" s="58"/>
      <c r="P2124" s="82"/>
      <c r="Q2124" s="81"/>
      <c r="R2124" s="81"/>
      <c r="S2124" s="57"/>
      <c r="T2124" s="82"/>
      <c r="U2124" s="82"/>
      <c r="V2124" s="57"/>
      <c r="W2124" s="57"/>
      <c r="X2124" s="57" t="str">
        <f t="shared" si="917"/>
        <v/>
      </c>
      <c r="Y2124" s="58" t="str">
        <f t="shared" ref="Y2124:AC2124" si="1964">TRIM(SUBSTITUTE(SUBSTITUTE(OFFSET($Q2124,0,COLUMN()-COLUMN($AL$1)),CHAR(160)," "),_xludf.UNICHAR(8239)," "))</f>
        <v>#NAME?</v>
      </c>
      <c r="Z2124" s="58" t="str">
        <f t="shared" si="1964"/>
        <v>#NAME?</v>
      </c>
      <c r="AA2124" s="58" t="str">
        <f t="shared" si="1964"/>
        <v>#NAME?</v>
      </c>
      <c r="AB2124" s="58" t="str">
        <f t="shared" si="1964"/>
        <v>#NAME?</v>
      </c>
      <c r="AC2124" s="58" t="str">
        <f t="shared" si="1964"/>
        <v>#NAME?</v>
      </c>
      <c r="AD2124" s="57">
        <f t="shared" si="906"/>
        <v>0</v>
      </c>
      <c r="AE2124" s="57" t="str">
        <f t="shared" si="907"/>
        <v/>
      </c>
      <c r="AF2124" s="57">
        <f t="shared" si="908"/>
        <v>0</v>
      </c>
      <c r="AG2124" s="59">
        <f t="shared" si="909"/>
        <v>0</v>
      </c>
      <c r="AH2124" s="15"/>
      <c r="AI2124" s="15"/>
      <c r="AJ2124" s="15"/>
      <c r="AK2124" s="15"/>
      <c r="AL2124" s="15"/>
      <c r="AM2124" s="15"/>
      <c r="AN2124" s="15"/>
      <c r="AO2124" s="15"/>
      <c r="AP2124" s="15"/>
      <c r="AQ2124" s="15"/>
      <c r="AR2124" s="15"/>
      <c r="AS2124" s="15"/>
      <c r="AT2124" s="15"/>
      <c r="AU2124" s="15"/>
    </row>
    <row r="2125" ht="24.0" customHeight="1">
      <c r="A2125" s="45">
        <v>3549.0</v>
      </c>
      <c r="B2125" s="57"/>
      <c r="C2125" s="57"/>
      <c r="D2125" s="88" t="str">
        <f t="array" ref="D2125">IFERROR(
  LOOKUP(2, 1/((TRIM(IMS!$E$8:$E$2574)=TRIM(IMS!$E2125))*(IMS!$C$8:$C$2574&lt;IMS!$C2125)),
         IMS!$C$8:$C$2574),
"")</f>
        <v/>
      </c>
      <c r="E2125" s="57"/>
      <c r="F2125" s="57"/>
      <c r="G2125" s="77" t="str">
        <f t="shared" si="901"/>
        <v/>
      </c>
      <c r="H2125" s="78" t="str">
        <f t="shared" si="902"/>
        <v/>
      </c>
      <c r="I2125" s="79"/>
      <c r="J2125" s="80" t="str">
        <f t="shared" si="903"/>
        <v>#NAME?</v>
      </c>
      <c r="K2125" s="58"/>
      <c r="L2125" s="58"/>
      <c r="M2125" s="57"/>
      <c r="N2125" s="57"/>
      <c r="O2125" s="58"/>
      <c r="P2125" s="82"/>
      <c r="Q2125" s="81"/>
      <c r="R2125" s="81"/>
      <c r="S2125" s="57"/>
      <c r="T2125" s="82"/>
      <c r="U2125" s="82"/>
      <c r="V2125" s="57"/>
      <c r="W2125" s="57"/>
      <c r="X2125" s="57" t="str">
        <f t="shared" si="917"/>
        <v/>
      </c>
      <c r="Y2125" s="58" t="str">
        <f t="shared" ref="Y2125:AC2125" si="1965">TRIM(SUBSTITUTE(SUBSTITUTE(OFFSET($Q2125,0,COLUMN()-COLUMN($AL$1)),CHAR(160)," "),_xludf.UNICHAR(8239)," "))</f>
        <v>#NAME?</v>
      </c>
      <c r="Z2125" s="58" t="str">
        <f t="shared" si="1965"/>
        <v>#NAME?</v>
      </c>
      <c r="AA2125" s="58" t="str">
        <f t="shared" si="1965"/>
        <v>#NAME?</v>
      </c>
      <c r="AB2125" s="58" t="str">
        <f t="shared" si="1965"/>
        <v>#NAME?</v>
      </c>
      <c r="AC2125" s="58" t="str">
        <f t="shared" si="1965"/>
        <v>#NAME?</v>
      </c>
      <c r="AD2125" s="57">
        <f t="shared" si="906"/>
        <v>0</v>
      </c>
      <c r="AE2125" s="57" t="str">
        <f t="shared" si="907"/>
        <v/>
      </c>
      <c r="AF2125" s="57">
        <f t="shared" si="908"/>
        <v>0</v>
      </c>
      <c r="AG2125" s="59">
        <f t="shared" si="909"/>
        <v>0</v>
      </c>
      <c r="AH2125" s="15"/>
      <c r="AI2125" s="15"/>
      <c r="AJ2125" s="15"/>
      <c r="AK2125" s="15"/>
      <c r="AL2125" s="15"/>
      <c r="AM2125" s="15"/>
      <c r="AN2125" s="15"/>
      <c r="AO2125" s="15"/>
      <c r="AP2125" s="15"/>
      <c r="AQ2125" s="15"/>
      <c r="AR2125" s="15"/>
      <c r="AS2125" s="15"/>
      <c r="AT2125" s="15"/>
      <c r="AU2125" s="15"/>
    </row>
    <row r="2126" ht="24.0" customHeight="1">
      <c r="A2126" s="45">
        <v>3550.0</v>
      </c>
      <c r="B2126" s="57"/>
      <c r="C2126" s="57"/>
      <c r="D2126" s="88" t="str">
        <f t="array" ref="D2126">IFERROR(
  LOOKUP(2, 1/((TRIM(IMS!$E$8:$E$2574)=TRIM(IMS!$E2126))*(IMS!$C$8:$C$2574&lt;IMS!$C2126)),
         IMS!$C$8:$C$2574),
"")</f>
        <v/>
      </c>
      <c r="E2126" s="57"/>
      <c r="F2126" s="57"/>
      <c r="G2126" s="77" t="str">
        <f t="shared" si="901"/>
        <v/>
      </c>
      <c r="H2126" s="78" t="str">
        <f t="shared" si="902"/>
        <v/>
      </c>
      <c r="I2126" s="79"/>
      <c r="J2126" s="80" t="str">
        <f t="shared" si="903"/>
        <v>#NAME?</v>
      </c>
      <c r="K2126" s="58"/>
      <c r="L2126" s="58"/>
      <c r="M2126" s="57"/>
      <c r="N2126" s="57"/>
      <c r="O2126" s="58"/>
      <c r="P2126" s="82"/>
      <c r="Q2126" s="81"/>
      <c r="R2126" s="81"/>
      <c r="S2126" s="57"/>
      <c r="T2126" s="82"/>
      <c r="U2126" s="82"/>
      <c r="V2126" s="57"/>
      <c r="W2126" s="57"/>
      <c r="X2126" s="57" t="str">
        <f t="shared" si="917"/>
        <v/>
      </c>
      <c r="Y2126" s="58" t="str">
        <f t="shared" ref="Y2126:AC2126" si="1966">TRIM(SUBSTITUTE(SUBSTITUTE(OFFSET($Q2126,0,COLUMN()-COLUMN($AL$1)),CHAR(160)," "),_xludf.UNICHAR(8239)," "))</f>
        <v>#NAME?</v>
      </c>
      <c r="Z2126" s="58" t="str">
        <f t="shared" si="1966"/>
        <v>#NAME?</v>
      </c>
      <c r="AA2126" s="58" t="str">
        <f t="shared" si="1966"/>
        <v>#NAME?</v>
      </c>
      <c r="AB2126" s="58" t="str">
        <f t="shared" si="1966"/>
        <v>#NAME?</v>
      </c>
      <c r="AC2126" s="58" t="str">
        <f t="shared" si="1966"/>
        <v>#NAME?</v>
      </c>
      <c r="AD2126" s="57">
        <f t="shared" si="906"/>
        <v>0</v>
      </c>
      <c r="AE2126" s="57" t="str">
        <f t="shared" si="907"/>
        <v/>
      </c>
      <c r="AF2126" s="57">
        <f t="shared" si="908"/>
        <v>0</v>
      </c>
      <c r="AG2126" s="59">
        <f t="shared" si="909"/>
        <v>0</v>
      </c>
      <c r="AH2126" s="15"/>
      <c r="AI2126" s="15"/>
      <c r="AJ2126" s="15"/>
      <c r="AK2126" s="15"/>
      <c r="AL2126" s="15"/>
      <c r="AM2126" s="15"/>
      <c r="AN2126" s="15"/>
      <c r="AO2126" s="15"/>
      <c r="AP2126" s="15"/>
      <c r="AQ2126" s="15"/>
      <c r="AR2126" s="15"/>
      <c r="AS2126" s="15"/>
      <c r="AT2126" s="15"/>
      <c r="AU2126" s="15"/>
    </row>
    <row r="2127" ht="24.0" customHeight="1">
      <c r="A2127" s="45">
        <v>3551.0</v>
      </c>
      <c r="B2127" s="57"/>
      <c r="C2127" s="57"/>
      <c r="D2127" s="88" t="str">
        <f t="array" ref="D2127">IFERROR(
  LOOKUP(2, 1/((TRIM(IMS!$E$8:$E$2574)=TRIM(IMS!$E2127))*(IMS!$C$8:$C$2574&lt;IMS!$C2127)),
         IMS!$C$8:$C$2574),
"")</f>
        <v/>
      </c>
      <c r="E2127" s="57"/>
      <c r="F2127" s="57"/>
      <c r="G2127" s="77" t="str">
        <f t="shared" si="901"/>
        <v/>
      </c>
      <c r="H2127" s="78" t="str">
        <f t="shared" si="902"/>
        <v/>
      </c>
      <c r="I2127" s="79"/>
      <c r="J2127" s="80" t="str">
        <f t="shared" si="903"/>
        <v>#NAME?</v>
      </c>
      <c r="K2127" s="58"/>
      <c r="L2127" s="58"/>
      <c r="M2127" s="57"/>
      <c r="N2127" s="57"/>
      <c r="O2127" s="58"/>
      <c r="P2127" s="82"/>
      <c r="Q2127" s="81"/>
      <c r="R2127" s="81"/>
      <c r="S2127" s="57"/>
      <c r="T2127" s="82"/>
      <c r="U2127" s="82"/>
      <c r="V2127" s="57"/>
      <c r="W2127" s="57"/>
      <c r="X2127" s="57" t="str">
        <f t="shared" si="917"/>
        <v/>
      </c>
      <c r="Y2127" s="58" t="str">
        <f t="shared" ref="Y2127:AC2127" si="1967">TRIM(SUBSTITUTE(SUBSTITUTE(OFFSET($Q2127,0,COLUMN()-COLUMN($AL$1)),CHAR(160)," "),_xludf.UNICHAR(8239)," "))</f>
        <v>#NAME?</v>
      </c>
      <c r="Z2127" s="58" t="str">
        <f t="shared" si="1967"/>
        <v>#NAME?</v>
      </c>
      <c r="AA2127" s="58" t="str">
        <f t="shared" si="1967"/>
        <v>#NAME?</v>
      </c>
      <c r="AB2127" s="58" t="str">
        <f t="shared" si="1967"/>
        <v>#NAME?</v>
      </c>
      <c r="AC2127" s="58" t="str">
        <f t="shared" si="1967"/>
        <v>#NAME?</v>
      </c>
      <c r="AD2127" s="57">
        <f t="shared" si="906"/>
        <v>0</v>
      </c>
      <c r="AE2127" s="57" t="str">
        <f t="shared" si="907"/>
        <v/>
      </c>
      <c r="AF2127" s="57">
        <f t="shared" si="908"/>
        <v>0</v>
      </c>
      <c r="AG2127" s="59">
        <f t="shared" si="909"/>
        <v>0</v>
      </c>
      <c r="AH2127" s="15"/>
      <c r="AI2127" s="15"/>
      <c r="AJ2127" s="15"/>
      <c r="AK2127" s="15"/>
      <c r="AL2127" s="15"/>
      <c r="AM2127" s="15"/>
      <c r="AN2127" s="15"/>
      <c r="AO2127" s="15"/>
      <c r="AP2127" s="15"/>
      <c r="AQ2127" s="15"/>
      <c r="AR2127" s="15"/>
      <c r="AS2127" s="15"/>
      <c r="AT2127" s="15"/>
      <c r="AU2127" s="15"/>
    </row>
    <row r="2128" ht="24.0" customHeight="1">
      <c r="A2128" s="45">
        <v>3552.0</v>
      </c>
      <c r="B2128" s="57"/>
      <c r="C2128" s="57"/>
      <c r="D2128" s="88" t="str">
        <f t="array" ref="D2128">IFERROR(
  LOOKUP(2, 1/((TRIM(IMS!$E$8:$E$2574)=TRIM(IMS!$E2128))*(IMS!$C$8:$C$2574&lt;IMS!$C2128)),
         IMS!$C$8:$C$2574),
"")</f>
        <v/>
      </c>
      <c r="E2128" s="57"/>
      <c r="F2128" s="57"/>
      <c r="G2128" s="77" t="str">
        <f t="shared" si="901"/>
        <v/>
      </c>
      <c r="H2128" s="78" t="str">
        <f t="shared" si="902"/>
        <v/>
      </c>
      <c r="I2128" s="79"/>
      <c r="J2128" s="80" t="str">
        <f t="shared" si="903"/>
        <v>#NAME?</v>
      </c>
      <c r="K2128" s="58"/>
      <c r="L2128" s="58"/>
      <c r="M2128" s="57"/>
      <c r="N2128" s="57"/>
      <c r="O2128" s="58"/>
      <c r="P2128" s="82"/>
      <c r="Q2128" s="81"/>
      <c r="R2128" s="81"/>
      <c r="S2128" s="57"/>
      <c r="T2128" s="82"/>
      <c r="U2128" s="82"/>
      <c r="V2128" s="57"/>
      <c r="W2128" s="57"/>
      <c r="X2128" s="57" t="str">
        <f t="shared" si="917"/>
        <v/>
      </c>
      <c r="Y2128" s="58" t="str">
        <f t="shared" ref="Y2128:AC2128" si="1968">TRIM(SUBSTITUTE(SUBSTITUTE(OFFSET($Q2128,0,COLUMN()-COLUMN($AL$1)),CHAR(160)," "),_xludf.UNICHAR(8239)," "))</f>
        <v>#NAME?</v>
      </c>
      <c r="Z2128" s="58" t="str">
        <f t="shared" si="1968"/>
        <v>#NAME?</v>
      </c>
      <c r="AA2128" s="58" t="str">
        <f t="shared" si="1968"/>
        <v>#NAME?</v>
      </c>
      <c r="AB2128" s="58" t="str">
        <f t="shared" si="1968"/>
        <v>#NAME?</v>
      </c>
      <c r="AC2128" s="58" t="str">
        <f t="shared" si="1968"/>
        <v>#NAME?</v>
      </c>
      <c r="AD2128" s="57">
        <f t="shared" si="906"/>
        <v>0</v>
      </c>
      <c r="AE2128" s="57" t="str">
        <f t="shared" si="907"/>
        <v/>
      </c>
      <c r="AF2128" s="57">
        <f t="shared" si="908"/>
        <v>0</v>
      </c>
      <c r="AG2128" s="59">
        <f t="shared" si="909"/>
        <v>0</v>
      </c>
      <c r="AH2128" s="15"/>
      <c r="AI2128" s="15"/>
      <c r="AJ2128" s="15"/>
      <c r="AK2128" s="15"/>
      <c r="AL2128" s="15"/>
      <c r="AM2128" s="15"/>
      <c r="AN2128" s="15"/>
      <c r="AO2128" s="15"/>
      <c r="AP2128" s="15"/>
      <c r="AQ2128" s="15"/>
      <c r="AR2128" s="15"/>
      <c r="AS2128" s="15"/>
      <c r="AT2128" s="15"/>
      <c r="AU2128" s="15"/>
    </row>
    <row r="2129" ht="24.0" customHeight="1">
      <c r="A2129" s="45">
        <v>3553.0</v>
      </c>
      <c r="B2129" s="57"/>
      <c r="C2129" s="57"/>
      <c r="D2129" s="88" t="str">
        <f t="array" ref="D2129">IFERROR(
  LOOKUP(2, 1/((TRIM(IMS!$E$8:$E$2574)=TRIM(IMS!$E2129))*(IMS!$C$8:$C$2574&lt;IMS!$C2129)),
         IMS!$C$8:$C$2574),
"")</f>
        <v/>
      </c>
      <c r="E2129" s="57"/>
      <c r="F2129" s="57"/>
      <c r="G2129" s="77" t="str">
        <f t="shared" si="901"/>
        <v/>
      </c>
      <c r="H2129" s="78" t="str">
        <f t="shared" si="902"/>
        <v/>
      </c>
      <c r="I2129" s="79"/>
      <c r="J2129" s="80" t="str">
        <f t="shared" si="903"/>
        <v>#NAME?</v>
      </c>
      <c r="K2129" s="58"/>
      <c r="L2129" s="58"/>
      <c r="M2129" s="57"/>
      <c r="N2129" s="57"/>
      <c r="O2129" s="58"/>
      <c r="P2129" s="82"/>
      <c r="Q2129" s="81"/>
      <c r="R2129" s="81"/>
      <c r="S2129" s="57"/>
      <c r="T2129" s="82"/>
      <c r="U2129" s="82"/>
      <c r="V2129" s="57"/>
      <c r="W2129" s="57"/>
      <c r="X2129" s="57" t="str">
        <f t="shared" si="917"/>
        <v/>
      </c>
      <c r="Y2129" s="58" t="str">
        <f t="shared" ref="Y2129:AC2129" si="1969">TRIM(SUBSTITUTE(SUBSTITUTE(OFFSET($Q2129,0,COLUMN()-COLUMN($AL$1)),CHAR(160)," "),_xludf.UNICHAR(8239)," "))</f>
        <v>#NAME?</v>
      </c>
      <c r="Z2129" s="58" t="str">
        <f t="shared" si="1969"/>
        <v>#NAME?</v>
      </c>
      <c r="AA2129" s="58" t="str">
        <f t="shared" si="1969"/>
        <v>#NAME?</v>
      </c>
      <c r="AB2129" s="58" t="str">
        <f t="shared" si="1969"/>
        <v>#NAME?</v>
      </c>
      <c r="AC2129" s="58" t="str">
        <f t="shared" si="1969"/>
        <v>#NAME?</v>
      </c>
      <c r="AD2129" s="57">
        <f t="shared" si="906"/>
        <v>0</v>
      </c>
      <c r="AE2129" s="57" t="str">
        <f t="shared" si="907"/>
        <v/>
      </c>
      <c r="AF2129" s="57">
        <f t="shared" si="908"/>
        <v>0</v>
      </c>
      <c r="AG2129" s="59">
        <f t="shared" si="909"/>
        <v>0</v>
      </c>
      <c r="AH2129" s="15"/>
      <c r="AI2129" s="15"/>
      <c r="AJ2129" s="15"/>
      <c r="AK2129" s="15"/>
      <c r="AL2129" s="15"/>
      <c r="AM2129" s="15"/>
      <c r="AN2129" s="15"/>
      <c r="AO2129" s="15"/>
      <c r="AP2129" s="15"/>
      <c r="AQ2129" s="15"/>
      <c r="AR2129" s="15"/>
      <c r="AS2129" s="15"/>
      <c r="AT2129" s="15"/>
      <c r="AU2129" s="15"/>
    </row>
    <row r="2130" ht="24.0" customHeight="1">
      <c r="A2130" s="45">
        <v>3554.0</v>
      </c>
      <c r="B2130" s="57"/>
      <c r="C2130" s="57"/>
      <c r="D2130" s="88" t="str">
        <f t="array" ref="D2130">IFERROR(
  LOOKUP(2, 1/((TRIM(IMS!$E$8:$E$2574)=TRIM(IMS!$E2130))*(IMS!$C$8:$C$2574&lt;IMS!$C2130)),
         IMS!$C$8:$C$2574),
"")</f>
        <v/>
      </c>
      <c r="E2130" s="57"/>
      <c r="F2130" s="57"/>
      <c r="G2130" s="77" t="str">
        <f t="shared" si="901"/>
        <v/>
      </c>
      <c r="H2130" s="78" t="str">
        <f t="shared" si="902"/>
        <v/>
      </c>
      <c r="I2130" s="79"/>
      <c r="J2130" s="80" t="str">
        <f t="shared" si="903"/>
        <v>#NAME?</v>
      </c>
      <c r="K2130" s="58"/>
      <c r="L2130" s="58"/>
      <c r="M2130" s="57"/>
      <c r="N2130" s="57"/>
      <c r="O2130" s="58"/>
      <c r="P2130" s="82"/>
      <c r="Q2130" s="81"/>
      <c r="R2130" s="81"/>
      <c r="S2130" s="57"/>
      <c r="T2130" s="82"/>
      <c r="U2130" s="82"/>
      <c r="V2130" s="57"/>
      <c r="W2130" s="57"/>
      <c r="X2130" s="57" t="str">
        <f t="shared" si="917"/>
        <v/>
      </c>
      <c r="Y2130" s="58" t="str">
        <f t="shared" ref="Y2130:AC2130" si="1970">TRIM(SUBSTITUTE(SUBSTITUTE(OFFSET($Q2130,0,COLUMN()-COLUMN($AL$1)),CHAR(160)," "),_xludf.UNICHAR(8239)," "))</f>
        <v>#NAME?</v>
      </c>
      <c r="Z2130" s="58" t="str">
        <f t="shared" si="1970"/>
        <v>#NAME?</v>
      </c>
      <c r="AA2130" s="58" t="str">
        <f t="shared" si="1970"/>
        <v>#NAME?</v>
      </c>
      <c r="AB2130" s="58" t="str">
        <f t="shared" si="1970"/>
        <v>#NAME?</v>
      </c>
      <c r="AC2130" s="58" t="str">
        <f t="shared" si="1970"/>
        <v>#NAME?</v>
      </c>
      <c r="AD2130" s="57">
        <f t="shared" si="906"/>
        <v>0</v>
      </c>
      <c r="AE2130" s="57" t="str">
        <f t="shared" si="907"/>
        <v/>
      </c>
      <c r="AF2130" s="57">
        <f t="shared" si="908"/>
        <v>0</v>
      </c>
      <c r="AG2130" s="59">
        <f t="shared" si="909"/>
        <v>0</v>
      </c>
      <c r="AH2130" s="15"/>
      <c r="AI2130" s="15"/>
      <c r="AJ2130" s="15"/>
      <c r="AK2130" s="15"/>
      <c r="AL2130" s="15"/>
      <c r="AM2130" s="15"/>
      <c r="AN2130" s="15"/>
      <c r="AO2130" s="15"/>
      <c r="AP2130" s="15"/>
      <c r="AQ2130" s="15"/>
      <c r="AR2130" s="15"/>
      <c r="AS2130" s="15"/>
      <c r="AT2130" s="15"/>
      <c r="AU2130" s="15"/>
    </row>
    <row r="2131" ht="24.0" customHeight="1">
      <c r="A2131" s="45">
        <v>3555.0</v>
      </c>
      <c r="B2131" s="57"/>
      <c r="C2131" s="57"/>
      <c r="D2131" s="88" t="str">
        <f t="array" ref="D2131">IFERROR(
  LOOKUP(2, 1/((TRIM(IMS!$E$8:$E$2574)=TRIM(IMS!$E2131))*(IMS!$C$8:$C$2574&lt;IMS!$C2131)),
         IMS!$C$8:$C$2574),
"")</f>
        <v/>
      </c>
      <c r="E2131" s="57"/>
      <c r="F2131" s="57"/>
      <c r="G2131" s="77" t="str">
        <f t="shared" si="901"/>
        <v/>
      </c>
      <c r="H2131" s="78" t="str">
        <f t="shared" si="902"/>
        <v/>
      </c>
      <c r="I2131" s="79"/>
      <c r="J2131" s="80" t="str">
        <f t="shared" si="903"/>
        <v>#NAME?</v>
      </c>
      <c r="K2131" s="58"/>
      <c r="L2131" s="58"/>
      <c r="M2131" s="57"/>
      <c r="N2131" s="57"/>
      <c r="O2131" s="58"/>
      <c r="P2131" s="82"/>
      <c r="Q2131" s="81"/>
      <c r="R2131" s="81"/>
      <c r="S2131" s="57"/>
      <c r="T2131" s="82"/>
      <c r="U2131" s="82"/>
      <c r="V2131" s="57"/>
      <c r="W2131" s="57"/>
      <c r="X2131" s="57" t="str">
        <f t="shared" si="917"/>
        <v/>
      </c>
      <c r="Y2131" s="58" t="str">
        <f t="shared" ref="Y2131:AC2131" si="1971">TRIM(SUBSTITUTE(SUBSTITUTE(OFFSET($Q2131,0,COLUMN()-COLUMN($AL$1)),CHAR(160)," "),_xludf.UNICHAR(8239)," "))</f>
        <v>#NAME?</v>
      </c>
      <c r="Z2131" s="58" t="str">
        <f t="shared" si="1971"/>
        <v>#NAME?</v>
      </c>
      <c r="AA2131" s="58" t="str">
        <f t="shared" si="1971"/>
        <v>#NAME?</v>
      </c>
      <c r="AB2131" s="58" t="str">
        <f t="shared" si="1971"/>
        <v>#NAME?</v>
      </c>
      <c r="AC2131" s="58" t="str">
        <f t="shared" si="1971"/>
        <v>#NAME?</v>
      </c>
      <c r="AD2131" s="57">
        <f t="shared" si="906"/>
        <v>0</v>
      </c>
      <c r="AE2131" s="57" t="str">
        <f t="shared" si="907"/>
        <v/>
      </c>
      <c r="AF2131" s="57">
        <f t="shared" si="908"/>
        <v>0</v>
      </c>
      <c r="AG2131" s="59">
        <f t="shared" si="909"/>
        <v>0</v>
      </c>
      <c r="AH2131" s="15"/>
      <c r="AI2131" s="15"/>
      <c r="AJ2131" s="15"/>
      <c r="AK2131" s="15"/>
      <c r="AL2131" s="15"/>
      <c r="AM2131" s="15"/>
      <c r="AN2131" s="15"/>
      <c r="AO2131" s="15"/>
      <c r="AP2131" s="15"/>
      <c r="AQ2131" s="15"/>
      <c r="AR2131" s="15"/>
      <c r="AS2131" s="15"/>
      <c r="AT2131" s="15"/>
      <c r="AU2131" s="15"/>
    </row>
    <row r="2132" ht="24.0" customHeight="1">
      <c r="A2132" s="45">
        <v>3556.0</v>
      </c>
      <c r="B2132" s="57"/>
      <c r="C2132" s="57"/>
      <c r="D2132" s="88" t="str">
        <f t="array" ref="D2132">IFERROR(
  LOOKUP(2, 1/((TRIM(IMS!$E$8:$E$2574)=TRIM(IMS!$E2132))*(IMS!$C$8:$C$2574&lt;IMS!$C2132)),
         IMS!$C$8:$C$2574),
"")</f>
        <v/>
      </c>
      <c r="E2132" s="57"/>
      <c r="F2132" s="57"/>
      <c r="G2132" s="77" t="str">
        <f t="shared" si="901"/>
        <v/>
      </c>
      <c r="H2132" s="78" t="str">
        <f t="shared" si="902"/>
        <v/>
      </c>
      <c r="I2132" s="79"/>
      <c r="J2132" s="80" t="str">
        <f t="shared" si="903"/>
        <v>#NAME?</v>
      </c>
      <c r="K2132" s="58"/>
      <c r="L2132" s="58"/>
      <c r="M2132" s="57"/>
      <c r="N2132" s="57"/>
      <c r="O2132" s="58"/>
      <c r="P2132" s="82"/>
      <c r="Q2132" s="81"/>
      <c r="R2132" s="81"/>
      <c r="S2132" s="57"/>
      <c r="T2132" s="82"/>
      <c r="U2132" s="82"/>
      <c r="V2132" s="57"/>
      <c r="W2132" s="57"/>
      <c r="X2132" s="57" t="str">
        <f t="shared" si="917"/>
        <v/>
      </c>
      <c r="Y2132" s="58" t="str">
        <f t="shared" ref="Y2132:AC2132" si="1972">TRIM(SUBSTITUTE(SUBSTITUTE(OFFSET($Q2132,0,COLUMN()-COLUMN($AL$1)),CHAR(160)," "),_xludf.UNICHAR(8239)," "))</f>
        <v>#NAME?</v>
      </c>
      <c r="Z2132" s="58" t="str">
        <f t="shared" si="1972"/>
        <v>#NAME?</v>
      </c>
      <c r="AA2132" s="58" t="str">
        <f t="shared" si="1972"/>
        <v>#NAME?</v>
      </c>
      <c r="AB2132" s="58" t="str">
        <f t="shared" si="1972"/>
        <v>#NAME?</v>
      </c>
      <c r="AC2132" s="58" t="str">
        <f t="shared" si="1972"/>
        <v>#NAME?</v>
      </c>
      <c r="AD2132" s="57">
        <f t="shared" si="906"/>
        <v>0</v>
      </c>
      <c r="AE2132" s="57" t="str">
        <f t="shared" si="907"/>
        <v/>
      </c>
      <c r="AF2132" s="57">
        <f t="shared" si="908"/>
        <v>0</v>
      </c>
      <c r="AG2132" s="59">
        <f t="shared" si="909"/>
        <v>0</v>
      </c>
      <c r="AH2132" s="15"/>
      <c r="AI2132" s="15"/>
      <c r="AJ2132" s="15"/>
      <c r="AK2132" s="15"/>
      <c r="AL2132" s="15"/>
      <c r="AM2132" s="15"/>
      <c r="AN2132" s="15"/>
      <c r="AO2132" s="15"/>
      <c r="AP2132" s="15"/>
      <c r="AQ2132" s="15"/>
      <c r="AR2132" s="15"/>
      <c r="AS2132" s="15"/>
      <c r="AT2132" s="15"/>
      <c r="AU2132" s="15"/>
    </row>
    <row r="2133" ht="24.0" customHeight="1">
      <c r="A2133" s="45">
        <v>3557.0</v>
      </c>
      <c r="B2133" s="57"/>
      <c r="C2133" s="57"/>
      <c r="D2133" s="88" t="str">
        <f t="array" ref="D2133">IFERROR(
  LOOKUP(2, 1/((TRIM(IMS!$E$8:$E$2574)=TRIM(IMS!$E2133))*(IMS!$C$8:$C$2574&lt;IMS!$C2133)),
         IMS!$C$8:$C$2574),
"")</f>
        <v/>
      </c>
      <c r="E2133" s="57"/>
      <c r="F2133" s="57"/>
      <c r="G2133" s="77" t="str">
        <f t="shared" si="901"/>
        <v/>
      </c>
      <c r="H2133" s="78" t="str">
        <f t="shared" si="902"/>
        <v/>
      </c>
      <c r="I2133" s="79"/>
      <c r="J2133" s="80" t="str">
        <f t="shared" si="903"/>
        <v>#NAME?</v>
      </c>
      <c r="K2133" s="58"/>
      <c r="L2133" s="58"/>
      <c r="M2133" s="57"/>
      <c r="N2133" s="57"/>
      <c r="O2133" s="58"/>
      <c r="P2133" s="82"/>
      <c r="Q2133" s="81"/>
      <c r="R2133" s="81"/>
      <c r="S2133" s="57"/>
      <c r="T2133" s="82"/>
      <c r="U2133" s="82"/>
      <c r="V2133" s="57"/>
      <c r="W2133" s="57"/>
      <c r="X2133" s="57" t="str">
        <f t="shared" si="917"/>
        <v/>
      </c>
      <c r="Y2133" s="58" t="str">
        <f t="shared" ref="Y2133:AC2133" si="1973">TRIM(SUBSTITUTE(SUBSTITUTE(OFFSET($Q2133,0,COLUMN()-COLUMN($AL$1)),CHAR(160)," "),_xludf.UNICHAR(8239)," "))</f>
        <v>#NAME?</v>
      </c>
      <c r="Z2133" s="58" t="str">
        <f t="shared" si="1973"/>
        <v>#NAME?</v>
      </c>
      <c r="AA2133" s="58" t="str">
        <f t="shared" si="1973"/>
        <v>#NAME?</v>
      </c>
      <c r="AB2133" s="58" t="str">
        <f t="shared" si="1973"/>
        <v>#NAME?</v>
      </c>
      <c r="AC2133" s="58" t="str">
        <f t="shared" si="1973"/>
        <v>#NAME?</v>
      </c>
      <c r="AD2133" s="57">
        <f t="shared" si="906"/>
        <v>0</v>
      </c>
      <c r="AE2133" s="57" t="str">
        <f t="shared" si="907"/>
        <v/>
      </c>
      <c r="AF2133" s="57">
        <f t="shared" si="908"/>
        <v>0</v>
      </c>
      <c r="AG2133" s="59">
        <f t="shared" si="909"/>
        <v>0</v>
      </c>
      <c r="AH2133" s="15"/>
      <c r="AI2133" s="15"/>
      <c r="AJ2133" s="15"/>
      <c r="AK2133" s="15"/>
      <c r="AL2133" s="15"/>
      <c r="AM2133" s="15"/>
      <c r="AN2133" s="15"/>
      <c r="AO2133" s="15"/>
      <c r="AP2133" s="15"/>
      <c r="AQ2133" s="15"/>
      <c r="AR2133" s="15"/>
      <c r="AS2133" s="15"/>
      <c r="AT2133" s="15"/>
      <c r="AU2133" s="15"/>
    </row>
    <row r="2134" ht="24.0" customHeight="1">
      <c r="A2134" s="45">
        <v>3558.0</v>
      </c>
      <c r="B2134" s="57"/>
      <c r="C2134" s="57"/>
      <c r="D2134" s="88" t="str">
        <f t="array" ref="D2134">IFERROR(
  LOOKUP(2, 1/((TRIM(IMS!$E$8:$E$2574)=TRIM(IMS!$E2134))*(IMS!$C$8:$C$2574&lt;IMS!$C2134)),
         IMS!$C$8:$C$2574),
"")</f>
        <v/>
      </c>
      <c r="E2134" s="57"/>
      <c r="F2134" s="57"/>
      <c r="G2134" s="77" t="str">
        <f t="shared" si="901"/>
        <v/>
      </c>
      <c r="H2134" s="78" t="str">
        <f t="shared" si="902"/>
        <v/>
      </c>
      <c r="I2134" s="79"/>
      <c r="J2134" s="80" t="str">
        <f t="shared" si="903"/>
        <v>#NAME?</v>
      </c>
      <c r="K2134" s="58"/>
      <c r="L2134" s="58"/>
      <c r="M2134" s="57"/>
      <c r="N2134" s="57"/>
      <c r="O2134" s="58"/>
      <c r="P2134" s="82"/>
      <c r="Q2134" s="81"/>
      <c r="R2134" s="81"/>
      <c r="S2134" s="57"/>
      <c r="T2134" s="82"/>
      <c r="U2134" s="82"/>
      <c r="V2134" s="57"/>
      <c r="W2134" s="57"/>
      <c r="X2134" s="57" t="str">
        <f t="shared" si="917"/>
        <v/>
      </c>
      <c r="Y2134" s="58" t="str">
        <f t="shared" ref="Y2134:AC2134" si="1974">TRIM(SUBSTITUTE(SUBSTITUTE(OFFSET($Q2134,0,COLUMN()-COLUMN($AL$1)),CHAR(160)," "),_xludf.UNICHAR(8239)," "))</f>
        <v>#NAME?</v>
      </c>
      <c r="Z2134" s="58" t="str">
        <f t="shared" si="1974"/>
        <v>#NAME?</v>
      </c>
      <c r="AA2134" s="58" t="str">
        <f t="shared" si="1974"/>
        <v>#NAME?</v>
      </c>
      <c r="AB2134" s="58" t="str">
        <f t="shared" si="1974"/>
        <v>#NAME?</v>
      </c>
      <c r="AC2134" s="58" t="str">
        <f t="shared" si="1974"/>
        <v>#NAME?</v>
      </c>
      <c r="AD2134" s="57">
        <f t="shared" si="906"/>
        <v>0</v>
      </c>
      <c r="AE2134" s="57" t="str">
        <f t="shared" si="907"/>
        <v/>
      </c>
      <c r="AF2134" s="57">
        <f t="shared" si="908"/>
        <v>0</v>
      </c>
      <c r="AG2134" s="59">
        <f t="shared" si="909"/>
        <v>0</v>
      </c>
      <c r="AH2134" s="15"/>
      <c r="AI2134" s="15"/>
      <c r="AJ2134" s="15"/>
      <c r="AK2134" s="15"/>
      <c r="AL2134" s="15"/>
      <c r="AM2134" s="15"/>
      <c r="AN2134" s="15"/>
      <c r="AO2134" s="15"/>
      <c r="AP2134" s="15"/>
      <c r="AQ2134" s="15"/>
      <c r="AR2134" s="15"/>
      <c r="AS2134" s="15"/>
      <c r="AT2134" s="15"/>
      <c r="AU2134" s="15"/>
    </row>
    <row r="2135" ht="24.0" customHeight="1">
      <c r="A2135" s="45">
        <v>3559.0</v>
      </c>
      <c r="B2135" s="57"/>
      <c r="C2135" s="57"/>
      <c r="D2135" s="88" t="str">
        <f t="array" ref="D2135">IFERROR(
  LOOKUP(2, 1/((TRIM(IMS!$E$8:$E$2574)=TRIM(IMS!$E2135))*(IMS!$C$8:$C$2574&lt;IMS!$C2135)),
         IMS!$C$8:$C$2574),
"")</f>
        <v/>
      </c>
      <c r="E2135" s="57"/>
      <c r="F2135" s="57"/>
      <c r="G2135" s="77" t="str">
        <f t="shared" si="901"/>
        <v/>
      </c>
      <c r="H2135" s="78" t="str">
        <f t="shared" si="902"/>
        <v/>
      </c>
      <c r="I2135" s="79"/>
      <c r="J2135" s="80" t="str">
        <f t="shared" si="903"/>
        <v>#NAME?</v>
      </c>
      <c r="K2135" s="58"/>
      <c r="L2135" s="58"/>
      <c r="M2135" s="57"/>
      <c r="N2135" s="57"/>
      <c r="O2135" s="58"/>
      <c r="P2135" s="82"/>
      <c r="Q2135" s="81"/>
      <c r="R2135" s="81"/>
      <c r="S2135" s="57"/>
      <c r="T2135" s="82"/>
      <c r="U2135" s="82"/>
      <c r="V2135" s="57"/>
      <c r="W2135" s="57"/>
      <c r="X2135" s="57" t="str">
        <f t="shared" si="917"/>
        <v/>
      </c>
      <c r="Y2135" s="58" t="str">
        <f t="shared" ref="Y2135:AC2135" si="1975">TRIM(SUBSTITUTE(SUBSTITUTE(OFFSET($Q2135,0,COLUMN()-COLUMN($AL$1)),CHAR(160)," "),_xludf.UNICHAR(8239)," "))</f>
        <v>#NAME?</v>
      </c>
      <c r="Z2135" s="58" t="str">
        <f t="shared" si="1975"/>
        <v>#NAME?</v>
      </c>
      <c r="AA2135" s="58" t="str">
        <f t="shared" si="1975"/>
        <v>#NAME?</v>
      </c>
      <c r="AB2135" s="58" t="str">
        <f t="shared" si="1975"/>
        <v>#NAME?</v>
      </c>
      <c r="AC2135" s="58" t="str">
        <f t="shared" si="1975"/>
        <v>#NAME?</v>
      </c>
      <c r="AD2135" s="57">
        <f t="shared" si="906"/>
        <v>0</v>
      </c>
      <c r="AE2135" s="57" t="str">
        <f t="shared" si="907"/>
        <v/>
      </c>
      <c r="AF2135" s="57">
        <f t="shared" si="908"/>
        <v>0</v>
      </c>
      <c r="AG2135" s="59">
        <f t="shared" si="909"/>
        <v>0</v>
      </c>
      <c r="AH2135" s="15"/>
      <c r="AI2135" s="15"/>
      <c r="AJ2135" s="15"/>
      <c r="AK2135" s="15"/>
      <c r="AL2135" s="15"/>
      <c r="AM2135" s="15"/>
      <c r="AN2135" s="15"/>
      <c r="AO2135" s="15"/>
      <c r="AP2135" s="15"/>
      <c r="AQ2135" s="15"/>
      <c r="AR2135" s="15"/>
      <c r="AS2135" s="15"/>
      <c r="AT2135" s="15"/>
      <c r="AU2135" s="15"/>
    </row>
    <row r="2136" ht="24.0" customHeight="1">
      <c r="A2136" s="45">
        <v>3560.0</v>
      </c>
      <c r="B2136" s="57"/>
      <c r="C2136" s="57"/>
      <c r="D2136" s="88" t="str">
        <f t="array" ref="D2136">IFERROR(
  LOOKUP(2, 1/((TRIM(IMS!$E$8:$E$2574)=TRIM(IMS!$E2136))*(IMS!$C$8:$C$2574&lt;IMS!$C2136)),
         IMS!$C$8:$C$2574),
"")</f>
        <v/>
      </c>
      <c r="E2136" s="57"/>
      <c r="F2136" s="57"/>
      <c r="G2136" s="77" t="str">
        <f t="shared" si="901"/>
        <v/>
      </c>
      <c r="H2136" s="78" t="str">
        <f t="shared" si="902"/>
        <v/>
      </c>
      <c r="I2136" s="79"/>
      <c r="J2136" s="80" t="str">
        <f t="shared" si="903"/>
        <v>#NAME?</v>
      </c>
      <c r="K2136" s="58"/>
      <c r="L2136" s="58"/>
      <c r="M2136" s="57"/>
      <c r="N2136" s="57"/>
      <c r="O2136" s="58"/>
      <c r="P2136" s="82"/>
      <c r="Q2136" s="81"/>
      <c r="R2136" s="81"/>
      <c r="S2136" s="57"/>
      <c r="T2136" s="82"/>
      <c r="U2136" s="82"/>
      <c r="V2136" s="57"/>
      <c r="W2136" s="57"/>
      <c r="X2136" s="57" t="str">
        <f t="shared" si="917"/>
        <v/>
      </c>
      <c r="Y2136" s="58" t="str">
        <f t="shared" ref="Y2136:AC2136" si="1976">TRIM(SUBSTITUTE(SUBSTITUTE(OFFSET($Q2136,0,COLUMN()-COLUMN($AL$1)),CHAR(160)," "),_xludf.UNICHAR(8239)," "))</f>
        <v>#NAME?</v>
      </c>
      <c r="Z2136" s="58" t="str">
        <f t="shared" si="1976"/>
        <v>#NAME?</v>
      </c>
      <c r="AA2136" s="58" t="str">
        <f t="shared" si="1976"/>
        <v>#NAME?</v>
      </c>
      <c r="AB2136" s="58" t="str">
        <f t="shared" si="1976"/>
        <v>#NAME?</v>
      </c>
      <c r="AC2136" s="58" t="str">
        <f t="shared" si="1976"/>
        <v>#NAME?</v>
      </c>
      <c r="AD2136" s="57">
        <f t="shared" si="906"/>
        <v>0</v>
      </c>
      <c r="AE2136" s="57" t="str">
        <f t="shared" si="907"/>
        <v/>
      </c>
      <c r="AF2136" s="57">
        <f t="shared" si="908"/>
        <v>0</v>
      </c>
      <c r="AG2136" s="59">
        <f t="shared" si="909"/>
        <v>0</v>
      </c>
      <c r="AH2136" s="15"/>
      <c r="AI2136" s="15"/>
      <c r="AJ2136" s="15"/>
      <c r="AK2136" s="15"/>
      <c r="AL2136" s="15"/>
      <c r="AM2136" s="15"/>
      <c r="AN2136" s="15"/>
      <c r="AO2136" s="15"/>
      <c r="AP2136" s="15"/>
      <c r="AQ2136" s="15"/>
      <c r="AR2136" s="15"/>
      <c r="AS2136" s="15"/>
      <c r="AT2136" s="15"/>
      <c r="AU2136" s="15"/>
    </row>
    <row r="2137" ht="24.0" customHeight="1">
      <c r="A2137" s="45">
        <v>3561.0</v>
      </c>
      <c r="B2137" s="57"/>
      <c r="C2137" s="57"/>
      <c r="D2137" s="88" t="str">
        <f t="array" ref="D2137">IFERROR(
  LOOKUP(2, 1/((TRIM(IMS!$E$8:$E$2574)=TRIM(IMS!$E2137))*(IMS!$C$8:$C$2574&lt;IMS!$C2137)),
         IMS!$C$8:$C$2574),
"")</f>
        <v/>
      </c>
      <c r="E2137" s="57"/>
      <c r="F2137" s="57"/>
      <c r="G2137" s="77" t="str">
        <f t="shared" si="901"/>
        <v/>
      </c>
      <c r="H2137" s="78" t="str">
        <f t="shared" si="902"/>
        <v/>
      </c>
      <c r="I2137" s="79"/>
      <c r="J2137" s="80" t="str">
        <f t="shared" si="903"/>
        <v>#NAME?</v>
      </c>
      <c r="K2137" s="58"/>
      <c r="L2137" s="58"/>
      <c r="M2137" s="57"/>
      <c r="N2137" s="57"/>
      <c r="O2137" s="58"/>
      <c r="P2137" s="82"/>
      <c r="Q2137" s="81"/>
      <c r="R2137" s="81"/>
      <c r="S2137" s="57"/>
      <c r="T2137" s="82"/>
      <c r="U2137" s="82"/>
      <c r="V2137" s="57"/>
      <c r="W2137" s="57"/>
      <c r="X2137" s="57" t="str">
        <f t="shared" si="917"/>
        <v/>
      </c>
      <c r="Y2137" s="58" t="str">
        <f t="shared" ref="Y2137:AC2137" si="1977">TRIM(SUBSTITUTE(SUBSTITUTE(OFFSET($Q2137,0,COLUMN()-COLUMN($AL$1)),CHAR(160)," "),_xludf.UNICHAR(8239)," "))</f>
        <v>#NAME?</v>
      </c>
      <c r="Z2137" s="58" t="str">
        <f t="shared" si="1977"/>
        <v>#NAME?</v>
      </c>
      <c r="AA2137" s="58" t="str">
        <f t="shared" si="1977"/>
        <v>#NAME?</v>
      </c>
      <c r="AB2137" s="58" t="str">
        <f t="shared" si="1977"/>
        <v>#NAME?</v>
      </c>
      <c r="AC2137" s="58" t="str">
        <f t="shared" si="1977"/>
        <v>#NAME?</v>
      </c>
      <c r="AD2137" s="57">
        <f t="shared" si="906"/>
        <v>0</v>
      </c>
      <c r="AE2137" s="57" t="str">
        <f t="shared" si="907"/>
        <v/>
      </c>
      <c r="AF2137" s="57">
        <f t="shared" si="908"/>
        <v>0</v>
      </c>
      <c r="AG2137" s="59">
        <f t="shared" si="909"/>
        <v>0</v>
      </c>
      <c r="AH2137" s="15"/>
      <c r="AI2137" s="15"/>
      <c r="AJ2137" s="15"/>
      <c r="AK2137" s="15"/>
      <c r="AL2137" s="15"/>
      <c r="AM2137" s="15"/>
      <c r="AN2137" s="15"/>
      <c r="AO2137" s="15"/>
      <c r="AP2137" s="15"/>
      <c r="AQ2137" s="15"/>
      <c r="AR2137" s="15"/>
      <c r="AS2137" s="15"/>
      <c r="AT2137" s="15"/>
      <c r="AU2137" s="15"/>
    </row>
    <row r="2138" ht="24.0" customHeight="1">
      <c r="A2138" s="45">
        <v>3562.0</v>
      </c>
      <c r="B2138" s="57"/>
      <c r="C2138" s="57"/>
      <c r="D2138" s="88" t="str">
        <f t="array" ref="D2138">IFERROR(
  LOOKUP(2, 1/((TRIM(IMS!$E$8:$E$2574)=TRIM(IMS!$E2138))*(IMS!$C$8:$C$2574&lt;IMS!$C2138)),
         IMS!$C$8:$C$2574),
"")</f>
        <v/>
      </c>
      <c r="E2138" s="57"/>
      <c r="F2138" s="57"/>
      <c r="G2138" s="77" t="str">
        <f t="shared" si="901"/>
        <v/>
      </c>
      <c r="H2138" s="78" t="str">
        <f t="shared" si="902"/>
        <v/>
      </c>
      <c r="I2138" s="79"/>
      <c r="J2138" s="80" t="str">
        <f t="shared" si="903"/>
        <v>#NAME?</v>
      </c>
      <c r="K2138" s="58"/>
      <c r="L2138" s="58"/>
      <c r="M2138" s="57"/>
      <c r="N2138" s="57"/>
      <c r="O2138" s="58"/>
      <c r="P2138" s="82"/>
      <c r="Q2138" s="81"/>
      <c r="R2138" s="81"/>
      <c r="S2138" s="57"/>
      <c r="T2138" s="82"/>
      <c r="U2138" s="82"/>
      <c r="V2138" s="57"/>
      <c r="W2138" s="57"/>
      <c r="X2138" s="57" t="str">
        <f t="shared" si="917"/>
        <v/>
      </c>
      <c r="Y2138" s="58" t="str">
        <f t="shared" ref="Y2138:AC2138" si="1978">TRIM(SUBSTITUTE(SUBSTITUTE(OFFSET($Q2138,0,COLUMN()-COLUMN($AL$1)),CHAR(160)," "),_xludf.UNICHAR(8239)," "))</f>
        <v>#NAME?</v>
      </c>
      <c r="Z2138" s="58" t="str">
        <f t="shared" si="1978"/>
        <v>#NAME?</v>
      </c>
      <c r="AA2138" s="58" t="str">
        <f t="shared" si="1978"/>
        <v>#NAME?</v>
      </c>
      <c r="AB2138" s="58" t="str">
        <f t="shared" si="1978"/>
        <v>#NAME?</v>
      </c>
      <c r="AC2138" s="58" t="str">
        <f t="shared" si="1978"/>
        <v>#NAME?</v>
      </c>
      <c r="AD2138" s="57">
        <f t="shared" si="906"/>
        <v>0</v>
      </c>
      <c r="AE2138" s="57" t="str">
        <f t="shared" si="907"/>
        <v/>
      </c>
      <c r="AF2138" s="57">
        <f t="shared" si="908"/>
        <v>0</v>
      </c>
      <c r="AG2138" s="59">
        <f t="shared" si="909"/>
        <v>0</v>
      </c>
      <c r="AH2138" s="15"/>
      <c r="AI2138" s="15"/>
      <c r="AJ2138" s="15"/>
      <c r="AK2138" s="15"/>
      <c r="AL2138" s="15"/>
      <c r="AM2138" s="15"/>
      <c r="AN2138" s="15"/>
      <c r="AO2138" s="15"/>
      <c r="AP2138" s="15"/>
      <c r="AQ2138" s="15"/>
      <c r="AR2138" s="15"/>
      <c r="AS2138" s="15"/>
      <c r="AT2138" s="15"/>
      <c r="AU2138" s="15"/>
    </row>
    <row r="2139" ht="24.0" customHeight="1">
      <c r="A2139" s="45">
        <v>3563.0</v>
      </c>
      <c r="B2139" s="57"/>
      <c r="C2139" s="57"/>
      <c r="D2139" s="88" t="str">
        <f t="array" ref="D2139">IFERROR(
  LOOKUP(2, 1/((TRIM(IMS!$E$8:$E$2574)=TRIM(IMS!$E2139))*(IMS!$C$8:$C$2574&lt;IMS!$C2139)),
         IMS!$C$8:$C$2574),
"")</f>
        <v/>
      </c>
      <c r="E2139" s="57"/>
      <c r="F2139" s="57"/>
      <c r="G2139" s="77" t="str">
        <f t="shared" si="901"/>
        <v/>
      </c>
      <c r="H2139" s="78" t="str">
        <f t="shared" si="902"/>
        <v/>
      </c>
      <c r="I2139" s="79"/>
      <c r="J2139" s="80" t="str">
        <f t="shared" si="903"/>
        <v>#NAME?</v>
      </c>
      <c r="K2139" s="58"/>
      <c r="L2139" s="58"/>
      <c r="M2139" s="57"/>
      <c r="N2139" s="57"/>
      <c r="O2139" s="58"/>
      <c r="P2139" s="82"/>
      <c r="Q2139" s="81"/>
      <c r="R2139" s="81"/>
      <c r="S2139" s="57"/>
      <c r="T2139" s="82"/>
      <c r="U2139" s="82"/>
      <c r="V2139" s="57"/>
      <c r="W2139" s="57"/>
      <c r="X2139" s="57" t="str">
        <f t="shared" si="917"/>
        <v/>
      </c>
      <c r="Y2139" s="58" t="str">
        <f t="shared" ref="Y2139:AC2139" si="1979">TRIM(SUBSTITUTE(SUBSTITUTE(OFFSET($Q2139,0,COLUMN()-COLUMN($AL$1)),CHAR(160)," "),_xludf.UNICHAR(8239)," "))</f>
        <v>#NAME?</v>
      </c>
      <c r="Z2139" s="58" t="str">
        <f t="shared" si="1979"/>
        <v>#NAME?</v>
      </c>
      <c r="AA2139" s="58" t="str">
        <f t="shared" si="1979"/>
        <v>#NAME?</v>
      </c>
      <c r="AB2139" s="58" t="str">
        <f t="shared" si="1979"/>
        <v>#NAME?</v>
      </c>
      <c r="AC2139" s="58" t="str">
        <f t="shared" si="1979"/>
        <v>#NAME?</v>
      </c>
      <c r="AD2139" s="57">
        <f t="shared" si="906"/>
        <v>0</v>
      </c>
      <c r="AE2139" s="57" t="str">
        <f t="shared" si="907"/>
        <v/>
      </c>
      <c r="AF2139" s="57">
        <f t="shared" si="908"/>
        <v>0</v>
      </c>
      <c r="AG2139" s="59">
        <f t="shared" si="909"/>
        <v>0</v>
      </c>
      <c r="AH2139" s="15"/>
      <c r="AI2139" s="15"/>
      <c r="AJ2139" s="15"/>
      <c r="AK2139" s="15"/>
      <c r="AL2139" s="15"/>
      <c r="AM2139" s="15"/>
      <c r="AN2139" s="15"/>
      <c r="AO2139" s="15"/>
      <c r="AP2139" s="15"/>
      <c r="AQ2139" s="15"/>
      <c r="AR2139" s="15"/>
      <c r="AS2139" s="15"/>
      <c r="AT2139" s="15"/>
      <c r="AU2139" s="15"/>
    </row>
    <row r="2140" ht="24.0" customHeight="1">
      <c r="A2140" s="45">
        <v>3564.0</v>
      </c>
      <c r="B2140" s="57"/>
      <c r="C2140" s="57"/>
      <c r="D2140" s="88" t="str">
        <f t="array" ref="D2140">IFERROR(
  LOOKUP(2, 1/((TRIM(IMS!$E$8:$E$2574)=TRIM(IMS!$E2140))*(IMS!$C$8:$C$2574&lt;IMS!$C2140)),
         IMS!$C$8:$C$2574),
"")</f>
        <v/>
      </c>
      <c r="E2140" s="57"/>
      <c r="F2140" s="57"/>
      <c r="G2140" s="77" t="str">
        <f t="shared" si="901"/>
        <v/>
      </c>
      <c r="H2140" s="78" t="str">
        <f t="shared" si="902"/>
        <v/>
      </c>
      <c r="I2140" s="79"/>
      <c r="J2140" s="80" t="str">
        <f t="shared" si="903"/>
        <v>#NAME?</v>
      </c>
      <c r="K2140" s="58"/>
      <c r="L2140" s="58"/>
      <c r="M2140" s="57"/>
      <c r="N2140" s="57"/>
      <c r="O2140" s="58"/>
      <c r="P2140" s="82"/>
      <c r="Q2140" s="81"/>
      <c r="R2140" s="81"/>
      <c r="S2140" s="57"/>
      <c r="T2140" s="82"/>
      <c r="U2140" s="82"/>
      <c r="V2140" s="57"/>
      <c r="W2140" s="57"/>
      <c r="X2140" s="57" t="str">
        <f t="shared" si="917"/>
        <v/>
      </c>
      <c r="Y2140" s="58" t="str">
        <f t="shared" ref="Y2140:AC2140" si="1980">TRIM(SUBSTITUTE(SUBSTITUTE(OFFSET($Q2140,0,COLUMN()-COLUMN($AL$1)),CHAR(160)," "),_xludf.UNICHAR(8239)," "))</f>
        <v>#NAME?</v>
      </c>
      <c r="Z2140" s="58" t="str">
        <f t="shared" si="1980"/>
        <v>#NAME?</v>
      </c>
      <c r="AA2140" s="58" t="str">
        <f t="shared" si="1980"/>
        <v>#NAME?</v>
      </c>
      <c r="AB2140" s="58" t="str">
        <f t="shared" si="1980"/>
        <v>#NAME?</v>
      </c>
      <c r="AC2140" s="58" t="str">
        <f t="shared" si="1980"/>
        <v>#NAME?</v>
      </c>
      <c r="AD2140" s="57">
        <f t="shared" si="906"/>
        <v>0</v>
      </c>
      <c r="AE2140" s="57" t="str">
        <f t="shared" si="907"/>
        <v/>
      </c>
      <c r="AF2140" s="57">
        <f t="shared" si="908"/>
        <v>0</v>
      </c>
      <c r="AG2140" s="59">
        <f t="shared" si="909"/>
        <v>0</v>
      </c>
      <c r="AH2140" s="15"/>
      <c r="AI2140" s="15"/>
      <c r="AJ2140" s="15"/>
      <c r="AK2140" s="15"/>
      <c r="AL2140" s="15"/>
      <c r="AM2140" s="15"/>
      <c r="AN2140" s="15"/>
      <c r="AO2140" s="15"/>
      <c r="AP2140" s="15"/>
      <c r="AQ2140" s="15"/>
      <c r="AR2140" s="15"/>
      <c r="AS2140" s="15"/>
      <c r="AT2140" s="15"/>
      <c r="AU2140" s="15"/>
    </row>
    <row r="2141" ht="24.0" customHeight="1">
      <c r="A2141" s="45">
        <v>3565.0</v>
      </c>
      <c r="B2141" s="57"/>
      <c r="C2141" s="57"/>
      <c r="D2141" s="88" t="str">
        <f t="array" ref="D2141">IFERROR(
  LOOKUP(2, 1/((TRIM(IMS!$E$8:$E$2574)=TRIM(IMS!$E2141))*(IMS!$C$8:$C$2574&lt;IMS!$C2141)),
         IMS!$C$8:$C$2574),
"")</f>
        <v/>
      </c>
      <c r="E2141" s="57"/>
      <c r="F2141" s="57"/>
      <c r="G2141" s="77" t="str">
        <f t="shared" si="901"/>
        <v/>
      </c>
      <c r="H2141" s="78" t="str">
        <f t="shared" si="902"/>
        <v/>
      </c>
      <c r="I2141" s="79"/>
      <c r="J2141" s="80" t="str">
        <f t="shared" si="903"/>
        <v>#NAME?</v>
      </c>
      <c r="K2141" s="58"/>
      <c r="L2141" s="58"/>
      <c r="M2141" s="57"/>
      <c r="N2141" s="57"/>
      <c r="O2141" s="58"/>
      <c r="P2141" s="82"/>
      <c r="Q2141" s="81"/>
      <c r="R2141" s="81"/>
      <c r="S2141" s="57"/>
      <c r="T2141" s="82"/>
      <c r="U2141" s="82"/>
      <c r="V2141" s="57"/>
      <c r="W2141" s="57"/>
      <c r="X2141" s="57" t="str">
        <f t="shared" si="917"/>
        <v/>
      </c>
      <c r="Y2141" s="58" t="str">
        <f t="shared" ref="Y2141:AC2141" si="1981">TRIM(SUBSTITUTE(SUBSTITUTE(OFFSET($Q2141,0,COLUMN()-COLUMN($AL$1)),CHAR(160)," "),_xludf.UNICHAR(8239)," "))</f>
        <v>#NAME?</v>
      </c>
      <c r="Z2141" s="58" t="str">
        <f t="shared" si="1981"/>
        <v>#NAME?</v>
      </c>
      <c r="AA2141" s="58" t="str">
        <f t="shared" si="1981"/>
        <v>#NAME?</v>
      </c>
      <c r="AB2141" s="58" t="str">
        <f t="shared" si="1981"/>
        <v>#NAME?</v>
      </c>
      <c r="AC2141" s="58" t="str">
        <f t="shared" si="1981"/>
        <v>#NAME?</v>
      </c>
      <c r="AD2141" s="57">
        <f t="shared" si="906"/>
        <v>0</v>
      </c>
      <c r="AE2141" s="57" t="str">
        <f t="shared" si="907"/>
        <v/>
      </c>
      <c r="AF2141" s="57">
        <f t="shared" si="908"/>
        <v>0</v>
      </c>
      <c r="AG2141" s="59">
        <f t="shared" si="909"/>
        <v>0</v>
      </c>
      <c r="AH2141" s="15"/>
      <c r="AI2141" s="15"/>
      <c r="AJ2141" s="15"/>
      <c r="AK2141" s="15"/>
      <c r="AL2141" s="15"/>
      <c r="AM2141" s="15"/>
      <c r="AN2141" s="15"/>
      <c r="AO2141" s="15"/>
      <c r="AP2141" s="15"/>
      <c r="AQ2141" s="15"/>
      <c r="AR2141" s="15"/>
      <c r="AS2141" s="15"/>
      <c r="AT2141" s="15"/>
      <c r="AU2141" s="15"/>
    </row>
    <row r="2142" ht="24.0" customHeight="1">
      <c r="A2142" s="45">
        <v>3566.0</v>
      </c>
      <c r="B2142" s="57"/>
      <c r="C2142" s="57"/>
      <c r="D2142" s="88" t="str">
        <f t="array" ref="D2142">IFERROR(
  LOOKUP(2, 1/((TRIM(IMS!$E$8:$E$2574)=TRIM(IMS!$E2142))*(IMS!$C$8:$C$2574&lt;IMS!$C2142)),
         IMS!$C$8:$C$2574),
"")</f>
        <v/>
      </c>
      <c r="E2142" s="57"/>
      <c r="F2142" s="57"/>
      <c r="G2142" s="77" t="str">
        <f t="shared" si="901"/>
        <v/>
      </c>
      <c r="H2142" s="78" t="str">
        <f t="shared" si="902"/>
        <v/>
      </c>
      <c r="I2142" s="79"/>
      <c r="J2142" s="80" t="str">
        <f t="shared" si="903"/>
        <v>#NAME?</v>
      </c>
      <c r="K2142" s="58"/>
      <c r="L2142" s="58"/>
      <c r="M2142" s="57"/>
      <c r="N2142" s="57"/>
      <c r="O2142" s="58"/>
      <c r="P2142" s="82"/>
      <c r="Q2142" s="81"/>
      <c r="R2142" s="81"/>
      <c r="S2142" s="57"/>
      <c r="T2142" s="82"/>
      <c r="U2142" s="82"/>
      <c r="V2142" s="57"/>
      <c r="W2142" s="57"/>
      <c r="X2142" s="57" t="str">
        <f t="shared" si="917"/>
        <v/>
      </c>
      <c r="Y2142" s="58" t="str">
        <f t="shared" ref="Y2142:AC2142" si="1982">TRIM(SUBSTITUTE(SUBSTITUTE(OFFSET($Q2142,0,COLUMN()-COLUMN($AL$1)),CHAR(160)," "),_xludf.UNICHAR(8239)," "))</f>
        <v>#NAME?</v>
      </c>
      <c r="Z2142" s="58" t="str">
        <f t="shared" si="1982"/>
        <v>#NAME?</v>
      </c>
      <c r="AA2142" s="58" t="str">
        <f t="shared" si="1982"/>
        <v>#NAME?</v>
      </c>
      <c r="AB2142" s="58" t="str">
        <f t="shared" si="1982"/>
        <v>#NAME?</v>
      </c>
      <c r="AC2142" s="58" t="str">
        <f t="shared" si="1982"/>
        <v>#NAME?</v>
      </c>
      <c r="AD2142" s="57">
        <f t="shared" si="906"/>
        <v>0</v>
      </c>
      <c r="AE2142" s="57" t="str">
        <f t="shared" si="907"/>
        <v/>
      </c>
      <c r="AF2142" s="57">
        <f t="shared" si="908"/>
        <v>0</v>
      </c>
      <c r="AG2142" s="59">
        <f t="shared" si="909"/>
        <v>0</v>
      </c>
      <c r="AH2142" s="15"/>
      <c r="AI2142" s="15"/>
      <c r="AJ2142" s="15"/>
      <c r="AK2142" s="15"/>
      <c r="AL2142" s="15"/>
      <c r="AM2142" s="15"/>
      <c r="AN2142" s="15"/>
      <c r="AO2142" s="15"/>
      <c r="AP2142" s="15"/>
      <c r="AQ2142" s="15"/>
      <c r="AR2142" s="15"/>
      <c r="AS2142" s="15"/>
      <c r="AT2142" s="15"/>
      <c r="AU2142" s="15"/>
    </row>
    <row r="2143" ht="24.0" customHeight="1">
      <c r="A2143" s="45">
        <v>3567.0</v>
      </c>
      <c r="B2143" s="57"/>
      <c r="C2143" s="57"/>
      <c r="D2143" s="88" t="str">
        <f t="array" ref="D2143">IFERROR(
  LOOKUP(2, 1/((TRIM(IMS!$E$8:$E$2574)=TRIM(IMS!$E2143))*(IMS!$C$8:$C$2574&lt;IMS!$C2143)),
         IMS!$C$8:$C$2574),
"")</f>
        <v/>
      </c>
      <c r="E2143" s="57"/>
      <c r="F2143" s="57"/>
      <c r="G2143" s="77" t="str">
        <f t="shared" si="901"/>
        <v/>
      </c>
      <c r="H2143" s="78" t="str">
        <f t="shared" si="902"/>
        <v/>
      </c>
      <c r="I2143" s="79"/>
      <c r="J2143" s="80" t="str">
        <f t="shared" si="903"/>
        <v>#NAME?</v>
      </c>
      <c r="K2143" s="58"/>
      <c r="L2143" s="58"/>
      <c r="M2143" s="57"/>
      <c r="N2143" s="57"/>
      <c r="O2143" s="58"/>
      <c r="P2143" s="82"/>
      <c r="Q2143" s="81"/>
      <c r="R2143" s="81"/>
      <c r="S2143" s="57"/>
      <c r="T2143" s="82"/>
      <c r="U2143" s="82"/>
      <c r="V2143" s="57"/>
      <c r="W2143" s="57"/>
      <c r="X2143" s="57" t="str">
        <f t="shared" si="917"/>
        <v/>
      </c>
      <c r="Y2143" s="58" t="str">
        <f t="shared" ref="Y2143:AC2143" si="1983">TRIM(SUBSTITUTE(SUBSTITUTE(OFFSET($Q2143,0,COLUMN()-COLUMN($AL$1)),CHAR(160)," "),_xludf.UNICHAR(8239)," "))</f>
        <v>#NAME?</v>
      </c>
      <c r="Z2143" s="58" t="str">
        <f t="shared" si="1983"/>
        <v>#NAME?</v>
      </c>
      <c r="AA2143" s="58" t="str">
        <f t="shared" si="1983"/>
        <v>#NAME?</v>
      </c>
      <c r="AB2143" s="58" t="str">
        <f t="shared" si="1983"/>
        <v>#NAME?</v>
      </c>
      <c r="AC2143" s="58" t="str">
        <f t="shared" si="1983"/>
        <v>#NAME?</v>
      </c>
      <c r="AD2143" s="57">
        <f t="shared" si="906"/>
        <v>0</v>
      </c>
      <c r="AE2143" s="57" t="str">
        <f t="shared" si="907"/>
        <v/>
      </c>
      <c r="AF2143" s="57">
        <f t="shared" si="908"/>
        <v>0</v>
      </c>
      <c r="AG2143" s="59">
        <f t="shared" si="909"/>
        <v>0</v>
      </c>
      <c r="AH2143" s="15"/>
      <c r="AI2143" s="15"/>
      <c r="AJ2143" s="15"/>
      <c r="AK2143" s="15"/>
      <c r="AL2143" s="15"/>
      <c r="AM2143" s="15"/>
      <c r="AN2143" s="15"/>
      <c r="AO2143" s="15"/>
      <c r="AP2143" s="15"/>
      <c r="AQ2143" s="15"/>
      <c r="AR2143" s="15"/>
      <c r="AS2143" s="15"/>
      <c r="AT2143" s="15"/>
      <c r="AU2143" s="15"/>
    </row>
    <row r="2144" ht="24.0" customHeight="1">
      <c r="A2144" s="45">
        <v>3568.0</v>
      </c>
      <c r="B2144" s="57"/>
      <c r="C2144" s="57"/>
      <c r="D2144" s="88" t="str">
        <f t="array" ref="D2144">IFERROR(
  LOOKUP(2, 1/((TRIM(IMS!$E$8:$E$2574)=TRIM(IMS!$E2144))*(IMS!$C$8:$C$2574&lt;IMS!$C2144)),
         IMS!$C$8:$C$2574),
"")</f>
        <v/>
      </c>
      <c r="E2144" s="57"/>
      <c r="F2144" s="57"/>
      <c r="G2144" s="77" t="str">
        <f t="shared" si="901"/>
        <v/>
      </c>
      <c r="H2144" s="78" t="str">
        <f t="shared" si="902"/>
        <v/>
      </c>
      <c r="I2144" s="79"/>
      <c r="J2144" s="80" t="str">
        <f t="shared" si="903"/>
        <v>#NAME?</v>
      </c>
      <c r="K2144" s="58"/>
      <c r="L2144" s="58"/>
      <c r="M2144" s="57"/>
      <c r="N2144" s="57"/>
      <c r="O2144" s="58"/>
      <c r="P2144" s="82"/>
      <c r="Q2144" s="81"/>
      <c r="R2144" s="81"/>
      <c r="S2144" s="57"/>
      <c r="T2144" s="82"/>
      <c r="U2144" s="82"/>
      <c r="V2144" s="57"/>
      <c r="W2144" s="57"/>
      <c r="X2144" s="57" t="str">
        <f t="shared" si="917"/>
        <v/>
      </c>
      <c r="Y2144" s="58" t="str">
        <f t="shared" ref="Y2144:AC2144" si="1984">TRIM(SUBSTITUTE(SUBSTITUTE(OFFSET($Q2144,0,COLUMN()-COLUMN($AL$1)),CHAR(160)," "),_xludf.UNICHAR(8239)," "))</f>
        <v>#NAME?</v>
      </c>
      <c r="Z2144" s="58" t="str">
        <f t="shared" si="1984"/>
        <v>#NAME?</v>
      </c>
      <c r="AA2144" s="58" t="str">
        <f t="shared" si="1984"/>
        <v>#NAME?</v>
      </c>
      <c r="AB2144" s="58" t="str">
        <f t="shared" si="1984"/>
        <v>#NAME?</v>
      </c>
      <c r="AC2144" s="58" t="str">
        <f t="shared" si="1984"/>
        <v>#NAME?</v>
      </c>
      <c r="AD2144" s="57">
        <f t="shared" si="906"/>
        <v>0</v>
      </c>
      <c r="AE2144" s="57" t="str">
        <f t="shared" si="907"/>
        <v/>
      </c>
      <c r="AF2144" s="57">
        <f t="shared" si="908"/>
        <v>0</v>
      </c>
      <c r="AG2144" s="59">
        <f t="shared" si="909"/>
        <v>0</v>
      </c>
      <c r="AH2144" s="15"/>
      <c r="AI2144" s="15"/>
      <c r="AJ2144" s="15"/>
      <c r="AK2144" s="15"/>
      <c r="AL2144" s="15"/>
      <c r="AM2144" s="15"/>
      <c r="AN2144" s="15"/>
      <c r="AO2144" s="15"/>
      <c r="AP2144" s="15"/>
      <c r="AQ2144" s="15"/>
      <c r="AR2144" s="15"/>
      <c r="AS2144" s="15"/>
      <c r="AT2144" s="15"/>
      <c r="AU2144" s="15"/>
    </row>
    <row r="2145" ht="24.0" customHeight="1">
      <c r="A2145" s="45">
        <v>3569.0</v>
      </c>
      <c r="B2145" s="57"/>
      <c r="C2145" s="57"/>
      <c r="D2145" s="88" t="str">
        <f t="array" ref="D2145">IFERROR(
  LOOKUP(2, 1/((TRIM(IMS!$E$8:$E$2574)=TRIM(IMS!$E2145))*(IMS!$C$8:$C$2574&lt;IMS!$C2145)),
         IMS!$C$8:$C$2574),
"")</f>
        <v/>
      </c>
      <c r="E2145" s="57"/>
      <c r="F2145" s="57"/>
      <c r="G2145" s="77" t="str">
        <f t="shared" si="901"/>
        <v/>
      </c>
      <c r="H2145" s="78" t="str">
        <f t="shared" si="902"/>
        <v/>
      </c>
      <c r="I2145" s="79"/>
      <c r="J2145" s="80" t="str">
        <f t="shared" si="903"/>
        <v>#NAME?</v>
      </c>
      <c r="K2145" s="58"/>
      <c r="L2145" s="58"/>
      <c r="M2145" s="57"/>
      <c r="N2145" s="57"/>
      <c r="O2145" s="58"/>
      <c r="P2145" s="82"/>
      <c r="Q2145" s="81"/>
      <c r="R2145" s="81"/>
      <c r="S2145" s="57"/>
      <c r="T2145" s="82"/>
      <c r="U2145" s="82"/>
      <c r="V2145" s="57"/>
      <c r="W2145" s="57"/>
      <c r="X2145" s="57" t="str">
        <f t="shared" si="917"/>
        <v/>
      </c>
      <c r="Y2145" s="58" t="str">
        <f t="shared" ref="Y2145:AC2145" si="1985">TRIM(SUBSTITUTE(SUBSTITUTE(OFFSET($Q2145,0,COLUMN()-COLUMN($AL$1)),CHAR(160)," "),_xludf.UNICHAR(8239)," "))</f>
        <v>#NAME?</v>
      </c>
      <c r="Z2145" s="58" t="str">
        <f t="shared" si="1985"/>
        <v>#NAME?</v>
      </c>
      <c r="AA2145" s="58" t="str">
        <f t="shared" si="1985"/>
        <v>#NAME?</v>
      </c>
      <c r="AB2145" s="58" t="str">
        <f t="shared" si="1985"/>
        <v>#NAME?</v>
      </c>
      <c r="AC2145" s="58" t="str">
        <f t="shared" si="1985"/>
        <v>#NAME?</v>
      </c>
      <c r="AD2145" s="57">
        <f t="shared" si="906"/>
        <v>0</v>
      </c>
      <c r="AE2145" s="57" t="str">
        <f t="shared" si="907"/>
        <v/>
      </c>
      <c r="AF2145" s="57">
        <f t="shared" si="908"/>
        <v>0</v>
      </c>
      <c r="AG2145" s="59">
        <f t="shared" si="909"/>
        <v>0</v>
      </c>
      <c r="AH2145" s="15"/>
      <c r="AI2145" s="15"/>
      <c r="AJ2145" s="15"/>
      <c r="AK2145" s="15"/>
      <c r="AL2145" s="15"/>
      <c r="AM2145" s="15"/>
      <c r="AN2145" s="15"/>
      <c r="AO2145" s="15"/>
      <c r="AP2145" s="15"/>
      <c r="AQ2145" s="15"/>
      <c r="AR2145" s="15"/>
      <c r="AS2145" s="15"/>
      <c r="AT2145" s="15"/>
      <c r="AU2145" s="15"/>
    </row>
    <row r="2146" ht="24.0" customHeight="1">
      <c r="A2146" s="45">
        <v>3570.0</v>
      </c>
      <c r="B2146" s="57"/>
      <c r="C2146" s="57"/>
      <c r="D2146" s="88" t="str">
        <f t="array" ref="D2146">IFERROR(
  LOOKUP(2, 1/((TRIM(IMS!$E$8:$E$2574)=TRIM(IMS!$E2146))*(IMS!$C$8:$C$2574&lt;IMS!$C2146)),
         IMS!$C$8:$C$2574),
"")</f>
        <v/>
      </c>
      <c r="E2146" s="57"/>
      <c r="F2146" s="57"/>
      <c r="G2146" s="77" t="str">
        <f t="shared" si="901"/>
        <v/>
      </c>
      <c r="H2146" s="78" t="str">
        <f t="shared" si="902"/>
        <v/>
      </c>
      <c r="I2146" s="79"/>
      <c r="J2146" s="80" t="str">
        <f t="shared" si="903"/>
        <v>#NAME?</v>
      </c>
      <c r="K2146" s="58"/>
      <c r="L2146" s="58"/>
      <c r="M2146" s="57"/>
      <c r="N2146" s="57"/>
      <c r="O2146" s="58"/>
      <c r="P2146" s="82"/>
      <c r="Q2146" s="81"/>
      <c r="R2146" s="81"/>
      <c r="S2146" s="57"/>
      <c r="T2146" s="82"/>
      <c r="U2146" s="82"/>
      <c r="V2146" s="57"/>
      <c r="W2146" s="57"/>
      <c r="X2146" s="57" t="str">
        <f t="shared" si="917"/>
        <v/>
      </c>
      <c r="Y2146" s="58" t="str">
        <f t="shared" ref="Y2146:AC2146" si="1986">TRIM(SUBSTITUTE(SUBSTITUTE(OFFSET($Q2146,0,COLUMN()-COLUMN($AL$1)),CHAR(160)," "),_xludf.UNICHAR(8239)," "))</f>
        <v>#NAME?</v>
      </c>
      <c r="Z2146" s="58" t="str">
        <f t="shared" si="1986"/>
        <v>#NAME?</v>
      </c>
      <c r="AA2146" s="58" t="str">
        <f t="shared" si="1986"/>
        <v>#NAME?</v>
      </c>
      <c r="AB2146" s="58" t="str">
        <f t="shared" si="1986"/>
        <v>#NAME?</v>
      </c>
      <c r="AC2146" s="58" t="str">
        <f t="shared" si="1986"/>
        <v>#NAME?</v>
      </c>
      <c r="AD2146" s="57">
        <f t="shared" si="906"/>
        <v>0</v>
      </c>
      <c r="AE2146" s="57" t="str">
        <f t="shared" si="907"/>
        <v/>
      </c>
      <c r="AF2146" s="57">
        <f t="shared" si="908"/>
        <v>0</v>
      </c>
      <c r="AG2146" s="59">
        <f t="shared" si="909"/>
        <v>0</v>
      </c>
      <c r="AH2146" s="15"/>
      <c r="AI2146" s="15"/>
      <c r="AJ2146" s="15"/>
      <c r="AK2146" s="15"/>
      <c r="AL2146" s="15"/>
      <c r="AM2146" s="15"/>
      <c r="AN2146" s="15"/>
      <c r="AO2146" s="15"/>
      <c r="AP2146" s="15"/>
      <c r="AQ2146" s="15"/>
      <c r="AR2146" s="15"/>
      <c r="AS2146" s="15"/>
      <c r="AT2146" s="15"/>
      <c r="AU2146" s="15"/>
    </row>
    <row r="2147" ht="24.0" customHeight="1">
      <c r="A2147" s="45">
        <v>3571.0</v>
      </c>
      <c r="B2147" s="57"/>
      <c r="C2147" s="57"/>
      <c r="D2147" s="88" t="str">
        <f t="array" ref="D2147">IFERROR(
  LOOKUP(2, 1/((TRIM(IMS!$E$8:$E$2574)=TRIM(IMS!$E2147))*(IMS!$C$8:$C$2574&lt;IMS!$C2147)),
         IMS!$C$8:$C$2574),
"")</f>
        <v/>
      </c>
      <c r="E2147" s="57"/>
      <c r="F2147" s="57"/>
      <c r="G2147" s="77" t="str">
        <f t="shared" si="901"/>
        <v/>
      </c>
      <c r="H2147" s="78" t="str">
        <f t="shared" si="902"/>
        <v/>
      </c>
      <c r="I2147" s="79"/>
      <c r="J2147" s="80" t="str">
        <f t="shared" si="903"/>
        <v>#NAME?</v>
      </c>
      <c r="K2147" s="58"/>
      <c r="L2147" s="58"/>
      <c r="M2147" s="57"/>
      <c r="N2147" s="57"/>
      <c r="O2147" s="58"/>
      <c r="P2147" s="82"/>
      <c r="Q2147" s="81"/>
      <c r="R2147" s="81"/>
      <c r="S2147" s="57"/>
      <c r="T2147" s="82"/>
      <c r="U2147" s="82"/>
      <c r="V2147" s="57"/>
      <c r="W2147" s="57"/>
      <c r="X2147" s="57" t="str">
        <f t="shared" si="917"/>
        <v/>
      </c>
      <c r="Y2147" s="58" t="str">
        <f t="shared" ref="Y2147:AC2147" si="1987">TRIM(SUBSTITUTE(SUBSTITUTE(OFFSET($Q2147,0,COLUMN()-COLUMN($AL$1)),CHAR(160)," "),_xludf.UNICHAR(8239)," "))</f>
        <v>#NAME?</v>
      </c>
      <c r="Z2147" s="58" t="str">
        <f t="shared" si="1987"/>
        <v>#NAME?</v>
      </c>
      <c r="AA2147" s="58" t="str">
        <f t="shared" si="1987"/>
        <v>#NAME?</v>
      </c>
      <c r="AB2147" s="58" t="str">
        <f t="shared" si="1987"/>
        <v>#NAME?</v>
      </c>
      <c r="AC2147" s="58" t="str">
        <f t="shared" si="1987"/>
        <v>#NAME?</v>
      </c>
      <c r="AD2147" s="57">
        <f t="shared" si="906"/>
        <v>0</v>
      </c>
      <c r="AE2147" s="57" t="str">
        <f t="shared" si="907"/>
        <v/>
      </c>
      <c r="AF2147" s="57">
        <f t="shared" si="908"/>
        <v>0</v>
      </c>
      <c r="AG2147" s="59">
        <f t="shared" si="909"/>
        <v>0</v>
      </c>
      <c r="AH2147" s="15"/>
      <c r="AI2147" s="15"/>
      <c r="AJ2147" s="15"/>
      <c r="AK2147" s="15"/>
      <c r="AL2147" s="15"/>
      <c r="AM2147" s="15"/>
      <c r="AN2147" s="15"/>
      <c r="AO2147" s="15"/>
      <c r="AP2147" s="15"/>
      <c r="AQ2147" s="15"/>
      <c r="AR2147" s="15"/>
      <c r="AS2147" s="15"/>
      <c r="AT2147" s="15"/>
      <c r="AU2147" s="15"/>
    </row>
    <row r="2148" ht="24.0" customHeight="1">
      <c r="A2148" s="45">
        <v>3572.0</v>
      </c>
      <c r="B2148" s="57"/>
      <c r="C2148" s="57"/>
      <c r="D2148" s="88" t="str">
        <f t="array" ref="D2148">IFERROR(
  LOOKUP(2, 1/((TRIM(IMS!$E$8:$E$2574)=TRIM(IMS!$E2148))*(IMS!$C$8:$C$2574&lt;IMS!$C2148)),
         IMS!$C$8:$C$2574),
"")</f>
        <v/>
      </c>
      <c r="E2148" s="57"/>
      <c r="F2148" s="57"/>
      <c r="G2148" s="77" t="str">
        <f t="shared" si="901"/>
        <v/>
      </c>
      <c r="H2148" s="78" t="str">
        <f t="shared" si="902"/>
        <v/>
      </c>
      <c r="I2148" s="79"/>
      <c r="J2148" s="80" t="str">
        <f t="shared" si="903"/>
        <v>#NAME?</v>
      </c>
      <c r="K2148" s="58"/>
      <c r="L2148" s="58"/>
      <c r="M2148" s="57"/>
      <c r="N2148" s="57"/>
      <c r="O2148" s="58"/>
      <c r="P2148" s="82"/>
      <c r="Q2148" s="81"/>
      <c r="R2148" s="81"/>
      <c r="S2148" s="57"/>
      <c r="T2148" s="82"/>
      <c r="U2148" s="82"/>
      <c r="V2148" s="57"/>
      <c r="W2148" s="57"/>
      <c r="X2148" s="57" t="str">
        <f t="shared" si="917"/>
        <v/>
      </c>
      <c r="Y2148" s="58" t="str">
        <f t="shared" ref="Y2148:AC2148" si="1988">TRIM(SUBSTITUTE(SUBSTITUTE(OFFSET($Q2148,0,COLUMN()-COLUMN($AL$1)),CHAR(160)," "),_xludf.UNICHAR(8239)," "))</f>
        <v>#NAME?</v>
      </c>
      <c r="Z2148" s="58" t="str">
        <f t="shared" si="1988"/>
        <v>#NAME?</v>
      </c>
      <c r="AA2148" s="58" t="str">
        <f t="shared" si="1988"/>
        <v>#NAME?</v>
      </c>
      <c r="AB2148" s="58" t="str">
        <f t="shared" si="1988"/>
        <v>#NAME?</v>
      </c>
      <c r="AC2148" s="58" t="str">
        <f t="shared" si="1988"/>
        <v>#NAME?</v>
      </c>
      <c r="AD2148" s="57">
        <f t="shared" si="906"/>
        <v>0</v>
      </c>
      <c r="AE2148" s="57" t="str">
        <f t="shared" si="907"/>
        <v/>
      </c>
      <c r="AF2148" s="57">
        <f t="shared" si="908"/>
        <v>0</v>
      </c>
      <c r="AG2148" s="59">
        <f t="shared" si="909"/>
        <v>0</v>
      </c>
      <c r="AH2148" s="15"/>
      <c r="AI2148" s="15"/>
      <c r="AJ2148" s="15"/>
      <c r="AK2148" s="15"/>
      <c r="AL2148" s="15"/>
      <c r="AM2148" s="15"/>
      <c r="AN2148" s="15"/>
      <c r="AO2148" s="15"/>
      <c r="AP2148" s="15"/>
      <c r="AQ2148" s="15"/>
      <c r="AR2148" s="15"/>
      <c r="AS2148" s="15"/>
      <c r="AT2148" s="15"/>
      <c r="AU2148" s="15"/>
    </row>
    <row r="2149" ht="24.0" customHeight="1">
      <c r="A2149" s="45">
        <v>3573.0</v>
      </c>
      <c r="B2149" s="57"/>
      <c r="C2149" s="57"/>
      <c r="D2149" s="88" t="str">
        <f t="array" ref="D2149">IFERROR(
  LOOKUP(2, 1/((TRIM(IMS!$E$8:$E$2574)=TRIM(IMS!$E2149))*(IMS!$C$8:$C$2574&lt;IMS!$C2149)),
         IMS!$C$8:$C$2574),
"")</f>
        <v/>
      </c>
      <c r="E2149" s="57"/>
      <c r="F2149" s="57"/>
      <c r="G2149" s="77" t="str">
        <f t="shared" si="901"/>
        <v/>
      </c>
      <c r="H2149" s="78" t="str">
        <f t="shared" si="902"/>
        <v/>
      </c>
      <c r="I2149" s="79"/>
      <c r="J2149" s="80" t="str">
        <f t="shared" si="903"/>
        <v>#NAME?</v>
      </c>
      <c r="K2149" s="58"/>
      <c r="L2149" s="58"/>
      <c r="M2149" s="57"/>
      <c r="N2149" s="57"/>
      <c r="O2149" s="58"/>
      <c r="P2149" s="82"/>
      <c r="Q2149" s="81"/>
      <c r="R2149" s="81"/>
      <c r="S2149" s="57"/>
      <c r="T2149" s="82"/>
      <c r="U2149" s="82"/>
      <c r="V2149" s="57"/>
      <c r="W2149" s="57"/>
      <c r="X2149" s="57" t="str">
        <f t="shared" si="917"/>
        <v/>
      </c>
      <c r="Y2149" s="58" t="str">
        <f t="shared" ref="Y2149:AC2149" si="1989">TRIM(SUBSTITUTE(SUBSTITUTE(OFFSET($Q2149,0,COLUMN()-COLUMN($AL$1)),CHAR(160)," "),_xludf.UNICHAR(8239)," "))</f>
        <v>#NAME?</v>
      </c>
      <c r="Z2149" s="58" t="str">
        <f t="shared" si="1989"/>
        <v>#NAME?</v>
      </c>
      <c r="AA2149" s="58" t="str">
        <f t="shared" si="1989"/>
        <v>#NAME?</v>
      </c>
      <c r="AB2149" s="58" t="str">
        <f t="shared" si="1989"/>
        <v>#NAME?</v>
      </c>
      <c r="AC2149" s="58" t="str">
        <f t="shared" si="1989"/>
        <v>#NAME?</v>
      </c>
      <c r="AD2149" s="57">
        <f t="shared" si="906"/>
        <v>0</v>
      </c>
      <c r="AE2149" s="57" t="str">
        <f t="shared" si="907"/>
        <v/>
      </c>
      <c r="AF2149" s="57">
        <f t="shared" si="908"/>
        <v>0</v>
      </c>
      <c r="AG2149" s="59">
        <f t="shared" si="909"/>
        <v>0</v>
      </c>
      <c r="AH2149" s="15"/>
      <c r="AI2149" s="15"/>
      <c r="AJ2149" s="15"/>
      <c r="AK2149" s="15"/>
      <c r="AL2149" s="15"/>
      <c r="AM2149" s="15"/>
      <c r="AN2149" s="15"/>
      <c r="AO2149" s="15"/>
      <c r="AP2149" s="15"/>
      <c r="AQ2149" s="15"/>
      <c r="AR2149" s="15"/>
      <c r="AS2149" s="15"/>
      <c r="AT2149" s="15"/>
      <c r="AU2149" s="15"/>
    </row>
    <row r="2150" ht="24.0" customHeight="1">
      <c r="A2150" s="45">
        <v>3574.0</v>
      </c>
      <c r="B2150" s="57"/>
      <c r="C2150" s="57"/>
      <c r="D2150" s="88" t="str">
        <f t="array" ref="D2150">IFERROR(
  LOOKUP(2, 1/((TRIM(IMS!$E$8:$E$2574)=TRIM(IMS!$E2150))*(IMS!$C$8:$C$2574&lt;IMS!$C2150)),
         IMS!$C$8:$C$2574),
"")</f>
        <v/>
      </c>
      <c r="E2150" s="57"/>
      <c r="F2150" s="57"/>
      <c r="G2150" s="77" t="str">
        <f t="shared" si="901"/>
        <v/>
      </c>
      <c r="H2150" s="78" t="str">
        <f t="shared" si="902"/>
        <v/>
      </c>
      <c r="I2150" s="79"/>
      <c r="J2150" s="80" t="str">
        <f t="shared" si="903"/>
        <v>#NAME?</v>
      </c>
      <c r="K2150" s="58"/>
      <c r="L2150" s="58"/>
      <c r="M2150" s="57"/>
      <c r="N2150" s="57"/>
      <c r="O2150" s="58"/>
      <c r="P2150" s="82"/>
      <c r="Q2150" s="81"/>
      <c r="R2150" s="81"/>
      <c r="S2150" s="57"/>
      <c r="T2150" s="82"/>
      <c r="U2150" s="82"/>
      <c r="V2150" s="57"/>
      <c r="W2150" s="57"/>
      <c r="X2150" s="57" t="str">
        <f t="shared" si="917"/>
        <v/>
      </c>
      <c r="Y2150" s="58" t="str">
        <f t="shared" ref="Y2150:AC2150" si="1990">TRIM(SUBSTITUTE(SUBSTITUTE(OFFSET($Q2150,0,COLUMN()-COLUMN($AL$1)),CHAR(160)," "),_xludf.UNICHAR(8239)," "))</f>
        <v>#NAME?</v>
      </c>
      <c r="Z2150" s="58" t="str">
        <f t="shared" si="1990"/>
        <v>#NAME?</v>
      </c>
      <c r="AA2150" s="58" t="str">
        <f t="shared" si="1990"/>
        <v>#NAME?</v>
      </c>
      <c r="AB2150" s="58" t="str">
        <f t="shared" si="1990"/>
        <v>#NAME?</v>
      </c>
      <c r="AC2150" s="58" t="str">
        <f t="shared" si="1990"/>
        <v>#NAME?</v>
      </c>
      <c r="AD2150" s="57">
        <f t="shared" si="906"/>
        <v>0</v>
      </c>
      <c r="AE2150" s="57" t="str">
        <f t="shared" si="907"/>
        <v/>
      </c>
      <c r="AF2150" s="57">
        <f t="shared" si="908"/>
        <v>0</v>
      </c>
      <c r="AG2150" s="59">
        <f t="shared" si="909"/>
        <v>0</v>
      </c>
      <c r="AH2150" s="15"/>
      <c r="AI2150" s="15"/>
      <c r="AJ2150" s="15"/>
      <c r="AK2150" s="15"/>
      <c r="AL2150" s="15"/>
      <c r="AM2150" s="15"/>
      <c r="AN2150" s="15"/>
      <c r="AO2150" s="15"/>
      <c r="AP2150" s="15"/>
      <c r="AQ2150" s="15"/>
      <c r="AR2150" s="15"/>
      <c r="AS2150" s="15"/>
      <c r="AT2150" s="15"/>
      <c r="AU2150" s="15"/>
    </row>
    <row r="2151" ht="24.0" customHeight="1">
      <c r="A2151" s="45">
        <v>3575.0</v>
      </c>
      <c r="B2151" s="57"/>
      <c r="C2151" s="57"/>
      <c r="D2151" s="88" t="str">
        <f t="array" ref="D2151">IFERROR(
  LOOKUP(2, 1/((TRIM(IMS!$E$8:$E$2574)=TRIM(IMS!$E2151))*(IMS!$C$8:$C$2574&lt;IMS!$C2151)),
         IMS!$C$8:$C$2574),
"")</f>
        <v/>
      </c>
      <c r="E2151" s="57"/>
      <c r="F2151" s="57"/>
      <c r="G2151" s="77" t="str">
        <f t="shared" si="901"/>
        <v/>
      </c>
      <c r="H2151" s="78" t="str">
        <f t="shared" si="902"/>
        <v/>
      </c>
      <c r="I2151" s="79"/>
      <c r="J2151" s="80" t="str">
        <f t="shared" si="903"/>
        <v>#NAME?</v>
      </c>
      <c r="K2151" s="58"/>
      <c r="L2151" s="58"/>
      <c r="M2151" s="57"/>
      <c r="N2151" s="57"/>
      <c r="O2151" s="58"/>
      <c r="P2151" s="82"/>
      <c r="Q2151" s="81"/>
      <c r="R2151" s="81"/>
      <c r="S2151" s="57"/>
      <c r="T2151" s="82"/>
      <c r="U2151" s="82"/>
      <c r="V2151" s="57"/>
      <c r="W2151" s="57"/>
      <c r="X2151" s="57" t="str">
        <f t="shared" si="917"/>
        <v/>
      </c>
      <c r="Y2151" s="58" t="str">
        <f t="shared" ref="Y2151:AC2151" si="1991">TRIM(SUBSTITUTE(SUBSTITUTE(OFFSET($Q2151,0,COLUMN()-COLUMN($AL$1)),CHAR(160)," "),_xludf.UNICHAR(8239)," "))</f>
        <v>#NAME?</v>
      </c>
      <c r="Z2151" s="58" t="str">
        <f t="shared" si="1991"/>
        <v>#NAME?</v>
      </c>
      <c r="AA2151" s="58" t="str">
        <f t="shared" si="1991"/>
        <v>#NAME?</v>
      </c>
      <c r="AB2151" s="58" t="str">
        <f t="shared" si="1991"/>
        <v>#NAME?</v>
      </c>
      <c r="AC2151" s="58" t="str">
        <f t="shared" si="1991"/>
        <v>#NAME?</v>
      </c>
      <c r="AD2151" s="57">
        <f t="shared" si="906"/>
        <v>0</v>
      </c>
      <c r="AE2151" s="57" t="str">
        <f t="shared" si="907"/>
        <v/>
      </c>
      <c r="AF2151" s="57">
        <f t="shared" si="908"/>
        <v>0</v>
      </c>
      <c r="AG2151" s="59">
        <f t="shared" si="909"/>
        <v>0</v>
      </c>
      <c r="AH2151" s="15"/>
      <c r="AI2151" s="15"/>
      <c r="AJ2151" s="15"/>
      <c r="AK2151" s="15"/>
      <c r="AL2151" s="15"/>
      <c r="AM2151" s="15"/>
      <c r="AN2151" s="15"/>
      <c r="AO2151" s="15"/>
      <c r="AP2151" s="15"/>
      <c r="AQ2151" s="15"/>
      <c r="AR2151" s="15"/>
      <c r="AS2151" s="15"/>
      <c r="AT2151" s="15"/>
      <c r="AU2151" s="15"/>
    </row>
    <row r="2152" ht="24.0" customHeight="1">
      <c r="A2152" s="45">
        <v>3576.0</v>
      </c>
      <c r="B2152" s="57"/>
      <c r="C2152" s="57"/>
      <c r="D2152" s="88" t="str">
        <f t="array" ref="D2152">IFERROR(
  LOOKUP(2, 1/((TRIM(IMS!$E$8:$E$2574)=TRIM(IMS!$E2152))*(IMS!$C$8:$C$2574&lt;IMS!$C2152)),
         IMS!$C$8:$C$2574),
"")</f>
        <v/>
      </c>
      <c r="E2152" s="57"/>
      <c r="F2152" s="57"/>
      <c r="G2152" s="77" t="str">
        <f t="shared" si="901"/>
        <v/>
      </c>
      <c r="H2152" s="78" t="str">
        <f t="shared" si="902"/>
        <v/>
      </c>
      <c r="I2152" s="79"/>
      <c r="J2152" s="80" t="str">
        <f t="shared" si="903"/>
        <v>#NAME?</v>
      </c>
      <c r="K2152" s="58"/>
      <c r="L2152" s="58"/>
      <c r="M2152" s="57"/>
      <c r="N2152" s="57"/>
      <c r="O2152" s="58"/>
      <c r="P2152" s="82"/>
      <c r="Q2152" s="81"/>
      <c r="R2152" s="81"/>
      <c r="S2152" s="57"/>
      <c r="T2152" s="82"/>
      <c r="U2152" s="82"/>
      <c r="V2152" s="57"/>
      <c r="W2152" s="57"/>
      <c r="X2152" s="57" t="str">
        <f t="shared" si="917"/>
        <v/>
      </c>
      <c r="Y2152" s="58" t="str">
        <f t="shared" ref="Y2152:AC2152" si="1992">TRIM(SUBSTITUTE(SUBSTITUTE(OFFSET($Q2152,0,COLUMN()-COLUMN($AL$1)),CHAR(160)," "),_xludf.UNICHAR(8239)," "))</f>
        <v>#NAME?</v>
      </c>
      <c r="Z2152" s="58" t="str">
        <f t="shared" si="1992"/>
        <v>#NAME?</v>
      </c>
      <c r="AA2152" s="58" t="str">
        <f t="shared" si="1992"/>
        <v>#NAME?</v>
      </c>
      <c r="AB2152" s="58" t="str">
        <f t="shared" si="1992"/>
        <v>#NAME?</v>
      </c>
      <c r="AC2152" s="58" t="str">
        <f t="shared" si="1992"/>
        <v>#NAME?</v>
      </c>
      <c r="AD2152" s="57">
        <f t="shared" si="906"/>
        <v>0</v>
      </c>
      <c r="AE2152" s="57" t="str">
        <f t="shared" si="907"/>
        <v/>
      </c>
      <c r="AF2152" s="57">
        <f t="shared" si="908"/>
        <v>0</v>
      </c>
      <c r="AG2152" s="59">
        <f t="shared" si="909"/>
        <v>0</v>
      </c>
      <c r="AH2152" s="15"/>
      <c r="AI2152" s="15"/>
      <c r="AJ2152" s="15"/>
      <c r="AK2152" s="15"/>
      <c r="AL2152" s="15"/>
      <c r="AM2152" s="15"/>
      <c r="AN2152" s="15"/>
      <c r="AO2152" s="15"/>
      <c r="AP2152" s="15"/>
      <c r="AQ2152" s="15"/>
      <c r="AR2152" s="15"/>
      <c r="AS2152" s="15"/>
      <c r="AT2152" s="15"/>
      <c r="AU2152" s="15"/>
    </row>
    <row r="2153" ht="24.0" customHeight="1">
      <c r="A2153" s="45">
        <v>3577.0</v>
      </c>
      <c r="B2153" s="57"/>
      <c r="C2153" s="57"/>
      <c r="D2153" s="88" t="str">
        <f t="array" ref="D2153">IFERROR(
  LOOKUP(2, 1/((TRIM(IMS!$E$8:$E$2574)=TRIM(IMS!$E2153))*(IMS!$C$8:$C$2574&lt;IMS!$C2153)),
         IMS!$C$8:$C$2574),
"")</f>
        <v/>
      </c>
      <c r="E2153" s="57"/>
      <c r="F2153" s="57"/>
      <c r="G2153" s="77" t="str">
        <f t="shared" si="901"/>
        <v/>
      </c>
      <c r="H2153" s="78" t="str">
        <f t="shared" si="902"/>
        <v/>
      </c>
      <c r="I2153" s="79"/>
      <c r="J2153" s="80" t="str">
        <f t="shared" si="903"/>
        <v>#NAME?</v>
      </c>
      <c r="K2153" s="58"/>
      <c r="L2153" s="58"/>
      <c r="M2153" s="57"/>
      <c r="N2153" s="57"/>
      <c r="O2153" s="58"/>
      <c r="P2153" s="82"/>
      <c r="Q2153" s="81"/>
      <c r="R2153" s="81"/>
      <c r="S2153" s="57"/>
      <c r="T2153" s="82"/>
      <c r="U2153" s="82"/>
      <c r="V2153" s="57"/>
      <c r="W2153" s="57"/>
      <c r="X2153" s="57" t="str">
        <f t="shared" si="917"/>
        <v/>
      </c>
      <c r="Y2153" s="58" t="str">
        <f t="shared" ref="Y2153:AC2153" si="1993">TRIM(SUBSTITUTE(SUBSTITUTE(OFFSET($Q2153,0,COLUMN()-COLUMN($AL$1)),CHAR(160)," "),_xludf.UNICHAR(8239)," "))</f>
        <v>#NAME?</v>
      </c>
      <c r="Z2153" s="58" t="str">
        <f t="shared" si="1993"/>
        <v>#NAME?</v>
      </c>
      <c r="AA2153" s="58" t="str">
        <f t="shared" si="1993"/>
        <v>#NAME?</v>
      </c>
      <c r="AB2153" s="58" t="str">
        <f t="shared" si="1993"/>
        <v>#NAME?</v>
      </c>
      <c r="AC2153" s="58" t="str">
        <f t="shared" si="1993"/>
        <v>#NAME?</v>
      </c>
      <c r="AD2153" s="57">
        <f t="shared" si="906"/>
        <v>0</v>
      </c>
      <c r="AE2153" s="57" t="str">
        <f t="shared" si="907"/>
        <v/>
      </c>
      <c r="AF2153" s="57">
        <f t="shared" si="908"/>
        <v>0</v>
      </c>
      <c r="AG2153" s="59">
        <f t="shared" si="909"/>
        <v>0</v>
      </c>
      <c r="AH2153" s="15"/>
      <c r="AI2153" s="15"/>
      <c r="AJ2153" s="15"/>
      <c r="AK2153" s="15"/>
      <c r="AL2153" s="15"/>
      <c r="AM2153" s="15"/>
      <c r="AN2153" s="15"/>
      <c r="AO2153" s="15"/>
      <c r="AP2153" s="15"/>
      <c r="AQ2153" s="15"/>
      <c r="AR2153" s="15"/>
      <c r="AS2153" s="15"/>
      <c r="AT2153" s="15"/>
      <c r="AU2153" s="15"/>
    </row>
    <row r="2154" ht="24.0" customHeight="1">
      <c r="A2154" s="45">
        <v>3578.0</v>
      </c>
      <c r="B2154" s="57"/>
      <c r="C2154" s="57"/>
      <c r="D2154" s="88" t="str">
        <f t="array" ref="D2154">IFERROR(
  LOOKUP(2, 1/((TRIM(IMS!$E$8:$E$2574)=TRIM(IMS!$E2154))*(IMS!$C$8:$C$2574&lt;IMS!$C2154)),
         IMS!$C$8:$C$2574),
"")</f>
        <v/>
      </c>
      <c r="E2154" s="57"/>
      <c r="F2154" s="57"/>
      <c r="G2154" s="77" t="str">
        <f t="shared" si="901"/>
        <v/>
      </c>
      <c r="H2154" s="78" t="str">
        <f t="shared" si="902"/>
        <v/>
      </c>
      <c r="I2154" s="79"/>
      <c r="J2154" s="80" t="str">
        <f t="shared" si="903"/>
        <v>#NAME?</v>
      </c>
      <c r="K2154" s="58"/>
      <c r="L2154" s="58"/>
      <c r="M2154" s="57"/>
      <c r="N2154" s="57"/>
      <c r="O2154" s="58"/>
      <c r="P2154" s="82"/>
      <c r="Q2154" s="81"/>
      <c r="R2154" s="81"/>
      <c r="S2154" s="57"/>
      <c r="T2154" s="82"/>
      <c r="U2154" s="82"/>
      <c r="V2154" s="57"/>
      <c r="W2154" s="57"/>
      <c r="X2154" s="57" t="str">
        <f t="shared" si="917"/>
        <v/>
      </c>
      <c r="Y2154" s="58" t="str">
        <f t="shared" ref="Y2154:AC2154" si="1994">TRIM(SUBSTITUTE(SUBSTITUTE(OFFSET($Q2154,0,COLUMN()-COLUMN($AL$1)),CHAR(160)," "),_xludf.UNICHAR(8239)," "))</f>
        <v>#NAME?</v>
      </c>
      <c r="Z2154" s="58" t="str">
        <f t="shared" si="1994"/>
        <v>#NAME?</v>
      </c>
      <c r="AA2154" s="58" t="str">
        <f t="shared" si="1994"/>
        <v>#NAME?</v>
      </c>
      <c r="AB2154" s="58" t="str">
        <f t="shared" si="1994"/>
        <v>#NAME?</v>
      </c>
      <c r="AC2154" s="58" t="str">
        <f t="shared" si="1994"/>
        <v>#NAME?</v>
      </c>
      <c r="AD2154" s="57">
        <f t="shared" si="906"/>
        <v>0</v>
      </c>
      <c r="AE2154" s="57" t="str">
        <f t="shared" si="907"/>
        <v/>
      </c>
      <c r="AF2154" s="57">
        <f t="shared" si="908"/>
        <v>0</v>
      </c>
      <c r="AG2154" s="59">
        <f t="shared" si="909"/>
        <v>0</v>
      </c>
      <c r="AH2154" s="15"/>
      <c r="AI2154" s="15"/>
      <c r="AJ2154" s="15"/>
      <c r="AK2154" s="15"/>
      <c r="AL2154" s="15"/>
      <c r="AM2154" s="15"/>
      <c r="AN2154" s="15"/>
      <c r="AO2154" s="15"/>
      <c r="AP2154" s="15"/>
      <c r="AQ2154" s="15"/>
      <c r="AR2154" s="15"/>
      <c r="AS2154" s="15"/>
      <c r="AT2154" s="15"/>
      <c r="AU2154" s="15"/>
    </row>
    <row r="2155" ht="24.0" customHeight="1">
      <c r="A2155" s="45">
        <v>3579.0</v>
      </c>
      <c r="B2155" s="57"/>
      <c r="C2155" s="57"/>
      <c r="D2155" s="88" t="str">
        <f t="array" ref="D2155">IFERROR(
  LOOKUP(2, 1/((TRIM(IMS!$E$8:$E$2574)=TRIM(IMS!$E2155))*(IMS!$C$8:$C$2574&lt;IMS!$C2155)),
         IMS!$C$8:$C$2574),
"")</f>
        <v/>
      </c>
      <c r="E2155" s="57"/>
      <c r="F2155" s="57"/>
      <c r="G2155" s="77" t="str">
        <f t="shared" si="901"/>
        <v/>
      </c>
      <c r="H2155" s="78" t="str">
        <f t="shared" si="902"/>
        <v/>
      </c>
      <c r="I2155" s="79"/>
      <c r="J2155" s="80" t="str">
        <f t="shared" si="903"/>
        <v>#NAME?</v>
      </c>
      <c r="K2155" s="58"/>
      <c r="L2155" s="58"/>
      <c r="M2155" s="57"/>
      <c r="N2155" s="57"/>
      <c r="O2155" s="58"/>
      <c r="P2155" s="82"/>
      <c r="Q2155" s="81"/>
      <c r="R2155" s="81"/>
      <c r="S2155" s="57"/>
      <c r="T2155" s="82"/>
      <c r="U2155" s="82"/>
      <c r="V2155" s="57"/>
      <c r="W2155" s="57"/>
      <c r="X2155" s="57" t="str">
        <f t="shared" si="917"/>
        <v/>
      </c>
      <c r="Y2155" s="58" t="str">
        <f t="shared" ref="Y2155:AC2155" si="1995">TRIM(SUBSTITUTE(SUBSTITUTE(OFFSET($Q2155,0,COLUMN()-COLUMN($AL$1)),CHAR(160)," "),_xludf.UNICHAR(8239)," "))</f>
        <v>#NAME?</v>
      </c>
      <c r="Z2155" s="58" t="str">
        <f t="shared" si="1995"/>
        <v>#NAME?</v>
      </c>
      <c r="AA2155" s="58" t="str">
        <f t="shared" si="1995"/>
        <v>#NAME?</v>
      </c>
      <c r="AB2155" s="58" t="str">
        <f t="shared" si="1995"/>
        <v>#NAME?</v>
      </c>
      <c r="AC2155" s="58" t="str">
        <f t="shared" si="1995"/>
        <v>#NAME?</v>
      </c>
      <c r="AD2155" s="57">
        <f t="shared" si="906"/>
        <v>0</v>
      </c>
      <c r="AE2155" s="57" t="str">
        <f t="shared" si="907"/>
        <v/>
      </c>
      <c r="AF2155" s="57">
        <f t="shared" si="908"/>
        <v>0</v>
      </c>
      <c r="AG2155" s="59">
        <f t="shared" si="909"/>
        <v>0</v>
      </c>
      <c r="AH2155" s="15"/>
      <c r="AI2155" s="15"/>
      <c r="AJ2155" s="15"/>
      <c r="AK2155" s="15"/>
      <c r="AL2155" s="15"/>
      <c r="AM2155" s="15"/>
      <c r="AN2155" s="15"/>
      <c r="AO2155" s="15"/>
      <c r="AP2155" s="15"/>
      <c r="AQ2155" s="15"/>
      <c r="AR2155" s="15"/>
      <c r="AS2155" s="15"/>
      <c r="AT2155" s="15"/>
      <c r="AU2155" s="15"/>
    </row>
    <row r="2156" ht="24.0" customHeight="1">
      <c r="A2156" s="45">
        <v>3580.0</v>
      </c>
      <c r="B2156" s="57"/>
      <c r="C2156" s="57"/>
      <c r="D2156" s="88" t="str">
        <f t="array" ref="D2156">IFERROR(
  LOOKUP(2, 1/((TRIM(IMS!$E$8:$E$2574)=TRIM(IMS!$E2156))*(IMS!$C$8:$C$2574&lt;IMS!$C2156)),
         IMS!$C$8:$C$2574),
"")</f>
        <v/>
      </c>
      <c r="E2156" s="57"/>
      <c r="F2156" s="57"/>
      <c r="G2156" s="77" t="str">
        <f t="shared" si="901"/>
        <v/>
      </c>
      <c r="H2156" s="78" t="str">
        <f t="shared" si="902"/>
        <v/>
      </c>
      <c r="I2156" s="79"/>
      <c r="J2156" s="80" t="str">
        <f t="shared" si="903"/>
        <v>#NAME?</v>
      </c>
      <c r="K2156" s="58"/>
      <c r="L2156" s="58"/>
      <c r="M2156" s="57"/>
      <c r="N2156" s="57"/>
      <c r="O2156" s="58"/>
      <c r="P2156" s="82"/>
      <c r="Q2156" s="81"/>
      <c r="R2156" s="81"/>
      <c r="S2156" s="57"/>
      <c r="T2156" s="82"/>
      <c r="U2156" s="82"/>
      <c r="V2156" s="57"/>
      <c r="W2156" s="57"/>
      <c r="X2156" s="57" t="str">
        <f t="shared" si="917"/>
        <v/>
      </c>
      <c r="Y2156" s="58" t="str">
        <f t="shared" ref="Y2156:AC2156" si="1996">TRIM(SUBSTITUTE(SUBSTITUTE(OFFSET($Q2156,0,COLUMN()-COLUMN($AL$1)),CHAR(160)," "),_xludf.UNICHAR(8239)," "))</f>
        <v>#NAME?</v>
      </c>
      <c r="Z2156" s="58" t="str">
        <f t="shared" si="1996"/>
        <v>#NAME?</v>
      </c>
      <c r="AA2156" s="58" t="str">
        <f t="shared" si="1996"/>
        <v>#NAME?</v>
      </c>
      <c r="AB2156" s="58" t="str">
        <f t="shared" si="1996"/>
        <v>#NAME?</v>
      </c>
      <c r="AC2156" s="58" t="str">
        <f t="shared" si="1996"/>
        <v>#NAME?</v>
      </c>
      <c r="AD2156" s="57">
        <f t="shared" si="906"/>
        <v>0</v>
      </c>
      <c r="AE2156" s="57" t="str">
        <f t="shared" si="907"/>
        <v/>
      </c>
      <c r="AF2156" s="57">
        <f t="shared" si="908"/>
        <v>0</v>
      </c>
      <c r="AG2156" s="59">
        <f t="shared" si="909"/>
        <v>0</v>
      </c>
      <c r="AH2156" s="15"/>
      <c r="AI2156" s="15"/>
      <c r="AJ2156" s="15"/>
      <c r="AK2156" s="15"/>
      <c r="AL2156" s="15"/>
      <c r="AM2156" s="15"/>
      <c r="AN2156" s="15"/>
      <c r="AO2156" s="15"/>
      <c r="AP2156" s="15"/>
      <c r="AQ2156" s="15"/>
      <c r="AR2156" s="15"/>
      <c r="AS2156" s="15"/>
      <c r="AT2156" s="15"/>
      <c r="AU2156" s="15"/>
    </row>
    <row r="2157" ht="24.0" customHeight="1">
      <c r="A2157" s="45">
        <v>3581.0</v>
      </c>
      <c r="B2157" s="57"/>
      <c r="C2157" s="57"/>
      <c r="D2157" s="88" t="str">
        <f t="array" ref="D2157">IFERROR(
  LOOKUP(2, 1/((TRIM(IMS!$E$8:$E$2574)=TRIM(IMS!$E2157))*(IMS!$C$8:$C$2574&lt;IMS!$C2157)),
         IMS!$C$8:$C$2574),
"")</f>
        <v/>
      </c>
      <c r="E2157" s="57"/>
      <c r="F2157" s="57"/>
      <c r="G2157" s="77" t="str">
        <f t="shared" si="901"/>
        <v/>
      </c>
      <c r="H2157" s="78" t="str">
        <f t="shared" si="902"/>
        <v/>
      </c>
      <c r="I2157" s="79"/>
      <c r="J2157" s="80" t="str">
        <f t="shared" si="903"/>
        <v>#NAME?</v>
      </c>
      <c r="K2157" s="58"/>
      <c r="L2157" s="58"/>
      <c r="M2157" s="57"/>
      <c r="N2157" s="57"/>
      <c r="O2157" s="58"/>
      <c r="P2157" s="82"/>
      <c r="Q2157" s="81"/>
      <c r="R2157" s="81"/>
      <c r="S2157" s="57"/>
      <c r="T2157" s="82"/>
      <c r="U2157" s="82"/>
      <c r="V2157" s="57"/>
      <c r="W2157" s="57"/>
      <c r="X2157" s="57" t="str">
        <f t="shared" si="917"/>
        <v/>
      </c>
      <c r="Y2157" s="58" t="str">
        <f t="shared" ref="Y2157:AC2157" si="1997">TRIM(SUBSTITUTE(SUBSTITUTE(OFFSET($Q2157,0,COLUMN()-COLUMN($AL$1)),CHAR(160)," "),_xludf.UNICHAR(8239)," "))</f>
        <v>#NAME?</v>
      </c>
      <c r="Z2157" s="58" t="str">
        <f t="shared" si="1997"/>
        <v>#NAME?</v>
      </c>
      <c r="AA2157" s="58" t="str">
        <f t="shared" si="1997"/>
        <v>#NAME?</v>
      </c>
      <c r="AB2157" s="58" t="str">
        <f t="shared" si="1997"/>
        <v>#NAME?</v>
      </c>
      <c r="AC2157" s="58" t="str">
        <f t="shared" si="1997"/>
        <v>#NAME?</v>
      </c>
      <c r="AD2157" s="57">
        <f t="shared" si="906"/>
        <v>0</v>
      </c>
      <c r="AE2157" s="57" t="str">
        <f t="shared" si="907"/>
        <v/>
      </c>
      <c r="AF2157" s="57">
        <f t="shared" si="908"/>
        <v>0</v>
      </c>
      <c r="AG2157" s="59">
        <f t="shared" si="909"/>
        <v>0</v>
      </c>
      <c r="AH2157" s="15"/>
      <c r="AI2157" s="15"/>
      <c r="AJ2157" s="15"/>
      <c r="AK2157" s="15"/>
      <c r="AL2157" s="15"/>
      <c r="AM2157" s="15"/>
      <c r="AN2157" s="15"/>
      <c r="AO2157" s="15"/>
      <c r="AP2157" s="15"/>
      <c r="AQ2157" s="15"/>
      <c r="AR2157" s="15"/>
      <c r="AS2157" s="15"/>
      <c r="AT2157" s="15"/>
      <c r="AU2157" s="15"/>
    </row>
    <row r="2158" ht="24.0" customHeight="1">
      <c r="A2158" s="45">
        <v>3582.0</v>
      </c>
      <c r="B2158" s="57"/>
      <c r="C2158" s="57"/>
      <c r="D2158" s="88" t="str">
        <f t="array" ref="D2158">IFERROR(
  LOOKUP(2, 1/((TRIM(IMS!$E$8:$E$2574)=TRIM(IMS!$E2158))*(IMS!$C$8:$C$2574&lt;IMS!$C2158)),
         IMS!$C$8:$C$2574),
"")</f>
        <v/>
      </c>
      <c r="E2158" s="57"/>
      <c r="F2158" s="57"/>
      <c r="G2158" s="77" t="str">
        <f t="shared" si="901"/>
        <v/>
      </c>
      <c r="H2158" s="78" t="str">
        <f t="shared" si="902"/>
        <v/>
      </c>
      <c r="I2158" s="79"/>
      <c r="J2158" s="80" t="str">
        <f t="shared" si="903"/>
        <v>#NAME?</v>
      </c>
      <c r="K2158" s="58"/>
      <c r="L2158" s="58"/>
      <c r="M2158" s="57"/>
      <c r="N2158" s="57"/>
      <c r="O2158" s="58"/>
      <c r="P2158" s="82"/>
      <c r="Q2158" s="81"/>
      <c r="R2158" s="81"/>
      <c r="S2158" s="57"/>
      <c r="T2158" s="82"/>
      <c r="U2158" s="82"/>
      <c r="V2158" s="57"/>
      <c r="W2158" s="57"/>
      <c r="X2158" s="57" t="str">
        <f t="shared" si="917"/>
        <v/>
      </c>
      <c r="Y2158" s="58" t="str">
        <f t="shared" ref="Y2158:AC2158" si="1998">TRIM(SUBSTITUTE(SUBSTITUTE(OFFSET($Q2158,0,COLUMN()-COLUMN($AL$1)),CHAR(160)," "),_xludf.UNICHAR(8239)," "))</f>
        <v>#NAME?</v>
      </c>
      <c r="Z2158" s="58" t="str">
        <f t="shared" si="1998"/>
        <v>#NAME?</v>
      </c>
      <c r="AA2158" s="58" t="str">
        <f t="shared" si="1998"/>
        <v>#NAME?</v>
      </c>
      <c r="AB2158" s="58" t="str">
        <f t="shared" si="1998"/>
        <v>#NAME?</v>
      </c>
      <c r="AC2158" s="58" t="str">
        <f t="shared" si="1998"/>
        <v>#NAME?</v>
      </c>
      <c r="AD2158" s="57">
        <f t="shared" si="906"/>
        <v>0</v>
      </c>
      <c r="AE2158" s="57" t="str">
        <f t="shared" si="907"/>
        <v/>
      </c>
      <c r="AF2158" s="57">
        <f t="shared" si="908"/>
        <v>0</v>
      </c>
      <c r="AG2158" s="59">
        <f t="shared" si="909"/>
        <v>0</v>
      </c>
      <c r="AH2158" s="15"/>
      <c r="AI2158" s="15"/>
      <c r="AJ2158" s="15"/>
      <c r="AK2158" s="15"/>
      <c r="AL2158" s="15"/>
      <c r="AM2158" s="15"/>
      <c r="AN2158" s="15"/>
      <c r="AO2158" s="15"/>
      <c r="AP2158" s="15"/>
      <c r="AQ2158" s="15"/>
      <c r="AR2158" s="15"/>
      <c r="AS2158" s="15"/>
      <c r="AT2158" s="15"/>
      <c r="AU2158" s="15"/>
    </row>
    <row r="2159" ht="24.0" customHeight="1">
      <c r="A2159" s="45">
        <v>3583.0</v>
      </c>
      <c r="B2159" s="57"/>
      <c r="C2159" s="57"/>
      <c r="D2159" s="88" t="str">
        <f t="array" ref="D2159">IFERROR(
  LOOKUP(2, 1/((TRIM(IMS!$E$8:$E$2574)=TRIM(IMS!$E2159))*(IMS!$C$8:$C$2574&lt;IMS!$C2159)),
         IMS!$C$8:$C$2574),
"")</f>
        <v/>
      </c>
      <c r="E2159" s="57"/>
      <c r="F2159" s="57"/>
      <c r="G2159" s="77" t="str">
        <f t="shared" si="901"/>
        <v/>
      </c>
      <c r="H2159" s="78" t="str">
        <f t="shared" si="902"/>
        <v/>
      </c>
      <c r="I2159" s="79"/>
      <c r="J2159" s="80" t="str">
        <f t="shared" si="903"/>
        <v>#NAME?</v>
      </c>
      <c r="K2159" s="58"/>
      <c r="L2159" s="58"/>
      <c r="M2159" s="57"/>
      <c r="N2159" s="57"/>
      <c r="O2159" s="58"/>
      <c r="P2159" s="82"/>
      <c r="Q2159" s="81"/>
      <c r="R2159" s="81"/>
      <c r="S2159" s="57"/>
      <c r="T2159" s="82"/>
      <c r="U2159" s="82"/>
      <c r="V2159" s="57"/>
      <c r="W2159" s="57"/>
      <c r="X2159" s="57" t="str">
        <f t="shared" si="917"/>
        <v/>
      </c>
      <c r="Y2159" s="58" t="str">
        <f t="shared" ref="Y2159:AC2159" si="1999">TRIM(SUBSTITUTE(SUBSTITUTE(OFFSET($Q2159,0,COLUMN()-COLUMN($AL$1)),CHAR(160)," "),_xludf.UNICHAR(8239)," "))</f>
        <v>#NAME?</v>
      </c>
      <c r="Z2159" s="58" t="str">
        <f t="shared" si="1999"/>
        <v>#NAME?</v>
      </c>
      <c r="AA2159" s="58" t="str">
        <f t="shared" si="1999"/>
        <v>#NAME?</v>
      </c>
      <c r="AB2159" s="58" t="str">
        <f t="shared" si="1999"/>
        <v>#NAME?</v>
      </c>
      <c r="AC2159" s="58" t="str">
        <f t="shared" si="1999"/>
        <v>#NAME?</v>
      </c>
      <c r="AD2159" s="57">
        <f t="shared" si="906"/>
        <v>0</v>
      </c>
      <c r="AE2159" s="57" t="str">
        <f t="shared" si="907"/>
        <v/>
      </c>
      <c r="AF2159" s="57">
        <f t="shared" si="908"/>
        <v>0</v>
      </c>
      <c r="AG2159" s="59">
        <f t="shared" si="909"/>
        <v>0</v>
      </c>
      <c r="AH2159" s="15"/>
      <c r="AI2159" s="15"/>
      <c r="AJ2159" s="15"/>
      <c r="AK2159" s="15"/>
      <c r="AL2159" s="15"/>
      <c r="AM2159" s="15"/>
      <c r="AN2159" s="15"/>
      <c r="AO2159" s="15"/>
      <c r="AP2159" s="15"/>
      <c r="AQ2159" s="15"/>
      <c r="AR2159" s="15"/>
      <c r="AS2159" s="15"/>
      <c r="AT2159" s="15"/>
      <c r="AU2159" s="15"/>
    </row>
    <row r="2160" ht="24.0" customHeight="1">
      <c r="A2160" s="45">
        <v>3584.0</v>
      </c>
      <c r="B2160" s="57"/>
      <c r="C2160" s="57"/>
      <c r="D2160" s="88" t="str">
        <f t="array" ref="D2160">IFERROR(
  LOOKUP(2, 1/((TRIM(IMS!$E$8:$E$2574)=TRIM(IMS!$E2160))*(IMS!$C$8:$C$2574&lt;IMS!$C2160)),
         IMS!$C$8:$C$2574),
"")</f>
        <v/>
      </c>
      <c r="E2160" s="57"/>
      <c r="F2160" s="57"/>
      <c r="G2160" s="77" t="str">
        <f t="shared" si="901"/>
        <v/>
      </c>
      <c r="H2160" s="78" t="str">
        <f t="shared" si="902"/>
        <v/>
      </c>
      <c r="I2160" s="79"/>
      <c r="J2160" s="80" t="str">
        <f t="shared" si="903"/>
        <v>#NAME?</v>
      </c>
      <c r="K2160" s="58"/>
      <c r="L2160" s="58"/>
      <c r="M2160" s="57"/>
      <c r="N2160" s="57"/>
      <c r="O2160" s="58"/>
      <c r="P2160" s="82"/>
      <c r="Q2160" s="81"/>
      <c r="R2160" s="81"/>
      <c r="S2160" s="57"/>
      <c r="T2160" s="82"/>
      <c r="U2160" s="82"/>
      <c r="V2160" s="57"/>
      <c r="W2160" s="57"/>
      <c r="X2160" s="57" t="str">
        <f t="shared" si="917"/>
        <v/>
      </c>
      <c r="Y2160" s="58" t="str">
        <f t="shared" ref="Y2160:AC2160" si="2000">TRIM(SUBSTITUTE(SUBSTITUTE(OFFSET($Q2160,0,COLUMN()-COLUMN($AL$1)),CHAR(160)," "),_xludf.UNICHAR(8239)," "))</f>
        <v>#NAME?</v>
      </c>
      <c r="Z2160" s="58" t="str">
        <f t="shared" si="2000"/>
        <v>#NAME?</v>
      </c>
      <c r="AA2160" s="58" t="str">
        <f t="shared" si="2000"/>
        <v>#NAME?</v>
      </c>
      <c r="AB2160" s="58" t="str">
        <f t="shared" si="2000"/>
        <v>#NAME?</v>
      </c>
      <c r="AC2160" s="58" t="str">
        <f t="shared" si="2000"/>
        <v>#NAME?</v>
      </c>
      <c r="AD2160" s="57">
        <f t="shared" si="906"/>
        <v>0</v>
      </c>
      <c r="AE2160" s="57" t="str">
        <f t="shared" si="907"/>
        <v/>
      </c>
      <c r="AF2160" s="57">
        <f t="shared" si="908"/>
        <v>0</v>
      </c>
      <c r="AG2160" s="59">
        <f t="shared" si="909"/>
        <v>0</v>
      </c>
      <c r="AH2160" s="15"/>
      <c r="AI2160" s="15"/>
      <c r="AJ2160" s="15"/>
      <c r="AK2160" s="15"/>
      <c r="AL2160" s="15"/>
      <c r="AM2160" s="15"/>
      <c r="AN2160" s="15"/>
      <c r="AO2160" s="15"/>
      <c r="AP2160" s="15"/>
      <c r="AQ2160" s="15"/>
      <c r="AR2160" s="15"/>
      <c r="AS2160" s="15"/>
      <c r="AT2160" s="15"/>
      <c r="AU2160" s="15"/>
    </row>
    <row r="2161" ht="24.0" customHeight="1">
      <c r="A2161" s="45">
        <v>3585.0</v>
      </c>
      <c r="B2161" s="57"/>
      <c r="C2161" s="57"/>
      <c r="D2161" s="88" t="str">
        <f t="array" ref="D2161">IFERROR(
  LOOKUP(2, 1/((TRIM(IMS!$E$8:$E$2574)=TRIM(IMS!$E2161))*(IMS!$C$8:$C$2574&lt;IMS!$C2161)),
         IMS!$C$8:$C$2574),
"")</f>
        <v/>
      </c>
      <c r="E2161" s="57"/>
      <c r="F2161" s="57"/>
      <c r="G2161" s="77" t="str">
        <f t="shared" si="901"/>
        <v/>
      </c>
      <c r="H2161" s="78" t="str">
        <f t="shared" si="902"/>
        <v/>
      </c>
      <c r="I2161" s="79"/>
      <c r="J2161" s="80" t="str">
        <f t="shared" si="903"/>
        <v>#NAME?</v>
      </c>
      <c r="K2161" s="58"/>
      <c r="L2161" s="58"/>
      <c r="M2161" s="57"/>
      <c r="N2161" s="57"/>
      <c r="O2161" s="58"/>
      <c r="P2161" s="82"/>
      <c r="Q2161" s="81"/>
      <c r="R2161" s="81"/>
      <c r="S2161" s="57"/>
      <c r="T2161" s="82"/>
      <c r="U2161" s="82"/>
      <c r="V2161" s="57"/>
      <c r="W2161" s="57"/>
      <c r="X2161" s="57" t="str">
        <f t="shared" si="917"/>
        <v/>
      </c>
      <c r="Y2161" s="58" t="str">
        <f t="shared" ref="Y2161:AC2161" si="2001">TRIM(SUBSTITUTE(SUBSTITUTE(OFFSET($Q2161,0,COLUMN()-COLUMN($AL$1)),CHAR(160)," "),_xludf.UNICHAR(8239)," "))</f>
        <v>#NAME?</v>
      </c>
      <c r="Z2161" s="58" t="str">
        <f t="shared" si="2001"/>
        <v>#NAME?</v>
      </c>
      <c r="AA2161" s="58" t="str">
        <f t="shared" si="2001"/>
        <v>#NAME?</v>
      </c>
      <c r="AB2161" s="58" t="str">
        <f t="shared" si="2001"/>
        <v>#NAME?</v>
      </c>
      <c r="AC2161" s="58" t="str">
        <f t="shared" si="2001"/>
        <v>#NAME?</v>
      </c>
      <c r="AD2161" s="57">
        <f t="shared" si="906"/>
        <v>0</v>
      </c>
      <c r="AE2161" s="57" t="str">
        <f t="shared" si="907"/>
        <v/>
      </c>
      <c r="AF2161" s="57">
        <f t="shared" si="908"/>
        <v>0</v>
      </c>
      <c r="AG2161" s="59">
        <f t="shared" si="909"/>
        <v>0</v>
      </c>
      <c r="AH2161" s="15"/>
      <c r="AI2161" s="15"/>
      <c r="AJ2161" s="15"/>
      <c r="AK2161" s="15"/>
      <c r="AL2161" s="15"/>
      <c r="AM2161" s="15"/>
      <c r="AN2161" s="15"/>
      <c r="AO2161" s="15"/>
      <c r="AP2161" s="15"/>
      <c r="AQ2161" s="15"/>
      <c r="AR2161" s="15"/>
      <c r="AS2161" s="15"/>
      <c r="AT2161" s="15"/>
      <c r="AU2161" s="15"/>
    </row>
    <row r="2162" ht="24.0" customHeight="1">
      <c r="A2162" s="45">
        <v>3586.0</v>
      </c>
      <c r="B2162" s="57"/>
      <c r="C2162" s="57"/>
      <c r="D2162" s="88" t="str">
        <f t="array" ref="D2162">IFERROR(
  LOOKUP(2, 1/((TRIM(IMS!$E$8:$E$2574)=TRIM(IMS!$E2162))*(IMS!$C$8:$C$2574&lt;IMS!$C2162)),
         IMS!$C$8:$C$2574),
"")</f>
        <v/>
      </c>
      <c r="E2162" s="57"/>
      <c r="F2162" s="57"/>
      <c r="G2162" s="77" t="str">
        <f t="shared" si="901"/>
        <v/>
      </c>
      <c r="H2162" s="78" t="str">
        <f t="shared" si="902"/>
        <v/>
      </c>
      <c r="I2162" s="79"/>
      <c r="J2162" s="80" t="str">
        <f t="shared" si="903"/>
        <v>#NAME?</v>
      </c>
      <c r="K2162" s="58"/>
      <c r="L2162" s="58"/>
      <c r="M2162" s="57"/>
      <c r="N2162" s="57"/>
      <c r="O2162" s="58"/>
      <c r="P2162" s="82"/>
      <c r="Q2162" s="81"/>
      <c r="R2162" s="81"/>
      <c r="S2162" s="57"/>
      <c r="T2162" s="82"/>
      <c r="U2162" s="82"/>
      <c r="V2162" s="57"/>
      <c r="W2162" s="57"/>
      <c r="X2162" s="57" t="str">
        <f t="shared" si="917"/>
        <v/>
      </c>
      <c r="Y2162" s="58" t="str">
        <f t="shared" ref="Y2162:AC2162" si="2002">TRIM(SUBSTITUTE(SUBSTITUTE(OFFSET($Q2162,0,COLUMN()-COLUMN($AL$1)),CHAR(160)," "),_xludf.UNICHAR(8239)," "))</f>
        <v>#NAME?</v>
      </c>
      <c r="Z2162" s="58" t="str">
        <f t="shared" si="2002"/>
        <v>#NAME?</v>
      </c>
      <c r="AA2162" s="58" t="str">
        <f t="shared" si="2002"/>
        <v>#NAME?</v>
      </c>
      <c r="AB2162" s="58" t="str">
        <f t="shared" si="2002"/>
        <v>#NAME?</v>
      </c>
      <c r="AC2162" s="58" t="str">
        <f t="shared" si="2002"/>
        <v>#NAME?</v>
      </c>
      <c r="AD2162" s="57">
        <f t="shared" si="906"/>
        <v>0</v>
      </c>
      <c r="AE2162" s="57" t="str">
        <f t="shared" si="907"/>
        <v/>
      </c>
      <c r="AF2162" s="57">
        <f t="shared" si="908"/>
        <v>0</v>
      </c>
      <c r="AG2162" s="59">
        <f t="shared" si="909"/>
        <v>0</v>
      </c>
      <c r="AH2162" s="15"/>
      <c r="AI2162" s="15"/>
      <c r="AJ2162" s="15"/>
      <c r="AK2162" s="15"/>
      <c r="AL2162" s="15"/>
      <c r="AM2162" s="15"/>
      <c r="AN2162" s="15"/>
      <c r="AO2162" s="15"/>
      <c r="AP2162" s="15"/>
      <c r="AQ2162" s="15"/>
      <c r="AR2162" s="15"/>
      <c r="AS2162" s="15"/>
      <c r="AT2162" s="15"/>
      <c r="AU2162" s="15"/>
    </row>
    <row r="2163" ht="24.0" customHeight="1">
      <c r="A2163" s="45">
        <v>3587.0</v>
      </c>
      <c r="B2163" s="57"/>
      <c r="C2163" s="57"/>
      <c r="D2163" s="88" t="str">
        <f t="array" ref="D2163">IFERROR(
  LOOKUP(2, 1/((TRIM(IMS!$E$8:$E$2574)=TRIM(IMS!$E2163))*(IMS!$C$8:$C$2574&lt;IMS!$C2163)),
         IMS!$C$8:$C$2574),
"")</f>
        <v/>
      </c>
      <c r="E2163" s="57"/>
      <c r="F2163" s="57"/>
      <c r="G2163" s="77" t="str">
        <f t="shared" si="901"/>
        <v/>
      </c>
      <c r="H2163" s="78" t="str">
        <f t="shared" si="902"/>
        <v/>
      </c>
      <c r="I2163" s="79"/>
      <c r="J2163" s="80" t="str">
        <f t="shared" si="903"/>
        <v>#NAME?</v>
      </c>
      <c r="K2163" s="58"/>
      <c r="L2163" s="58"/>
      <c r="M2163" s="57"/>
      <c r="N2163" s="57"/>
      <c r="O2163" s="58"/>
      <c r="P2163" s="82"/>
      <c r="Q2163" s="81"/>
      <c r="R2163" s="81"/>
      <c r="S2163" s="57"/>
      <c r="T2163" s="82"/>
      <c r="U2163" s="82"/>
      <c r="V2163" s="57"/>
      <c r="W2163" s="57"/>
      <c r="X2163" s="57" t="str">
        <f t="shared" si="917"/>
        <v/>
      </c>
      <c r="Y2163" s="58" t="str">
        <f t="shared" ref="Y2163:AC2163" si="2003">TRIM(SUBSTITUTE(SUBSTITUTE(OFFSET($Q2163,0,COLUMN()-COLUMN($AL$1)),CHAR(160)," "),_xludf.UNICHAR(8239)," "))</f>
        <v>#NAME?</v>
      </c>
      <c r="Z2163" s="58" t="str">
        <f t="shared" si="2003"/>
        <v>#NAME?</v>
      </c>
      <c r="AA2163" s="58" t="str">
        <f t="shared" si="2003"/>
        <v>#NAME?</v>
      </c>
      <c r="AB2163" s="58" t="str">
        <f t="shared" si="2003"/>
        <v>#NAME?</v>
      </c>
      <c r="AC2163" s="58" t="str">
        <f t="shared" si="2003"/>
        <v>#NAME?</v>
      </c>
      <c r="AD2163" s="57">
        <f t="shared" si="906"/>
        <v>0</v>
      </c>
      <c r="AE2163" s="57" t="str">
        <f t="shared" si="907"/>
        <v/>
      </c>
      <c r="AF2163" s="57">
        <f t="shared" si="908"/>
        <v>0</v>
      </c>
      <c r="AG2163" s="59">
        <f t="shared" si="909"/>
        <v>0</v>
      </c>
      <c r="AH2163" s="15"/>
      <c r="AI2163" s="15"/>
      <c r="AJ2163" s="15"/>
      <c r="AK2163" s="15"/>
      <c r="AL2163" s="15"/>
      <c r="AM2163" s="15"/>
      <c r="AN2163" s="15"/>
      <c r="AO2163" s="15"/>
      <c r="AP2163" s="15"/>
      <c r="AQ2163" s="15"/>
      <c r="AR2163" s="15"/>
      <c r="AS2163" s="15"/>
      <c r="AT2163" s="15"/>
      <c r="AU2163" s="15"/>
    </row>
    <row r="2164" ht="24.0" customHeight="1">
      <c r="A2164" s="45">
        <v>3588.0</v>
      </c>
      <c r="B2164" s="57"/>
      <c r="C2164" s="57"/>
      <c r="D2164" s="88" t="str">
        <f t="array" ref="D2164">IFERROR(
  LOOKUP(2, 1/((TRIM(IMS!$E$8:$E$2574)=TRIM(IMS!$E2164))*(IMS!$C$8:$C$2574&lt;IMS!$C2164)),
         IMS!$C$8:$C$2574),
"")</f>
        <v/>
      </c>
      <c r="E2164" s="57"/>
      <c r="F2164" s="57"/>
      <c r="G2164" s="77" t="str">
        <f t="shared" si="901"/>
        <v/>
      </c>
      <c r="H2164" s="78" t="str">
        <f t="shared" si="902"/>
        <v/>
      </c>
      <c r="I2164" s="79"/>
      <c r="J2164" s="80" t="str">
        <f t="shared" si="903"/>
        <v>#NAME?</v>
      </c>
      <c r="K2164" s="58"/>
      <c r="L2164" s="58"/>
      <c r="M2164" s="57"/>
      <c r="N2164" s="57"/>
      <c r="O2164" s="58"/>
      <c r="P2164" s="82"/>
      <c r="Q2164" s="81"/>
      <c r="R2164" s="81"/>
      <c r="S2164" s="57"/>
      <c r="T2164" s="82"/>
      <c r="U2164" s="82"/>
      <c r="V2164" s="57"/>
      <c r="W2164" s="57"/>
      <c r="X2164" s="57" t="str">
        <f t="shared" si="917"/>
        <v/>
      </c>
      <c r="Y2164" s="58" t="str">
        <f t="shared" ref="Y2164:AC2164" si="2004">TRIM(SUBSTITUTE(SUBSTITUTE(OFFSET($Q2164,0,COLUMN()-COLUMN($AL$1)),CHAR(160)," "),_xludf.UNICHAR(8239)," "))</f>
        <v>#NAME?</v>
      </c>
      <c r="Z2164" s="58" t="str">
        <f t="shared" si="2004"/>
        <v>#NAME?</v>
      </c>
      <c r="AA2164" s="58" t="str">
        <f t="shared" si="2004"/>
        <v>#NAME?</v>
      </c>
      <c r="AB2164" s="58" t="str">
        <f t="shared" si="2004"/>
        <v>#NAME?</v>
      </c>
      <c r="AC2164" s="58" t="str">
        <f t="shared" si="2004"/>
        <v>#NAME?</v>
      </c>
      <c r="AD2164" s="57">
        <f t="shared" si="906"/>
        <v>0</v>
      </c>
      <c r="AE2164" s="57" t="str">
        <f t="shared" si="907"/>
        <v/>
      </c>
      <c r="AF2164" s="57">
        <f t="shared" si="908"/>
        <v>0</v>
      </c>
      <c r="AG2164" s="59">
        <f t="shared" si="909"/>
        <v>0</v>
      </c>
      <c r="AH2164" s="15"/>
      <c r="AI2164" s="15"/>
      <c r="AJ2164" s="15"/>
      <c r="AK2164" s="15"/>
      <c r="AL2164" s="15"/>
      <c r="AM2164" s="15"/>
      <c r="AN2164" s="15"/>
      <c r="AO2164" s="15"/>
      <c r="AP2164" s="15"/>
      <c r="AQ2164" s="15"/>
      <c r="AR2164" s="15"/>
      <c r="AS2164" s="15"/>
      <c r="AT2164" s="15"/>
      <c r="AU2164" s="15"/>
    </row>
    <row r="2165" ht="24.0" customHeight="1">
      <c r="A2165" s="45">
        <v>3589.0</v>
      </c>
      <c r="B2165" s="57"/>
      <c r="C2165" s="57"/>
      <c r="D2165" s="88" t="str">
        <f t="array" ref="D2165">IFERROR(
  LOOKUP(2, 1/((TRIM(IMS!$E$8:$E$2574)=TRIM(IMS!$E2165))*(IMS!$C$8:$C$2574&lt;IMS!$C2165)),
         IMS!$C$8:$C$2574),
"")</f>
        <v/>
      </c>
      <c r="E2165" s="57"/>
      <c r="F2165" s="57"/>
      <c r="G2165" s="77" t="str">
        <f t="shared" si="901"/>
        <v/>
      </c>
      <c r="H2165" s="78" t="str">
        <f t="shared" si="902"/>
        <v/>
      </c>
      <c r="I2165" s="79"/>
      <c r="J2165" s="80" t="str">
        <f t="shared" si="903"/>
        <v>#NAME?</v>
      </c>
      <c r="K2165" s="58"/>
      <c r="L2165" s="58"/>
      <c r="M2165" s="57"/>
      <c r="N2165" s="57"/>
      <c r="O2165" s="58"/>
      <c r="P2165" s="82"/>
      <c r="Q2165" s="81"/>
      <c r="R2165" s="81"/>
      <c r="S2165" s="57"/>
      <c r="T2165" s="82"/>
      <c r="U2165" s="82"/>
      <c r="V2165" s="57"/>
      <c r="W2165" s="57"/>
      <c r="X2165" s="57" t="str">
        <f t="shared" si="917"/>
        <v/>
      </c>
      <c r="Y2165" s="58" t="str">
        <f t="shared" ref="Y2165:AC2165" si="2005">TRIM(SUBSTITUTE(SUBSTITUTE(OFFSET($Q2165,0,COLUMN()-COLUMN($AL$1)),CHAR(160)," "),_xludf.UNICHAR(8239)," "))</f>
        <v>#NAME?</v>
      </c>
      <c r="Z2165" s="58" t="str">
        <f t="shared" si="2005"/>
        <v>#NAME?</v>
      </c>
      <c r="AA2165" s="58" t="str">
        <f t="shared" si="2005"/>
        <v>#NAME?</v>
      </c>
      <c r="AB2165" s="58" t="str">
        <f t="shared" si="2005"/>
        <v>#NAME?</v>
      </c>
      <c r="AC2165" s="58" t="str">
        <f t="shared" si="2005"/>
        <v>#NAME?</v>
      </c>
      <c r="AD2165" s="57">
        <f t="shared" si="906"/>
        <v>0</v>
      </c>
      <c r="AE2165" s="57" t="str">
        <f t="shared" si="907"/>
        <v/>
      </c>
      <c r="AF2165" s="57">
        <f t="shared" si="908"/>
        <v>0</v>
      </c>
      <c r="AG2165" s="59">
        <f t="shared" si="909"/>
        <v>0</v>
      </c>
      <c r="AH2165" s="15"/>
      <c r="AI2165" s="15"/>
      <c r="AJ2165" s="15"/>
      <c r="AK2165" s="15"/>
      <c r="AL2165" s="15"/>
      <c r="AM2165" s="15"/>
      <c r="AN2165" s="15"/>
      <c r="AO2165" s="15"/>
      <c r="AP2165" s="15"/>
      <c r="AQ2165" s="15"/>
      <c r="AR2165" s="15"/>
      <c r="AS2165" s="15"/>
      <c r="AT2165" s="15"/>
      <c r="AU2165" s="15"/>
    </row>
    <row r="2166" ht="24.0" customHeight="1">
      <c r="A2166" s="45">
        <v>3590.0</v>
      </c>
      <c r="B2166" s="57"/>
      <c r="C2166" s="57"/>
      <c r="D2166" s="88" t="str">
        <f t="array" ref="D2166">IFERROR(
  LOOKUP(2, 1/((TRIM(IMS!$E$8:$E$2574)=TRIM(IMS!$E2166))*(IMS!$C$8:$C$2574&lt;IMS!$C2166)),
         IMS!$C$8:$C$2574),
"")</f>
        <v/>
      </c>
      <c r="E2166" s="57"/>
      <c r="F2166" s="57"/>
      <c r="G2166" s="77" t="str">
        <f t="shared" si="901"/>
        <v/>
      </c>
      <c r="H2166" s="78" t="str">
        <f t="shared" si="902"/>
        <v/>
      </c>
      <c r="I2166" s="79"/>
      <c r="J2166" s="80" t="str">
        <f t="shared" si="903"/>
        <v>#NAME?</v>
      </c>
      <c r="K2166" s="58"/>
      <c r="L2166" s="58"/>
      <c r="M2166" s="57"/>
      <c r="N2166" s="57"/>
      <c r="O2166" s="58"/>
      <c r="P2166" s="82"/>
      <c r="Q2166" s="81"/>
      <c r="R2166" s="81"/>
      <c r="S2166" s="57"/>
      <c r="T2166" s="82"/>
      <c r="U2166" s="82"/>
      <c r="V2166" s="57"/>
      <c r="W2166" s="57"/>
      <c r="X2166" s="57" t="str">
        <f t="shared" si="917"/>
        <v/>
      </c>
      <c r="Y2166" s="58" t="str">
        <f t="shared" ref="Y2166:AC2166" si="2006">TRIM(SUBSTITUTE(SUBSTITUTE(OFFSET($Q2166,0,COLUMN()-COLUMN($AL$1)),CHAR(160)," "),_xludf.UNICHAR(8239)," "))</f>
        <v>#NAME?</v>
      </c>
      <c r="Z2166" s="58" t="str">
        <f t="shared" si="2006"/>
        <v>#NAME?</v>
      </c>
      <c r="AA2166" s="58" t="str">
        <f t="shared" si="2006"/>
        <v>#NAME?</v>
      </c>
      <c r="AB2166" s="58" t="str">
        <f t="shared" si="2006"/>
        <v>#NAME?</v>
      </c>
      <c r="AC2166" s="58" t="str">
        <f t="shared" si="2006"/>
        <v>#NAME?</v>
      </c>
      <c r="AD2166" s="57">
        <f t="shared" si="906"/>
        <v>0</v>
      </c>
      <c r="AE2166" s="57" t="str">
        <f t="shared" si="907"/>
        <v/>
      </c>
      <c r="AF2166" s="57">
        <f t="shared" si="908"/>
        <v>0</v>
      </c>
      <c r="AG2166" s="59">
        <f t="shared" si="909"/>
        <v>0</v>
      </c>
      <c r="AH2166" s="15"/>
      <c r="AI2166" s="15"/>
      <c r="AJ2166" s="15"/>
      <c r="AK2166" s="15"/>
      <c r="AL2166" s="15"/>
      <c r="AM2166" s="15"/>
      <c r="AN2166" s="15"/>
      <c r="AO2166" s="15"/>
      <c r="AP2166" s="15"/>
      <c r="AQ2166" s="15"/>
      <c r="AR2166" s="15"/>
      <c r="AS2166" s="15"/>
      <c r="AT2166" s="15"/>
      <c r="AU2166" s="15"/>
    </row>
    <row r="2167" ht="24.0" customHeight="1">
      <c r="A2167" s="45">
        <v>3591.0</v>
      </c>
      <c r="B2167" s="57"/>
      <c r="C2167" s="57"/>
      <c r="D2167" s="88" t="str">
        <f t="array" ref="D2167">IFERROR(
  LOOKUP(2, 1/((TRIM(IMS!$E$8:$E$2574)=TRIM(IMS!$E2167))*(IMS!$C$8:$C$2574&lt;IMS!$C2167)),
         IMS!$C$8:$C$2574),
"")</f>
        <v/>
      </c>
      <c r="E2167" s="57"/>
      <c r="F2167" s="57"/>
      <c r="G2167" s="77" t="str">
        <f t="shared" si="901"/>
        <v/>
      </c>
      <c r="H2167" s="78" t="str">
        <f t="shared" si="902"/>
        <v/>
      </c>
      <c r="I2167" s="79"/>
      <c r="J2167" s="80" t="str">
        <f t="shared" si="903"/>
        <v>#NAME?</v>
      </c>
      <c r="K2167" s="58"/>
      <c r="L2167" s="58"/>
      <c r="M2167" s="57"/>
      <c r="N2167" s="57"/>
      <c r="O2167" s="58"/>
      <c r="P2167" s="82"/>
      <c r="Q2167" s="81"/>
      <c r="R2167" s="81"/>
      <c r="S2167" s="57"/>
      <c r="T2167" s="82"/>
      <c r="U2167" s="82"/>
      <c r="V2167" s="57"/>
      <c r="W2167" s="57"/>
      <c r="X2167" s="57" t="str">
        <f t="shared" si="917"/>
        <v/>
      </c>
      <c r="Y2167" s="58" t="str">
        <f t="shared" ref="Y2167:AC2167" si="2007">TRIM(SUBSTITUTE(SUBSTITUTE(OFFSET($Q2167,0,COLUMN()-COLUMN($AL$1)),CHAR(160)," "),_xludf.UNICHAR(8239)," "))</f>
        <v>#NAME?</v>
      </c>
      <c r="Z2167" s="58" t="str">
        <f t="shared" si="2007"/>
        <v>#NAME?</v>
      </c>
      <c r="AA2167" s="58" t="str">
        <f t="shared" si="2007"/>
        <v>#NAME?</v>
      </c>
      <c r="AB2167" s="58" t="str">
        <f t="shared" si="2007"/>
        <v>#NAME?</v>
      </c>
      <c r="AC2167" s="58" t="str">
        <f t="shared" si="2007"/>
        <v>#NAME?</v>
      </c>
      <c r="AD2167" s="57">
        <f t="shared" si="906"/>
        <v>0</v>
      </c>
      <c r="AE2167" s="57" t="str">
        <f t="shared" si="907"/>
        <v/>
      </c>
      <c r="AF2167" s="57">
        <f t="shared" si="908"/>
        <v>0</v>
      </c>
      <c r="AG2167" s="59">
        <f t="shared" si="909"/>
        <v>0</v>
      </c>
      <c r="AH2167" s="15"/>
      <c r="AI2167" s="15"/>
      <c r="AJ2167" s="15"/>
      <c r="AK2167" s="15"/>
      <c r="AL2167" s="15"/>
      <c r="AM2167" s="15"/>
      <c r="AN2167" s="15"/>
      <c r="AO2167" s="15"/>
      <c r="AP2167" s="15"/>
      <c r="AQ2167" s="15"/>
      <c r="AR2167" s="15"/>
      <c r="AS2167" s="15"/>
      <c r="AT2167" s="15"/>
      <c r="AU2167" s="15"/>
    </row>
    <row r="2168" ht="24.0" customHeight="1">
      <c r="A2168" s="45">
        <v>3592.0</v>
      </c>
      <c r="B2168" s="57"/>
      <c r="C2168" s="57"/>
      <c r="D2168" s="88" t="str">
        <f t="array" ref="D2168">IFERROR(
  LOOKUP(2, 1/((TRIM(IMS!$E$8:$E$2574)=TRIM(IMS!$E2168))*(IMS!$C$8:$C$2574&lt;IMS!$C2168)),
         IMS!$C$8:$C$2574),
"")</f>
        <v/>
      </c>
      <c r="E2168" s="57"/>
      <c r="F2168" s="57"/>
      <c r="G2168" s="77" t="str">
        <f t="shared" si="901"/>
        <v/>
      </c>
      <c r="H2168" s="78" t="str">
        <f t="shared" si="902"/>
        <v/>
      </c>
      <c r="I2168" s="79"/>
      <c r="J2168" s="80" t="str">
        <f t="shared" si="903"/>
        <v>#NAME?</v>
      </c>
      <c r="K2168" s="58"/>
      <c r="L2168" s="58"/>
      <c r="M2168" s="57"/>
      <c r="N2168" s="57"/>
      <c r="O2168" s="58"/>
      <c r="P2168" s="82"/>
      <c r="Q2168" s="81"/>
      <c r="R2168" s="81"/>
      <c r="S2168" s="57"/>
      <c r="T2168" s="82"/>
      <c r="U2168" s="82"/>
      <c r="V2168" s="57"/>
      <c r="W2168" s="57"/>
      <c r="X2168" s="57" t="str">
        <f t="shared" si="917"/>
        <v/>
      </c>
      <c r="Y2168" s="58" t="str">
        <f t="shared" ref="Y2168:AC2168" si="2008">TRIM(SUBSTITUTE(SUBSTITUTE(OFFSET($Q2168,0,COLUMN()-COLUMN($AL$1)),CHAR(160)," "),_xludf.UNICHAR(8239)," "))</f>
        <v>#NAME?</v>
      </c>
      <c r="Z2168" s="58" t="str">
        <f t="shared" si="2008"/>
        <v>#NAME?</v>
      </c>
      <c r="AA2168" s="58" t="str">
        <f t="shared" si="2008"/>
        <v>#NAME?</v>
      </c>
      <c r="AB2168" s="58" t="str">
        <f t="shared" si="2008"/>
        <v>#NAME?</v>
      </c>
      <c r="AC2168" s="58" t="str">
        <f t="shared" si="2008"/>
        <v>#NAME?</v>
      </c>
      <c r="AD2168" s="57">
        <f t="shared" si="906"/>
        <v>0</v>
      </c>
      <c r="AE2168" s="57" t="str">
        <f t="shared" si="907"/>
        <v/>
      </c>
      <c r="AF2168" s="57">
        <f t="shared" si="908"/>
        <v>0</v>
      </c>
      <c r="AG2168" s="59">
        <f t="shared" si="909"/>
        <v>0</v>
      </c>
      <c r="AH2168" s="15"/>
      <c r="AI2168" s="15"/>
      <c r="AJ2168" s="15"/>
      <c r="AK2168" s="15"/>
      <c r="AL2168" s="15"/>
      <c r="AM2168" s="15"/>
      <c r="AN2168" s="15"/>
      <c r="AO2168" s="15"/>
      <c r="AP2168" s="15"/>
      <c r="AQ2168" s="15"/>
      <c r="AR2168" s="15"/>
      <c r="AS2168" s="15"/>
      <c r="AT2168" s="15"/>
      <c r="AU2168" s="15"/>
    </row>
    <row r="2169" ht="24.0" customHeight="1">
      <c r="A2169" s="45">
        <v>3593.0</v>
      </c>
      <c r="B2169" s="57"/>
      <c r="C2169" s="57"/>
      <c r="D2169" s="88" t="str">
        <f t="array" ref="D2169">IFERROR(
  LOOKUP(2, 1/((TRIM(IMS!$E$8:$E$2574)=TRIM(IMS!$E2169))*(IMS!$C$8:$C$2574&lt;IMS!$C2169)),
         IMS!$C$8:$C$2574),
"")</f>
        <v/>
      </c>
      <c r="E2169" s="57"/>
      <c r="F2169" s="57"/>
      <c r="G2169" s="77" t="str">
        <f t="shared" si="901"/>
        <v/>
      </c>
      <c r="H2169" s="78" t="str">
        <f t="shared" si="902"/>
        <v/>
      </c>
      <c r="I2169" s="79"/>
      <c r="J2169" s="80" t="str">
        <f t="shared" si="903"/>
        <v>#NAME?</v>
      </c>
      <c r="K2169" s="58"/>
      <c r="L2169" s="58"/>
      <c r="M2169" s="57"/>
      <c r="N2169" s="57"/>
      <c r="O2169" s="58"/>
      <c r="P2169" s="82"/>
      <c r="Q2169" s="81"/>
      <c r="R2169" s="81"/>
      <c r="S2169" s="57"/>
      <c r="T2169" s="82"/>
      <c r="U2169" s="82"/>
      <c r="V2169" s="57"/>
      <c r="W2169" s="57"/>
      <c r="X2169" s="57" t="str">
        <f t="shared" si="917"/>
        <v/>
      </c>
      <c r="Y2169" s="58" t="str">
        <f t="shared" ref="Y2169:AC2169" si="2009">TRIM(SUBSTITUTE(SUBSTITUTE(OFFSET($Q2169,0,COLUMN()-COLUMN($AL$1)),CHAR(160)," "),_xludf.UNICHAR(8239)," "))</f>
        <v>#NAME?</v>
      </c>
      <c r="Z2169" s="58" t="str">
        <f t="shared" si="2009"/>
        <v>#NAME?</v>
      </c>
      <c r="AA2169" s="58" t="str">
        <f t="shared" si="2009"/>
        <v>#NAME?</v>
      </c>
      <c r="AB2169" s="58" t="str">
        <f t="shared" si="2009"/>
        <v>#NAME?</v>
      </c>
      <c r="AC2169" s="58" t="str">
        <f t="shared" si="2009"/>
        <v>#NAME?</v>
      </c>
      <c r="AD2169" s="57">
        <f t="shared" si="906"/>
        <v>0</v>
      </c>
      <c r="AE2169" s="57" t="str">
        <f t="shared" si="907"/>
        <v/>
      </c>
      <c r="AF2169" s="57">
        <f t="shared" si="908"/>
        <v>0</v>
      </c>
      <c r="AG2169" s="59">
        <f t="shared" si="909"/>
        <v>0</v>
      </c>
      <c r="AH2169" s="15"/>
      <c r="AI2169" s="15"/>
      <c r="AJ2169" s="15"/>
      <c r="AK2169" s="15"/>
      <c r="AL2169" s="15"/>
      <c r="AM2169" s="15"/>
      <c r="AN2169" s="15"/>
      <c r="AO2169" s="15"/>
      <c r="AP2169" s="15"/>
      <c r="AQ2169" s="15"/>
      <c r="AR2169" s="15"/>
      <c r="AS2169" s="15"/>
      <c r="AT2169" s="15"/>
      <c r="AU2169" s="15"/>
    </row>
    <row r="2170" ht="24.0" customHeight="1">
      <c r="A2170" s="45">
        <v>3594.0</v>
      </c>
      <c r="B2170" s="57"/>
      <c r="C2170" s="57"/>
      <c r="D2170" s="88" t="str">
        <f t="array" ref="D2170">IFERROR(
  LOOKUP(2, 1/((TRIM(IMS!$E$8:$E$2574)=TRIM(IMS!$E2170))*(IMS!$C$8:$C$2574&lt;IMS!$C2170)),
         IMS!$C$8:$C$2574),
"")</f>
        <v/>
      </c>
      <c r="E2170" s="57"/>
      <c r="F2170" s="57"/>
      <c r="G2170" s="77" t="str">
        <f t="shared" si="901"/>
        <v/>
      </c>
      <c r="H2170" s="78" t="str">
        <f t="shared" si="902"/>
        <v/>
      </c>
      <c r="I2170" s="79"/>
      <c r="J2170" s="80" t="str">
        <f t="shared" si="903"/>
        <v>#NAME?</v>
      </c>
      <c r="K2170" s="58"/>
      <c r="L2170" s="58"/>
      <c r="M2170" s="57"/>
      <c r="N2170" s="57"/>
      <c r="O2170" s="58"/>
      <c r="P2170" s="82"/>
      <c r="Q2170" s="81"/>
      <c r="R2170" s="81"/>
      <c r="S2170" s="57"/>
      <c r="T2170" s="82"/>
      <c r="U2170" s="82"/>
      <c r="V2170" s="57"/>
      <c r="W2170" s="57"/>
      <c r="X2170" s="57" t="str">
        <f t="shared" si="917"/>
        <v/>
      </c>
      <c r="Y2170" s="58" t="str">
        <f t="shared" ref="Y2170:AC2170" si="2010">TRIM(SUBSTITUTE(SUBSTITUTE(OFFSET($Q2170,0,COLUMN()-COLUMN($AL$1)),CHAR(160)," "),_xludf.UNICHAR(8239)," "))</f>
        <v>#NAME?</v>
      </c>
      <c r="Z2170" s="58" t="str">
        <f t="shared" si="2010"/>
        <v>#NAME?</v>
      </c>
      <c r="AA2170" s="58" t="str">
        <f t="shared" si="2010"/>
        <v>#NAME?</v>
      </c>
      <c r="AB2170" s="58" t="str">
        <f t="shared" si="2010"/>
        <v>#NAME?</v>
      </c>
      <c r="AC2170" s="58" t="str">
        <f t="shared" si="2010"/>
        <v>#NAME?</v>
      </c>
      <c r="AD2170" s="57">
        <f t="shared" si="906"/>
        <v>0</v>
      </c>
      <c r="AE2170" s="57" t="str">
        <f t="shared" si="907"/>
        <v/>
      </c>
      <c r="AF2170" s="57">
        <f t="shared" si="908"/>
        <v>0</v>
      </c>
      <c r="AG2170" s="59">
        <f t="shared" si="909"/>
        <v>0</v>
      </c>
      <c r="AH2170" s="15"/>
      <c r="AI2170" s="15"/>
      <c r="AJ2170" s="15"/>
      <c r="AK2170" s="15"/>
      <c r="AL2170" s="15"/>
      <c r="AM2170" s="15"/>
      <c r="AN2170" s="15"/>
      <c r="AO2170" s="15"/>
      <c r="AP2170" s="15"/>
      <c r="AQ2170" s="15"/>
      <c r="AR2170" s="15"/>
      <c r="AS2170" s="15"/>
      <c r="AT2170" s="15"/>
      <c r="AU2170" s="15"/>
    </row>
    <row r="2171" ht="24.0" customHeight="1">
      <c r="A2171" s="45">
        <v>3595.0</v>
      </c>
      <c r="B2171" s="57"/>
      <c r="C2171" s="57"/>
      <c r="D2171" s="88" t="str">
        <f t="array" ref="D2171">IFERROR(
  LOOKUP(2, 1/((TRIM(IMS!$E$8:$E$2574)=TRIM(IMS!$E2171))*(IMS!$C$8:$C$2574&lt;IMS!$C2171)),
         IMS!$C$8:$C$2574),
"")</f>
        <v/>
      </c>
      <c r="E2171" s="57"/>
      <c r="F2171" s="57"/>
      <c r="G2171" s="77" t="str">
        <f t="shared" si="901"/>
        <v/>
      </c>
      <c r="H2171" s="78" t="str">
        <f t="shared" si="902"/>
        <v/>
      </c>
      <c r="I2171" s="79"/>
      <c r="J2171" s="80" t="str">
        <f t="shared" si="903"/>
        <v>#NAME?</v>
      </c>
      <c r="K2171" s="58"/>
      <c r="L2171" s="58"/>
      <c r="M2171" s="57"/>
      <c r="N2171" s="57"/>
      <c r="O2171" s="58"/>
      <c r="P2171" s="82"/>
      <c r="Q2171" s="81"/>
      <c r="R2171" s="81"/>
      <c r="S2171" s="57"/>
      <c r="T2171" s="82"/>
      <c r="U2171" s="82"/>
      <c r="V2171" s="57"/>
      <c r="W2171" s="57"/>
      <c r="X2171" s="57" t="str">
        <f t="shared" si="917"/>
        <v/>
      </c>
      <c r="Y2171" s="58" t="str">
        <f t="shared" ref="Y2171:AC2171" si="2011">TRIM(SUBSTITUTE(SUBSTITUTE(OFFSET($Q2171,0,COLUMN()-COLUMN($AL$1)),CHAR(160)," "),_xludf.UNICHAR(8239)," "))</f>
        <v>#NAME?</v>
      </c>
      <c r="Z2171" s="58" t="str">
        <f t="shared" si="2011"/>
        <v>#NAME?</v>
      </c>
      <c r="AA2171" s="58" t="str">
        <f t="shared" si="2011"/>
        <v>#NAME?</v>
      </c>
      <c r="AB2171" s="58" t="str">
        <f t="shared" si="2011"/>
        <v>#NAME?</v>
      </c>
      <c r="AC2171" s="58" t="str">
        <f t="shared" si="2011"/>
        <v>#NAME?</v>
      </c>
      <c r="AD2171" s="57">
        <f t="shared" si="906"/>
        <v>0</v>
      </c>
      <c r="AE2171" s="57" t="str">
        <f t="shared" si="907"/>
        <v/>
      </c>
      <c r="AF2171" s="57">
        <f t="shared" si="908"/>
        <v>0</v>
      </c>
      <c r="AG2171" s="59">
        <f t="shared" si="909"/>
        <v>0</v>
      </c>
      <c r="AH2171" s="15"/>
      <c r="AI2171" s="15"/>
      <c r="AJ2171" s="15"/>
      <c r="AK2171" s="15"/>
      <c r="AL2171" s="15"/>
      <c r="AM2171" s="15"/>
      <c r="AN2171" s="15"/>
      <c r="AO2171" s="15"/>
      <c r="AP2171" s="15"/>
      <c r="AQ2171" s="15"/>
      <c r="AR2171" s="15"/>
      <c r="AS2171" s="15"/>
      <c r="AT2171" s="15"/>
      <c r="AU2171" s="15"/>
    </row>
    <row r="2172" ht="24.0" customHeight="1">
      <c r="A2172" s="45">
        <v>3596.0</v>
      </c>
      <c r="B2172" s="57"/>
      <c r="C2172" s="57"/>
      <c r="D2172" s="88" t="str">
        <f t="array" ref="D2172">IFERROR(
  LOOKUP(2, 1/((TRIM(IMS!$E$8:$E$2574)=TRIM(IMS!$E2172))*(IMS!$C$8:$C$2574&lt;IMS!$C2172)),
         IMS!$C$8:$C$2574),
"")</f>
        <v/>
      </c>
      <c r="E2172" s="57"/>
      <c r="F2172" s="57"/>
      <c r="G2172" s="77" t="str">
        <f t="shared" si="901"/>
        <v/>
      </c>
      <c r="H2172" s="78" t="str">
        <f t="shared" si="902"/>
        <v/>
      </c>
      <c r="I2172" s="79"/>
      <c r="J2172" s="80" t="str">
        <f t="shared" si="903"/>
        <v>#NAME?</v>
      </c>
      <c r="K2172" s="58"/>
      <c r="L2172" s="58"/>
      <c r="M2172" s="57"/>
      <c r="N2172" s="57"/>
      <c r="O2172" s="58"/>
      <c r="P2172" s="82"/>
      <c r="Q2172" s="81"/>
      <c r="R2172" s="81"/>
      <c r="S2172" s="57"/>
      <c r="T2172" s="82"/>
      <c r="U2172" s="82"/>
      <c r="V2172" s="57"/>
      <c r="W2172" s="57"/>
      <c r="X2172" s="57" t="str">
        <f t="shared" si="917"/>
        <v/>
      </c>
      <c r="Y2172" s="58" t="str">
        <f t="shared" ref="Y2172:AC2172" si="2012">TRIM(SUBSTITUTE(SUBSTITUTE(OFFSET($Q2172,0,COLUMN()-COLUMN($AL$1)),CHAR(160)," "),_xludf.UNICHAR(8239)," "))</f>
        <v>#NAME?</v>
      </c>
      <c r="Z2172" s="58" t="str">
        <f t="shared" si="2012"/>
        <v>#NAME?</v>
      </c>
      <c r="AA2172" s="58" t="str">
        <f t="shared" si="2012"/>
        <v>#NAME?</v>
      </c>
      <c r="AB2172" s="58" t="str">
        <f t="shared" si="2012"/>
        <v>#NAME?</v>
      </c>
      <c r="AC2172" s="58" t="str">
        <f t="shared" si="2012"/>
        <v>#NAME?</v>
      </c>
      <c r="AD2172" s="57">
        <f t="shared" si="906"/>
        <v>0</v>
      </c>
      <c r="AE2172" s="57" t="str">
        <f t="shared" si="907"/>
        <v/>
      </c>
      <c r="AF2172" s="57">
        <f t="shared" si="908"/>
        <v>0</v>
      </c>
      <c r="AG2172" s="59">
        <f t="shared" si="909"/>
        <v>0</v>
      </c>
      <c r="AH2172" s="15"/>
      <c r="AI2172" s="15"/>
      <c r="AJ2172" s="15"/>
      <c r="AK2172" s="15"/>
      <c r="AL2172" s="15"/>
      <c r="AM2172" s="15"/>
      <c r="AN2172" s="15"/>
      <c r="AO2172" s="15"/>
      <c r="AP2172" s="15"/>
      <c r="AQ2172" s="15"/>
      <c r="AR2172" s="15"/>
      <c r="AS2172" s="15"/>
      <c r="AT2172" s="15"/>
      <c r="AU2172" s="15"/>
    </row>
    <row r="2173" ht="24.0" customHeight="1">
      <c r="A2173" s="45">
        <v>3597.0</v>
      </c>
      <c r="B2173" s="57"/>
      <c r="C2173" s="57"/>
      <c r="D2173" s="88" t="str">
        <f t="array" ref="D2173">IFERROR(
  LOOKUP(2, 1/((TRIM(IMS!$E$8:$E$2574)=TRIM(IMS!$E2173))*(IMS!$C$8:$C$2574&lt;IMS!$C2173)),
         IMS!$C$8:$C$2574),
"")</f>
        <v/>
      </c>
      <c r="E2173" s="57"/>
      <c r="F2173" s="57"/>
      <c r="G2173" s="77" t="str">
        <f t="shared" si="901"/>
        <v/>
      </c>
      <c r="H2173" s="78" t="str">
        <f t="shared" si="902"/>
        <v/>
      </c>
      <c r="I2173" s="79"/>
      <c r="J2173" s="80" t="str">
        <f t="shared" si="903"/>
        <v>#NAME?</v>
      </c>
      <c r="K2173" s="58"/>
      <c r="L2173" s="58"/>
      <c r="M2173" s="57"/>
      <c r="N2173" s="57"/>
      <c r="O2173" s="58"/>
      <c r="P2173" s="82"/>
      <c r="Q2173" s="81"/>
      <c r="R2173" s="81"/>
      <c r="S2173" s="57"/>
      <c r="T2173" s="82"/>
      <c r="U2173" s="82"/>
      <c r="V2173" s="57"/>
      <c r="W2173" s="57"/>
      <c r="X2173" s="57" t="str">
        <f t="shared" si="917"/>
        <v/>
      </c>
      <c r="Y2173" s="58" t="str">
        <f t="shared" ref="Y2173:AC2173" si="2013">TRIM(SUBSTITUTE(SUBSTITUTE(OFFSET($Q2173,0,COLUMN()-COLUMN($AL$1)),CHAR(160)," "),_xludf.UNICHAR(8239)," "))</f>
        <v>#NAME?</v>
      </c>
      <c r="Z2173" s="58" t="str">
        <f t="shared" si="2013"/>
        <v>#NAME?</v>
      </c>
      <c r="AA2173" s="58" t="str">
        <f t="shared" si="2013"/>
        <v>#NAME?</v>
      </c>
      <c r="AB2173" s="58" t="str">
        <f t="shared" si="2013"/>
        <v>#NAME?</v>
      </c>
      <c r="AC2173" s="58" t="str">
        <f t="shared" si="2013"/>
        <v>#NAME?</v>
      </c>
      <c r="AD2173" s="57">
        <f t="shared" si="906"/>
        <v>0</v>
      </c>
      <c r="AE2173" s="57" t="str">
        <f t="shared" si="907"/>
        <v/>
      </c>
      <c r="AF2173" s="57">
        <f t="shared" si="908"/>
        <v>0</v>
      </c>
      <c r="AG2173" s="59">
        <f t="shared" si="909"/>
        <v>0</v>
      </c>
      <c r="AH2173" s="15"/>
      <c r="AI2173" s="15"/>
      <c r="AJ2173" s="15"/>
      <c r="AK2173" s="15"/>
      <c r="AL2173" s="15"/>
      <c r="AM2173" s="15"/>
      <c r="AN2173" s="15"/>
      <c r="AO2173" s="15"/>
      <c r="AP2173" s="15"/>
      <c r="AQ2173" s="15"/>
      <c r="AR2173" s="15"/>
      <c r="AS2173" s="15"/>
      <c r="AT2173" s="15"/>
      <c r="AU2173" s="15"/>
    </row>
    <row r="2174" ht="24.0" customHeight="1">
      <c r="A2174" s="45">
        <v>3598.0</v>
      </c>
      <c r="B2174" s="57"/>
      <c r="C2174" s="57"/>
      <c r="D2174" s="88" t="str">
        <f t="array" ref="D2174">IFERROR(
  LOOKUP(2, 1/((TRIM(IMS!$E$8:$E$2574)=TRIM(IMS!$E2174))*(IMS!$C$8:$C$2574&lt;IMS!$C2174)),
         IMS!$C$8:$C$2574),
"")</f>
        <v/>
      </c>
      <c r="E2174" s="57"/>
      <c r="F2174" s="57"/>
      <c r="G2174" s="77" t="str">
        <f t="shared" si="901"/>
        <v/>
      </c>
      <c r="H2174" s="78" t="str">
        <f t="shared" si="902"/>
        <v/>
      </c>
      <c r="I2174" s="79"/>
      <c r="J2174" s="80" t="str">
        <f t="shared" si="903"/>
        <v>#NAME?</v>
      </c>
      <c r="K2174" s="58"/>
      <c r="L2174" s="58"/>
      <c r="M2174" s="57"/>
      <c r="N2174" s="57"/>
      <c r="O2174" s="58"/>
      <c r="P2174" s="82"/>
      <c r="Q2174" s="81"/>
      <c r="R2174" s="81"/>
      <c r="S2174" s="57"/>
      <c r="T2174" s="82"/>
      <c r="U2174" s="82"/>
      <c r="V2174" s="57"/>
      <c r="W2174" s="57"/>
      <c r="X2174" s="57" t="str">
        <f t="shared" si="917"/>
        <v/>
      </c>
      <c r="Y2174" s="58" t="str">
        <f t="shared" ref="Y2174:AC2174" si="2014">TRIM(SUBSTITUTE(SUBSTITUTE(OFFSET($Q2174,0,COLUMN()-COLUMN($AL$1)),CHAR(160)," "),_xludf.UNICHAR(8239)," "))</f>
        <v>#NAME?</v>
      </c>
      <c r="Z2174" s="58" t="str">
        <f t="shared" si="2014"/>
        <v>#NAME?</v>
      </c>
      <c r="AA2174" s="58" t="str">
        <f t="shared" si="2014"/>
        <v>#NAME?</v>
      </c>
      <c r="AB2174" s="58" t="str">
        <f t="shared" si="2014"/>
        <v>#NAME?</v>
      </c>
      <c r="AC2174" s="58" t="str">
        <f t="shared" si="2014"/>
        <v>#NAME?</v>
      </c>
      <c r="AD2174" s="57">
        <f t="shared" si="906"/>
        <v>0</v>
      </c>
      <c r="AE2174" s="57" t="str">
        <f t="shared" si="907"/>
        <v/>
      </c>
      <c r="AF2174" s="57">
        <f t="shared" si="908"/>
        <v>0</v>
      </c>
      <c r="AG2174" s="59">
        <f t="shared" si="909"/>
        <v>0</v>
      </c>
      <c r="AH2174" s="15"/>
      <c r="AI2174" s="15"/>
      <c r="AJ2174" s="15"/>
      <c r="AK2174" s="15"/>
      <c r="AL2174" s="15"/>
      <c r="AM2174" s="15"/>
      <c r="AN2174" s="15"/>
      <c r="AO2174" s="15"/>
      <c r="AP2174" s="15"/>
      <c r="AQ2174" s="15"/>
      <c r="AR2174" s="15"/>
      <c r="AS2174" s="15"/>
      <c r="AT2174" s="15"/>
      <c r="AU2174" s="15"/>
    </row>
    <row r="2175" ht="24.0" customHeight="1">
      <c r="A2175" s="45">
        <v>3599.0</v>
      </c>
      <c r="B2175" s="57"/>
      <c r="C2175" s="57"/>
      <c r="D2175" s="88" t="str">
        <f t="array" ref="D2175">IFERROR(
  LOOKUP(2, 1/((TRIM(IMS!$E$8:$E$2574)=TRIM(IMS!$E2175))*(IMS!$C$8:$C$2574&lt;IMS!$C2175)),
         IMS!$C$8:$C$2574),
"")</f>
        <v/>
      </c>
      <c r="E2175" s="57"/>
      <c r="F2175" s="57"/>
      <c r="G2175" s="77" t="str">
        <f t="shared" si="901"/>
        <v/>
      </c>
      <c r="H2175" s="78" t="str">
        <f t="shared" si="902"/>
        <v/>
      </c>
      <c r="I2175" s="79"/>
      <c r="J2175" s="80" t="str">
        <f t="shared" si="903"/>
        <v>#NAME?</v>
      </c>
      <c r="K2175" s="58"/>
      <c r="L2175" s="58"/>
      <c r="M2175" s="57"/>
      <c r="N2175" s="57"/>
      <c r="O2175" s="58"/>
      <c r="P2175" s="82"/>
      <c r="Q2175" s="81"/>
      <c r="R2175" s="81"/>
      <c r="S2175" s="57"/>
      <c r="T2175" s="82"/>
      <c r="U2175" s="82"/>
      <c r="V2175" s="57"/>
      <c r="W2175" s="57"/>
      <c r="X2175" s="57" t="str">
        <f t="shared" si="917"/>
        <v/>
      </c>
      <c r="Y2175" s="58" t="str">
        <f t="shared" ref="Y2175:AC2175" si="2015">TRIM(SUBSTITUTE(SUBSTITUTE(OFFSET($Q2175,0,COLUMN()-COLUMN($AL$1)),CHAR(160)," "),_xludf.UNICHAR(8239)," "))</f>
        <v>#NAME?</v>
      </c>
      <c r="Z2175" s="58" t="str">
        <f t="shared" si="2015"/>
        <v>#NAME?</v>
      </c>
      <c r="AA2175" s="58" t="str">
        <f t="shared" si="2015"/>
        <v>#NAME?</v>
      </c>
      <c r="AB2175" s="58" t="str">
        <f t="shared" si="2015"/>
        <v>#NAME?</v>
      </c>
      <c r="AC2175" s="58" t="str">
        <f t="shared" si="2015"/>
        <v>#NAME?</v>
      </c>
      <c r="AD2175" s="57">
        <f t="shared" si="906"/>
        <v>0</v>
      </c>
      <c r="AE2175" s="57" t="str">
        <f t="shared" si="907"/>
        <v/>
      </c>
      <c r="AF2175" s="57">
        <f t="shared" si="908"/>
        <v>0</v>
      </c>
      <c r="AG2175" s="59">
        <f t="shared" si="909"/>
        <v>0</v>
      </c>
      <c r="AH2175" s="15"/>
      <c r="AI2175" s="15"/>
      <c r="AJ2175" s="15"/>
      <c r="AK2175" s="15"/>
      <c r="AL2175" s="15"/>
      <c r="AM2175" s="15"/>
      <c r="AN2175" s="15"/>
      <c r="AO2175" s="15"/>
      <c r="AP2175" s="15"/>
      <c r="AQ2175" s="15"/>
      <c r="AR2175" s="15"/>
      <c r="AS2175" s="15"/>
      <c r="AT2175" s="15"/>
      <c r="AU2175" s="15"/>
    </row>
    <row r="2176" ht="24.0" customHeight="1">
      <c r="A2176" s="45">
        <v>3600.0</v>
      </c>
      <c r="B2176" s="57"/>
      <c r="C2176" s="57"/>
      <c r="D2176" s="88" t="str">
        <f t="array" ref="D2176">IFERROR(
  LOOKUP(2, 1/((TRIM(IMS!$E$8:$E$2574)=TRIM(IMS!$E2176))*(IMS!$C$8:$C$2574&lt;IMS!$C2176)),
         IMS!$C$8:$C$2574),
"")</f>
        <v/>
      </c>
      <c r="E2176" s="57"/>
      <c r="F2176" s="57"/>
      <c r="G2176" s="77" t="str">
        <f t="shared" si="901"/>
        <v/>
      </c>
      <c r="H2176" s="78" t="str">
        <f t="shared" si="902"/>
        <v/>
      </c>
      <c r="I2176" s="79"/>
      <c r="J2176" s="80" t="str">
        <f t="shared" si="903"/>
        <v>#NAME?</v>
      </c>
      <c r="K2176" s="58"/>
      <c r="L2176" s="58"/>
      <c r="M2176" s="57"/>
      <c r="N2176" s="57"/>
      <c r="O2176" s="58"/>
      <c r="P2176" s="82"/>
      <c r="Q2176" s="81"/>
      <c r="R2176" s="81"/>
      <c r="S2176" s="57"/>
      <c r="T2176" s="82"/>
      <c r="U2176" s="82"/>
      <c r="V2176" s="57"/>
      <c r="W2176" s="57"/>
      <c r="X2176" s="57" t="str">
        <f t="shared" si="917"/>
        <v/>
      </c>
      <c r="Y2176" s="58" t="str">
        <f t="shared" ref="Y2176:AC2176" si="2016">TRIM(SUBSTITUTE(SUBSTITUTE(OFFSET($Q2176,0,COLUMN()-COLUMN($AL$1)),CHAR(160)," "),_xludf.UNICHAR(8239)," "))</f>
        <v>#NAME?</v>
      </c>
      <c r="Z2176" s="58" t="str">
        <f t="shared" si="2016"/>
        <v>#NAME?</v>
      </c>
      <c r="AA2176" s="58" t="str">
        <f t="shared" si="2016"/>
        <v>#NAME?</v>
      </c>
      <c r="AB2176" s="58" t="str">
        <f t="shared" si="2016"/>
        <v>#NAME?</v>
      </c>
      <c r="AC2176" s="58" t="str">
        <f t="shared" si="2016"/>
        <v>#NAME?</v>
      </c>
      <c r="AD2176" s="57">
        <f t="shared" si="906"/>
        <v>0</v>
      </c>
      <c r="AE2176" s="57" t="str">
        <f t="shared" si="907"/>
        <v/>
      </c>
      <c r="AF2176" s="57">
        <f t="shared" si="908"/>
        <v>0</v>
      </c>
      <c r="AG2176" s="59">
        <f t="shared" si="909"/>
        <v>0</v>
      </c>
      <c r="AH2176" s="15"/>
      <c r="AI2176" s="15"/>
      <c r="AJ2176" s="15"/>
      <c r="AK2176" s="15"/>
      <c r="AL2176" s="15"/>
      <c r="AM2176" s="15"/>
      <c r="AN2176" s="15"/>
      <c r="AO2176" s="15"/>
      <c r="AP2176" s="15"/>
      <c r="AQ2176" s="15"/>
      <c r="AR2176" s="15"/>
      <c r="AS2176" s="15"/>
      <c r="AT2176" s="15"/>
      <c r="AU2176" s="15"/>
    </row>
    <row r="2177" ht="24.0" customHeight="1">
      <c r="A2177" s="45">
        <v>3601.0</v>
      </c>
      <c r="B2177" s="57"/>
      <c r="C2177" s="57"/>
      <c r="D2177" s="88" t="str">
        <f t="array" ref="D2177">IFERROR(
  LOOKUP(2, 1/((TRIM(IMS!$E$8:$E$2574)=TRIM(IMS!$E2177))*(IMS!$C$8:$C$2574&lt;IMS!$C2177)),
         IMS!$C$8:$C$2574),
"")</f>
        <v/>
      </c>
      <c r="E2177" s="57"/>
      <c r="F2177" s="57"/>
      <c r="G2177" s="77" t="str">
        <f t="shared" si="901"/>
        <v/>
      </c>
      <c r="H2177" s="78" t="str">
        <f t="shared" si="902"/>
        <v/>
      </c>
      <c r="I2177" s="79"/>
      <c r="J2177" s="80" t="str">
        <f t="shared" si="903"/>
        <v>#NAME?</v>
      </c>
      <c r="K2177" s="58"/>
      <c r="L2177" s="58"/>
      <c r="M2177" s="57"/>
      <c r="N2177" s="57"/>
      <c r="O2177" s="58"/>
      <c r="P2177" s="82"/>
      <c r="Q2177" s="81"/>
      <c r="R2177" s="81"/>
      <c r="S2177" s="57"/>
      <c r="T2177" s="82"/>
      <c r="U2177" s="82"/>
      <c r="V2177" s="57"/>
      <c r="W2177" s="57"/>
      <c r="X2177" s="57" t="str">
        <f t="shared" si="917"/>
        <v/>
      </c>
      <c r="Y2177" s="58" t="str">
        <f t="shared" ref="Y2177:AC2177" si="2017">TRIM(SUBSTITUTE(SUBSTITUTE(OFFSET($Q2177,0,COLUMN()-COLUMN($AL$1)),CHAR(160)," "),_xludf.UNICHAR(8239)," "))</f>
        <v>#NAME?</v>
      </c>
      <c r="Z2177" s="58" t="str">
        <f t="shared" si="2017"/>
        <v>#NAME?</v>
      </c>
      <c r="AA2177" s="58" t="str">
        <f t="shared" si="2017"/>
        <v>#NAME?</v>
      </c>
      <c r="AB2177" s="58" t="str">
        <f t="shared" si="2017"/>
        <v>#NAME?</v>
      </c>
      <c r="AC2177" s="58" t="str">
        <f t="shared" si="2017"/>
        <v>#NAME?</v>
      </c>
      <c r="AD2177" s="57">
        <f t="shared" si="906"/>
        <v>0</v>
      </c>
      <c r="AE2177" s="57" t="str">
        <f t="shared" si="907"/>
        <v/>
      </c>
      <c r="AF2177" s="57">
        <f t="shared" si="908"/>
        <v>0</v>
      </c>
      <c r="AG2177" s="59">
        <f t="shared" si="909"/>
        <v>0</v>
      </c>
      <c r="AH2177" s="15"/>
      <c r="AI2177" s="15"/>
      <c r="AJ2177" s="15"/>
      <c r="AK2177" s="15"/>
      <c r="AL2177" s="15"/>
      <c r="AM2177" s="15"/>
      <c r="AN2177" s="15"/>
      <c r="AO2177" s="15"/>
      <c r="AP2177" s="15"/>
      <c r="AQ2177" s="15"/>
      <c r="AR2177" s="15"/>
      <c r="AS2177" s="15"/>
      <c r="AT2177" s="15"/>
      <c r="AU2177" s="15"/>
    </row>
    <row r="2178" ht="24.0" customHeight="1">
      <c r="A2178" s="45">
        <v>3602.0</v>
      </c>
      <c r="B2178" s="57"/>
      <c r="C2178" s="57"/>
      <c r="D2178" s="88" t="str">
        <f t="array" ref="D2178">IFERROR(
  LOOKUP(2, 1/((TRIM(IMS!$E$8:$E$2574)=TRIM(IMS!$E2178))*(IMS!$C$8:$C$2574&lt;IMS!$C2178)),
         IMS!$C$8:$C$2574),
"")</f>
        <v/>
      </c>
      <c r="E2178" s="57"/>
      <c r="F2178" s="57"/>
      <c r="G2178" s="77" t="str">
        <f t="shared" si="901"/>
        <v/>
      </c>
      <c r="H2178" s="78" t="str">
        <f t="shared" si="902"/>
        <v/>
      </c>
      <c r="I2178" s="79"/>
      <c r="J2178" s="80" t="str">
        <f t="shared" si="903"/>
        <v>#NAME?</v>
      </c>
      <c r="K2178" s="58"/>
      <c r="L2178" s="58"/>
      <c r="M2178" s="57"/>
      <c r="N2178" s="57"/>
      <c r="O2178" s="58"/>
      <c r="P2178" s="82"/>
      <c r="Q2178" s="81"/>
      <c r="R2178" s="81"/>
      <c r="S2178" s="57"/>
      <c r="T2178" s="82"/>
      <c r="U2178" s="82"/>
      <c r="V2178" s="57"/>
      <c r="W2178" s="57"/>
      <c r="X2178" s="57" t="str">
        <f t="shared" si="917"/>
        <v/>
      </c>
      <c r="Y2178" s="58" t="str">
        <f t="shared" ref="Y2178:AC2178" si="2018">TRIM(SUBSTITUTE(SUBSTITUTE(OFFSET($Q2178,0,COLUMN()-COLUMN($AL$1)),CHAR(160)," "),_xludf.UNICHAR(8239)," "))</f>
        <v>#NAME?</v>
      </c>
      <c r="Z2178" s="58" t="str">
        <f t="shared" si="2018"/>
        <v>#NAME?</v>
      </c>
      <c r="AA2178" s="58" t="str">
        <f t="shared" si="2018"/>
        <v>#NAME?</v>
      </c>
      <c r="AB2178" s="58" t="str">
        <f t="shared" si="2018"/>
        <v>#NAME?</v>
      </c>
      <c r="AC2178" s="58" t="str">
        <f t="shared" si="2018"/>
        <v>#NAME?</v>
      </c>
      <c r="AD2178" s="57">
        <f t="shared" si="906"/>
        <v>0</v>
      </c>
      <c r="AE2178" s="57" t="str">
        <f t="shared" si="907"/>
        <v/>
      </c>
      <c r="AF2178" s="57">
        <f t="shared" si="908"/>
        <v>0</v>
      </c>
      <c r="AG2178" s="59">
        <f t="shared" si="909"/>
        <v>0</v>
      </c>
      <c r="AH2178" s="15"/>
      <c r="AI2178" s="15"/>
      <c r="AJ2178" s="15"/>
      <c r="AK2178" s="15"/>
      <c r="AL2178" s="15"/>
      <c r="AM2178" s="15"/>
      <c r="AN2178" s="15"/>
      <c r="AO2178" s="15"/>
      <c r="AP2178" s="15"/>
      <c r="AQ2178" s="15"/>
      <c r="AR2178" s="15"/>
      <c r="AS2178" s="15"/>
      <c r="AT2178" s="15"/>
      <c r="AU2178" s="15"/>
    </row>
    <row r="2179" ht="24.0" customHeight="1">
      <c r="A2179" s="45">
        <v>3603.0</v>
      </c>
      <c r="B2179" s="57"/>
      <c r="C2179" s="57"/>
      <c r="D2179" s="88" t="str">
        <f t="array" ref="D2179">IFERROR(
  LOOKUP(2, 1/((TRIM(IMS!$E$8:$E$2574)=TRIM(IMS!$E2179))*(IMS!$C$8:$C$2574&lt;IMS!$C2179)),
         IMS!$C$8:$C$2574),
"")</f>
        <v/>
      </c>
      <c r="E2179" s="57"/>
      <c r="F2179" s="57"/>
      <c r="G2179" s="77" t="str">
        <f t="shared" si="901"/>
        <v/>
      </c>
      <c r="H2179" s="78" t="str">
        <f t="shared" si="902"/>
        <v/>
      </c>
      <c r="I2179" s="79"/>
      <c r="J2179" s="80" t="str">
        <f t="shared" si="903"/>
        <v>#NAME?</v>
      </c>
      <c r="K2179" s="58"/>
      <c r="L2179" s="58"/>
      <c r="M2179" s="57"/>
      <c r="N2179" s="57"/>
      <c r="O2179" s="58"/>
      <c r="P2179" s="82"/>
      <c r="Q2179" s="81"/>
      <c r="R2179" s="81"/>
      <c r="S2179" s="57"/>
      <c r="T2179" s="82"/>
      <c r="U2179" s="82"/>
      <c r="V2179" s="57"/>
      <c r="W2179" s="57"/>
      <c r="X2179" s="57" t="str">
        <f t="shared" si="917"/>
        <v/>
      </c>
      <c r="Y2179" s="58" t="str">
        <f t="shared" ref="Y2179:AC2179" si="2019">TRIM(SUBSTITUTE(SUBSTITUTE(OFFSET($Q2179,0,COLUMN()-COLUMN($AL$1)),CHAR(160)," "),_xludf.UNICHAR(8239)," "))</f>
        <v>#NAME?</v>
      </c>
      <c r="Z2179" s="58" t="str">
        <f t="shared" si="2019"/>
        <v>#NAME?</v>
      </c>
      <c r="AA2179" s="58" t="str">
        <f t="shared" si="2019"/>
        <v>#NAME?</v>
      </c>
      <c r="AB2179" s="58" t="str">
        <f t="shared" si="2019"/>
        <v>#NAME?</v>
      </c>
      <c r="AC2179" s="58" t="str">
        <f t="shared" si="2019"/>
        <v>#NAME?</v>
      </c>
      <c r="AD2179" s="57">
        <f t="shared" si="906"/>
        <v>0</v>
      </c>
      <c r="AE2179" s="57" t="str">
        <f t="shared" si="907"/>
        <v/>
      </c>
      <c r="AF2179" s="57">
        <f t="shared" si="908"/>
        <v>0</v>
      </c>
      <c r="AG2179" s="59">
        <f t="shared" si="909"/>
        <v>0</v>
      </c>
      <c r="AH2179" s="15"/>
      <c r="AI2179" s="15"/>
      <c r="AJ2179" s="15"/>
      <c r="AK2179" s="15"/>
      <c r="AL2179" s="15"/>
      <c r="AM2179" s="15"/>
      <c r="AN2179" s="15"/>
      <c r="AO2179" s="15"/>
      <c r="AP2179" s="15"/>
      <c r="AQ2179" s="15"/>
      <c r="AR2179" s="15"/>
      <c r="AS2179" s="15"/>
      <c r="AT2179" s="15"/>
      <c r="AU2179" s="15"/>
    </row>
    <row r="2180" ht="24.0" customHeight="1">
      <c r="A2180" s="45">
        <v>3604.0</v>
      </c>
      <c r="B2180" s="57"/>
      <c r="C2180" s="57"/>
      <c r="D2180" s="88" t="str">
        <f t="array" ref="D2180">IFERROR(
  LOOKUP(2, 1/((TRIM(IMS!$E$8:$E$2574)=TRIM(IMS!$E2180))*(IMS!$C$8:$C$2574&lt;IMS!$C2180)),
         IMS!$C$8:$C$2574),
"")</f>
        <v/>
      </c>
      <c r="E2180" s="57"/>
      <c r="F2180" s="57"/>
      <c r="G2180" s="77" t="str">
        <f t="shared" si="901"/>
        <v/>
      </c>
      <c r="H2180" s="78" t="str">
        <f t="shared" si="902"/>
        <v/>
      </c>
      <c r="I2180" s="79"/>
      <c r="J2180" s="80" t="str">
        <f t="shared" si="903"/>
        <v>#NAME?</v>
      </c>
      <c r="K2180" s="58"/>
      <c r="L2180" s="58"/>
      <c r="M2180" s="57"/>
      <c r="N2180" s="57"/>
      <c r="O2180" s="58"/>
      <c r="P2180" s="82"/>
      <c r="Q2180" s="81"/>
      <c r="R2180" s="81"/>
      <c r="S2180" s="57"/>
      <c r="T2180" s="82"/>
      <c r="U2180" s="82"/>
      <c r="V2180" s="57"/>
      <c r="W2180" s="57"/>
      <c r="X2180" s="57" t="str">
        <f t="shared" si="917"/>
        <v/>
      </c>
      <c r="Y2180" s="58" t="str">
        <f t="shared" ref="Y2180:AC2180" si="2020">TRIM(SUBSTITUTE(SUBSTITUTE(OFFSET($Q2180,0,COLUMN()-COLUMN($AL$1)),CHAR(160)," "),_xludf.UNICHAR(8239)," "))</f>
        <v>#NAME?</v>
      </c>
      <c r="Z2180" s="58" t="str">
        <f t="shared" si="2020"/>
        <v>#NAME?</v>
      </c>
      <c r="AA2180" s="58" t="str">
        <f t="shared" si="2020"/>
        <v>#NAME?</v>
      </c>
      <c r="AB2180" s="58" t="str">
        <f t="shared" si="2020"/>
        <v>#NAME?</v>
      </c>
      <c r="AC2180" s="58" t="str">
        <f t="shared" si="2020"/>
        <v>#NAME?</v>
      </c>
      <c r="AD2180" s="57">
        <f t="shared" si="906"/>
        <v>0</v>
      </c>
      <c r="AE2180" s="57" t="str">
        <f t="shared" si="907"/>
        <v/>
      </c>
      <c r="AF2180" s="57">
        <f t="shared" si="908"/>
        <v>0</v>
      </c>
      <c r="AG2180" s="59">
        <f t="shared" si="909"/>
        <v>0</v>
      </c>
      <c r="AH2180" s="15"/>
      <c r="AI2180" s="15"/>
      <c r="AJ2180" s="15"/>
      <c r="AK2180" s="15"/>
      <c r="AL2180" s="15"/>
      <c r="AM2180" s="15"/>
      <c r="AN2180" s="15"/>
      <c r="AO2180" s="15"/>
      <c r="AP2180" s="15"/>
      <c r="AQ2180" s="15"/>
      <c r="AR2180" s="15"/>
      <c r="AS2180" s="15"/>
      <c r="AT2180" s="15"/>
      <c r="AU2180" s="15"/>
    </row>
    <row r="2181" ht="24.0" customHeight="1">
      <c r="A2181" s="45">
        <v>3605.0</v>
      </c>
      <c r="B2181" s="57"/>
      <c r="C2181" s="57"/>
      <c r="D2181" s="88" t="str">
        <f t="array" ref="D2181">IFERROR(
  LOOKUP(2, 1/((TRIM(IMS!$E$8:$E$2574)=TRIM(IMS!$E2181))*(IMS!$C$8:$C$2574&lt;IMS!$C2181)),
         IMS!$C$8:$C$2574),
"")</f>
        <v/>
      </c>
      <c r="E2181" s="57"/>
      <c r="F2181" s="57"/>
      <c r="G2181" s="77" t="str">
        <f t="shared" si="901"/>
        <v/>
      </c>
      <c r="H2181" s="78" t="str">
        <f t="shared" si="902"/>
        <v/>
      </c>
      <c r="I2181" s="79"/>
      <c r="J2181" s="80" t="str">
        <f t="shared" si="903"/>
        <v>#NAME?</v>
      </c>
      <c r="K2181" s="58"/>
      <c r="L2181" s="58"/>
      <c r="M2181" s="57"/>
      <c r="N2181" s="57"/>
      <c r="O2181" s="58"/>
      <c r="P2181" s="82"/>
      <c r="Q2181" s="81"/>
      <c r="R2181" s="81"/>
      <c r="S2181" s="57"/>
      <c r="T2181" s="82"/>
      <c r="U2181" s="82"/>
      <c r="V2181" s="57"/>
      <c r="W2181" s="57"/>
      <c r="X2181" s="57" t="str">
        <f t="shared" si="917"/>
        <v/>
      </c>
      <c r="Y2181" s="58" t="str">
        <f t="shared" ref="Y2181:AC2181" si="2021">TRIM(SUBSTITUTE(SUBSTITUTE(OFFSET($Q2181,0,COLUMN()-COLUMN($AL$1)),CHAR(160)," "),_xludf.UNICHAR(8239)," "))</f>
        <v>#NAME?</v>
      </c>
      <c r="Z2181" s="58" t="str">
        <f t="shared" si="2021"/>
        <v>#NAME?</v>
      </c>
      <c r="AA2181" s="58" t="str">
        <f t="shared" si="2021"/>
        <v>#NAME?</v>
      </c>
      <c r="AB2181" s="58" t="str">
        <f t="shared" si="2021"/>
        <v>#NAME?</v>
      </c>
      <c r="AC2181" s="58" t="str">
        <f t="shared" si="2021"/>
        <v>#NAME?</v>
      </c>
      <c r="AD2181" s="57">
        <f t="shared" si="906"/>
        <v>0</v>
      </c>
      <c r="AE2181" s="57" t="str">
        <f t="shared" si="907"/>
        <v/>
      </c>
      <c r="AF2181" s="57">
        <f t="shared" si="908"/>
        <v>0</v>
      </c>
      <c r="AG2181" s="59">
        <f t="shared" si="909"/>
        <v>0</v>
      </c>
      <c r="AH2181" s="15"/>
      <c r="AI2181" s="15"/>
      <c r="AJ2181" s="15"/>
      <c r="AK2181" s="15"/>
      <c r="AL2181" s="15"/>
      <c r="AM2181" s="15"/>
      <c r="AN2181" s="15"/>
      <c r="AO2181" s="15"/>
      <c r="AP2181" s="15"/>
      <c r="AQ2181" s="15"/>
      <c r="AR2181" s="15"/>
      <c r="AS2181" s="15"/>
      <c r="AT2181" s="15"/>
      <c r="AU2181" s="15"/>
    </row>
    <row r="2182" ht="24.0" customHeight="1">
      <c r="A2182" s="45">
        <v>3606.0</v>
      </c>
      <c r="B2182" s="57"/>
      <c r="C2182" s="57"/>
      <c r="D2182" s="88" t="str">
        <f t="array" ref="D2182">IFERROR(
  LOOKUP(2, 1/((TRIM(IMS!$E$8:$E$2574)=TRIM(IMS!$E2182))*(IMS!$C$8:$C$2574&lt;IMS!$C2182)),
         IMS!$C$8:$C$2574),
"")</f>
        <v/>
      </c>
      <c r="E2182" s="57"/>
      <c r="F2182" s="57"/>
      <c r="G2182" s="77" t="str">
        <f t="shared" si="901"/>
        <v/>
      </c>
      <c r="H2182" s="78" t="str">
        <f t="shared" si="902"/>
        <v/>
      </c>
      <c r="I2182" s="79"/>
      <c r="J2182" s="80" t="str">
        <f t="shared" si="903"/>
        <v>#NAME?</v>
      </c>
      <c r="K2182" s="58"/>
      <c r="L2182" s="58"/>
      <c r="M2182" s="57"/>
      <c r="N2182" s="57"/>
      <c r="O2182" s="58"/>
      <c r="P2182" s="82"/>
      <c r="Q2182" s="81"/>
      <c r="R2182" s="81"/>
      <c r="S2182" s="57"/>
      <c r="T2182" s="82"/>
      <c r="U2182" s="82"/>
      <c r="V2182" s="57"/>
      <c r="W2182" s="57"/>
      <c r="X2182" s="57" t="str">
        <f t="shared" si="917"/>
        <v/>
      </c>
      <c r="Y2182" s="58" t="str">
        <f t="shared" ref="Y2182:AC2182" si="2022">TRIM(SUBSTITUTE(SUBSTITUTE(OFFSET($Q2182,0,COLUMN()-COLUMN($AL$1)),CHAR(160)," "),_xludf.UNICHAR(8239)," "))</f>
        <v>#NAME?</v>
      </c>
      <c r="Z2182" s="58" t="str">
        <f t="shared" si="2022"/>
        <v>#NAME?</v>
      </c>
      <c r="AA2182" s="58" t="str">
        <f t="shared" si="2022"/>
        <v>#NAME?</v>
      </c>
      <c r="AB2182" s="58" t="str">
        <f t="shared" si="2022"/>
        <v>#NAME?</v>
      </c>
      <c r="AC2182" s="58" t="str">
        <f t="shared" si="2022"/>
        <v>#NAME?</v>
      </c>
      <c r="AD2182" s="57">
        <f t="shared" si="906"/>
        <v>0</v>
      </c>
      <c r="AE2182" s="57" t="str">
        <f t="shared" si="907"/>
        <v/>
      </c>
      <c r="AF2182" s="57">
        <f t="shared" si="908"/>
        <v>0</v>
      </c>
      <c r="AG2182" s="59">
        <f t="shared" si="909"/>
        <v>0</v>
      </c>
      <c r="AH2182" s="15"/>
      <c r="AI2182" s="15"/>
      <c r="AJ2182" s="15"/>
      <c r="AK2182" s="15"/>
      <c r="AL2182" s="15"/>
      <c r="AM2182" s="15"/>
      <c r="AN2182" s="15"/>
      <c r="AO2182" s="15"/>
      <c r="AP2182" s="15"/>
      <c r="AQ2182" s="15"/>
      <c r="AR2182" s="15"/>
      <c r="AS2182" s="15"/>
      <c r="AT2182" s="15"/>
      <c r="AU2182" s="15"/>
    </row>
    <row r="2183" ht="24.0" customHeight="1">
      <c r="A2183" s="45">
        <v>3607.0</v>
      </c>
      <c r="B2183" s="57"/>
      <c r="C2183" s="57"/>
      <c r="D2183" s="88" t="str">
        <f t="array" ref="D2183">IFERROR(
  LOOKUP(2, 1/((TRIM(IMS!$E$8:$E$2574)=TRIM(IMS!$E2183))*(IMS!$C$8:$C$2574&lt;IMS!$C2183)),
         IMS!$C$8:$C$2574),
"")</f>
        <v/>
      </c>
      <c r="E2183" s="57"/>
      <c r="F2183" s="57"/>
      <c r="G2183" s="77" t="str">
        <f t="shared" si="901"/>
        <v/>
      </c>
      <c r="H2183" s="78" t="str">
        <f t="shared" si="902"/>
        <v/>
      </c>
      <c r="I2183" s="79"/>
      <c r="J2183" s="80" t="str">
        <f t="shared" si="903"/>
        <v>#NAME?</v>
      </c>
      <c r="K2183" s="58"/>
      <c r="L2183" s="58"/>
      <c r="M2183" s="57"/>
      <c r="N2183" s="57"/>
      <c r="O2183" s="58"/>
      <c r="P2183" s="82"/>
      <c r="Q2183" s="81"/>
      <c r="R2183" s="81"/>
      <c r="S2183" s="57"/>
      <c r="T2183" s="82"/>
      <c r="U2183" s="82"/>
      <c r="V2183" s="57"/>
      <c r="W2183" s="57"/>
      <c r="X2183" s="57" t="str">
        <f t="shared" si="917"/>
        <v/>
      </c>
      <c r="Y2183" s="58" t="str">
        <f t="shared" ref="Y2183:AC2183" si="2023">TRIM(SUBSTITUTE(SUBSTITUTE(OFFSET($Q2183,0,COLUMN()-COLUMN($AL$1)),CHAR(160)," "),_xludf.UNICHAR(8239)," "))</f>
        <v>#NAME?</v>
      </c>
      <c r="Z2183" s="58" t="str">
        <f t="shared" si="2023"/>
        <v>#NAME?</v>
      </c>
      <c r="AA2183" s="58" t="str">
        <f t="shared" si="2023"/>
        <v>#NAME?</v>
      </c>
      <c r="AB2183" s="58" t="str">
        <f t="shared" si="2023"/>
        <v>#NAME?</v>
      </c>
      <c r="AC2183" s="58" t="str">
        <f t="shared" si="2023"/>
        <v>#NAME?</v>
      </c>
      <c r="AD2183" s="57">
        <f t="shared" si="906"/>
        <v>0</v>
      </c>
      <c r="AE2183" s="57" t="str">
        <f t="shared" si="907"/>
        <v/>
      </c>
      <c r="AF2183" s="57">
        <f t="shared" si="908"/>
        <v>0</v>
      </c>
      <c r="AG2183" s="59">
        <f t="shared" si="909"/>
        <v>0</v>
      </c>
      <c r="AH2183" s="15"/>
      <c r="AI2183" s="15"/>
      <c r="AJ2183" s="15"/>
      <c r="AK2183" s="15"/>
      <c r="AL2183" s="15"/>
      <c r="AM2183" s="15"/>
      <c r="AN2183" s="15"/>
      <c r="AO2183" s="15"/>
      <c r="AP2183" s="15"/>
      <c r="AQ2183" s="15"/>
      <c r="AR2183" s="15"/>
      <c r="AS2183" s="15"/>
      <c r="AT2183" s="15"/>
      <c r="AU2183" s="15"/>
    </row>
    <row r="2184" ht="24.0" customHeight="1">
      <c r="A2184" s="45">
        <v>3608.0</v>
      </c>
      <c r="B2184" s="57"/>
      <c r="C2184" s="57"/>
      <c r="D2184" s="88" t="str">
        <f t="array" ref="D2184">IFERROR(
  LOOKUP(2, 1/((TRIM(IMS!$E$8:$E$2574)=TRIM(IMS!$E2184))*(IMS!$C$8:$C$2574&lt;IMS!$C2184)),
         IMS!$C$8:$C$2574),
"")</f>
        <v/>
      </c>
      <c r="E2184" s="57"/>
      <c r="F2184" s="57"/>
      <c r="G2184" s="77" t="str">
        <f t="shared" si="901"/>
        <v/>
      </c>
      <c r="H2184" s="78" t="str">
        <f t="shared" si="902"/>
        <v/>
      </c>
      <c r="I2184" s="79"/>
      <c r="J2184" s="80" t="str">
        <f t="shared" si="903"/>
        <v>#NAME?</v>
      </c>
      <c r="K2184" s="58"/>
      <c r="L2184" s="58"/>
      <c r="M2184" s="57"/>
      <c r="N2184" s="57"/>
      <c r="O2184" s="58"/>
      <c r="P2184" s="82"/>
      <c r="Q2184" s="81"/>
      <c r="R2184" s="81"/>
      <c r="S2184" s="57"/>
      <c r="T2184" s="82"/>
      <c r="U2184" s="82"/>
      <c r="V2184" s="57"/>
      <c r="W2184" s="57"/>
      <c r="X2184" s="57" t="str">
        <f t="shared" si="917"/>
        <v/>
      </c>
      <c r="Y2184" s="58" t="str">
        <f t="shared" ref="Y2184:AC2184" si="2024">TRIM(SUBSTITUTE(SUBSTITUTE(OFFSET($Q2184,0,COLUMN()-COLUMN($AL$1)),CHAR(160)," "),_xludf.UNICHAR(8239)," "))</f>
        <v>#NAME?</v>
      </c>
      <c r="Z2184" s="58" t="str">
        <f t="shared" si="2024"/>
        <v>#NAME?</v>
      </c>
      <c r="AA2184" s="58" t="str">
        <f t="shared" si="2024"/>
        <v>#NAME?</v>
      </c>
      <c r="AB2184" s="58" t="str">
        <f t="shared" si="2024"/>
        <v>#NAME?</v>
      </c>
      <c r="AC2184" s="58" t="str">
        <f t="shared" si="2024"/>
        <v>#NAME?</v>
      </c>
      <c r="AD2184" s="57">
        <f t="shared" si="906"/>
        <v>0</v>
      </c>
      <c r="AE2184" s="57" t="str">
        <f t="shared" si="907"/>
        <v/>
      </c>
      <c r="AF2184" s="57">
        <f t="shared" si="908"/>
        <v>0</v>
      </c>
      <c r="AG2184" s="59">
        <f t="shared" si="909"/>
        <v>0</v>
      </c>
      <c r="AH2184" s="15"/>
      <c r="AI2184" s="15"/>
      <c r="AJ2184" s="15"/>
      <c r="AK2184" s="15"/>
      <c r="AL2184" s="15"/>
      <c r="AM2184" s="15"/>
      <c r="AN2184" s="15"/>
      <c r="AO2184" s="15"/>
      <c r="AP2184" s="15"/>
      <c r="AQ2184" s="15"/>
      <c r="AR2184" s="15"/>
      <c r="AS2184" s="15"/>
      <c r="AT2184" s="15"/>
      <c r="AU2184" s="15"/>
    </row>
    <row r="2185" ht="24.0" customHeight="1">
      <c r="A2185" s="45">
        <v>3609.0</v>
      </c>
      <c r="B2185" s="57"/>
      <c r="C2185" s="57"/>
      <c r="D2185" s="88" t="str">
        <f t="array" ref="D2185">IFERROR(
  LOOKUP(2, 1/((TRIM(IMS!$E$8:$E$2574)=TRIM(IMS!$E2185))*(IMS!$C$8:$C$2574&lt;IMS!$C2185)),
         IMS!$C$8:$C$2574),
"")</f>
        <v/>
      </c>
      <c r="E2185" s="57"/>
      <c r="F2185" s="57"/>
      <c r="G2185" s="77" t="str">
        <f t="shared" si="901"/>
        <v/>
      </c>
      <c r="H2185" s="78" t="str">
        <f t="shared" si="902"/>
        <v/>
      </c>
      <c r="I2185" s="79"/>
      <c r="J2185" s="80" t="str">
        <f t="shared" si="903"/>
        <v>#NAME?</v>
      </c>
      <c r="K2185" s="58"/>
      <c r="L2185" s="58"/>
      <c r="M2185" s="57"/>
      <c r="N2185" s="57"/>
      <c r="O2185" s="58"/>
      <c r="P2185" s="82"/>
      <c r="Q2185" s="81"/>
      <c r="R2185" s="81"/>
      <c r="S2185" s="57"/>
      <c r="T2185" s="82"/>
      <c r="U2185" s="82"/>
      <c r="V2185" s="57"/>
      <c r="W2185" s="57"/>
      <c r="X2185" s="57" t="str">
        <f t="shared" si="917"/>
        <v/>
      </c>
      <c r="Y2185" s="58" t="str">
        <f t="shared" ref="Y2185:AC2185" si="2025">TRIM(SUBSTITUTE(SUBSTITUTE(OFFSET($Q2185,0,COLUMN()-COLUMN($AL$1)),CHAR(160)," "),_xludf.UNICHAR(8239)," "))</f>
        <v>#NAME?</v>
      </c>
      <c r="Z2185" s="58" t="str">
        <f t="shared" si="2025"/>
        <v>#NAME?</v>
      </c>
      <c r="AA2185" s="58" t="str">
        <f t="shared" si="2025"/>
        <v>#NAME?</v>
      </c>
      <c r="AB2185" s="58" t="str">
        <f t="shared" si="2025"/>
        <v>#NAME?</v>
      </c>
      <c r="AC2185" s="58" t="str">
        <f t="shared" si="2025"/>
        <v>#NAME?</v>
      </c>
      <c r="AD2185" s="57">
        <f t="shared" si="906"/>
        <v>0</v>
      </c>
      <c r="AE2185" s="57" t="str">
        <f t="shared" si="907"/>
        <v/>
      </c>
      <c r="AF2185" s="57">
        <f t="shared" si="908"/>
        <v>0</v>
      </c>
      <c r="AG2185" s="59">
        <f t="shared" si="909"/>
        <v>0</v>
      </c>
      <c r="AH2185" s="15"/>
      <c r="AI2185" s="15"/>
      <c r="AJ2185" s="15"/>
      <c r="AK2185" s="15"/>
      <c r="AL2185" s="15"/>
      <c r="AM2185" s="15"/>
      <c r="AN2185" s="15"/>
      <c r="AO2185" s="15"/>
      <c r="AP2185" s="15"/>
      <c r="AQ2185" s="15"/>
      <c r="AR2185" s="15"/>
      <c r="AS2185" s="15"/>
      <c r="AT2185" s="15"/>
      <c r="AU2185" s="15"/>
    </row>
    <row r="2186" ht="24.0" customHeight="1">
      <c r="A2186" s="45">
        <v>3610.0</v>
      </c>
      <c r="B2186" s="57"/>
      <c r="C2186" s="57"/>
      <c r="D2186" s="88" t="str">
        <f t="array" ref="D2186">IFERROR(
  LOOKUP(2, 1/((TRIM(IMS!$E$8:$E$2574)=TRIM(IMS!$E2186))*(IMS!$C$8:$C$2574&lt;IMS!$C2186)),
         IMS!$C$8:$C$2574),
"")</f>
        <v/>
      </c>
      <c r="E2186" s="57"/>
      <c r="F2186" s="57"/>
      <c r="G2186" s="77" t="str">
        <f t="shared" si="901"/>
        <v/>
      </c>
      <c r="H2186" s="78" t="str">
        <f t="shared" si="902"/>
        <v/>
      </c>
      <c r="I2186" s="79"/>
      <c r="J2186" s="80" t="str">
        <f t="shared" si="903"/>
        <v>#NAME?</v>
      </c>
      <c r="K2186" s="58"/>
      <c r="L2186" s="58"/>
      <c r="M2186" s="57"/>
      <c r="N2186" s="57"/>
      <c r="O2186" s="58"/>
      <c r="P2186" s="82"/>
      <c r="Q2186" s="81"/>
      <c r="R2186" s="81"/>
      <c r="S2186" s="57"/>
      <c r="T2186" s="82"/>
      <c r="U2186" s="82"/>
      <c r="V2186" s="57"/>
      <c r="W2186" s="57"/>
      <c r="X2186" s="57" t="str">
        <f t="shared" si="917"/>
        <v/>
      </c>
      <c r="Y2186" s="58" t="str">
        <f t="shared" ref="Y2186:AC2186" si="2026">TRIM(SUBSTITUTE(SUBSTITUTE(OFFSET($Q2186,0,COLUMN()-COLUMN($AL$1)),CHAR(160)," "),_xludf.UNICHAR(8239)," "))</f>
        <v>#NAME?</v>
      </c>
      <c r="Z2186" s="58" t="str">
        <f t="shared" si="2026"/>
        <v>#NAME?</v>
      </c>
      <c r="AA2186" s="58" t="str">
        <f t="shared" si="2026"/>
        <v>#NAME?</v>
      </c>
      <c r="AB2186" s="58" t="str">
        <f t="shared" si="2026"/>
        <v>#NAME?</v>
      </c>
      <c r="AC2186" s="58" t="str">
        <f t="shared" si="2026"/>
        <v>#NAME?</v>
      </c>
      <c r="AD2186" s="57">
        <f t="shared" si="906"/>
        <v>0</v>
      </c>
      <c r="AE2186" s="57" t="str">
        <f t="shared" si="907"/>
        <v/>
      </c>
      <c r="AF2186" s="57">
        <f t="shared" si="908"/>
        <v>0</v>
      </c>
      <c r="AG2186" s="59">
        <f t="shared" si="909"/>
        <v>0</v>
      </c>
      <c r="AH2186" s="15"/>
      <c r="AI2186" s="15"/>
      <c r="AJ2186" s="15"/>
      <c r="AK2186" s="15"/>
      <c r="AL2186" s="15"/>
      <c r="AM2186" s="15"/>
      <c r="AN2186" s="15"/>
      <c r="AO2186" s="15"/>
      <c r="AP2186" s="15"/>
      <c r="AQ2186" s="15"/>
      <c r="AR2186" s="15"/>
      <c r="AS2186" s="15"/>
      <c r="AT2186" s="15"/>
      <c r="AU2186" s="15"/>
    </row>
    <row r="2187" ht="24.0" customHeight="1">
      <c r="A2187" s="45">
        <v>3611.0</v>
      </c>
      <c r="B2187" s="57"/>
      <c r="C2187" s="57"/>
      <c r="D2187" s="88" t="str">
        <f t="array" ref="D2187">IFERROR(
  LOOKUP(2, 1/((TRIM(IMS!$E$8:$E$2574)=TRIM(IMS!$E2187))*(IMS!$C$8:$C$2574&lt;IMS!$C2187)),
         IMS!$C$8:$C$2574),
"")</f>
        <v/>
      </c>
      <c r="E2187" s="57"/>
      <c r="F2187" s="57"/>
      <c r="G2187" s="77" t="str">
        <f t="shared" si="901"/>
        <v/>
      </c>
      <c r="H2187" s="78" t="str">
        <f t="shared" si="902"/>
        <v/>
      </c>
      <c r="I2187" s="79"/>
      <c r="J2187" s="80" t="str">
        <f t="shared" si="903"/>
        <v>#NAME?</v>
      </c>
      <c r="K2187" s="58"/>
      <c r="L2187" s="58"/>
      <c r="M2187" s="57"/>
      <c r="N2187" s="57"/>
      <c r="O2187" s="58"/>
      <c r="P2187" s="82"/>
      <c r="Q2187" s="81"/>
      <c r="R2187" s="81"/>
      <c r="S2187" s="57"/>
      <c r="T2187" s="82"/>
      <c r="U2187" s="82"/>
      <c r="V2187" s="57"/>
      <c r="W2187" s="57"/>
      <c r="X2187" s="57" t="str">
        <f t="shared" si="917"/>
        <v/>
      </c>
      <c r="Y2187" s="58" t="str">
        <f t="shared" ref="Y2187:AC2187" si="2027">TRIM(SUBSTITUTE(SUBSTITUTE(OFFSET($Q2187,0,COLUMN()-COLUMN($AL$1)),CHAR(160)," "),_xludf.UNICHAR(8239)," "))</f>
        <v>#NAME?</v>
      </c>
      <c r="Z2187" s="58" t="str">
        <f t="shared" si="2027"/>
        <v>#NAME?</v>
      </c>
      <c r="AA2187" s="58" t="str">
        <f t="shared" si="2027"/>
        <v>#NAME?</v>
      </c>
      <c r="AB2187" s="58" t="str">
        <f t="shared" si="2027"/>
        <v>#NAME?</v>
      </c>
      <c r="AC2187" s="58" t="str">
        <f t="shared" si="2027"/>
        <v>#NAME?</v>
      </c>
      <c r="AD2187" s="57">
        <f t="shared" si="906"/>
        <v>0</v>
      </c>
      <c r="AE2187" s="57" t="str">
        <f t="shared" si="907"/>
        <v/>
      </c>
      <c r="AF2187" s="57">
        <f t="shared" si="908"/>
        <v>0</v>
      </c>
      <c r="AG2187" s="59">
        <f t="shared" si="909"/>
        <v>0</v>
      </c>
      <c r="AH2187" s="15"/>
      <c r="AI2187" s="15"/>
      <c r="AJ2187" s="15"/>
      <c r="AK2187" s="15"/>
      <c r="AL2187" s="15"/>
      <c r="AM2187" s="15"/>
      <c r="AN2187" s="15"/>
      <c r="AO2187" s="15"/>
      <c r="AP2187" s="15"/>
      <c r="AQ2187" s="15"/>
      <c r="AR2187" s="15"/>
      <c r="AS2187" s="15"/>
      <c r="AT2187" s="15"/>
      <c r="AU2187" s="15"/>
    </row>
    <row r="2188" ht="24.0" customHeight="1">
      <c r="A2188" s="45">
        <v>3612.0</v>
      </c>
      <c r="B2188" s="57"/>
      <c r="C2188" s="57"/>
      <c r="D2188" s="88" t="str">
        <f t="array" ref="D2188">IFERROR(
  LOOKUP(2, 1/((TRIM(IMS!$E$8:$E$2574)=TRIM(IMS!$E2188))*(IMS!$C$8:$C$2574&lt;IMS!$C2188)),
         IMS!$C$8:$C$2574),
"")</f>
        <v/>
      </c>
      <c r="E2188" s="57"/>
      <c r="F2188" s="57"/>
      <c r="G2188" s="77" t="str">
        <f t="shared" si="901"/>
        <v/>
      </c>
      <c r="H2188" s="78" t="str">
        <f t="shared" si="902"/>
        <v/>
      </c>
      <c r="I2188" s="79"/>
      <c r="J2188" s="80" t="str">
        <f t="shared" si="903"/>
        <v>#NAME?</v>
      </c>
      <c r="K2188" s="58"/>
      <c r="L2188" s="58"/>
      <c r="M2188" s="57"/>
      <c r="N2188" s="57"/>
      <c r="O2188" s="58"/>
      <c r="P2188" s="82"/>
      <c r="Q2188" s="81"/>
      <c r="R2188" s="81"/>
      <c r="S2188" s="57"/>
      <c r="T2188" s="82"/>
      <c r="U2188" s="82"/>
      <c r="V2188" s="57"/>
      <c r="W2188" s="57"/>
      <c r="X2188" s="57" t="str">
        <f t="shared" si="917"/>
        <v/>
      </c>
      <c r="Y2188" s="58" t="str">
        <f t="shared" ref="Y2188:AC2188" si="2028">TRIM(SUBSTITUTE(SUBSTITUTE(OFFSET($Q2188,0,COLUMN()-COLUMN($AL$1)),CHAR(160)," "),_xludf.UNICHAR(8239)," "))</f>
        <v>#NAME?</v>
      </c>
      <c r="Z2188" s="58" t="str">
        <f t="shared" si="2028"/>
        <v>#NAME?</v>
      </c>
      <c r="AA2188" s="58" t="str">
        <f t="shared" si="2028"/>
        <v>#NAME?</v>
      </c>
      <c r="AB2188" s="58" t="str">
        <f t="shared" si="2028"/>
        <v>#NAME?</v>
      </c>
      <c r="AC2188" s="58" t="str">
        <f t="shared" si="2028"/>
        <v>#NAME?</v>
      </c>
      <c r="AD2188" s="57">
        <f t="shared" si="906"/>
        <v>0</v>
      </c>
      <c r="AE2188" s="57" t="str">
        <f t="shared" si="907"/>
        <v/>
      </c>
      <c r="AF2188" s="57">
        <f t="shared" si="908"/>
        <v>0</v>
      </c>
      <c r="AG2188" s="59">
        <f t="shared" si="909"/>
        <v>0</v>
      </c>
      <c r="AH2188" s="15"/>
      <c r="AI2188" s="15"/>
      <c r="AJ2188" s="15"/>
      <c r="AK2188" s="15"/>
      <c r="AL2188" s="15"/>
      <c r="AM2188" s="15"/>
      <c r="AN2188" s="15"/>
      <c r="AO2188" s="15"/>
      <c r="AP2188" s="15"/>
      <c r="AQ2188" s="15"/>
      <c r="AR2188" s="15"/>
      <c r="AS2188" s="15"/>
      <c r="AT2188" s="15"/>
      <c r="AU2188" s="15"/>
    </row>
    <row r="2189" ht="24.0" customHeight="1">
      <c r="A2189" s="45">
        <v>3613.0</v>
      </c>
      <c r="B2189" s="57"/>
      <c r="C2189" s="57"/>
      <c r="D2189" s="88" t="str">
        <f t="array" ref="D2189">IFERROR(
  LOOKUP(2, 1/((TRIM(IMS!$E$8:$E$2574)=TRIM(IMS!$E2189))*(IMS!$C$8:$C$2574&lt;IMS!$C2189)),
         IMS!$C$8:$C$2574),
"")</f>
        <v/>
      </c>
      <c r="E2189" s="57"/>
      <c r="F2189" s="57"/>
      <c r="G2189" s="77" t="str">
        <f t="shared" si="901"/>
        <v/>
      </c>
      <c r="H2189" s="78" t="str">
        <f t="shared" si="902"/>
        <v/>
      </c>
      <c r="I2189" s="79"/>
      <c r="J2189" s="80" t="str">
        <f t="shared" si="903"/>
        <v>#NAME?</v>
      </c>
      <c r="K2189" s="58"/>
      <c r="L2189" s="58"/>
      <c r="M2189" s="57"/>
      <c r="N2189" s="57"/>
      <c r="O2189" s="58"/>
      <c r="P2189" s="82"/>
      <c r="Q2189" s="81"/>
      <c r="R2189" s="81"/>
      <c r="S2189" s="57"/>
      <c r="T2189" s="82"/>
      <c r="U2189" s="82"/>
      <c r="V2189" s="57"/>
      <c r="W2189" s="57"/>
      <c r="X2189" s="57" t="str">
        <f t="shared" si="917"/>
        <v/>
      </c>
      <c r="Y2189" s="58" t="str">
        <f t="shared" ref="Y2189:AC2189" si="2029">TRIM(SUBSTITUTE(SUBSTITUTE(OFFSET($Q2189,0,COLUMN()-COLUMN($AL$1)),CHAR(160)," "),_xludf.UNICHAR(8239)," "))</f>
        <v>#NAME?</v>
      </c>
      <c r="Z2189" s="58" t="str">
        <f t="shared" si="2029"/>
        <v>#NAME?</v>
      </c>
      <c r="AA2189" s="58" t="str">
        <f t="shared" si="2029"/>
        <v>#NAME?</v>
      </c>
      <c r="AB2189" s="58" t="str">
        <f t="shared" si="2029"/>
        <v>#NAME?</v>
      </c>
      <c r="AC2189" s="58" t="str">
        <f t="shared" si="2029"/>
        <v>#NAME?</v>
      </c>
      <c r="AD2189" s="57">
        <f t="shared" si="906"/>
        <v>0</v>
      </c>
      <c r="AE2189" s="57" t="str">
        <f t="shared" si="907"/>
        <v/>
      </c>
      <c r="AF2189" s="57">
        <f t="shared" si="908"/>
        <v>0</v>
      </c>
      <c r="AG2189" s="59">
        <f t="shared" si="909"/>
        <v>0</v>
      </c>
      <c r="AH2189" s="15"/>
      <c r="AI2189" s="15"/>
      <c r="AJ2189" s="15"/>
      <c r="AK2189" s="15"/>
      <c r="AL2189" s="15"/>
      <c r="AM2189" s="15"/>
      <c r="AN2189" s="15"/>
      <c r="AO2189" s="15"/>
      <c r="AP2189" s="15"/>
      <c r="AQ2189" s="15"/>
      <c r="AR2189" s="15"/>
      <c r="AS2189" s="15"/>
      <c r="AT2189" s="15"/>
      <c r="AU2189" s="15"/>
    </row>
    <row r="2190" ht="24.0" customHeight="1">
      <c r="A2190" s="45">
        <v>3614.0</v>
      </c>
      <c r="B2190" s="57"/>
      <c r="C2190" s="57"/>
      <c r="D2190" s="88" t="str">
        <f t="array" ref="D2190">IFERROR(
  LOOKUP(2, 1/((TRIM(IMS!$E$8:$E$2574)=TRIM(IMS!$E2190))*(IMS!$C$8:$C$2574&lt;IMS!$C2190)),
         IMS!$C$8:$C$2574),
"")</f>
        <v/>
      </c>
      <c r="E2190" s="57"/>
      <c r="F2190" s="57"/>
      <c r="G2190" s="77" t="str">
        <f t="shared" si="901"/>
        <v/>
      </c>
      <c r="H2190" s="78" t="str">
        <f t="shared" si="902"/>
        <v/>
      </c>
      <c r="I2190" s="79"/>
      <c r="J2190" s="80" t="str">
        <f t="shared" si="903"/>
        <v>#NAME?</v>
      </c>
      <c r="K2190" s="58"/>
      <c r="L2190" s="58"/>
      <c r="M2190" s="57"/>
      <c r="N2190" s="57"/>
      <c r="O2190" s="58"/>
      <c r="P2190" s="82"/>
      <c r="Q2190" s="81"/>
      <c r="R2190" s="81"/>
      <c r="S2190" s="57"/>
      <c r="T2190" s="82"/>
      <c r="U2190" s="82"/>
      <c r="V2190" s="57"/>
      <c r="W2190" s="57"/>
      <c r="X2190" s="57" t="str">
        <f t="shared" si="917"/>
        <v/>
      </c>
      <c r="Y2190" s="58" t="str">
        <f t="shared" ref="Y2190:AC2190" si="2030">TRIM(SUBSTITUTE(SUBSTITUTE(OFFSET($Q2190,0,COLUMN()-COLUMN($AL$1)),CHAR(160)," "),_xludf.UNICHAR(8239)," "))</f>
        <v>#NAME?</v>
      </c>
      <c r="Z2190" s="58" t="str">
        <f t="shared" si="2030"/>
        <v>#NAME?</v>
      </c>
      <c r="AA2190" s="58" t="str">
        <f t="shared" si="2030"/>
        <v>#NAME?</v>
      </c>
      <c r="AB2190" s="58" t="str">
        <f t="shared" si="2030"/>
        <v>#NAME?</v>
      </c>
      <c r="AC2190" s="58" t="str">
        <f t="shared" si="2030"/>
        <v>#NAME?</v>
      </c>
      <c r="AD2190" s="57">
        <f t="shared" si="906"/>
        <v>0</v>
      </c>
      <c r="AE2190" s="57" t="str">
        <f t="shared" si="907"/>
        <v/>
      </c>
      <c r="AF2190" s="57">
        <f t="shared" si="908"/>
        <v>0</v>
      </c>
      <c r="AG2190" s="59">
        <f t="shared" si="909"/>
        <v>0</v>
      </c>
      <c r="AH2190" s="15"/>
      <c r="AI2190" s="15"/>
      <c r="AJ2190" s="15"/>
      <c r="AK2190" s="15"/>
      <c r="AL2190" s="15"/>
      <c r="AM2190" s="15"/>
      <c r="AN2190" s="15"/>
      <c r="AO2190" s="15"/>
      <c r="AP2190" s="15"/>
      <c r="AQ2190" s="15"/>
      <c r="AR2190" s="15"/>
      <c r="AS2190" s="15"/>
      <c r="AT2190" s="15"/>
      <c r="AU2190" s="15"/>
    </row>
    <row r="2191" ht="24.0" customHeight="1">
      <c r="A2191" s="45">
        <v>3615.0</v>
      </c>
      <c r="B2191" s="57"/>
      <c r="C2191" s="57"/>
      <c r="D2191" s="88" t="str">
        <f t="array" ref="D2191">IFERROR(
  LOOKUP(2, 1/((TRIM(IMS!$E$8:$E$2574)=TRIM(IMS!$E2191))*(IMS!$C$8:$C$2574&lt;IMS!$C2191)),
         IMS!$C$8:$C$2574),
"")</f>
        <v/>
      </c>
      <c r="E2191" s="57"/>
      <c r="F2191" s="57"/>
      <c r="G2191" s="77" t="str">
        <f t="shared" si="901"/>
        <v/>
      </c>
      <c r="H2191" s="78" t="str">
        <f t="shared" si="902"/>
        <v/>
      </c>
      <c r="I2191" s="79"/>
      <c r="J2191" s="80" t="str">
        <f t="shared" si="903"/>
        <v>#NAME?</v>
      </c>
      <c r="K2191" s="58"/>
      <c r="L2191" s="58"/>
      <c r="M2191" s="57"/>
      <c r="N2191" s="57"/>
      <c r="O2191" s="58"/>
      <c r="P2191" s="82"/>
      <c r="Q2191" s="81"/>
      <c r="R2191" s="81"/>
      <c r="S2191" s="57"/>
      <c r="T2191" s="82"/>
      <c r="U2191" s="82"/>
      <c r="V2191" s="57"/>
      <c r="W2191" s="57"/>
      <c r="X2191" s="57" t="str">
        <f t="shared" si="917"/>
        <v/>
      </c>
      <c r="Y2191" s="58" t="str">
        <f t="shared" ref="Y2191:AC2191" si="2031">TRIM(SUBSTITUTE(SUBSTITUTE(OFFSET($Q2191,0,COLUMN()-COLUMN($AL$1)),CHAR(160)," "),_xludf.UNICHAR(8239)," "))</f>
        <v>#NAME?</v>
      </c>
      <c r="Z2191" s="58" t="str">
        <f t="shared" si="2031"/>
        <v>#NAME?</v>
      </c>
      <c r="AA2191" s="58" t="str">
        <f t="shared" si="2031"/>
        <v>#NAME?</v>
      </c>
      <c r="AB2191" s="58" t="str">
        <f t="shared" si="2031"/>
        <v>#NAME?</v>
      </c>
      <c r="AC2191" s="58" t="str">
        <f t="shared" si="2031"/>
        <v>#NAME?</v>
      </c>
      <c r="AD2191" s="57">
        <f t="shared" si="906"/>
        <v>0</v>
      </c>
      <c r="AE2191" s="57" t="str">
        <f t="shared" si="907"/>
        <v/>
      </c>
      <c r="AF2191" s="57">
        <f t="shared" si="908"/>
        <v>0</v>
      </c>
      <c r="AG2191" s="59">
        <f t="shared" si="909"/>
        <v>0</v>
      </c>
      <c r="AH2191" s="15"/>
      <c r="AI2191" s="15"/>
      <c r="AJ2191" s="15"/>
      <c r="AK2191" s="15"/>
      <c r="AL2191" s="15"/>
      <c r="AM2191" s="15"/>
      <c r="AN2191" s="15"/>
      <c r="AO2191" s="15"/>
      <c r="AP2191" s="15"/>
      <c r="AQ2191" s="15"/>
      <c r="AR2191" s="15"/>
      <c r="AS2191" s="15"/>
      <c r="AT2191" s="15"/>
      <c r="AU2191" s="15"/>
    </row>
    <row r="2192" ht="24.0" customHeight="1">
      <c r="A2192" s="45">
        <v>3616.0</v>
      </c>
      <c r="B2192" s="57"/>
      <c r="C2192" s="57"/>
      <c r="D2192" s="88" t="str">
        <f t="array" ref="D2192">IFERROR(
  LOOKUP(2, 1/((TRIM(IMS!$E$8:$E$2574)=TRIM(IMS!$E2192))*(IMS!$C$8:$C$2574&lt;IMS!$C2192)),
         IMS!$C$8:$C$2574),
"")</f>
        <v/>
      </c>
      <c r="E2192" s="57"/>
      <c r="F2192" s="57"/>
      <c r="G2192" s="77" t="str">
        <f t="shared" si="901"/>
        <v/>
      </c>
      <c r="H2192" s="78" t="str">
        <f t="shared" si="902"/>
        <v/>
      </c>
      <c r="I2192" s="79"/>
      <c r="J2192" s="80" t="str">
        <f t="shared" si="903"/>
        <v>#NAME?</v>
      </c>
      <c r="K2192" s="58"/>
      <c r="L2192" s="58"/>
      <c r="M2192" s="57"/>
      <c r="N2192" s="57"/>
      <c r="O2192" s="58"/>
      <c r="P2192" s="82"/>
      <c r="Q2192" s="81"/>
      <c r="R2192" s="81"/>
      <c r="S2192" s="57"/>
      <c r="T2192" s="82"/>
      <c r="U2192" s="82"/>
      <c r="V2192" s="57"/>
      <c r="W2192" s="57"/>
      <c r="X2192" s="57" t="str">
        <f t="shared" si="917"/>
        <v/>
      </c>
      <c r="Y2192" s="58" t="str">
        <f t="shared" ref="Y2192:AC2192" si="2032">TRIM(SUBSTITUTE(SUBSTITUTE(OFFSET($Q2192,0,COLUMN()-COLUMN($AL$1)),CHAR(160)," "),_xludf.UNICHAR(8239)," "))</f>
        <v>#NAME?</v>
      </c>
      <c r="Z2192" s="58" t="str">
        <f t="shared" si="2032"/>
        <v>#NAME?</v>
      </c>
      <c r="AA2192" s="58" t="str">
        <f t="shared" si="2032"/>
        <v>#NAME?</v>
      </c>
      <c r="AB2192" s="58" t="str">
        <f t="shared" si="2032"/>
        <v>#NAME?</v>
      </c>
      <c r="AC2192" s="58" t="str">
        <f t="shared" si="2032"/>
        <v>#NAME?</v>
      </c>
      <c r="AD2192" s="57">
        <f t="shared" si="906"/>
        <v>0</v>
      </c>
      <c r="AE2192" s="57" t="str">
        <f t="shared" si="907"/>
        <v/>
      </c>
      <c r="AF2192" s="57">
        <f t="shared" si="908"/>
        <v>0</v>
      </c>
      <c r="AG2192" s="59">
        <f t="shared" si="909"/>
        <v>0</v>
      </c>
      <c r="AH2192" s="15"/>
      <c r="AI2192" s="15"/>
      <c r="AJ2192" s="15"/>
      <c r="AK2192" s="15"/>
      <c r="AL2192" s="15"/>
      <c r="AM2192" s="15"/>
      <c r="AN2192" s="15"/>
      <c r="AO2192" s="15"/>
      <c r="AP2192" s="15"/>
      <c r="AQ2192" s="15"/>
      <c r="AR2192" s="15"/>
      <c r="AS2192" s="15"/>
      <c r="AT2192" s="15"/>
      <c r="AU2192" s="15"/>
    </row>
    <row r="2193" ht="24.0" customHeight="1">
      <c r="A2193" s="45">
        <v>3617.0</v>
      </c>
      <c r="B2193" s="57"/>
      <c r="C2193" s="57"/>
      <c r="D2193" s="88" t="str">
        <f t="array" ref="D2193">IFERROR(
  LOOKUP(2, 1/((TRIM(IMS!$E$8:$E$2574)=TRIM(IMS!$E2193))*(IMS!$C$8:$C$2574&lt;IMS!$C2193)),
         IMS!$C$8:$C$2574),
"")</f>
        <v/>
      </c>
      <c r="E2193" s="57"/>
      <c r="F2193" s="57"/>
      <c r="G2193" s="77" t="str">
        <f t="shared" si="901"/>
        <v/>
      </c>
      <c r="H2193" s="78" t="str">
        <f t="shared" si="902"/>
        <v/>
      </c>
      <c r="I2193" s="79"/>
      <c r="J2193" s="80" t="str">
        <f t="shared" si="903"/>
        <v>#NAME?</v>
      </c>
      <c r="K2193" s="58"/>
      <c r="L2193" s="58"/>
      <c r="M2193" s="57"/>
      <c r="N2193" s="57"/>
      <c r="O2193" s="58"/>
      <c r="P2193" s="82"/>
      <c r="Q2193" s="81"/>
      <c r="R2193" s="81"/>
      <c r="S2193" s="57"/>
      <c r="T2193" s="82"/>
      <c r="U2193" s="82"/>
      <c r="V2193" s="57"/>
      <c r="W2193" s="57"/>
      <c r="X2193" s="57" t="str">
        <f t="shared" si="917"/>
        <v/>
      </c>
      <c r="Y2193" s="58" t="str">
        <f t="shared" ref="Y2193:AC2193" si="2033">TRIM(SUBSTITUTE(SUBSTITUTE(OFFSET($Q2193,0,COLUMN()-COLUMN($AL$1)),CHAR(160)," "),_xludf.UNICHAR(8239)," "))</f>
        <v>#NAME?</v>
      </c>
      <c r="Z2193" s="58" t="str">
        <f t="shared" si="2033"/>
        <v>#NAME?</v>
      </c>
      <c r="AA2193" s="58" t="str">
        <f t="shared" si="2033"/>
        <v>#NAME?</v>
      </c>
      <c r="AB2193" s="58" t="str">
        <f t="shared" si="2033"/>
        <v>#NAME?</v>
      </c>
      <c r="AC2193" s="58" t="str">
        <f t="shared" si="2033"/>
        <v>#NAME?</v>
      </c>
      <c r="AD2193" s="57">
        <f t="shared" si="906"/>
        <v>0</v>
      </c>
      <c r="AE2193" s="57" t="str">
        <f t="shared" si="907"/>
        <v/>
      </c>
      <c r="AF2193" s="57">
        <f t="shared" si="908"/>
        <v>0</v>
      </c>
      <c r="AG2193" s="59">
        <f t="shared" si="909"/>
        <v>0</v>
      </c>
      <c r="AH2193" s="15"/>
      <c r="AI2193" s="15"/>
      <c r="AJ2193" s="15"/>
      <c r="AK2193" s="15"/>
      <c r="AL2193" s="15"/>
      <c r="AM2193" s="15"/>
      <c r="AN2193" s="15"/>
      <c r="AO2193" s="15"/>
      <c r="AP2193" s="15"/>
      <c r="AQ2193" s="15"/>
      <c r="AR2193" s="15"/>
      <c r="AS2193" s="15"/>
      <c r="AT2193" s="15"/>
      <c r="AU2193" s="15"/>
    </row>
    <row r="2194" ht="24.0" customHeight="1">
      <c r="A2194" s="45">
        <v>3618.0</v>
      </c>
      <c r="B2194" s="57"/>
      <c r="C2194" s="57"/>
      <c r="D2194" s="88" t="str">
        <f t="array" ref="D2194">IFERROR(
  LOOKUP(2, 1/((TRIM(IMS!$E$8:$E$2574)=TRIM(IMS!$E2194))*(IMS!$C$8:$C$2574&lt;IMS!$C2194)),
         IMS!$C$8:$C$2574),
"")</f>
        <v/>
      </c>
      <c r="E2194" s="57"/>
      <c r="F2194" s="57"/>
      <c r="G2194" s="77" t="str">
        <f t="shared" si="901"/>
        <v/>
      </c>
      <c r="H2194" s="78" t="str">
        <f t="shared" si="902"/>
        <v/>
      </c>
      <c r="I2194" s="79"/>
      <c r="J2194" s="80" t="str">
        <f t="shared" si="903"/>
        <v>#NAME?</v>
      </c>
      <c r="K2194" s="58"/>
      <c r="L2194" s="58"/>
      <c r="M2194" s="57"/>
      <c r="N2194" s="57"/>
      <c r="O2194" s="58"/>
      <c r="P2194" s="82"/>
      <c r="Q2194" s="81"/>
      <c r="R2194" s="81"/>
      <c r="S2194" s="57"/>
      <c r="T2194" s="82"/>
      <c r="U2194" s="82"/>
      <c r="V2194" s="57"/>
      <c r="W2194" s="57"/>
      <c r="X2194" s="57" t="str">
        <f t="shared" si="917"/>
        <v/>
      </c>
      <c r="Y2194" s="58" t="str">
        <f t="shared" ref="Y2194:AC2194" si="2034">TRIM(SUBSTITUTE(SUBSTITUTE(OFFSET($Q2194,0,COLUMN()-COLUMN($AL$1)),CHAR(160)," "),_xludf.UNICHAR(8239)," "))</f>
        <v>#NAME?</v>
      </c>
      <c r="Z2194" s="58" t="str">
        <f t="shared" si="2034"/>
        <v>#NAME?</v>
      </c>
      <c r="AA2194" s="58" t="str">
        <f t="shared" si="2034"/>
        <v>#NAME?</v>
      </c>
      <c r="AB2194" s="58" t="str">
        <f t="shared" si="2034"/>
        <v>#NAME?</v>
      </c>
      <c r="AC2194" s="58" t="str">
        <f t="shared" si="2034"/>
        <v>#NAME?</v>
      </c>
      <c r="AD2194" s="57">
        <f t="shared" si="906"/>
        <v>0</v>
      </c>
      <c r="AE2194" s="57" t="str">
        <f t="shared" si="907"/>
        <v/>
      </c>
      <c r="AF2194" s="57">
        <f t="shared" si="908"/>
        <v>0</v>
      </c>
      <c r="AG2194" s="59">
        <f t="shared" si="909"/>
        <v>0</v>
      </c>
      <c r="AH2194" s="15"/>
      <c r="AI2194" s="15"/>
      <c r="AJ2194" s="15"/>
      <c r="AK2194" s="15"/>
      <c r="AL2194" s="15"/>
      <c r="AM2194" s="15"/>
      <c r="AN2194" s="15"/>
      <c r="AO2194" s="15"/>
      <c r="AP2194" s="15"/>
      <c r="AQ2194" s="15"/>
      <c r="AR2194" s="15"/>
      <c r="AS2194" s="15"/>
      <c r="AT2194" s="15"/>
      <c r="AU2194" s="15"/>
    </row>
    <row r="2195" ht="24.0" customHeight="1">
      <c r="A2195" s="45">
        <v>3619.0</v>
      </c>
      <c r="B2195" s="57"/>
      <c r="C2195" s="57"/>
      <c r="D2195" s="88" t="str">
        <f t="array" ref="D2195">IFERROR(
  LOOKUP(2, 1/((TRIM(IMS!$E$8:$E$2574)=TRIM(IMS!$E2195))*(IMS!$C$8:$C$2574&lt;IMS!$C2195)),
         IMS!$C$8:$C$2574),
"")</f>
        <v/>
      </c>
      <c r="E2195" s="57"/>
      <c r="F2195" s="57"/>
      <c r="G2195" s="77" t="str">
        <f t="shared" si="901"/>
        <v/>
      </c>
      <c r="H2195" s="78" t="str">
        <f t="shared" si="902"/>
        <v/>
      </c>
      <c r="I2195" s="79"/>
      <c r="J2195" s="80" t="str">
        <f t="shared" si="903"/>
        <v>#NAME?</v>
      </c>
      <c r="K2195" s="58"/>
      <c r="L2195" s="58"/>
      <c r="M2195" s="57"/>
      <c r="N2195" s="57"/>
      <c r="O2195" s="58"/>
      <c r="P2195" s="82"/>
      <c r="Q2195" s="81"/>
      <c r="R2195" s="81"/>
      <c r="S2195" s="57"/>
      <c r="T2195" s="82"/>
      <c r="U2195" s="82"/>
      <c r="V2195" s="57"/>
      <c r="W2195" s="57"/>
      <c r="X2195" s="57" t="str">
        <f t="shared" si="917"/>
        <v/>
      </c>
      <c r="Y2195" s="58" t="str">
        <f t="shared" ref="Y2195:AC2195" si="2035">TRIM(SUBSTITUTE(SUBSTITUTE(OFFSET($Q2195,0,COLUMN()-COLUMN($AL$1)),CHAR(160)," "),_xludf.UNICHAR(8239)," "))</f>
        <v>#NAME?</v>
      </c>
      <c r="Z2195" s="58" t="str">
        <f t="shared" si="2035"/>
        <v>#NAME?</v>
      </c>
      <c r="AA2195" s="58" t="str">
        <f t="shared" si="2035"/>
        <v>#NAME?</v>
      </c>
      <c r="AB2195" s="58" t="str">
        <f t="shared" si="2035"/>
        <v>#NAME?</v>
      </c>
      <c r="AC2195" s="58" t="str">
        <f t="shared" si="2035"/>
        <v>#NAME?</v>
      </c>
      <c r="AD2195" s="57">
        <f t="shared" si="906"/>
        <v>0</v>
      </c>
      <c r="AE2195" s="57" t="str">
        <f t="shared" si="907"/>
        <v/>
      </c>
      <c r="AF2195" s="57">
        <f t="shared" si="908"/>
        <v>0</v>
      </c>
      <c r="AG2195" s="59">
        <f t="shared" si="909"/>
        <v>0</v>
      </c>
      <c r="AH2195" s="15"/>
      <c r="AI2195" s="15"/>
      <c r="AJ2195" s="15"/>
      <c r="AK2195" s="15"/>
      <c r="AL2195" s="15"/>
      <c r="AM2195" s="15"/>
      <c r="AN2195" s="15"/>
      <c r="AO2195" s="15"/>
      <c r="AP2195" s="15"/>
      <c r="AQ2195" s="15"/>
      <c r="AR2195" s="15"/>
      <c r="AS2195" s="15"/>
      <c r="AT2195" s="15"/>
      <c r="AU2195" s="15"/>
    </row>
    <row r="2196" ht="24.0" customHeight="1">
      <c r="A2196" s="45">
        <v>3620.0</v>
      </c>
      <c r="B2196" s="57"/>
      <c r="C2196" s="57"/>
      <c r="D2196" s="88" t="str">
        <f t="array" ref="D2196">IFERROR(
  LOOKUP(2, 1/((TRIM(IMS!$E$8:$E$2574)=TRIM(IMS!$E2196))*(IMS!$C$8:$C$2574&lt;IMS!$C2196)),
         IMS!$C$8:$C$2574),
"")</f>
        <v/>
      </c>
      <c r="E2196" s="57"/>
      <c r="F2196" s="57"/>
      <c r="G2196" s="77" t="str">
        <f t="shared" si="901"/>
        <v/>
      </c>
      <c r="H2196" s="78" t="str">
        <f t="shared" si="902"/>
        <v/>
      </c>
      <c r="I2196" s="79"/>
      <c r="J2196" s="80" t="str">
        <f t="shared" si="903"/>
        <v>#NAME?</v>
      </c>
      <c r="K2196" s="58"/>
      <c r="L2196" s="58"/>
      <c r="M2196" s="57"/>
      <c r="N2196" s="57"/>
      <c r="O2196" s="58"/>
      <c r="P2196" s="82"/>
      <c r="Q2196" s="81"/>
      <c r="R2196" s="81"/>
      <c r="S2196" s="57"/>
      <c r="T2196" s="82"/>
      <c r="U2196" s="82"/>
      <c r="V2196" s="57"/>
      <c r="W2196" s="57"/>
      <c r="X2196" s="57" t="str">
        <f t="shared" si="917"/>
        <v/>
      </c>
      <c r="Y2196" s="58" t="str">
        <f t="shared" ref="Y2196:AC2196" si="2036">TRIM(SUBSTITUTE(SUBSTITUTE(OFFSET($Q2196,0,COLUMN()-COLUMN($AL$1)),CHAR(160)," "),_xludf.UNICHAR(8239)," "))</f>
        <v>#NAME?</v>
      </c>
      <c r="Z2196" s="58" t="str">
        <f t="shared" si="2036"/>
        <v>#NAME?</v>
      </c>
      <c r="AA2196" s="58" t="str">
        <f t="shared" si="2036"/>
        <v>#NAME?</v>
      </c>
      <c r="AB2196" s="58" t="str">
        <f t="shared" si="2036"/>
        <v>#NAME?</v>
      </c>
      <c r="AC2196" s="58" t="str">
        <f t="shared" si="2036"/>
        <v>#NAME?</v>
      </c>
      <c r="AD2196" s="57">
        <f t="shared" si="906"/>
        <v>0</v>
      </c>
      <c r="AE2196" s="57" t="str">
        <f t="shared" si="907"/>
        <v/>
      </c>
      <c r="AF2196" s="57">
        <f t="shared" si="908"/>
        <v>0</v>
      </c>
      <c r="AG2196" s="59">
        <f t="shared" si="909"/>
        <v>0</v>
      </c>
      <c r="AH2196" s="15"/>
      <c r="AI2196" s="15"/>
      <c r="AJ2196" s="15"/>
      <c r="AK2196" s="15"/>
      <c r="AL2196" s="15"/>
      <c r="AM2196" s="15"/>
      <c r="AN2196" s="15"/>
      <c r="AO2196" s="15"/>
      <c r="AP2196" s="15"/>
      <c r="AQ2196" s="15"/>
      <c r="AR2196" s="15"/>
      <c r="AS2196" s="15"/>
      <c r="AT2196" s="15"/>
      <c r="AU2196" s="15"/>
    </row>
    <row r="2197" ht="24.0" customHeight="1">
      <c r="A2197" s="45">
        <v>3621.0</v>
      </c>
      <c r="B2197" s="57"/>
      <c r="C2197" s="57"/>
      <c r="D2197" s="88" t="str">
        <f t="array" ref="D2197">IFERROR(
  LOOKUP(2, 1/((TRIM(IMS!$E$8:$E$2574)=TRIM(IMS!$E2197))*(IMS!$C$8:$C$2574&lt;IMS!$C2197)),
         IMS!$C$8:$C$2574),
"")</f>
        <v/>
      </c>
      <c r="E2197" s="57"/>
      <c r="F2197" s="57"/>
      <c r="G2197" s="77" t="str">
        <f t="shared" si="901"/>
        <v/>
      </c>
      <c r="H2197" s="78" t="str">
        <f t="shared" si="902"/>
        <v/>
      </c>
      <c r="I2197" s="79"/>
      <c r="J2197" s="80" t="str">
        <f t="shared" si="903"/>
        <v>#NAME?</v>
      </c>
      <c r="K2197" s="58"/>
      <c r="L2197" s="58"/>
      <c r="M2197" s="57"/>
      <c r="N2197" s="57"/>
      <c r="O2197" s="58"/>
      <c r="P2197" s="82"/>
      <c r="Q2197" s="81"/>
      <c r="R2197" s="81"/>
      <c r="S2197" s="57"/>
      <c r="T2197" s="82"/>
      <c r="U2197" s="82"/>
      <c r="V2197" s="57"/>
      <c r="W2197" s="57"/>
      <c r="X2197" s="57" t="str">
        <f t="shared" si="917"/>
        <v/>
      </c>
      <c r="Y2197" s="58" t="str">
        <f t="shared" ref="Y2197:AC2197" si="2037">TRIM(SUBSTITUTE(SUBSTITUTE(OFFSET($Q2197,0,COLUMN()-COLUMN($AL$1)),CHAR(160)," "),_xludf.UNICHAR(8239)," "))</f>
        <v>#NAME?</v>
      </c>
      <c r="Z2197" s="58" t="str">
        <f t="shared" si="2037"/>
        <v>#NAME?</v>
      </c>
      <c r="AA2197" s="58" t="str">
        <f t="shared" si="2037"/>
        <v>#NAME?</v>
      </c>
      <c r="AB2197" s="58" t="str">
        <f t="shared" si="2037"/>
        <v>#NAME?</v>
      </c>
      <c r="AC2197" s="58" t="str">
        <f t="shared" si="2037"/>
        <v>#NAME?</v>
      </c>
      <c r="AD2197" s="57">
        <f t="shared" si="906"/>
        <v>0</v>
      </c>
      <c r="AE2197" s="57" t="str">
        <f t="shared" si="907"/>
        <v/>
      </c>
      <c r="AF2197" s="57">
        <f t="shared" si="908"/>
        <v>0</v>
      </c>
      <c r="AG2197" s="59">
        <f t="shared" si="909"/>
        <v>0</v>
      </c>
      <c r="AH2197" s="15"/>
      <c r="AI2197" s="15"/>
      <c r="AJ2197" s="15"/>
      <c r="AK2197" s="15"/>
      <c r="AL2197" s="15"/>
      <c r="AM2197" s="15"/>
      <c r="AN2197" s="15"/>
      <c r="AO2197" s="15"/>
      <c r="AP2197" s="15"/>
      <c r="AQ2197" s="15"/>
      <c r="AR2197" s="15"/>
      <c r="AS2197" s="15"/>
      <c r="AT2197" s="15"/>
      <c r="AU2197" s="15"/>
    </row>
    <row r="2198" ht="24.0" customHeight="1">
      <c r="A2198" s="45">
        <v>3622.0</v>
      </c>
      <c r="B2198" s="57"/>
      <c r="C2198" s="57"/>
      <c r="D2198" s="88" t="str">
        <f t="array" ref="D2198">IFERROR(
  LOOKUP(2, 1/((TRIM(IMS!$E$8:$E$2574)=TRIM(IMS!$E2198))*(IMS!$C$8:$C$2574&lt;IMS!$C2198)),
         IMS!$C$8:$C$2574),
"")</f>
        <v/>
      </c>
      <c r="E2198" s="57"/>
      <c r="F2198" s="57"/>
      <c r="G2198" s="77" t="str">
        <f t="shared" si="901"/>
        <v/>
      </c>
      <c r="H2198" s="78" t="str">
        <f t="shared" si="902"/>
        <v/>
      </c>
      <c r="I2198" s="79"/>
      <c r="J2198" s="80" t="str">
        <f t="shared" si="903"/>
        <v>#NAME?</v>
      </c>
      <c r="K2198" s="58"/>
      <c r="L2198" s="58"/>
      <c r="M2198" s="57"/>
      <c r="N2198" s="57"/>
      <c r="O2198" s="58"/>
      <c r="P2198" s="82"/>
      <c r="Q2198" s="81"/>
      <c r="R2198" s="81"/>
      <c r="S2198" s="57"/>
      <c r="T2198" s="82"/>
      <c r="U2198" s="82"/>
      <c r="V2198" s="57"/>
      <c r="W2198" s="57"/>
      <c r="X2198" s="57" t="str">
        <f t="shared" si="917"/>
        <v/>
      </c>
      <c r="Y2198" s="58" t="str">
        <f t="shared" ref="Y2198:AC2198" si="2038">TRIM(SUBSTITUTE(SUBSTITUTE(OFFSET($Q2198,0,COLUMN()-COLUMN($AL$1)),CHAR(160)," "),_xludf.UNICHAR(8239)," "))</f>
        <v>#NAME?</v>
      </c>
      <c r="Z2198" s="58" t="str">
        <f t="shared" si="2038"/>
        <v>#NAME?</v>
      </c>
      <c r="AA2198" s="58" t="str">
        <f t="shared" si="2038"/>
        <v>#NAME?</v>
      </c>
      <c r="AB2198" s="58" t="str">
        <f t="shared" si="2038"/>
        <v>#NAME?</v>
      </c>
      <c r="AC2198" s="58" t="str">
        <f t="shared" si="2038"/>
        <v>#NAME?</v>
      </c>
      <c r="AD2198" s="57">
        <f t="shared" si="906"/>
        <v>0</v>
      </c>
      <c r="AE2198" s="57" t="str">
        <f t="shared" si="907"/>
        <v/>
      </c>
      <c r="AF2198" s="57">
        <f t="shared" si="908"/>
        <v>0</v>
      </c>
      <c r="AG2198" s="59">
        <f t="shared" si="909"/>
        <v>0</v>
      </c>
      <c r="AH2198" s="15"/>
      <c r="AI2198" s="15"/>
      <c r="AJ2198" s="15"/>
      <c r="AK2198" s="15"/>
      <c r="AL2198" s="15"/>
      <c r="AM2198" s="15"/>
      <c r="AN2198" s="15"/>
      <c r="AO2198" s="15"/>
      <c r="AP2198" s="15"/>
      <c r="AQ2198" s="15"/>
      <c r="AR2198" s="15"/>
      <c r="AS2198" s="15"/>
      <c r="AT2198" s="15"/>
      <c r="AU2198" s="15"/>
    </row>
    <row r="2199" ht="24.0" customHeight="1">
      <c r="A2199" s="45">
        <v>3623.0</v>
      </c>
      <c r="B2199" s="57"/>
      <c r="C2199" s="57"/>
      <c r="D2199" s="88" t="str">
        <f t="array" ref="D2199">IFERROR(
  LOOKUP(2, 1/((TRIM(IMS!$E$8:$E$2574)=TRIM(IMS!$E2199))*(IMS!$C$8:$C$2574&lt;IMS!$C2199)),
         IMS!$C$8:$C$2574),
"")</f>
        <v/>
      </c>
      <c r="E2199" s="57"/>
      <c r="F2199" s="57"/>
      <c r="G2199" s="77" t="str">
        <f t="shared" si="901"/>
        <v/>
      </c>
      <c r="H2199" s="78" t="str">
        <f t="shared" si="902"/>
        <v/>
      </c>
      <c r="I2199" s="79"/>
      <c r="J2199" s="80" t="str">
        <f t="shared" si="903"/>
        <v>#NAME?</v>
      </c>
      <c r="K2199" s="58"/>
      <c r="L2199" s="58"/>
      <c r="M2199" s="57"/>
      <c r="N2199" s="57"/>
      <c r="O2199" s="58"/>
      <c r="P2199" s="82"/>
      <c r="Q2199" s="81"/>
      <c r="R2199" s="81"/>
      <c r="S2199" s="57"/>
      <c r="T2199" s="82"/>
      <c r="U2199" s="82"/>
      <c r="V2199" s="57"/>
      <c r="W2199" s="57"/>
      <c r="X2199" s="57" t="str">
        <f t="shared" si="917"/>
        <v/>
      </c>
      <c r="Y2199" s="58" t="str">
        <f t="shared" ref="Y2199:AC2199" si="2039">TRIM(SUBSTITUTE(SUBSTITUTE(OFFSET($Q2199,0,COLUMN()-COLUMN($AL$1)),CHAR(160)," "),_xludf.UNICHAR(8239)," "))</f>
        <v>#NAME?</v>
      </c>
      <c r="Z2199" s="58" t="str">
        <f t="shared" si="2039"/>
        <v>#NAME?</v>
      </c>
      <c r="AA2199" s="58" t="str">
        <f t="shared" si="2039"/>
        <v>#NAME?</v>
      </c>
      <c r="AB2199" s="58" t="str">
        <f t="shared" si="2039"/>
        <v>#NAME?</v>
      </c>
      <c r="AC2199" s="58" t="str">
        <f t="shared" si="2039"/>
        <v>#NAME?</v>
      </c>
      <c r="AD2199" s="57">
        <f t="shared" si="906"/>
        <v>0</v>
      </c>
      <c r="AE2199" s="57" t="str">
        <f t="shared" si="907"/>
        <v/>
      </c>
      <c r="AF2199" s="57">
        <f t="shared" si="908"/>
        <v>0</v>
      </c>
      <c r="AG2199" s="59">
        <f t="shared" si="909"/>
        <v>0</v>
      </c>
      <c r="AH2199" s="15"/>
      <c r="AI2199" s="15"/>
      <c r="AJ2199" s="15"/>
      <c r="AK2199" s="15"/>
      <c r="AL2199" s="15"/>
      <c r="AM2199" s="15"/>
      <c r="AN2199" s="15"/>
      <c r="AO2199" s="15"/>
      <c r="AP2199" s="15"/>
      <c r="AQ2199" s="15"/>
      <c r="AR2199" s="15"/>
      <c r="AS2199" s="15"/>
      <c r="AT2199" s="15"/>
      <c r="AU2199" s="15"/>
    </row>
    <row r="2200" ht="24.0" customHeight="1">
      <c r="A2200" s="45">
        <v>3624.0</v>
      </c>
      <c r="B2200" s="57"/>
      <c r="C2200" s="57"/>
      <c r="D2200" s="88" t="str">
        <f t="array" ref="D2200">IFERROR(
  LOOKUP(2, 1/((TRIM(IMS!$E$8:$E$2574)=TRIM(IMS!$E2200))*(IMS!$C$8:$C$2574&lt;IMS!$C2200)),
         IMS!$C$8:$C$2574),
"")</f>
        <v/>
      </c>
      <c r="E2200" s="57"/>
      <c r="F2200" s="57"/>
      <c r="G2200" s="77" t="str">
        <f t="shared" si="901"/>
        <v/>
      </c>
      <c r="H2200" s="78" t="str">
        <f t="shared" si="902"/>
        <v/>
      </c>
      <c r="I2200" s="79"/>
      <c r="J2200" s="80" t="str">
        <f t="shared" si="903"/>
        <v>#NAME?</v>
      </c>
      <c r="K2200" s="58"/>
      <c r="L2200" s="58"/>
      <c r="M2200" s="57"/>
      <c r="N2200" s="57"/>
      <c r="O2200" s="58"/>
      <c r="P2200" s="82"/>
      <c r="Q2200" s="81"/>
      <c r="R2200" s="81"/>
      <c r="S2200" s="57"/>
      <c r="T2200" s="82"/>
      <c r="U2200" s="82"/>
      <c r="V2200" s="57"/>
      <c r="W2200" s="57"/>
      <c r="X2200" s="57" t="str">
        <f t="shared" si="917"/>
        <v/>
      </c>
      <c r="Y2200" s="58" t="str">
        <f t="shared" ref="Y2200:AC2200" si="2040">TRIM(SUBSTITUTE(SUBSTITUTE(OFFSET($Q2200,0,COLUMN()-COLUMN($AL$1)),CHAR(160)," "),_xludf.UNICHAR(8239)," "))</f>
        <v>#NAME?</v>
      </c>
      <c r="Z2200" s="58" t="str">
        <f t="shared" si="2040"/>
        <v>#NAME?</v>
      </c>
      <c r="AA2200" s="58" t="str">
        <f t="shared" si="2040"/>
        <v>#NAME?</v>
      </c>
      <c r="AB2200" s="58" t="str">
        <f t="shared" si="2040"/>
        <v>#NAME?</v>
      </c>
      <c r="AC2200" s="58" t="str">
        <f t="shared" si="2040"/>
        <v>#NAME?</v>
      </c>
      <c r="AD2200" s="57">
        <f t="shared" si="906"/>
        <v>0</v>
      </c>
      <c r="AE2200" s="57" t="str">
        <f t="shared" si="907"/>
        <v/>
      </c>
      <c r="AF2200" s="57">
        <f t="shared" si="908"/>
        <v>0</v>
      </c>
      <c r="AG2200" s="59">
        <f t="shared" si="909"/>
        <v>0</v>
      </c>
      <c r="AH2200" s="15"/>
      <c r="AI2200" s="15"/>
      <c r="AJ2200" s="15"/>
      <c r="AK2200" s="15"/>
      <c r="AL2200" s="15"/>
      <c r="AM2200" s="15"/>
      <c r="AN2200" s="15"/>
      <c r="AO2200" s="15"/>
      <c r="AP2200" s="15"/>
      <c r="AQ2200" s="15"/>
      <c r="AR2200" s="15"/>
      <c r="AS2200" s="15"/>
      <c r="AT2200" s="15"/>
      <c r="AU2200" s="15"/>
    </row>
    <row r="2201" ht="24.0" customHeight="1">
      <c r="A2201" s="45">
        <v>3625.0</v>
      </c>
      <c r="B2201" s="57"/>
      <c r="C2201" s="57"/>
      <c r="D2201" s="88" t="str">
        <f t="array" ref="D2201">IFERROR(
  LOOKUP(2, 1/((TRIM(IMS!$E$8:$E$2574)=TRIM(IMS!$E2201))*(IMS!$C$8:$C$2574&lt;IMS!$C2201)),
         IMS!$C$8:$C$2574),
"")</f>
        <v/>
      </c>
      <c r="E2201" s="57"/>
      <c r="F2201" s="57"/>
      <c r="G2201" s="77" t="str">
        <f t="shared" si="901"/>
        <v/>
      </c>
      <c r="H2201" s="78" t="str">
        <f t="shared" si="902"/>
        <v/>
      </c>
      <c r="I2201" s="79"/>
      <c r="J2201" s="80" t="str">
        <f t="shared" si="903"/>
        <v>#NAME?</v>
      </c>
      <c r="K2201" s="58"/>
      <c r="L2201" s="58"/>
      <c r="M2201" s="57"/>
      <c r="N2201" s="57"/>
      <c r="O2201" s="58"/>
      <c r="P2201" s="82"/>
      <c r="Q2201" s="81"/>
      <c r="R2201" s="81"/>
      <c r="S2201" s="57"/>
      <c r="T2201" s="82"/>
      <c r="U2201" s="82"/>
      <c r="V2201" s="57"/>
      <c r="W2201" s="57"/>
      <c r="X2201" s="57" t="str">
        <f t="shared" si="917"/>
        <v/>
      </c>
      <c r="Y2201" s="58" t="str">
        <f t="shared" ref="Y2201:AC2201" si="2041">TRIM(SUBSTITUTE(SUBSTITUTE(OFFSET($Q2201,0,COLUMN()-COLUMN($AL$1)),CHAR(160)," "),_xludf.UNICHAR(8239)," "))</f>
        <v>#NAME?</v>
      </c>
      <c r="Z2201" s="58" t="str">
        <f t="shared" si="2041"/>
        <v>#NAME?</v>
      </c>
      <c r="AA2201" s="58" t="str">
        <f t="shared" si="2041"/>
        <v>#NAME?</v>
      </c>
      <c r="AB2201" s="58" t="str">
        <f t="shared" si="2041"/>
        <v>#NAME?</v>
      </c>
      <c r="AC2201" s="58" t="str">
        <f t="shared" si="2041"/>
        <v>#NAME?</v>
      </c>
      <c r="AD2201" s="57">
        <f t="shared" si="906"/>
        <v>0</v>
      </c>
      <c r="AE2201" s="57" t="str">
        <f t="shared" si="907"/>
        <v/>
      </c>
      <c r="AF2201" s="57">
        <f t="shared" si="908"/>
        <v>0</v>
      </c>
      <c r="AG2201" s="59">
        <f t="shared" si="909"/>
        <v>0</v>
      </c>
      <c r="AH2201" s="15"/>
      <c r="AI2201" s="15"/>
      <c r="AJ2201" s="15"/>
      <c r="AK2201" s="15"/>
      <c r="AL2201" s="15"/>
      <c r="AM2201" s="15"/>
      <c r="AN2201" s="15"/>
      <c r="AO2201" s="15"/>
      <c r="AP2201" s="15"/>
      <c r="AQ2201" s="15"/>
      <c r="AR2201" s="15"/>
      <c r="AS2201" s="15"/>
      <c r="AT2201" s="15"/>
      <c r="AU2201" s="15"/>
    </row>
    <row r="2202" ht="24.0" customHeight="1">
      <c r="A2202" s="45">
        <v>3626.0</v>
      </c>
      <c r="B2202" s="57"/>
      <c r="C2202" s="57"/>
      <c r="D2202" s="88" t="str">
        <f t="array" ref="D2202">IFERROR(
  LOOKUP(2, 1/((TRIM(IMS!$E$8:$E$2574)=TRIM(IMS!$E2202))*(IMS!$C$8:$C$2574&lt;IMS!$C2202)),
         IMS!$C$8:$C$2574),
"")</f>
        <v/>
      </c>
      <c r="E2202" s="57"/>
      <c r="F2202" s="57"/>
      <c r="G2202" s="77" t="str">
        <f t="shared" si="901"/>
        <v/>
      </c>
      <c r="H2202" s="78" t="str">
        <f t="shared" si="902"/>
        <v/>
      </c>
      <c r="I2202" s="79"/>
      <c r="J2202" s="80" t="str">
        <f t="shared" si="903"/>
        <v>#NAME?</v>
      </c>
      <c r="K2202" s="58"/>
      <c r="L2202" s="58"/>
      <c r="M2202" s="57"/>
      <c r="N2202" s="57"/>
      <c r="O2202" s="58"/>
      <c r="P2202" s="82"/>
      <c r="Q2202" s="81"/>
      <c r="R2202" s="81"/>
      <c r="S2202" s="57"/>
      <c r="T2202" s="82"/>
      <c r="U2202" s="82"/>
      <c r="V2202" s="57"/>
      <c r="W2202" s="57"/>
      <c r="X2202" s="57" t="str">
        <f t="shared" si="917"/>
        <v/>
      </c>
      <c r="Y2202" s="58" t="str">
        <f t="shared" ref="Y2202:AC2202" si="2042">TRIM(SUBSTITUTE(SUBSTITUTE(OFFSET($Q2202,0,COLUMN()-COLUMN($AL$1)),CHAR(160)," "),_xludf.UNICHAR(8239)," "))</f>
        <v>#NAME?</v>
      </c>
      <c r="Z2202" s="58" t="str">
        <f t="shared" si="2042"/>
        <v>#NAME?</v>
      </c>
      <c r="AA2202" s="58" t="str">
        <f t="shared" si="2042"/>
        <v>#NAME?</v>
      </c>
      <c r="AB2202" s="58" t="str">
        <f t="shared" si="2042"/>
        <v>#NAME?</v>
      </c>
      <c r="AC2202" s="58" t="str">
        <f t="shared" si="2042"/>
        <v>#NAME?</v>
      </c>
      <c r="AD2202" s="57">
        <f t="shared" si="906"/>
        <v>0</v>
      </c>
      <c r="AE2202" s="57" t="str">
        <f t="shared" si="907"/>
        <v/>
      </c>
      <c r="AF2202" s="57">
        <f t="shared" si="908"/>
        <v>0</v>
      </c>
      <c r="AG2202" s="59">
        <f t="shared" si="909"/>
        <v>0</v>
      </c>
      <c r="AH2202" s="15"/>
      <c r="AI2202" s="15"/>
      <c r="AJ2202" s="15"/>
      <c r="AK2202" s="15"/>
      <c r="AL2202" s="15"/>
      <c r="AM2202" s="15"/>
      <c r="AN2202" s="15"/>
      <c r="AO2202" s="15"/>
      <c r="AP2202" s="15"/>
      <c r="AQ2202" s="15"/>
      <c r="AR2202" s="15"/>
      <c r="AS2202" s="15"/>
      <c r="AT2202" s="15"/>
      <c r="AU2202" s="15"/>
    </row>
    <row r="2203" ht="24.0" customHeight="1">
      <c r="A2203" s="45">
        <v>3627.0</v>
      </c>
      <c r="B2203" s="57"/>
      <c r="C2203" s="57"/>
      <c r="D2203" s="88" t="str">
        <f t="array" ref="D2203">IFERROR(
  LOOKUP(2, 1/((TRIM(IMS!$E$8:$E$2574)=TRIM(IMS!$E2203))*(IMS!$C$8:$C$2574&lt;IMS!$C2203)),
         IMS!$C$8:$C$2574),
"")</f>
        <v/>
      </c>
      <c r="E2203" s="57"/>
      <c r="F2203" s="57"/>
      <c r="G2203" s="77" t="str">
        <f t="shared" si="901"/>
        <v/>
      </c>
      <c r="H2203" s="78" t="str">
        <f t="shared" si="902"/>
        <v/>
      </c>
      <c r="I2203" s="79"/>
      <c r="J2203" s="80" t="str">
        <f t="shared" si="903"/>
        <v>#NAME?</v>
      </c>
      <c r="K2203" s="58"/>
      <c r="L2203" s="58"/>
      <c r="M2203" s="57"/>
      <c r="N2203" s="57"/>
      <c r="O2203" s="58"/>
      <c r="P2203" s="82"/>
      <c r="Q2203" s="81"/>
      <c r="R2203" s="81"/>
      <c r="S2203" s="57"/>
      <c r="T2203" s="82"/>
      <c r="U2203" s="82"/>
      <c r="V2203" s="57"/>
      <c r="W2203" s="57"/>
      <c r="X2203" s="57" t="str">
        <f t="shared" si="917"/>
        <v/>
      </c>
      <c r="Y2203" s="58" t="str">
        <f t="shared" ref="Y2203:AC2203" si="2043">TRIM(SUBSTITUTE(SUBSTITUTE(OFFSET($Q2203,0,COLUMN()-COLUMN($AL$1)),CHAR(160)," "),_xludf.UNICHAR(8239)," "))</f>
        <v>#NAME?</v>
      </c>
      <c r="Z2203" s="58" t="str">
        <f t="shared" si="2043"/>
        <v>#NAME?</v>
      </c>
      <c r="AA2203" s="58" t="str">
        <f t="shared" si="2043"/>
        <v>#NAME?</v>
      </c>
      <c r="AB2203" s="58" t="str">
        <f t="shared" si="2043"/>
        <v>#NAME?</v>
      </c>
      <c r="AC2203" s="58" t="str">
        <f t="shared" si="2043"/>
        <v>#NAME?</v>
      </c>
      <c r="AD2203" s="57">
        <f t="shared" si="906"/>
        <v>0</v>
      </c>
      <c r="AE2203" s="57" t="str">
        <f t="shared" si="907"/>
        <v/>
      </c>
      <c r="AF2203" s="57">
        <f t="shared" si="908"/>
        <v>0</v>
      </c>
      <c r="AG2203" s="59">
        <f t="shared" si="909"/>
        <v>0</v>
      </c>
      <c r="AH2203" s="15"/>
      <c r="AI2203" s="15"/>
      <c r="AJ2203" s="15"/>
      <c r="AK2203" s="15"/>
      <c r="AL2203" s="15"/>
      <c r="AM2203" s="15"/>
      <c r="AN2203" s="15"/>
      <c r="AO2203" s="15"/>
      <c r="AP2203" s="15"/>
      <c r="AQ2203" s="15"/>
      <c r="AR2203" s="15"/>
      <c r="AS2203" s="15"/>
      <c r="AT2203" s="15"/>
      <c r="AU2203" s="15"/>
    </row>
    <row r="2204" ht="24.0" customHeight="1">
      <c r="A2204" s="45">
        <v>3628.0</v>
      </c>
      <c r="B2204" s="57"/>
      <c r="C2204" s="57"/>
      <c r="D2204" s="88" t="str">
        <f t="array" ref="D2204">IFERROR(
  LOOKUP(2, 1/((TRIM(IMS!$E$8:$E$2574)=TRIM(IMS!$E2204))*(IMS!$C$8:$C$2574&lt;IMS!$C2204)),
         IMS!$C$8:$C$2574),
"")</f>
        <v/>
      </c>
      <c r="E2204" s="57"/>
      <c r="F2204" s="57"/>
      <c r="G2204" s="77" t="str">
        <f t="shared" si="901"/>
        <v/>
      </c>
      <c r="H2204" s="78" t="str">
        <f t="shared" si="902"/>
        <v/>
      </c>
      <c r="I2204" s="79"/>
      <c r="J2204" s="80" t="str">
        <f t="shared" si="903"/>
        <v>#NAME?</v>
      </c>
      <c r="K2204" s="58"/>
      <c r="L2204" s="58"/>
      <c r="M2204" s="57"/>
      <c r="N2204" s="57"/>
      <c r="O2204" s="58"/>
      <c r="P2204" s="82"/>
      <c r="Q2204" s="81"/>
      <c r="R2204" s="81"/>
      <c r="S2204" s="57"/>
      <c r="T2204" s="82"/>
      <c r="U2204" s="82"/>
      <c r="V2204" s="57"/>
      <c r="W2204" s="57"/>
      <c r="X2204" s="57" t="str">
        <f t="shared" si="917"/>
        <v/>
      </c>
      <c r="Y2204" s="58" t="str">
        <f t="shared" ref="Y2204:AC2204" si="2044">TRIM(SUBSTITUTE(SUBSTITUTE(OFFSET($Q2204,0,COLUMN()-COLUMN($AL$1)),CHAR(160)," "),_xludf.UNICHAR(8239)," "))</f>
        <v>#NAME?</v>
      </c>
      <c r="Z2204" s="58" t="str">
        <f t="shared" si="2044"/>
        <v>#NAME?</v>
      </c>
      <c r="AA2204" s="58" t="str">
        <f t="shared" si="2044"/>
        <v>#NAME?</v>
      </c>
      <c r="AB2204" s="58" t="str">
        <f t="shared" si="2044"/>
        <v>#NAME?</v>
      </c>
      <c r="AC2204" s="58" t="str">
        <f t="shared" si="2044"/>
        <v>#NAME?</v>
      </c>
      <c r="AD2204" s="57">
        <f t="shared" si="906"/>
        <v>0</v>
      </c>
      <c r="AE2204" s="57" t="str">
        <f t="shared" si="907"/>
        <v/>
      </c>
      <c r="AF2204" s="57">
        <f t="shared" si="908"/>
        <v>0</v>
      </c>
      <c r="AG2204" s="59">
        <f t="shared" si="909"/>
        <v>0</v>
      </c>
      <c r="AH2204" s="15"/>
      <c r="AI2204" s="15"/>
      <c r="AJ2204" s="15"/>
      <c r="AK2204" s="15"/>
      <c r="AL2204" s="15"/>
      <c r="AM2204" s="15"/>
      <c r="AN2204" s="15"/>
      <c r="AO2204" s="15"/>
      <c r="AP2204" s="15"/>
      <c r="AQ2204" s="15"/>
      <c r="AR2204" s="15"/>
      <c r="AS2204" s="15"/>
      <c r="AT2204" s="15"/>
      <c r="AU2204" s="15"/>
    </row>
    <row r="2205" ht="24.0" customHeight="1">
      <c r="A2205" s="45">
        <v>3629.0</v>
      </c>
      <c r="B2205" s="57"/>
      <c r="C2205" s="57"/>
      <c r="D2205" s="88" t="str">
        <f t="array" ref="D2205">IFERROR(
  LOOKUP(2, 1/((TRIM(IMS!$E$8:$E$2574)=TRIM(IMS!$E2205))*(IMS!$C$8:$C$2574&lt;IMS!$C2205)),
         IMS!$C$8:$C$2574),
"")</f>
        <v/>
      </c>
      <c r="E2205" s="57"/>
      <c r="F2205" s="57"/>
      <c r="G2205" s="77" t="str">
        <f t="shared" si="901"/>
        <v/>
      </c>
      <c r="H2205" s="78" t="str">
        <f t="shared" si="902"/>
        <v/>
      </c>
      <c r="I2205" s="79"/>
      <c r="J2205" s="80" t="str">
        <f t="shared" si="903"/>
        <v>#NAME?</v>
      </c>
      <c r="K2205" s="58"/>
      <c r="L2205" s="58"/>
      <c r="M2205" s="57"/>
      <c r="N2205" s="57"/>
      <c r="O2205" s="58"/>
      <c r="P2205" s="82"/>
      <c r="Q2205" s="81"/>
      <c r="R2205" s="81"/>
      <c r="S2205" s="57"/>
      <c r="T2205" s="82"/>
      <c r="U2205" s="82"/>
      <c r="V2205" s="57"/>
      <c r="W2205" s="57"/>
      <c r="X2205" s="57" t="str">
        <f t="shared" si="917"/>
        <v/>
      </c>
      <c r="Y2205" s="58" t="str">
        <f t="shared" ref="Y2205:AC2205" si="2045">TRIM(SUBSTITUTE(SUBSTITUTE(OFFSET($Q2205,0,COLUMN()-COLUMN($AL$1)),CHAR(160)," "),_xludf.UNICHAR(8239)," "))</f>
        <v>#NAME?</v>
      </c>
      <c r="Z2205" s="58" t="str">
        <f t="shared" si="2045"/>
        <v>#NAME?</v>
      </c>
      <c r="AA2205" s="58" t="str">
        <f t="shared" si="2045"/>
        <v>#NAME?</v>
      </c>
      <c r="AB2205" s="58" t="str">
        <f t="shared" si="2045"/>
        <v>#NAME?</v>
      </c>
      <c r="AC2205" s="58" t="str">
        <f t="shared" si="2045"/>
        <v>#NAME?</v>
      </c>
      <c r="AD2205" s="57">
        <f t="shared" si="906"/>
        <v>0</v>
      </c>
      <c r="AE2205" s="57" t="str">
        <f t="shared" si="907"/>
        <v/>
      </c>
      <c r="AF2205" s="57">
        <f t="shared" si="908"/>
        <v>0</v>
      </c>
      <c r="AG2205" s="59">
        <f t="shared" si="909"/>
        <v>0</v>
      </c>
      <c r="AH2205" s="15"/>
      <c r="AI2205" s="15"/>
      <c r="AJ2205" s="15"/>
      <c r="AK2205" s="15"/>
      <c r="AL2205" s="15"/>
      <c r="AM2205" s="15"/>
      <c r="AN2205" s="15"/>
      <c r="AO2205" s="15"/>
      <c r="AP2205" s="15"/>
      <c r="AQ2205" s="15"/>
      <c r="AR2205" s="15"/>
      <c r="AS2205" s="15"/>
      <c r="AT2205" s="15"/>
      <c r="AU2205" s="15"/>
    </row>
    <row r="2206" ht="24.0" customHeight="1">
      <c r="A2206" s="45">
        <v>3630.0</v>
      </c>
      <c r="B2206" s="57"/>
      <c r="C2206" s="57"/>
      <c r="D2206" s="88" t="str">
        <f t="array" ref="D2206">IFERROR(
  LOOKUP(2, 1/((TRIM(IMS!$E$8:$E$2574)=TRIM(IMS!$E2206))*(IMS!$C$8:$C$2574&lt;IMS!$C2206)),
         IMS!$C$8:$C$2574),
"")</f>
        <v/>
      </c>
      <c r="E2206" s="57"/>
      <c r="F2206" s="57"/>
      <c r="G2206" s="77" t="str">
        <f t="shared" si="901"/>
        <v/>
      </c>
      <c r="H2206" s="78" t="str">
        <f t="shared" si="902"/>
        <v/>
      </c>
      <c r="I2206" s="79"/>
      <c r="J2206" s="80" t="str">
        <f t="shared" si="903"/>
        <v>#NAME?</v>
      </c>
      <c r="K2206" s="58"/>
      <c r="L2206" s="58"/>
      <c r="M2206" s="57"/>
      <c r="N2206" s="57"/>
      <c r="O2206" s="58"/>
      <c r="P2206" s="82"/>
      <c r="Q2206" s="81"/>
      <c r="R2206" s="81"/>
      <c r="S2206" s="57"/>
      <c r="T2206" s="82"/>
      <c r="U2206" s="82"/>
      <c r="V2206" s="57"/>
      <c r="W2206" s="57"/>
      <c r="X2206" s="57" t="str">
        <f t="shared" si="917"/>
        <v/>
      </c>
      <c r="Y2206" s="58" t="str">
        <f t="shared" ref="Y2206:AC2206" si="2046">TRIM(SUBSTITUTE(SUBSTITUTE(OFFSET($Q2206,0,COLUMN()-COLUMN($AL$1)),CHAR(160)," "),_xludf.UNICHAR(8239)," "))</f>
        <v>#NAME?</v>
      </c>
      <c r="Z2206" s="58" t="str">
        <f t="shared" si="2046"/>
        <v>#NAME?</v>
      </c>
      <c r="AA2206" s="58" t="str">
        <f t="shared" si="2046"/>
        <v>#NAME?</v>
      </c>
      <c r="AB2206" s="58" t="str">
        <f t="shared" si="2046"/>
        <v>#NAME?</v>
      </c>
      <c r="AC2206" s="58" t="str">
        <f t="shared" si="2046"/>
        <v>#NAME?</v>
      </c>
      <c r="AD2206" s="57">
        <f t="shared" si="906"/>
        <v>0</v>
      </c>
      <c r="AE2206" s="57" t="str">
        <f t="shared" si="907"/>
        <v/>
      </c>
      <c r="AF2206" s="57">
        <f t="shared" si="908"/>
        <v>0</v>
      </c>
      <c r="AG2206" s="59">
        <f t="shared" si="909"/>
        <v>0</v>
      </c>
      <c r="AH2206" s="15"/>
      <c r="AI2206" s="15"/>
      <c r="AJ2206" s="15"/>
      <c r="AK2206" s="15"/>
      <c r="AL2206" s="15"/>
      <c r="AM2206" s="15"/>
      <c r="AN2206" s="15"/>
      <c r="AO2206" s="15"/>
      <c r="AP2206" s="15"/>
      <c r="AQ2206" s="15"/>
      <c r="AR2206" s="15"/>
      <c r="AS2206" s="15"/>
      <c r="AT2206" s="15"/>
      <c r="AU2206" s="15"/>
    </row>
    <row r="2207" ht="24.0" customHeight="1">
      <c r="A2207" s="45">
        <v>3631.0</v>
      </c>
      <c r="B2207" s="57"/>
      <c r="C2207" s="57"/>
      <c r="D2207" s="88" t="str">
        <f t="array" ref="D2207">IFERROR(
  LOOKUP(2, 1/((TRIM(IMS!$E$8:$E$2574)=TRIM(IMS!$E2207))*(IMS!$C$8:$C$2574&lt;IMS!$C2207)),
         IMS!$C$8:$C$2574),
"")</f>
        <v/>
      </c>
      <c r="E2207" s="57"/>
      <c r="F2207" s="57"/>
      <c r="G2207" s="77" t="str">
        <f t="shared" si="901"/>
        <v/>
      </c>
      <c r="H2207" s="78" t="str">
        <f t="shared" si="902"/>
        <v/>
      </c>
      <c r="I2207" s="79"/>
      <c r="J2207" s="80" t="str">
        <f t="shared" si="903"/>
        <v>#NAME?</v>
      </c>
      <c r="K2207" s="58"/>
      <c r="L2207" s="58"/>
      <c r="M2207" s="57"/>
      <c r="N2207" s="57"/>
      <c r="O2207" s="58"/>
      <c r="P2207" s="82"/>
      <c r="Q2207" s="81"/>
      <c r="R2207" s="81"/>
      <c r="S2207" s="57"/>
      <c r="T2207" s="82"/>
      <c r="U2207" s="82"/>
      <c r="V2207" s="57"/>
      <c r="W2207" s="57"/>
      <c r="X2207" s="57" t="str">
        <f t="shared" si="917"/>
        <v/>
      </c>
      <c r="Y2207" s="58" t="str">
        <f t="shared" ref="Y2207:AC2207" si="2047">TRIM(SUBSTITUTE(SUBSTITUTE(OFFSET($Q2207,0,COLUMN()-COLUMN($AL$1)),CHAR(160)," "),_xludf.UNICHAR(8239)," "))</f>
        <v>#NAME?</v>
      </c>
      <c r="Z2207" s="58" t="str">
        <f t="shared" si="2047"/>
        <v>#NAME?</v>
      </c>
      <c r="AA2207" s="58" t="str">
        <f t="shared" si="2047"/>
        <v>#NAME?</v>
      </c>
      <c r="AB2207" s="58" t="str">
        <f t="shared" si="2047"/>
        <v>#NAME?</v>
      </c>
      <c r="AC2207" s="58" t="str">
        <f t="shared" si="2047"/>
        <v>#NAME?</v>
      </c>
      <c r="AD2207" s="57">
        <f t="shared" si="906"/>
        <v>0</v>
      </c>
      <c r="AE2207" s="57" t="str">
        <f t="shared" si="907"/>
        <v/>
      </c>
      <c r="AF2207" s="57">
        <f t="shared" si="908"/>
        <v>0</v>
      </c>
      <c r="AG2207" s="59">
        <f t="shared" si="909"/>
        <v>0</v>
      </c>
      <c r="AH2207" s="15"/>
      <c r="AI2207" s="15"/>
      <c r="AJ2207" s="15"/>
      <c r="AK2207" s="15"/>
      <c r="AL2207" s="15"/>
      <c r="AM2207" s="15"/>
      <c r="AN2207" s="15"/>
      <c r="AO2207" s="15"/>
      <c r="AP2207" s="15"/>
      <c r="AQ2207" s="15"/>
      <c r="AR2207" s="15"/>
      <c r="AS2207" s="15"/>
      <c r="AT2207" s="15"/>
      <c r="AU2207" s="15"/>
    </row>
    <row r="2208" ht="24.0" customHeight="1">
      <c r="A2208" s="45">
        <v>3632.0</v>
      </c>
      <c r="B2208" s="57"/>
      <c r="C2208" s="57"/>
      <c r="D2208" s="88" t="str">
        <f t="array" ref="D2208">IFERROR(
  LOOKUP(2, 1/((TRIM(IMS!$E$8:$E$2574)=TRIM(IMS!$E2208))*(IMS!$C$8:$C$2574&lt;IMS!$C2208)),
         IMS!$C$8:$C$2574),
"")</f>
        <v/>
      </c>
      <c r="E2208" s="57"/>
      <c r="F2208" s="57"/>
      <c r="G2208" s="77" t="str">
        <f t="shared" si="901"/>
        <v/>
      </c>
      <c r="H2208" s="78" t="str">
        <f t="shared" si="902"/>
        <v/>
      </c>
      <c r="I2208" s="79"/>
      <c r="J2208" s="80" t="str">
        <f t="shared" si="903"/>
        <v>#NAME?</v>
      </c>
      <c r="K2208" s="58"/>
      <c r="L2208" s="58"/>
      <c r="M2208" s="57"/>
      <c r="N2208" s="57"/>
      <c r="O2208" s="58"/>
      <c r="P2208" s="82"/>
      <c r="Q2208" s="81"/>
      <c r="R2208" s="81"/>
      <c r="S2208" s="57"/>
      <c r="T2208" s="82"/>
      <c r="U2208" s="82"/>
      <c r="V2208" s="57"/>
      <c r="W2208" s="57"/>
      <c r="X2208" s="57" t="str">
        <f t="shared" si="917"/>
        <v/>
      </c>
      <c r="Y2208" s="58" t="str">
        <f t="shared" ref="Y2208:AC2208" si="2048">TRIM(SUBSTITUTE(SUBSTITUTE(OFFSET($Q2208,0,COLUMN()-COLUMN($AL$1)),CHAR(160)," "),_xludf.UNICHAR(8239)," "))</f>
        <v>#NAME?</v>
      </c>
      <c r="Z2208" s="58" t="str">
        <f t="shared" si="2048"/>
        <v>#NAME?</v>
      </c>
      <c r="AA2208" s="58" t="str">
        <f t="shared" si="2048"/>
        <v>#NAME?</v>
      </c>
      <c r="AB2208" s="58" t="str">
        <f t="shared" si="2048"/>
        <v>#NAME?</v>
      </c>
      <c r="AC2208" s="58" t="str">
        <f t="shared" si="2048"/>
        <v>#NAME?</v>
      </c>
      <c r="AD2208" s="57">
        <f t="shared" si="906"/>
        <v>0</v>
      </c>
      <c r="AE2208" s="57" t="str">
        <f t="shared" si="907"/>
        <v/>
      </c>
      <c r="AF2208" s="57">
        <f t="shared" si="908"/>
        <v>0</v>
      </c>
      <c r="AG2208" s="59">
        <f t="shared" si="909"/>
        <v>0</v>
      </c>
      <c r="AH2208" s="15"/>
      <c r="AI2208" s="15"/>
      <c r="AJ2208" s="15"/>
      <c r="AK2208" s="15"/>
      <c r="AL2208" s="15"/>
      <c r="AM2208" s="15"/>
      <c r="AN2208" s="15"/>
      <c r="AO2208" s="15"/>
      <c r="AP2208" s="15"/>
      <c r="AQ2208" s="15"/>
      <c r="AR2208" s="15"/>
      <c r="AS2208" s="15"/>
      <c r="AT2208" s="15"/>
      <c r="AU2208" s="15"/>
    </row>
    <row r="2209" ht="24.0" customHeight="1">
      <c r="A2209" s="45">
        <v>3633.0</v>
      </c>
      <c r="B2209" s="57"/>
      <c r="C2209" s="57"/>
      <c r="D2209" s="88" t="str">
        <f t="array" ref="D2209">IFERROR(
  LOOKUP(2, 1/((TRIM(IMS!$E$8:$E$2574)=TRIM(IMS!$E2209))*(IMS!$C$8:$C$2574&lt;IMS!$C2209)),
         IMS!$C$8:$C$2574),
"")</f>
        <v/>
      </c>
      <c r="E2209" s="57"/>
      <c r="F2209" s="57"/>
      <c r="G2209" s="77" t="str">
        <f t="shared" si="901"/>
        <v/>
      </c>
      <c r="H2209" s="78" t="str">
        <f t="shared" si="902"/>
        <v/>
      </c>
      <c r="I2209" s="79"/>
      <c r="J2209" s="80" t="str">
        <f t="shared" si="903"/>
        <v>#NAME?</v>
      </c>
      <c r="K2209" s="58"/>
      <c r="L2209" s="58"/>
      <c r="M2209" s="57"/>
      <c r="N2209" s="57"/>
      <c r="O2209" s="58"/>
      <c r="P2209" s="82"/>
      <c r="Q2209" s="81"/>
      <c r="R2209" s="81"/>
      <c r="S2209" s="57"/>
      <c r="T2209" s="82"/>
      <c r="U2209" s="82"/>
      <c r="V2209" s="57"/>
      <c r="W2209" s="57"/>
      <c r="X2209" s="57" t="str">
        <f t="shared" si="917"/>
        <v/>
      </c>
      <c r="Y2209" s="58" t="str">
        <f t="shared" ref="Y2209:AC2209" si="2049">TRIM(SUBSTITUTE(SUBSTITUTE(OFFSET($Q2209,0,COLUMN()-COLUMN($AL$1)),CHAR(160)," "),_xludf.UNICHAR(8239)," "))</f>
        <v>#NAME?</v>
      </c>
      <c r="Z2209" s="58" t="str">
        <f t="shared" si="2049"/>
        <v>#NAME?</v>
      </c>
      <c r="AA2209" s="58" t="str">
        <f t="shared" si="2049"/>
        <v>#NAME?</v>
      </c>
      <c r="AB2209" s="58" t="str">
        <f t="shared" si="2049"/>
        <v>#NAME?</v>
      </c>
      <c r="AC2209" s="58" t="str">
        <f t="shared" si="2049"/>
        <v>#NAME?</v>
      </c>
      <c r="AD2209" s="57">
        <f t="shared" si="906"/>
        <v>0</v>
      </c>
      <c r="AE2209" s="57" t="str">
        <f t="shared" si="907"/>
        <v/>
      </c>
      <c r="AF2209" s="57">
        <f t="shared" si="908"/>
        <v>0</v>
      </c>
      <c r="AG2209" s="59">
        <f t="shared" si="909"/>
        <v>0</v>
      </c>
      <c r="AH2209" s="15"/>
      <c r="AI2209" s="15"/>
      <c r="AJ2209" s="15"/>
      <c r="AK2209" s="15"/>
      <c r="AL2209" s="15"/>
      <c r="AM2209" s="15"/>
      <c r="AN2209" s="15"/>
      <c r="AO2209" s="15"/>
      <c r="AP2209" s="15"/>
      <c r="AQ2209" s="15"/>
      <c r="AR2209" s="15"/>
      <c r="AS2209" s="15"/>
      <c r="AT2209" s="15"/>
      <c r="AU2209" s="15"/>
    </row>
    <row r="2210" ht="24.0" customHeight="1">
      <c r="A2210" s="45">
        <v>3634.0</v>
      </c>
      <c r="B2210" s="57"/>
      <c r="C2210" s="57"/>
      <c r="D2210" s="88" t="str">
        <f t="array" ref="D2210">IFERROR(
  LOOKUP(2, 1/((TRIM(IMS!$E$8:$E$2574)=TRIM(IMS!$E2210))*(IMS!$C$8:$C$2574&lt;IMS!$C2210)),
         IMS!$C$8:$C$2574),
"")</f>
        <v/>
      </c>
      <c r="E2210" s="57"/>
      <c r="F2210" s="57"/>
      <c r="G2210" s="77" t="str">
        <f t="shared" si="901"/>
        <v/>
      </c>
      <c r="H2210" s="78" t="str">
        <f t="shared" si="902"/>
        <v/>
      </c>
      <c r="I2210" s="79"/>
      <c r="J2210" s="80" t="str">
        <f t="shared" si="903"/>
        <v>#NAME?</v>
      </c>
      <c r="K2210" s="58"/>
      <c r="L2210" s="58"/>
      <c r="M2210" s="57"/>
      <c r="N2210" s="57"/>
      <c r="O2210" s="58"/>
      <c r="P2210" s="82"/>
      <c r="Q2210" s="81"/>
      <c r="R2210" s="81"/>
      <c r="S2210" s="57"/>
      <c r="T2210" s="82"/>
      <c r="U2210" s="82"/>
      <c r="V2210" s="57"/>
      <c r="W2210" s="57"/>
      <c r="X2210" s="57" t="str">
        <f t="shared" si="917"/>
        <v/>
      </c>
      <c r="Y2210" s="58" t="str">
        <f t="shared" ref="Y2210:AC2210" si="2050">TRIM(SUBSTITUTE(SUBSTITUTE(OFFSET($Q2210,0,COLUMN()-COLUMN($AL$1)),CHAR(160)," "),_xludf.UNICHAR(8239)," "))</f>
        <v>#NAME?</v>
      </c>
      <c r="Z2210" s="58" t="str">
        <f t="shared" si="2050"/>
        <v>#NAME?</v>
      </c>
      <c r="AA2210" s="58" t="str">
        <f t="shared" si="2050"/>
        <v>#NAME?</v>
      </c>
      <c r="AB2210" s="58" t="str">
        <f t="shared" si="2050"/>
        <v>#NAME?</v>
      </c>
      <c r="AC2210" s="58" t="str">
        <f t="shared" si="2050"/>
        <v>#NAME?</v>
      </c>
      <c r="AD2210" s="57">
        <f t="shared" si="906"/>
        <v>0</v>
      </c>
      <c r="AE2210" s="57" t="str">
        <f t="shared" si="907"/>
        <v/>
      </c>
      <c r="AF2210" s="57">
        <f t="shared" si="908"/>
        <v>0</v>
      </c>
      <c r="AG2210" s="59">
        <f t="shared" si="909"/>
        <v>0</v>
      </c>
      <c r="AH2210" s="15"/>
      <c r="AI2210" s="15"/>
      <c r="AJ2210" s="15"/>
      <c r="AK2210" s="15"/>
      <c r="AL2210" s="15"/>
      <c r="AM2210" s="15"/>
      <c r="AN2210" s="15"/>
      <c r="AO2210" s="15"/>
      <c r="AP2210" s="15"/>
      <c r="AQ2210" s="15"/>
      <c r="AR2210" s="15"/>
      <c r="AS2210" s="15"/>
      <c r="AT2210" s="15"/>
      <c r="AU2210" s="15"/>
    </row>
    <row r="2211" ht="24.0" customHeight="1">
      <c r="A2211" s="45">
        <v>3635.0</v>
      </c>
      <c r="B2211" s="57"/>
      <c r="C2211" s="57"/>
      <c r="D2211" s="88" t="str">
        <f t="array" ref="D2211">IFERROR(
  LOOKUP(2, 1/((TRIM(IMS!$E$8:$E$2574)=TRIM(IMS!$E2211))*(IMS!$C$8:$C$2574&lt;IMS!$C2211)),
         IMS!$C$8:$C$2574),
"")</f>
        <v/>
      </c>
      <c r="E2211" s="57"/>
      <c r="F2211" s="57"/>
      <c r="G2211" s="77" t="str">
        <f t="shared" si="901"/>
        <v/>
      </c>
      <c r="H2211" s="78" t="str">
        <f t="shared" si="902"/>
        <v/>
      </c>
      <c r="I2211" s="79"/>
      <c r="J2211" s="80" t="str">
        <f t="shared" si="903"/>
        <v>#NAME?</v>
      </c>
      <c r="K2211" s="58"/>
      <c r="L2211" s="58"/>
      <c r="M2211" s="57"/>
      <c r="N2211" s="57"/>
      <c r="O2211" s="58"/>
      <c r="P2211" s="82"/>
      <c r="Q2211" s="81"/>
      <c r="R2211" s="81"/>
      <c r="S2211" s="57"/>
      <c r="T2211" s="82"/>
      <c r="U2211" s="82"/>
      <c r="V2211" s="57"/>
      <c r="W2211" s="57"/>
      <c r="X2211" s="57" t="str">
        <f t="shared" si="917"/>
        <v/>
      </c>
      <c r="Y2211" s="58" t="str">
        <f t="shared" ref="Y2211:AC2211" si="2051">TRIM(SUBSTITUTE(SUBSTITUTE(OFFSET($Q2211,0,COLUMN()-COLUMN($AL$1)),CHAR(160)," "),_xludf.UNICHAR(8239)," "))</f>
        <v>#NAME?</v>
      </c>
      <c r="Z2211" s="58" t="str">
        <f t="shared" si="2051"/>
        <v>#NAME?</v>
      </c>
      <c r="AA2211" s="58" t="str">
        <f t="shared" si="2051"/>
        <v>#NAME?</v>
      </c>
      <c r="AB2211" s="58" t="str">
        <f t="shared" si="2051"/>
        <v>#NAME?</v>
      </c>
      <c r="AC2211" s="58" t="str">
        <f t="shared" si="2051"/>
        <v>#NAME?</v>
      </c>
      <c r="AD2211" s="57">
        <f t="shared" si="906"/>
        <v>0</v>
      </c>
      <c r="AE2211" s="57" t="str">
        <f t="shared" si="907"/>
        <v/>
      </c>
      <c r="AF2211" s="57">
        <f t="shared" si="908"/>
        <v>0</v>
      </c>
      <c r="AG2211" s="59">
        <f t="shared" si="909"/>
        <v>0</v>
      </c>
      <c r="AH2211" s="15"/>
      <c r="AI2211" s="15"/>
      <c r="AJ2211" s="15"/>
      <c r="AK2211" s="15"/>
      <c r="AL2211" s="15"/>
      <c r="AM2211" s="15"/>
      <c r="AN2211" s="15"/>
      <c r="AO2211" s="15"/>
      <c r="AP2211" s="15"/>
      <c r="AQ2211" s="15"/>
      <c r="AR2211" s="15"/>
      <c r="AS2211" s="15"/>
      <c r="AT2211" s="15"/>
      <c r="AU2211" s="15"/>
    </row>
    <row r="2212" ht="24.0" customHeight="1">
      <c r="A2212" s="45">
        <v>3636.0</v>
      </c>
      <c r="B2212" s="57"/>
      <c r="C2212" s="57"/>
      <c r="D2212" s="88" t="str">
        <f t="array" ref="D2212">IFERROR(
  LOOKUP(2, 1/((TRIM(IMS!$E$8:$E$2574)=TRIM(IMS!$E2212))*(IMS!$C$8:$C$2574&lt;IMS!$C2212)),
         IMS!$C$8:$C$2574),
"")</f>
        <v/>
      </c>
      <c r="E2212" s="57"/>
      <c r="F2212" s="57"/>
      <c r="G2212" s="77" t="str">
        <f t="shared" si="901"/>
        <v/>
      </c>
      <c r="H2212" s="78" t="str">
        <f t="shared" si="902"/>
        <v/>
      </c>
      <c r="I2212" s="79"/>
      <c r="J2212" s="80" t="str">
        <f t="shared" si="903"/>
        <v>#NAME?</v>
      </c>
      <c r="K2212" s="58"/>
      <c r="L2212" s="58"/>
      <c r="M2212" s="57"/>
      <c r="N2212" s="57"/>
      <c r="O2212" s="58"/>
      <c r="P2212" s="82"/>
      <c r="Q2212" s="81"/>
      <c r="R2212" s="81"/>
      <c r="S2212" s="57"/>
      <c r="T2212" s="82"/>
      <c r="U2212" s="82"/>
      <c r="V2212" s="57"/>
      <c r="W2212" s="57"/>
      <c r="X2212" s="57" t="str">
        <f t="shared" si="917"/>
        <v/>
      </c>
      <c r="Y2212" s="58" t="str">
        <f t="shared" ref="Y2212:AC2212" si="2052">TRIM(SUBSTITUTE(SUBSTITUTE(OFFSET($Q2212,0,COLUMN()-COLUMN($AL$1)),CHAR(160)," "),_xludf.UNICHAR(8239)," "))</f>
        <v>#NAME?</v>
      </c>
      <c r="Z2212" s="58" t="str">
        <f t="shared" si="2052"/>
        <v>#NAME?</v>
      </c>
      <c r="AA2212" s="58" t="str">
        <f t="shared" si="2052"/>
        <v>#NAME?</v>
      </c>
      <c r="AB2212" s="58" t="str">
        <f t="shared" si="2052"/>
        <v>#NAME?</v>
      </c>
      <c r="AC2212" s="58" t="str">
        <f t="shared" si="2052"/>
        <v>#NAME?</v>
      </c>
      <c r="AD2212" s="57">
        <f t="shared" si="906"/>
        <v>0</v>
      </c>
      <c r="AE2212" s="57" t="str">
        <f t="shared" si="907"/>
        <v/>
      </c>
      <c r="AF2212" s="57">
        <f t="shared" si="908"/>
        <v>0</v>
      </c>
      <c r="AG2212" s="59">
        <f t="shared" si="909"/>
        <v>0</v>
      </c>
      <c r="AH2212" s="15"/>
      <c r="AI2212" s="15"/>
      <c r="AJ2212" s="15"/>
      <c r="AK2212" s="15"/>
      <c r="AL2212" s="15"/>
      <c r="AM2212" s="15"/>
      <c r="AN2212" s="15"/>
      <c r="AO2212" s="15"/>
      <c r="AP2212" s="15"/>
      <c r="AQ2212" s="15"/>
      <c r="AR2212" s="15"/>
      <c r="AS2212" s="15"/>
      <c r="AT2212" s="15"/>
      <c r="AU2212" s="15"/>
    </row>
    <row r="2213" ht="24.0" customHeight="1">
      <c r="A2213" s="45">
        <v>3637.0</v>
      </c>
      <c r="B2213" s="57"/>
      <c r="C2213" s="57"/>
      <c r="D2213" s="88" t="str">
        <f t="array" ref="D2213">IFERROR(
  LOOKUP(2, 1/((TRIM(IMS!$E$8:$E$2574)=TRIM(IMS!$E2213))*(IMS!$C$8:$C$2574&lt;IMS!$C2213)),
         IMS!$C$8:$C$2574),
"")</f>
        <v/>
      </c>
      <c r="E2213" s="57"/>
      <c r="F2213" s="57"/>
      <c r="G2213" s="77" t="str">
        <f t="shared" si="901"/>
        <v/>
      </c>
      <c r="H2213" s="78" t="str">
        <f t="shared" si="902"/>
        <v/>
      </c>
      <c r="I2213" s="79"/>
      <c r="J2213" s="80" t="str">
        <f t="shared" si="903"/>
        <v>#NAME?</v>
      </c>
      <c r="K2213" s="58"/>
      <c r="L2213" s="58"/>
      <c r="M2213" s="57"/>
      <c r="N2213" s="57"/>
      <c r="O2213" s="58"/>
      <c r="P2213" s="82"/>
      <c r="Q2213" s="81"/>
      <c r="R2213" s="81"/>
      <c r="S2213" s="57"/>
      <c r="T2213" s="82"/>
      <c r="U2213" s="82"/>
      <c r="V2213" s="57"/>
      <c r="W2213" s="57"/>
      <c r="X2213" s="57" t="str">
        <f t="shared" si="917"/>
        <v/>
      </c>
      <c r="Y2213" s="58" t="str">
        <f t="shared" ref="Y2213:AC2213" si="2053">TRIM(SUBSTITUTE(SUBSTITUTE(OFFSET($Q2213,0,COLUMN()-COLUMN($AL$1)),CHAR(160)," "),_xludf.UNICHAR(8239)," "))</f>
        <v>#NAME?</v>
      </c>
      <c r="Z2213" s="58" t="str">
        <f t="shared" si="2053"/>
        <v>#NAME?</v>
      </c>
      <c r="AA2213" s="58" t="str">
        <f t="shared" si="2053"/>
        <v>#NAME?</v>
      </c>
      <c r="AB2213" s="58" t="str">
        <f t="shared" si="2053"/>
        <v>#NAME?</v>
      </c>
      <c r="AC2213" s="58" t="str">
        <f t="shared" si="2053"/>
        <v>#NAME?</v>
      </c>
      <c r="AD2213" s="57">
        <f t="shared" si="906"/>
        <v>0</v>
      </c>
      <c r="AE2213" s="57" t="str">
        <f t="shared" si="907"/>
        <v/>
      </c>
      <c r="AF2213" s="57">
        <f t="shared" si="908"/>
        <v>0</v>
      </c>
      <c r="AG2213" s="59">
        <f t="shared" si="909"/>
        <v>0</v>
      </c>
      <c r="AH2213" s="15"/>
      <c r="AI2213" s="15"/>
      <c r="AJ2213" s="15"/>
      <c r="AK2213" s="15"/>
      <c r="AL2213" s="15"/>
      <c r="AM2213" s="15"/>
      <c r="AN2213" s="15"/>
      <c r="AO2213" s="15"/>
      <c r="AP2213" s="15"/>
      <c r="AQ2213" s="15"/>
      <c r="AR2213" s="15"/>
      <c r="AS2213" s="15"/>
      <c r="AT2213" s="15"/>
      <c r="AU2213" s="15"/>
    </row>
    <row r="2214" ht="24.0" customHeight="1">
      <c r="A2214" s="45">
        <v>3638.0</v>
      </c>
      <c r="B2214" s="57"/>
      <c r="C2214" s="57"/>
      <c r="D2214" s="88" t="str">
        <f t="array" ref="D2214">IFERROR(
  LOOKUP(2, 1/((TRIM(IMS!$E$8:$E$2574)=TRIM(IMS!$E2214))*(IMS!$C$8:$C$2574&lt;IMS!$C2214)),
         IMS!$C$8:$C$2574),
"")</f>
        <v/>
      </c>
      <c r="E2214" s="57"/>
      <c r="F2214" s="57"/>
      <c r="G2214" s="77" t="str">
        <f t="shared" si="901"/>
        <v/>
      </c>
      <c r="H2214" s="78" t="str">
        <f t="shared" si="902"/>
        <v/>
      </c>
      <c r="I2214" s="79"/>
      <c r="J2214" s="80" t="str">
        <f t="shared" si="903"/>
        <v>#NAME?</v>
      </c>
      <c r="K2214" s="58"/>
      <c r="L2214" s="58"/>
      <c r="M2214" s="57"/>
      <c r="N2214" s="57"/>
      <c r="O2214" s="58"/>
      <c r="P2214" s="82"/>
      <c r="Q2214" s="81"/>
      <c r="R2214" s="81"/>
      <c r="S2214" s="57"/>
      <c r="T2214" s="82"/>
      <c r="U2214" s="82"/>
      <c r="V2214" s="57"/>
      <c r="W2214" s="57"/>
      <c r="X2214" s="57" t="str">
        <f t="shared" si="917"/>
        <v/>
      </c>
      <c r="Y2214" s="58" t="str">
        <f t="shared" ref="Y2214:AC2214" si="2054">TRIM(SUBSTITUTE(SUBSTITUTE(OFFSET($Q2214,0,COLUMN()-COLUMN($AL$1)),CHAR(160)," "),_xludf.UNICHAR(8239)," "))</f>
        <v>#NAME?</v>
      </c>
      <c r="Z2214" s="58" t="str">
        <f t="shared" si="2054"/>
        <v>#NAME?</v>
      </c>
      <c r="AA2214" s="58" t="str">
        <f t="shared" si="2054"/>
        <v>#NAME?</v>
      </c>
      <c r="AB2214" s="58" t="str">
        <f t="shared" si="2054"/>
        <v>#NAME?</v>
      </c>
      <c r="AC2214" s="58" t="str">
        <f t="shared" si="2054"/>
        <v>#NAME?</v>
      </c>
      <c r="AD2214" s="57">
        <f t="shared" si="906"/>
        <v>0</v>
      </c>
      <c r="AE2214" s="57" t="str">
        <f t="shared" si="907"/>
        <v/>
      </c>
      <c r="AF2214" s="57">
        <f t="shared" si="908"/>
        <v>0</v>
      </c>
      <c r="AG2214" s="59">
        <f t="shared" si="909"/>
        <v>0</v>
      </c>
      <c r="AH2214" s="15"/>
      <c r="AI2214" s="15"/>
      <c r="AJ2214" s="15"/>
      <c r="AK2214" s="15"/>
      <c r="AL2214" s="15"/>
      <c r="AM2214" s="15"/>
      <c r="AN2214" s="15"/>
      <c r="AO2214" s="15"/>
      <c r="AP2214" s="15"/>
      <c r="AQ2214" s="15"/>
      <c r="AR2214" s="15"/>
      <c r="AS2214" s="15"/>
      <c r="AT2214" s="15"/>
      <c r="AU2214" s="15"/>
    </row>
    <row r="2215" ht="24.0" customHeight="1">
      <c r="A2215" s="45">
        <v>3639.0</v>
      </c>
      <c r="B2215" s="57"/>
      <c r="C2215" s="57"/>
      <c r="D2215" s="88" t="str">
        <f t="array" ref="D2215">IFERROR(
  LOOKUP(2, 1/((TRIM(IMS!$E$8:$E$2574)=TRIM(IMS!$E2215))*(IMS!$C$8:$C$2574&lt;IMS!$C2215)),
         IMS!$C$8:$C$2574),
"")</f>
        <v/>
      </c>
      <c r="E2215" s="57"/>
      <c r="F2215" s="57"/>
      <c r="G2215" s="77" t="str">
        <f t="shared" si="901"/>
        <v/>
      </c>
      <c r="H2215" s="78" t="str">
        <f t="shared" si="902"/>
        <v/>
      </c>
      <c r="I2215" s="79"/>
      <c r="J2215" s="80" t="str">
        <f t="shared" si="903"/>
        <v>#NAME?</v>
      </c>
      <c r="K2215" s="58"/>
      <c r="L2215" s="58"/>
      <c r="M2215" s="57"/>
      <c r="N2215" s="57"/>
      <c r="O2215" s="58"/>
      <c r="P2215" s="82"/>
      <c r="Q2215" s="81"/>
      <c r="R2215" s="81"/>
      <c r="S2215" s="57"/>
      <c r="T2215" s="82"/>
      <c r="U2215" s="82"/>
      <c r="V2215" s="57"/>
      <c r="W2215" s="57"/>
      <c r="X2215" s="57" t="str">
        <f t="shared" si="917"/>
        <v/>
      </c>
      <c r="Y2215" s="58" t="str">
        <f t="shared" ref="Y2215:AC2215" si="2055">TRIM(SUBSTITUTE(SUBSTITUTE(OFFSET($Q2215,0,COLUMN()-COLUMN($AL$1)),CHAR(160)," "),_xludf.UNICHAR(8239)," "))</f>
        <v>#NAME?</v>
      </c>
      <c r="Z2215" s="58" t="str">
        <f t="shared" si="2055"/>
        <v>#NAME?</v>
      </c>
      <c r="AA2215" s="58" t="str">
        <f t="shared" si="2055"/>
        <v>#NAME?</v>
      </c>
      <c r="AB2215" s="58" t="str">
        <f t="shared" si="2055"/>
        <v>#NAME?</v>
      </c>
      <c r="AC2215" s="58" t="str">
        <f t="shared" si="2055"/>
        <v>#NAME?</v>
      </c>
      <c r="AD2215" s="57">
        <f t="shared" si="906"/>
        <v>0</v>
      </c>
      <c r="AE2215" s="57" t="str">
        <f t="shared" si="907"/>
        <v/>
      </c>
      <c r="AF2215" s="57">
        <f t="shared" si="908"/>
        <v>0</v>
      </c>
      <c r="AG2215" s="59">
        <f t="shared" si="909"/>
        <v>0</v>
      </c>
      <c r="AH2215" s="15"/>
      <c r="AI2215" s="15"/>
      <c r="AJ2215" s="15"/>
      <c r="AK2215" s="15"/>
      <c r="AL2215" s="15"/>
      <c r="AM2215" s="15"/>
      <c r="AN2215" s="15"/>
      <c r="AO2215" s="15"/>
      <c r="AP2215" s="15"/>
      <c r="AQ2215" s="15"/>
      <c r="AR2215" s="15"/>
      <c r="AS2215" s="15"/>
      <c r="AT2215" s="15"/>
      <c r="AU2215" s="15"/>
    </row>
    <row r="2216" ht="24.0" customHeight="1">
      <c r="A2216" s="45">
        <v>3640.0</v>
      </c>
      <c r="B2216" s="57"/>
      <c r="C2216" s="57"/>
      <c r="D2216" s="88" t="str">
        <f t="array" ref="D2216">IFERROR(
  LOOKUP(2, 1/((TRIM(IMS!$E$8:$E$2574)=TRIM(IMS!$E2216))*(IMS!$C$8:$C$2574&lt;IMS!$C2216)),
         IMS!$C$8:$C$2574),
"")</f>
        <v/>
      </c>
      <c r="E2216" s="57"/>
      <c r="F2216" s="57"/>
      <c r="G2216" s="77" t="str">
        <f t="shared" si="901"/>
        <v/>
      </c>
      <c r="H2216" s="78" t="str">
        <f t="shared" si="902"/>
        <v/>
      </c>
      <c r="I2216" s="79"/>
      <c r="J2216" s="80" t="str">
        <f t="shared" si="903"/>
        <v>#NAME?</v>
      </c>
      <c r="K2216" s="58"/>
      <c r="L2216" s="58"/>
      <c r="M2216" s="57"/>
      <c r="N2216" s="57"/>
      <c r="O2216" s="58"/>
      <c r="P2216" s="82"/>
      <c r="Q2216" s="81"/>
      <c r="R2216" s="81"/>
      <c r="S2216" s="57"/>
      <c r="T2216" s="82"/>
      <c r="U2216" s="82"/>
      <c r="V2216" s="57"/>
      <c r="W2216" s="57"/>
      <c r="X2216" s="57" t="str">
        <f t="shared" si="917"/>
        <v/>
      </c>
      <c r="Y2216" s="58" t="str">
        <f t="shared" ref="Y2216:AC2216" si="2056">TRIM(SUBSTITUTE(SUBSTITUTE(OFFSET($Q2216,0,COLUMN()-COLUMN($AL$1)),CHAR(160)," "),_xludf.UNICHAR(8239)," "))</f>
        <v>#NAME?</v>
      </c>
      <c r="Z2216" s="58" t="str">
        <f t="shared" si="2056"/>
        <v>#NAME?</v>
      </c>
      <c r="AA2216" s="58" t="str">
        <f t="shared" si="2056"/>
        <v>#NAME?</v>
      </c>
      <c r="AB2216" s="58" t="str">
        <f t="shared" si="2056"/>
        <v>#NAME?</v>
      </c>
      <c r="AC2216" s="58" t="str">
        <f t="shared" si="2056"/>
        <v>#NAME?</v>
      </c>
      <c r="AD2216" s="57">
        <f t="shared" si="906"/>
        <v>0</v>
      </c>
      <c r="AE2216" s="57" t="str">
        <f t="shared" si="907"/>
        <v/>
      </c>
      <c r="AF2216" s="57">
        <f t="shared" si="908"/>
        <v>0</v>
      </c>
      <c r="AG2216" s="59">
        <f t="shared" si="909"/>
        <v>0</v>
      </c>
      <c r="AH2216" s="15"/>
      <c r="AI2216" s="15"/>
      <c r="AJ2216" s="15"/>
      <c r="AK2216" s="15"/>
      <c r="AL2216" s="15"/>
      <c r="AM2216" s="15"/>
      <c r="AN2216" s="15"/>
      <c r="AO2216" s="15"/>
      <c r="AP2216" s="15"/>
      <c r="AQ2216" s="15"/>
      <c r="AR2216" s="15"/>
      <c r="AS2216" s="15"/>
      <c r="AT2216" s="15"/>
      <c r="AU2216" s="15"/>
    </row>
    <row r="2217" ht="24.0" customHeight="1">
      <c r="A2217" s="45">
        <v>3641.0</v>
      </c>
      <c r="B2217" s="57"/>
      <c r="C2217" s="57"/>
      <c r="D2217" s="88" t="str">
        <f t="array" ref="D2217">IFERROR(
  LOOKUP(2, 1/((TRIM(IMS!$E$8:$E$2574)=TRIM(IMS!$E2217))*(IMS!$C$8:$C$2574&lt;IMS!$C2217)),
         IMS!$C$8:$C$2574),
"")</f>
        <v/>
      </c>
      <c r="E2217" s="57"/>
      <c r="F2217" s="57"/>
      <c r="G2217" s="77" t="str">
        <f t="shared" si="901"/>
        <v/>
      </c>
      <c r="H2217" s="78" t="str">
        <f t="shared" si="902"/>
        <v/>
      </c>
      <c r="I2217" s="79"/>
      <c r="J2217" s="80" t="str">
        <f t="shared" si="903"/>
        <v>#NAME?</v>
      </c>
      <c r="K2217" s="58"/>
      <c r="L2217" s="58"/>
      <c r="M2217" s="57"/>
      <c r="N2217" s="57"/>
      <c r="O2217" s="58"/>
      <c r="P2217" s="82"/>
      <c r="Q2217" s="81"/>
      <c r="R2217" s="81"/>
      <c r="S2217" s="57"/>
      <c r="T2217" s="82"/>
      <c r="U2217" s="82"/>
      <c r="V2217" s="57"/>
      <c r="W2217" s="57"/>
      <c r="X2217" s="57" t="str">
        <f t="shared" si="917"/>
        <v/>
      </c>
      <c r="Y2217" s="58" t="str">
        <f t="shared" ref="Y2217:AC2217" si="2057">TRIM(SUBSTITUTE(SUBSTITUTE(OFFSET($Q2217,0,COLUMN()-COLUMN($AL$1)),CHAR(160)," "),_xludf.UNICHAR(8239)," "))</f>
        <v>#NAME?</v>
      </c>
      <c r="Z2217" s="58" t="str">
        <f t="shared" si="2057"/>
        <v>#NAME?</v>
      </c>
      <c r="AA2217" s="58" t="str">
        <f t="shared" si="2057"/>
        <v>#NAME?</v>
      </c>
      <c r="AB2217" s="58" t="str">
        <f t="shared" si="2057"/>
        <v>#NAME?</v>
      </c>
      <c r="AC2217" s="58" t="str">
        <f t="shared" si="2057"/>
        <v>#NAME?</v>
      </c>
      <c r="AD2217" s="57">
        <f t="shared" si="906"/>
        <v>0</v>
      </c>
      <c r="AE2217" s="57" t="str">
        <f t="shared" si="907"/>
        <v/>
      </c>
      <c r="AF2217" s="57">
        <f t="shared" si="908"/>
        <v>0</v>
      </c>
      <c r="AG2217" s="59">
        <f t="shared" si="909"/>
        <v>0</v>
      </c>
      <c r="AH2217" s="15"/>
      <c r="AI2217" s="15"/>
      <c r="AJ2217" s="15"/>
      <c r="AK2217" s="15"/>
      <c r="AL2217" s="15"/>
      <c r="AM2217" s="15"/>
      <c r="AN2217" s="15"/>
      <c r="AO2217" s="15"/>
      <c r="AP2217" s="15"/>
      <c r="AQ2217" s="15"/>
      <c r="AR2217" s="15"/>
      <c r="AS2217" s="15"/>
      <c r="AT2217" s="15"/>
      <c r="AU2217" s="15"/>
    </row>
    <row r="2218" ht="24.0" customHeight="1">
      <c r="A2218" s="45">
        <v>3642.0</v>
      </c>
      <c r="B2218" s="57"/>
      <c r="C2218" s="57"/>
      <c r="D2218" s="88" t="str">
        <f t="array" ref="D2218">IFERROR(
  LOOKUP(2, 1/((TRIM(IMS!$E$8:$E$2574)=TRIM(IMS!$E2218))*(IMS!$C$8:$C$2574&lt;IMS!$C2218)),
         IMS!$C$8:$C$2574),
"")</f>
        <v/>
      </c>
      <c r="E2218" s="57"/>
      <c r="F2218" s="57"/>
      <c r="G2218" s="77" t="str">
        <f t="shared" si="901"/>
        <v/>
      </c>
      <c r="H2218" s="78" t="str">
        <f t="shared" si="902"/>
        <v/>
      </c>
      <c r="I2218" s="79"/>
      <c r="J2218" s="80" t="str">
        <f t="shared" si="903"/>
        <v>#NAME?</v>
      </c>
      <c r="K2218" s="58"/>
      <c r="L2218" s="58"/>
      <c r="M2218" s="57"/>
      <c r="N2218" s="57"/>
      <c r="O2218" s="58"/>
      <c r="P2218" s="82"/>
      <c r="Q2218" s="81"/>
      <c r="R2218" s="81"/>
      <c r="S2218" s="57"/>
      <c r="T2218" s="82"/>
      <c r="U2218" s="82"/>
      <c r="V2218" s="57"/>
      <c r="W2218" s="57"/>
      <c r="X2218" s="57" t="str">
        <f t="shared" si="917"/>
        <v/>
      </c>
      <c r="Y2218" s="58" t="str">
        <f t="shared" ref="Y2218:AC2218" si="2058">TRIM(SUBSTITUTE(SUBSTITUTE(OFFSET($Q2218,0,COLUMN()-COLUMN($AL$1)),CHAR(160)," "),_xludf.UNICHAR(8239)," "))</f>
        <v>#NAME?</v>
      </c>
      <c r="Z2218" s="58" t="str">
        <f t="shared" si="2058"/>
        <v>#NAME?</v>
      </c>
      <c r="AA2218" s="58" t="str">
        <f t="shared" si="2058"/>
        <v>#NAME?</v>
      </c>
      <c r="AB2218" s="58" t="str">
        <f t="shared" si="2058"/>
        <v>#NAME?</v>
      </c>
      <c r="AC2218" s="58" t="str">
        <f t="shared" si="2058"/>
        <v>#NAME?</v>
      </c>
      <c r="AD2218" s="57">
        <f t="shared" si="906"/>
        <v>0</v>
      </c>
      <c r="AE2218" s="57" t="str">
        <f t="shared" si="907"/>
        <v/>
      </c>
      <c r="AF2218" s="57">
        <f t="shared" si="908"/>
        <v>0</v>
      </c>
      <c r="AG2218" s="59">
        <f t="shared" si="909"/>
        <v>0</v>
      </c>
      <c r="AH2218" s="15"/>
      <c r="AI2218" s="15"/>
      <c r="AJ2218" s="15"/>
      <c r="AK2218" s="15"/>
      <c r="AL2218" s="15"/>
      <c r="AM2218" s="15"/>
      <c r="AN2218" s="15"/>
      <c r="AO2218" s="15"/>
      <c r="AP2218" s="15"/>
      <c r="AQ2218" s="15"/>
      <c r="AR2218" s="15"/>
      <c r="AS2218" s="15"/>
      <c r="AT2218" s="15"/>
      <c r="AU2218" s="15"/>
    </row>
    <row r="2219" ht="24.0" customHeight="1">
      <c r="A2219" s="45">
        <v>3643.0</v>
      </c>
      <c r="B2219" s="57"/>
      <c r="C2219" s="57"/>
      <c r="D2219" s="88" t="str">
        <f t="array" ref="D2219">IFERROR(
  LOOKUP(2, 1/((TRIM(IMS!$E$8:$E$2574)=TRIM(IMS!$E2219))*(IMS!$C$8:$C$2574&lt;IMS!$C2219)),
         IMS!$C$8:$C$2574),
"")</f>
        <v/>
      </c>
      <c r="E2219" s="57"/>
      <c r="F2219" s="57"/>
      <c r="G2219" s="77" t="str">
        <f t="shared" si="901"/>
        <v/>
      </c>
      <c r="H2219" s="78" t="str">
        <f t="shared" si="902"/>
        <v/>
      </c>
      <c r="I2219" s="79"/>
      <c r="J2219" s="80" t="str">
        <f t="shared" si="903"/>
        <v>#NAME?</v>
      </c>
      <c r="K2219" s="58"/>
      <c r="L2219" s="58"/>
      <c r="M2219" s="57"/>
      <c r="N2219" s="57"/>
      <c r="O2219" s="58"/>
      <c r="P2219" s="82"/>
      <c r="Q2219" s="81"/>
      <c r="R2219" s="81"/>
      <c r="S2219" s="57"/>
      <c r="T2219" s="82"/>
      <c r="U2219" s="82"/>
      <c r="V2219" s="57"/>
      <c r="W2219" s="57"/>
      <c r="X2219" s="57" t="str">
        <f t="shared" si="917"/>
        <v/>
      </c>
      <c r="Y2219" s="58" t="str">
        <f t="shared" ref="Y2219:AC2219" si="2059">TRIM(SUBSTITUTE(SUBSTITUTE(OFFSET($Q2219,0,COLUMN()-COLUMN($AL$1)),CHAR(160)," "),_xludf.UNICHAR(8239)," "))</f>
        <v>#NAME?</v>
      </c>
      <c r="Z2219" s="58" t="str">
        <f t="shared" si="2059"/>
        <v>#NAME?</v>
      </c>
      <c r="AA2219" s="58" t="str">
        <f t="shared" si="2059"/>
        <v>#NAME?</v>
      </c>
      <c r="AB2219" s="58" t="str">
        <f t="shared" si="2059"/>
        <v>#NAME?</v>
      </c>
      <c r="AC2219" s="58" t="str">
        <f t="shared" si="2059"/>
        <v>#NAME?</v>
      </c>
      <c r="AD2219" s="57">
        <f t="shared" si="906"/>
        <v>0</v>
      </c>
      <c r="AE2219" s="57" t="str">
        <f t="shared" si="907"/>
        <v/>
      </c>
      <c r="AF2219" s="57">
        <f t="shared" si="908"/>
        <v>0</v>
      </c>
      <c r="AG2219" s="59">
        <f t="shared" si="909"/>
        <v>0</v>
      </c>
      <c r="AH2219" s="15"/>
      <c r="AI2219" s="15"/>
      <c r="AJ2219" s="15"/>
      <c r="AK2219" s="15"/>
      <c r="AL2219" s="15"/>
      <c r="AM2219" s="15"/>
      <c r="AN2219" s="15"/>
      <c r="AO2219" s="15"/>
      <c r="AP2219" s="15"/>
      <c r="AQ2219" s="15"/>
      <c r="AR2219" s="15"/>
      <c r="AS2219" s="15"/>
      <c r="AT2219" s="15"/>
      <c r="AU2219" s="15"/>
    </row>
    <row r="2220" ht="24.0" customHeight="1">
      <c r="A2220" s="45">
        <v>3644.0</v>
      </c>
      <c r="B2220" s="57"/>
      <c r="C2220" s="57"/>
      <c r="D2220" s="88" t="str">
        <f t="array" ref="D2220">IFERROR(
  LOOKUP(2, 1/((TRIM(IMS!$E$8:$E$2574)=TRIM(IMS!$E2220))*(IMS!$C$8:$C$2574&lt;IMS!$C2220)),
         IMS!$C$8:$C$2574),
"")</f>
        <v/>
      </c>
      <c r="E2220" s="57"/>
      <c r="F2220" s="57"/>
      <c r="G2220" s="77" t="str">
        <f t="shared" si="901"/>
        <v/>
      </c>
      <c r="H2220" s="78" t="str">
        <f t="shared" si="902"/>
        <v/>
      </c>
      <c r="I2220" s="79"/>
      <c r="J2220" s="80" t="str">
        <f t="shared" si="903"/>
        <v>#NAME?</v>
      </c>
      <c r="K2220" s="58"/>
      <c r="L2220" s="58"/>
      <c r="M2220" s="57"/>
      <c r="N2220" s="57"/>
      <c r="O2220" s="58"/>
      <c r="P2220" s="82"/>
      <c r="Q2220" s="81"/>
      <c r="R2220" s="81"/>
      <c r="S2220" s="57"/>
      <c r="T2220" s="82"/>
      <c r="U2220" s="82"/>
      <c r="V2220" s="57"/>
      <c r="W2220" s="57"/>
      <c r="X2220" s="57" t="str">
        <f t="shared" si="917"/>
        <v/>
      </c>
      <c r="Y2220" s="58" t="str">
        <f t="shared" ref="Y2220:AC2220" si="2060">TRIM(SUBSTITUTE(SUBSTITUTE(OFFSET($Q2220,0,COLUMN()-COLUMN($AL$1)),CHAR(160)," "),_xludf.UNICHAR(8239)," "))</f>
        <v>#NAME?</v>
      </c>
      <c r="Z2220" s="58" t="str">
        <f t="shared" si="2060"/>
        <v>#NAME?</v>
      </c>
      <c r="AA2220" s="58" t="str">
        <f t="shared" si="2060"/>
        <v>#NAME?</v>
      </c>
      <c r="AB2220" s="58" t="str">
        <f t="shared" si="2060"/>
        <v>#NAME?</v>
      </c>
      <c r="AC2220" s="58" t="str">
        <f t="shared" si="2060"/>
        <v>#NAME?</v>
      </c>
      <c r="AD2220" s="57">
        <f t="shared" si="906"/>
        <v>0</v>
      </c>
      <c r="AE2220" s="57" t="str">
        <f t="shared" si="907"/>
        <v/>
      </c>
      <c r="AF2220" s="57">
        <f t="shared" si="908"/>
        <v>0</v>
      </c>
      <c r="AG2220" s="59">
        <f t="shared" si="909"/>
        <v>0</v>
      </c>
      <c r="AH2220" s="15"/>
      <c r="AI2220" s="15"/>
      <c r="AJ2220" s="15"/>
      <c r="AK2220" s="15"/>
      <c r="AL2220" s="15"/>
      <c r="AM2220" s="15"/>
      <c r="AN2220" s="15"/>
      <c r="AO2220" s="15"/>
      <c r="AP2220" s="15"/>
      <c r="AQ2220" s="15"/>
      <c r="AR2220" s="15"/>
      <c r="AS2220" s="15"/>
      <c r="AT2220" s="15"/>
      <c r="AU2220" s="15"/>
    </row>
    <row r="2221" ht="24.0" customHeight="1">
      <c r="A2221" s="45">
        <v>3645.0</v>
      </c>
      <c r="B2221" s="57"/>
      <c r="C2221" s="57"/>
      <c r="D2221" s="88" t="str">
        <f t="array" ref="D2221">IFERROR(
  LOOKUP(2, 1/((TRIM(IMS!$E$8:$E$2574)=TRIM(IMS!$E2221))*(IMS!$C$8:$C$2574&lt;IMS!$C2221)),
         IMS!$C$8:$C$2574),
"")</f>
        <v/>
      </c>
      <c r="E2221" s="57"/>
      <c r="F2221" s="57"/>
      <c r="G2221" s="77" t="str">
        <f t="shared" si="901"/>
        <v/>
      </c>
      <c r="H2221" s="78" t="str">
        <f t="shared" si="902"/>
        <v/>
      </c>
      <c r="I2221" s="79"/>
      <c r="J2221" s="80" t="str">
        <f t="shared" si="903"/>
        <v>#NAME?</v>
      </c>
      <c r="K2221" s="58"/>
      <c r="L2221" s="58"/>
      <c r="M2221" s="57"/>
      <c r="N2221" s="57"/>
      <c r="O2221" s="58"/>
      <c r="P2221" s="82"/>
      <c r="Q2221" s="81"/>
      <c r="R2221" s="81"/>
      <c r="S2221" s="57"/>
      <c r="T2221" s="82"/>
      <c r="U2221" s="82"/>
      <c r="V2221" s="57"/>
      <c r="W2221" s="57"/>
      <c r="X2221" s="57" t="str">
        <f t="shared" si="917"/>
        <v/>
      </c>
      <c r="Y2221" s="58" t="str">
        <f t="shared" ref="Y2221:AC2221" si="2061">TRIM(SUBSTITUTE(SUBSTITUTE(OFFSET($Q2221,0,COLUMN()-COLUMN($AL$1)),CHAR(160)," "),_xludf.UNICHAR(8239)," "))</f>
        <v>#NAME?</v>
      </c>
      <c r="Z2221" s="58" t="str">
        <f t="shared" si="2061"/>
        <v>#NAME?</v>
      </c>
      <c r="AA2221" s="58" t="str">
        <f t="shared" si="2061"/>
        <v>#NAME?</v>
      </c>
      <c r="AB2221" s="58" t="str">
        <f t="shared" si="2061"/>
        <v>#NAME?</v>
      </c>
      <c r="AC2221" s="58" t="str">
        <f t="shared" si="2061"/>
        <v>#NAME?</v>
      </c>
      <c r="AD2221" s="57">
        <f t="shared" si="906"/>
        <v>0</v>
      </c>
      <c r="AE2221" s="57" t="str">
        <f t="shared" si="907"/>
        <v/>
      </c>
      <c r="AF2221" s="57">
        <f t="shared" si="908"/>
        <v>0</v>
      </c>
      <c r="AG2221" s="59">
        <f t="shared" si="909"/>
        <v>0</v>
      </c>
      <c r="AH2221" s="15"/>
      <c r="AI2221" s="15"/>
      <c r="AJ2221" s="15"/>
      <c r="AK2221" s="15"/>
      <c r="AL2221" s="15"/>
      <c r="AM2221" s="15"/>
      <c r="AN2221" s="15"/>
      <c r="AO2221" s="15"/>
      <c r="AP2221" s="15"/>
      <c r="AQ2221" s="15"/>
      <c r="AR2221" s="15"/>
      <c r="AS2221" s="15"/>
      <c r="AT2221" s="15"/>
      <c r="AU2221" s="15"/>
    </row>
    <row r="2222" ht="24.0" customHeight="1">
      <c r="A2222" s="45">
        <v>3646.0</v>
      </c>
      <c r="B2222" s="57"/>
      <c r="C2222" s="57"/>
      <c r="D2222" s="88" t="str">
        <f t="array" ref="D2222">IFERROR(
  LOOKUP(2, 1/((TRIM(IMS!$E$8:$E$2574)=TRIM(IMS!$E2222))*(IMS!$C$8:$C$2574&lt;IMS!$C2222)),
         IMS!$C$8:$C$2574),
"")</f>
        <v/>
      </c>
      <c r="E2222" s="57"/>
      <c r="F2222" s="57"/>
      <c r="G2222" s="77" t="str">
        <f t="shared" si="901"/>
        <v/>
      </c>
      <c r="H2222" s="78" t="str">
        <f t="shared" si="902"/>
        <v/>
      </c>
      <c r="I2222" s="79"/>
      <c r="J2222" s="80" t="str">
        <f t="shared" si="903"/>
        <v>#NAME?</v>
      </c>
      <c r="K2222" s="58"/>
      <c r="L2222" s="58"/>
      <c r="M2222" s="57"/>
      <c r="N2222" s="57"/>
      <c r="O2222" s="58"/>
      <c r="P2222" s="82"/>
      <c r="Q2222" s="81"/>
      <c r="R2222" s="81"/>
      <c r="S2222" s="57"/>
      <c r="T2222" s="82"/>
      <c r="U2222" s="82"/>
      <c r="V2222" s="57"/>
      <c r="W2222" s="57"/>
      <c r="X2222" s="57" t="str">
        <f t="shared" si="917"/>
        <v/>
      </c>
      <c r="Y2222" s="58" t="str">
        <f t="shared" ref="Y2222:AC2222" si="2062">TRIM(SUBSTITUTE(SUBSTITUTE(OFFSET($Q2222,0,COLUMN()-COLUMN($AL$1)),CHAR(160)," "),_xludf.UNICHAR(8239)," "))</f>
        <v>#NAME?</v>
      </c>
      <c r="Z2222" s="58" t="str">
        <f t="shared" si="2062"/>
        <v>#NAME?</v>
      </c>
      <c r="AA2222" s="58" t="str">
        <f t="shared" si="2062"/>
        <v>#NAME?</v>
      </c>
      <c r="AB2222" s="58" t="str">
        <f t="shared" si="2062"/>
        <v>#NAME?</v>
      </c>
      <c r="AC2222" s="58" t="str">
        <f t="shared" si="2062"/>
        <v>#NAME?</v>
      </c>
      <c r="AD2222" s="57">
        <f t="shared" si="906"/>
        <v>0</v>
      </c>
      <c r="AE2222" s="57" t="str">
        <f t="shared" si="907"/>
        <v/>
      </c>
      <c r="AF2222" s="57">
        <f t="shared" si="908"/>
        <v>0</v>
      </c>
      <c r="AG2222" s="59">
        <f t="shared" si="909"/>
        <v>0</v>
      </c>
      <c r="AH2222" s="15"/>
      <c r="AI2222" s="15"/>
      <c r="AJ2222" s="15"/>
      <c r="AK2222" s="15"/>
      <c r="AL2222" s="15"/>
      <c r="AM2222" s="15"/>
      <c r="AN2222" s="15"/>
      <c r="AO2222" s="15"/>
      <c r="AP2222" s="15"/>
      <c r="AQ2222" s="15"/>
      <c r="AR2222" s="15"/>
      <c r="AS2222" s="15"/>
      <c r="AT2222" s="15"/>
      <c r="AU2222" s="15"/>
    </row>
    <row r="2223" ht="24.0" customHeight="1">
      <c r="A2223" s="45">
        <v>3647.0</v>
      </c>
      <c r="B2223" s="57"/>
      <c r="C2223" s="57"/>
      <c r="D2223" s="88" t="str">
        <f t="array" ref="D2223">IFERROR(
  LOOKUP(2, 1/((TRIM(IMS!$E$8:$E$2574)=TRIM(IMS!$E2223))*(IMS!$C$8:$C$2574&lt;IMS!$C2223)),
         IMS!$C$8:$C$2574),
"")</f>
        <v/>
      </c>
      <c r="E2223" s="57"/>
      <c r="F2223" s="57"/>
      <c r="G2223" s="77" t="str">
        <f t="shared" si="901"/>
        <v/>
      </c>
      <c r="H2223" s="78" t="str">
        <f t="shared" si="902"/>
        <v/>
      </c>
      <c r="I2223" s="79"/>
      <c r="J2223" s="80" t="str">
        <f t="shared" si="903"/>
        <v>#NAME?</v>
      </c>
      <c r="K2223" s="58"/>
      <c r="L2223" s="58"/>
      <c r="M2223" s="57"/>
      <c r="N2223" s="57"/>
      <c r="O2223" s="58"/>
      <c r="P2223" s="82"/>
      <c r="Q2223" s="81"/>
      <c r="R2223" s="81"/>
      <c r="S2223" s="57"/>
      <c r="T2223" s="82"/>
      <c r="U2223" s="82"/>
      <c r="V2223" s="57"/>
      <c r="W2223" s="57"/>
      <c r="X2223" s="57" t="str">
        <f t="shared" si="917"/>
        <v/>
      </c>
      <c r="Y2223" s="58" t="str">
        <f t="shared" ref="Y2223:AC2223" si="2063">TRIM(SUBSTITUTE(SUBSTITUTE(OFFSET($Q2223,0,COLUMN()-COLUMN($AL$1)),CHAR(160)," "),_xludf.UNICHAR(8239)," "))</f>
        <v>#NAME?</v>
      </c>
      <c r="Z2223" s="58" t="str">
        <f t="shared" si="2063"/>
        <v>#NAME?</v>
      </c>
      <c r="AA2223" s="58" t="str">
        <f t="shared" si="2063"/>
        <v>#NAME?</v>
      </c>
      <c r="AB2223" s="58" t="str">
        <f t="shared" si="2063"/>
        <v>#NAME?</v>
      </c>
      <c r="AC2223" s="58" t="str">
        <f t="shared" si="2063"/>
        <v>#NAME?</v>
      </c>
      <c r="AD2223" s="57">
        <f t="shared" si="906"/>
        <v>0</v>
      </c>
      <c r="AE2223" s="57" t="str">
        <f t="shared" si="907"/>
        <v/>
      </c>
      <c r="AF2223" s="57">
        <f t="shared" si="908"/>
        <v>0</v>
      </c>
      <c r="AG2223" s="59">
        <f t="shared" si="909"/>
        <v>0</v>
      </c>
      <c r="AH2223" s="15"/>
      <c r="AI2223" s="15"/>
      <c r="AJ2223" s="15"/>
      <c r="AK2223" s="15"/>
      <c r="AL2223" s="15"/>
      <c r="AM2223" s="15"/>
      <c r="AN2223" s="15"/>
      <c r="AO2223" s="15"/>
      <c r="AP2223" s="15"/>
      <c r="AQ2223" s="15"/>
      <c r="AR2223" s="15"/>
      <c r="AS2223" s="15"/>
      <c r="AT2223" s="15"/>
      <c r="AU2223" s="15"/>
    </row>
    <row r="2224" ht="24.0" customHeight="1">
      <c r="A2224" s="45">
        <v>3648.0</v>
      </c>
      <c r="B2224" s="57"/>
      <c r="C2224" s="57"/>
      <c r="D2224" s="88" t="str">
        <f t="array" ref="D2224">IFERROR(
  LOOKUP(2, 1/((TRIM(IMS!$E$8:$E$2574)=TRIM(IMS!$E2224))*(IMS!$C$8:$C$2574&lt;IMS!$C2224)),
         IMS!$C$8:$C$2574),
"")</f>
        <v/>
      </c>
      <c r="E2224" s="57"/>
      <c r="F2224" s="57"/>
      <c r="G2224" s="77" t="str">
        <f t="shared" si="901"/>
        <v/>
      </c>
      <c r="H2224" s="78" t="str">
        <f t="shared" si="902"/>
        <v/>
      </c>
      <c r="I2224" s="79"/>
      <c r="J2224" s="80" t="str">
        <f t="shared" si="903"/>
        <v>#NAME?</v>
      </c>
      <c r="K2224" s="58"/>
      <c r="L2224" s="58"/>
      <c r="M2224" s="57"/>
      <c r="N2224" s="57"/>
      <c r="O2224" s="58"/>
      <c r="P2224" s="82"/>
      <c r="Q2224" s="81"/>
      <c r="R2224" s="81"/>
      <c r="S2224" s="57"/>
      <c r="T2224" s="82"/>
      <c r="U2224" s="82"/>
      <c r="V2224" s="57"/>
      <c r="W2224" s="57"/>
      <c r="X2224" s="57" t="str">
        <f t="shared" si="917"/>
        <v/>
      </c>
      <c r="Y2224" s="58" t="str">
        <f t="shared" ref="Y2224:AC2224" si="2064">TRIM(SUBSTITUTE(SUBSTITUTE(OFFSET($Q2224,0,COLUMN()-COLUMN($AL$1)),CHAR(160)," "),_xludf.UNICHAR(8239)," "))</f>
        <v>#NAME?</v>
      </c>
      <c r="Z2224" s="58" t="str">
        <f t="shared" si="2064"/>
        <v>#NAME?</v>
      </c>
      <c r="AA2224" s="58" t="str">
        <f t="shared" si="2064"/>
        <v>#NAME?</v>
      </c>
      <c r="AB2224" s="58" t="str">
        <f t="shared" si="2064"/>
        <v>#NAME?</v>
      </c>
      <c r="AC2224" s="58" t="str">
        <f t="shared" si="2064"/>
        <v>#NAME?</v>
      </c>
      <c r="AD2224" s="57">
        <f t="shared" si="906"/>
        <v>0</v>
      </c>
      <c r="AE2224" s="57" t="str">
        <f t="shared" si="907"/>
        <v/>
      </c>
      <c r="AF2224" s="57">
        <f t="shared" si="908"/>
        <v>0</v>
      </c>
      <c r="AG2224" s="59">
        <f t="shared" si="909"/>
        <v>0</v>
      </c>
      <c r="AH2224" s="15"/>
      <c r="AI2224" s="15"/>
      <c r="AJ2224" s="15"/>
      <c r="AK2224" s="15"/>
      <c r="AL2224" s="15"/>
      <c r="AM2224" s="15"/>
      <c r="AN2224" s="15"/>
      <c r="AO2224" s="15"/>
      <c r="AP2224" s="15"/>
      <c r="AQ2224" s="15"/>
      <c r="AR2224" s="15"/>
      <c r="AS2224" s="15"/>
      <c r="AT2224" s="15"/>
      <c r="AU2224" s="15"/>
    </row>
    <row r="2225" ht="24.0" customHeight="1">
      <c r="A2225" s="45">
        <v>3649.0</v>
      </c>
      <c r="B2225" s="57"/>
      <c r="C2225" s="57"/>
      <c r="D2225" s="88" t="str">
        <f t="array" ref="D2225">IFERROR(
  LOOKUP(2, 1/((TRIM(IMS!$E$8:$E$2574)=TRIM(IMS!$E2225))*(IMS!$C$8:$C$2574&lt;IMS!$C2225)),
         IMS!$C$8:$C$2574),
"")</f>
        <v/>
      </c>
      <c r="E2225" s="57"/>
      <c r="F2225" s="57"/>
      <c r="G2225" s="77" t="str">
        <f t="shared" si="901"/>
        <v/>
      </c>
      <c r="H2225" s="78" t="str">
        <f t="shared" si="902"/>
        <v/>
      </c>
      <c r="I2225" s="79"/>
      <c r="J2225" s="80" t="str">
        <f t="shared" si="903"/>
        <v>#NAME?</v>
      </c>
      <c r="K2225" s="58"/>
      <c r="L2225" s="58"/>
      <c r="M2225" s="57"/>
      <c r="N2225" s="57"/>
      <c r="O2225" s="58"/>
      <c r="P2225" s="82"/>
      <c r="Q2225" s="81"/>
      <c r="R2225" s="81"/>
      <c r="S2225" s="57"/>
      <c r="T2225" s="82"/>
      <c r="U2225" s="82"/>
      <c r="V2225" s="57"/>
      <c r="W2225" s="57"/>
      <c r="X2225" s="57" t="str">
        <f t="shared" si="917"/>
        <v/>
      </c>
      <c r="Y2225" s="58" t="str">
        <f t="shared" ref="Y2225:AC2225" si="2065">TRIM(SUBSTITUTE(SUBSTITUTE(OFFSET($Q2225,0,COLUMN()-COLUMN($AL$1)),CHAR(160)," "),_xludf.UNICHAR(8239)," "))</f>
        <v>#NAME?</v>
      </c>
      <c r="Z2225" s="58" t="str">
        <f t="shared" si="2065"/>
        <v>#NAME?</v>
      </c>
      <c r="AA2225" s="58" t="str">
        <f t="shared" si="2065"/>
        <v>#NAME?</v>
      </c>
      <c r="AB2225" s="58" t="str">
        <f t="shared" si="2065"/>
        <v>#NAME?</v>
      </c>
      <c r="AC2225" s="58" t="str">
        <f t="shared" si="2065"/>
        <v>#NAME?</v>
      </c>
      <c r="AD2225" s="57">
        <f t="shared" si="906"/>
        <v>0</v>
      </c>
      <c r="AE2225" s="57" t="str">
        <f t="shared" si="907"/>
        <v/>
      </c>
      <c r="AF2225" s="57">
        <f t="shared" si="908"/>
        <v>0</v>
      </c>
      <c r="AG2225" s="59">
        <f t="shared" si="909"/>
        <v>0</v>
      </c>
      <c r="AH2225" s="15"/>
      <c r="AI2225" s="15"/>
      <c r="AJ2225" s="15"/>
      <c r="AK2225" s="15"/>
      <c r="AL2225" s="15"/>
      <c r="AM2225" s="15"/>
      <c r="AN2225" s="15"/>
      <c r="AO2225" s="15"/>
      <c r="AP2225" s="15"/>
      <c r="AQ2225" s="15"/>
      <c r="AR2225" s="15"/>
      <c r="AS2225" s="15"/>
      <c r="AT2225" s="15"/>
      <c r="AU2225" s="15"/>
    </row>
    <row r="2226" ht="24.0" customHeight="1">
      <c r="A2226" s="45">
        <v>3650.0</v>
      </c>
      <c r="B2226" s="57"/>
      <c r="C2226" s="57"/>
      <c r="D2226" s="88" t="str">
        <f t="array" ref="D2226">IFERROR(
  LOOKUP(2, 1/((TRIM(IMS!$E$8:$E$2574)=TRIM(IMS!$E2226))*(IMS!$C$8:$C$2574&lt;IMS!$C2226)),
         IMS!$C$8:$C$2574),
"")</f>
        <v/>
      </c>
      <c r="E2226" s="57"/>
      <c r="F2226" s="57"/>
      <c r="G2226" s="77" t="str">
        <f t="shared" si="901"/>
        <v/>
      </c>
      <c r="H2226" s="78" t="str">
        <f t="shared" si="902"/>
        <v/>
      </c>
      <c r="I2226" s="79"/>
      <c r="J2226" s="80" t="str">
        <f t="shared" si="903"/>
        <v>#NAME?</v>
      </c>
      <c r="K2226" s="58"/>
      <c r="L2226" s="58"/>
      <c r="M2226" s="57"/>
      <c r="N2226" s="57"/>
      <c r="O2226" s="58"/>
      <c r="P2226" s="82"/>
      <c r="Q2226" s="81"/>
      <c r="R2226" s="81"/>
      <c r="S2226" s="57"/>
      <c r="T2226" s="82"/>
      <c r="U2226" s="82"/>
      <c r="V2226" s="57"/>
      <c r="W2226" s="57"/>
      <c r="X2226" s="57" t="str">
        <f t="shared" si="917"/>
        <v/>
      </c>
      <c r="Y2226" s="58" t="str">
        <f t="shared" ref="Y2226:AC2226" si="2066">TRIM(SUBSTITUTE(SUBSTITUTE(OFFSET($Q2226,0,COLUMN()-COLUMN($AL$1)),CHAR(160)," "),_xludf.UNICHAR(8239)," "))</f>
        <v>#NAME?</v>
      </c>
      <c r="Z2226" s="58" t="str">
        <f t="shared" si="2066"/>
        <v>#NAME?</v>
      </c>
      <c r="AA2226" s="58" t="str">
        <f t="shared" si="2066"/>
        <v>#NAME?</v>
      </c>
      <c r="AB2226" s="58" t="str">
        <f t="shared" si="2066"/>
        <v>#NAME?</v>
      </c>
      <c r="AC2226" s="58" t="str">
        <f t="shared" si="2066"/>
        <v>#NAME?</v>
      </c>
      <c r="AD2226" s="57">
        <f t="shared" si="906"/>
        <v>0</v>
      </c>
      <c r="AE2226" s="57" t="str">
        <f t="shared" si="907"/>
        <v/>
      </c>
      <c r="AF2226" s="57">
        <f t="shared" si="908"/>
        <v>0</v>
      </c>
      <c r="AG2226" s="59">
        <f t="shared" si="909"/>
        <v>0</v>
      </c>
      <c r="AH2226" s="15"/>
      <c r="AI2226" s="15"/>
      <c r="AJ2226" s="15"/>
      <c r="AK2226" s="15"/>
      <c r="AL2226" s="15"/>
      <c r="AM2226" s="15"/>
      <c r="AN2226" s="15"/>
      <c r="AO2226" s="15"/>
      <c r="AP2226" s="15"/>
      <c r="AQ2226" s="15"/>
      <c r="AR2226" s="15"/>
      <c r="AS2226" s="15"/>
      <c r="AT2226" s="15"/>
      <c r="AU2226" s="15"/>
    </row>
    <row r="2227" ht="24.0" customHeight="1">
      <c r="A2227" s="45">
        <v>3651.0</v>
      </c>
      <c r="B2227" s="57"/>
      <c r="C2227" s="57"/>
      <c r="D2227" s="88" t="str">
        <f t="array" ref="D2227">IFERROR(
  LOOKUP(2, 1/((TRIM(IMS!$E$8:$E$2574)=TRIM(IMS!$E2227))*(IMS!$C$8:$C$2574&lt;IMS!$C2227)),
         IMS!$C$8:$C$2574),
"")</f>
        <v/>
      </c>
      <c r="E2227" s="57"/>
      <c r="F2227" s="57"/>
      <c r="G2227" s="77" t="str">
        <f t="shared" si="901"/>
        <v/>
      </c>
      <c r="H2227" s="78" t="str">
        <f t="shared" si="902"/>
        <v/>
      </c>
      <c r="I2227" s="79"/>
      <c r="J2227" s="80" t="str">
        <f t="shared" si="903"/>
        <v>#NAME?</v>
      </c>
      <c r="K2227" s="58"/>
      <c r="L2227" s="58"/>
      <c r="M2227" s="57"/>
      <c r="N2227" s="57"/>
      <c r="O2227" s="58"/>
      <c r="P2227" s="82"/>
      <c r="Q2227" s="81"/>
      <c r="R2227" s="81"/>
      <c r="S2227" s="57"/>
      <c r="T2227" s="82"/>
      <c r="U2227" s="82"/>
      <c r="V2227" s="57"/>
      <c r="W2227" s="57"/>
      <c r="X2227" s="57" t="str">
        <f t="shared" si="917"/>
        <v/>
      </c>
      <c r="Y2227" s="58" t="str">
        <f t="shared" ref="Y2227:AC2227" si="2067">TRIM(SUBSTITUTE(SUBSTITUTE(OFFSET($Q2227,0,COLUMN()-COLUMN($AL$1)),CHAR(160)," "),_xludf.UNICHAR(8239)," "))</f>
        <v>#NAME?</v>
      </c>
      <c r="Z2227" s="58" t="str">
        <f t="shared" si="2067"/>
        <v>#NAME?</v>
      </c>
      <c r="AA2227" s="58" t="str">
        <f t="shared" si="2067"/>
        <v>#NAME?</v>
      </c>
      <c r="AB2227" s="58" t="str">
        <f t="shared" si="2067"/>
        <v>#NAME?</v>
      </c>
      <c r="AC2227" s="58" t="str">
        <f t="shared" si="2067"/>
        <v>#NAME?</v>
      </c>
      <c r="AD2227" s="57">
        <f t="shared" si="906"/>
        <v>0</v>
      </c>
      <c r="AE2227" s="57" t="str">
        <f t="shared" si="907"/>
        <v/>
      </c>
      <c r="AF2227" s="57">
        <f t="shared" si="908"/>
        <v>0</v>
      </c>
      <c r="AG2227" s="59">
        <f t="shared" si="909"/>
        <v>0</v>
      </c>
      <c r="AH2227" s="15"/>
      <c r="AI2227" s="15"/>
      <c r="AJ2227" s="15"/>
      <c r="AK2227" s="15"/>
      <c r="AL2227" s="15"/>
      <c r="AM2227" s="15"/>
      <c r="AN2227" s="15"/>
      <c r="AO2227" s="15"/>
      <c r="AP2227" s="15"/>
      <c r="AQ2227" s="15"/>
      <c r="AR2227" s="15"/>
      <c r="AS2227" s="15"/>
      <c r="AT2227" s="15"/>
      <c r="AU2227" s="15"/>
    </row>
    <row r="2228" ht="24.0" customHeight="1">
      <c r="A2228" s="45">
        <v>3652.0</v>
      </c>
      <c r="B2228" s="57"/>
      <c r="C2228" s="57"/>
      <c r="D2228" s="88" t="str">
        <f t="array" ref="D2228">IFERROR(
  LOOKUP(2, 1/((TRIM(IMS!$E$8:$E$2574)=TRIM(IMS!$E2228))*(IMS!$C$8:$C$2574&lt;IMS!$C2228)),
         IMS!$C$8:$C$2574),
"")</f>
        <v/>
      </c>
      <c r="E2228" s="57"/>
      <c r="F2228" s="57"/>
      <c r="G2228" s="77" t="str">
        <f t="shared" si="901"/>
        <v/>
      </c>
      <c r="H2228" s="78" t="str">
        <f t="shared" si="902"/>
        <v/>
      </c>
      <c r="I2228" s="79"/>
      <c r="J2228" s="80" t="str">
        <f t="shared" si="903"/>
        <v>#NAME?</v>
      </c>
      <c r="K2228" s="58"/>
      <c r="L2228" s="58"/>
      <c r="M2228" s="57"/>
      <c r="N2228" s="57"/>
      <c r="O2228" s="58"/>
      <c r="P2228" s="82"/>
      <c r="Q2228" s="81"/>
      <c r="R2228" s="81"/>
      <c r="S2228" s="57"/>
      <c r="T2228" s="82"/>
      <c r="U2228" s="82"/>
      <c r="V2228" s="57"/>
      <c r="W2228" s="57"/>
      <c r="X2228" s="57" t="str">
        <f t="shared" si="917"/>
        <v/>
      </c>
      <c r="Y2228" s="58" t="str">
        <f t="shared" ref="Y2228:AC2228" si="2068">TRIM(SUBSTITUTE(SUBSTITUTE(OFFSET($Q2228,0,COLUMN()-COLUMN($AL$1)),CHAR(160)," "),_xludf.UNICHAR(8239)," "))</f>
        <v>#NAME?</v>
      </c>
      <c r="Z2228" s="58" t="str">
        <f t="shared" si="2068"/>
        <v>#NAME?</v>
      </c>
      <c r="AA2228" s="58" t="str">
        <f t="shared" si="2068"/>
        <v>#NAME?</v>
      </c>
      <c r="AB2228" s="58" t="str">
        <f t="shared" si="2068"/>
        <v>#NAME?</v>
      </c>
      <c r="AC2228" s="58" t="str">
        <f t="shared" si="2068"/>
        <v>#NAME?</v>
      </c>
      <c r="AD2228" s="57">
        <f t="shared" si="906"/>
        <v>0</v>
      </c>
      <c r="AE2228" s="57" t="str">
        <f t="shared" si="907"/>
        <v/>
      </c>
      <c r="AF2228" s="57">
        <f t="shared" si="908"/>
        <v>0</v>
      </c>
      <c r="AG2228" s="59">
        <f t="shared" si="909"/>
        <v>0</v>
      </c>
      <c r="AH2228" s="15"/>
      <c r="AI2228" s="15"/>
      <c r="AJ2228" s="15"/>
      <c r="AK2228" s="15"/>
      <c r="AL2228" s="15"/>
      <c r="AM2228" s="15"/>
      <c r="AN2228" s="15"/>
      <c r="AO2228" s="15"/>
      <c r="AP2228" s="15"/>
      <c r="AQ2228" s="15"/>
      <c r="AR2228" s="15"/>
      <c r="AS2228" s="15"/>
      <c r="AT2228" s="15"/>
      <c r="AU2228" s="15"/>
    </row>
    <row r="2229" ht="24.0" customHeight="1">
      <c r="A2229" s="45">
        <v>3653.0</v>
      </c>
      <c r="B2229" s="57"/>
      <c r="C2229" s="57"/>
      <c r="D2229" s="88" t="str">
        <f t="array" ref="D2229">IFERROR(
  LOOKUP(2, 1/((TRIM(IMS!$E$8:$E$2574)=TRIM(IMS!$E2229))*(IMS!$C$8:$C$2574&lt;IMS!$C2229)),
         IMS!$C$8:$C$2574),
"")</f>
        <v/>
      </c>
      <c r="E2229" s="57"/>
      <c r="F2229" s="57"/>
      <c r="G2229" s="77" t="str">
        <f t="shared" si="901"/>
        <v/>
      </c>
      <c r="H2229" s="78" t="str">
        <f t="shared" si="902"/>
        <v/>
      </c>
      <c r="I2229" s="79"/>
      <c r="J2229" s="80" t="str">
        <f t="shared" si="903"/>
        <v>#NAME?</v>
      </c>
      <c r="K2229" s="58"/>
      <c r="L2229" s="58"/>
      <c r="M2229" s="57"/>
      <c r="N2229" s="57"/>
      <c r="O2229" s="58"/>
      <c r="P2229" s="82"/>
      <c r="Q2229" s="81"/>
      <c r="R2229" s="81"/>
      <c r="S2229" s="57"/>
      <c r="T2229" s="82"/>
      <c r="U2229" s="82"/>
      <c r="V2229" s="57"/>
      <c r="W2229" s="57"/>
      <c r="X2229" s="57" t="str">
        <f t="shared" si="917"/>
        <v/>
      </c>
      <c r="Y2229" s="58" t="str">
        <f t="shared" ref="Y2229:AC2229" si="2069">TRIM(SUBSTITUTE(SUBSTITUTE(OFFSET($Q2229,0,COLUMN()-COLUMN($AL$1)),CHAR(160)," "),_xludf.UNICHAR(8239)," "))</f>
        <v>#NAME?</v>
      </c>
      <c r="Z2229" s="58" t="str">
        <f t="shared" si="2069"/>
        <v>#NAME?</v>
      </c>
      <c r="AA2229" s="58" t="str">
        <f t="shared" si="2069"/>
        <v>#NAME?</v>
      </c>
      <c r="AB2229" s="58" t="str">
        <f t="shared" si="2069"/>
        <v>#NAME?</v>
      </c>
      <c r="AC2229" s="58" t="str">
        <f t="shared" si="2069"/>
        <v>#NAME?</v>
      </c>
      <c r="AD2229" s="57">
        <f t="shared" si="906"/>
        <v>0</v>
      </c>
      <c r="AE2229" s="57" t="str">
        <f t="shared" si="907"/>
        <v/>
      </c>
      <c r="AF2229" s="57">
        <f t="shared" si="908"/>
        <v>0</v>
      </c>
      <c r="AG2229" s="59">
        <f t="shared" si="909"/>
        <v>0</v>
      </c>
      <c r="AH2229" s="15"/>
      <c r="AI2229" s="15"/>
      <c r="AJ2229" s="15"/>
      <c r="AK2229" s="15"/>
      <c r="AL2229" s="15"/>
      <c r="AM2229" s="15"/>
      <c r="AN2229" s="15"/>
      <c r="AO2229" s="15"/>
      <c r="AP2229" s="15"/>
      <c r="AQ2229" s="15"/>
      <c r="AR2229" s="15"/>
      <c r="AS2229" s="15"/>
      <c r="AT2229" s="15"/>
      <c r="AU2229" s="15"/>
    </row>
    <row r="2230" ht="24.0" customHeight="1">
      <c r="A2230" s="45">
        <v>3654.0</v>
      </c>
      <c r="B2230" s="57"/>
      <c r="C2230" s="57"/>
      <c r="D2230" s="88" t="str">
        <f t="array" ref="D2230">IFERROR(
  LOOKUP(2, 1/((TRIM(IMS!$E$8:$E$2574)=TRIM(IMS!$E2230))*(IMS!$C$8:$C$2574&lt;IMS!$C2230)),
         IMS!$C$8:$C$2574),
"")</f>
        <v/>
      </c>
      <c r="E2230" s="57"/>
      <c r="F2230" s="57"/>
      <c r="G2230" s="77" t="str">
        <f t="shared" si="901"/>
        <v/>
      </c>
      <c r="H2230" s="78" t="str">
        <f t="shared" si="902"/>
        <v/>
      </c>
      <c r="I2230" s="79"/>
      <c r="J2230" s="80" t="str">
        <f t="shared" si="903"/>
        <v>#NAME?</v>
      </c>
      <c r="K2230" s="58"/>
      <c r="L2230" s="58"/>
      <c r="M2230" s="57"/>
      <c r="N2230" s="57"/>
      <c r="O2230" s="58"/>
      <c r="P2230" s="82"/>
      <c r="Q2230" s="81"/>
      <c r="R2230" s="81"/>
      <c r="S2230" s="57"/>
      <c r="T2230" s="82"/>
      <c r="U2230" s="82"/>
      <c r="V2230" s="57"/>
      <c r="W2230" s="57"/>
      <c r="X2230" s="57" t="str">
        <f t="shared" si="917"/>
        <v/>
      </c>
      <c r="Y2230" s="58" t="str">
        <f t="shared" ref="Y2230:AC2230" si="2070">TRIM(SUBSTITUTE(SUBSTITUTE(OFFSET($Q2230,0,COLUMN()-COLUMN($AL$1)),CHAR(160)," "),_xludf.UNICHAR(8239)," "))</f>
        <v>#NAME?</v>
      </c>
      <c r="Z2230" s="58" t="str">
        <f t="shared" si="2070"/>
        <v>#NAME?</v>
      </c>
      <c r="AA2230" s="58" t="str">
        <f t="shared" si="2070"/>
        <v>#NAME?</v>
      </c>
      <c r="AB2230" s="58" t="str">
        <f t="shared" si="2070"/>
        <v>#NAME?</v>
      </c>
      <c r="AC2230" s="58" t="str">
        <f t="shared" si="2070"/>
        <v>#NAME?</v>
      </c>
      <c r="AD2230" s="57">
        <f t="shared" si="906"/>
        <v>0</v>
      </c>
      <c r="AE2230" s="57" t="str">
        <f t="shared" si="907"/>
        <v/>
      </c>
      <c r="AF2230" s="57">
        <f t="shared" si="908"/>
        <v>0</v>
      </c>
      <c r="AG2230" s="59">
        <f t="shared" si="909"/>
        <v>0</v>
      </c>
      <c r="AH2230" s="15"/>
      <c r="AI2230" s="15"/>
      <c r="AJ2230" s="15"/>
      <c r="AK2230" s="15"/>
      <c r="AL2230" s="15"/>
      <c r="AM2230" s="15"/>
      <c r="AN2230" s="15"/>
      <c r="AO2230" s="15"/>
      <c r="AP2230" s="15"/>
      <c r="AQ2230" s="15"/>
      <c r="AR2230" s="15"/>
      <c r="AS2230" s="15"/>
      <c r="AT2230" s="15"/>
      <c r="AU2230" s="15"/>
    </row>
    <row r="2231" ht="24.0" customHeight="1">
      <c r="A2231" s="45">
        <v>3655.0</v>
      </c>
      <c r="B2231" s="57"/>
      <c r="C2231" s="57"/>
      <c r="D2231" s="88" t="str">
        <f t="array" ref="D2231">IFERROR(
  LOOKUP(2, 1/((TRIM(IMS!$E$8:$E$2574)=TRIM(IMS!$E2231))*(IMS!$C$8:$C$2574&lt;IMS!$C2231)),
         IMS!$C$8:$C$2574),
"")</f>
        <v/>
      </c>
      <c r="E2231" s="57"/>
      <c r="F2231" s="57"/>
      <c r="G2231" s="77" t="str">
        <f t="shared" si="901"/>
        <v/>
      </c>
      <c r="H2231" s="78" t="str">
        <f t="shared" si="902"/>
        <v/>
      </c>
      <c r="I2231" s="79"/>
      <c r="J2231" s="80" t="str">
        <f t="shared" si="903"/>
        <v>#NAME?</v>
      </c>
      <c r="K2231" s="58"/>
      <c r="L2231" s="58"/>
      <c r="M2231" s="57"/>
      <c r="N2231" s="57"/>
      <c r="O2231" s="58"/>
      <c r="P2231" s="82"/>
      <c r="Q2231" s="81"/>
      <c r="R2231" s="81"/>
      <c r="S2231" s="57"/>
      <c r="T2231" s="82"/>
      <c r="U2231" s="82"/>
      <c r="V2231" s="57"/>
      <c r="W2231" s="57"/>
      <c r="X2231" s="57" t="str">
        <f t="shared" si="917"/>
        <v/>
      </c>
      <c r="Y2231" s="58" t="str">
        <f t="shared" ref="Y2231:AC2231" si="2071">TRIM(SUBSTITUTE(SUBSTITUTE(OFFSET($Q2231,0,COLUMN()-COLUMN($AL$1)),CHAR(160)," "),_xludf.UNICHAR(8239)," "))</f>
        <v>#NAME?</v>
      </c>
      <c r="Z2231" s="58" t="str">
        <f t="shared" si="2071"/>
        <v>#NAME?</v>
      </c>
      <c r="AA2231" s="58" t="str">
        <f t="shared" si="2071"/>
        <v>#NAME?</v>
      </c>
      <c r="AB2231" s="58" t="str">
        <f t="shared" si="2071"/>
        <v>#NAME?</v>
      </c>
      <c r="AC2231" s="58" t="str">
        <f t="shared" si="2071"/>
        <v>#NAME?</v>
      </c>
      <c r="AD2231" s="57">
        <f t="shared" si="906"/>
        <v>0</v>
      </c>
      <c r="AE2231" s="57" t="str">
        <f t="shared" si="907"/>
        <v/>
      </c>
      <c r="AF2231" s="57">
        <f t="shared" si="908"/>
        <v>0</v>
      </c>
      <c r="AG2231" s="59">
        <f t="shared" si="909"/>
        <v>0</v>
      </c>
      <c r="AH2231" s="15"/>
      <c r="AI2231" s="15"/>
      <c r="AJ2231" s="15"/>
      <c r="AK2231" s="15"/>
      <c r="AL2231" s="15"/>
      <c r="AM2231" s="15"/>
      <c r="AN2231" s="15"/>
      <c r="AO2231" s="15"/>
      <c r="AP2231" s="15"/>
      <c r="AQ2231" s="15"/>
      <c r="AR2231" s="15"/>
      <c r="AS2231" s="15"/>
      <c r="AT2231" s="15"/>
      <c r="AU2231" s="15"/>
    </row>
    <row r="2232" ht="24.0" customHeight="1">
      <c r="A2232" s="45">
        <v>3656.0</v>
      </c>
      <c r="B2232" s="57"/>
      <c r="C2232" s="57"/>
      <c r="D2232" s="88" t="str">
        <f t="array" ref="D2232">IFERROR(
  LOOKUP(2, 1/((TRIM(IMS!$E$8:$E$2574)=TRIM(IMS!$E2232))*(IMS!$C$8:$C$2574&lt;IMS!$C2232)),
         IMS!$C$8:$C$2574),
"")</f>
        <v/>
      </c>
      <c r="E2232" s="57"/>
      <c r="F2232" s="57"/>
      <c r="G2232" s="77" t="str">
        <f t="shared" si="901"/>
        <v/>
      </c>
      <c r="H2232" s="78" t="str">
        <f t="shared" si="902"/>
        <v/>
      </c>
      <c r="I2232" s="79"/>
      <c r="J2232" s="80" t="str">
        <f t="shared" si="903"/>
        <v>#NAME?</v>
      </c>
      <c r="K2232" s="58"/>
      <c r="L2232" s="58"/>
      <c r="M2232" s="57"/>
      <c r="N2232" s="57"/>
      <c r="O2232" s="58"/>
      <c r="P2232" s="82"/>
      <c r="Q2232" s="81"/>
      <c r="R2232" s="81"/>
      <c r="S2232" s="57"/>
      <c r="T2232" s="82"/>
      <c r="U2232" s="82"/>
      <c r="V2232" s="57"/>
      <c r="W2232" s="57"/>
      <c r="X2232" s="57" t="str">
        <f t="shared" si="917"/>
        <v/>
      </c>
      <c r="Y2232" s="58" t="str">
        <f t="shared" ref="Y2232:AC2232" si="2072">TRIM(SUBSTITUTE(SUBSTITUTE(OFFSET($Q2232,0,COLUMN()-COLUMN($AL$1)),CHAR(160)," "),_xludf.UNICHAR(8239)," "))</f>
        <v>#NAME?</v>
      </c>
      <c r="Z2232" s="58" t="str">
        <f t="shared" si="2072"/>
        <v>#NAME?</v>
      </c>
      <c r="AA2232" s="58" t="str">
        <f t="shared" si="2072"/>
        <v>#NAME?</v>
      </c>
      <c r="AB2232" s="58" t="str">
        <f t="shared" si="2072"/>
        <v>#NAME?</v>
      </c>
      <c r="AC2232" s="58" t="str">
        <f t="shared" si="2072"/>
        <v>#NAME?</v>
      </c>
      <c r="AD2232" s="57">
        <f t="shared" si="906"/>
        <v>0</v>
      </c>
      <c r="AE2232" s="57" t="str">
        <f t="shared" si="907"/>
        <v/>
      </c>
      <c r="AF2232" s="57">
        <f t="shared" si="908"/>
        <v>0</v>
      </c>
      <c r="AG2232" s="59">
        <f t="shared" si="909"/>
        <v>0</v>
      </c>
      <c r="AH2232" s="15"/>
      <c r="AI2232" s="15"/>
      <c r="AJ2232" s="15"/>
      <c r="AK2232" s="15"/>
      <c r="AL2232" s="15"/>
      <c r="AM2232" s="15"/>
      <c r="AN2232" s="15"/>
      <c r="AO2232" s="15"/>
      <c r="AP2232" s="15"/>
      <c r="AQ2232" s="15"/>
      <c r="AR2232" s="15"/>
      <c r="AS2232" s="15"/>
      <c r="AT2232" s="15"/>
      <c r="AU2232" s="15"/>
    </row>
    <row r="2233" ht="24.0" customHeight="1">
      <c r="A2233" s="45">
        <v>3657.0</v>
      </c>
      <c r="B2233" s="57"/>
      <c r="C2233" s="57"/>
      <c r="D2233" s="88" t="str">
        <f t="array" ref="D2233">IFERROR(
  LOOKUP(2, 1/((TRIM(IMS!$E$8:$E$2574)=TRIM(IMS!$E2233))*(IMS!$C$8:$C$2574&lt;IMS!$C2233)),
         IMS!$C$8:$C$2574),
"")</f>
        <v/>
      </c>
      <c r="E2233" s="57"/>
      <c r="F2233" s="57"/>
      <c r="G2233" s="77" t="str">
        <f t="shared" si="901"/>
        <v/>
      </c>
      <c r="H2233" s="78" t="str">
        <f t="shared" si="902"/>
        <v/>
      </c>
      <c r="I2233" s="79"/>
      <c r="J2233" s="80" t="str">
        <f t="shared" si="903"/>
        <v>#NAME?</v>
      </c>
      <c r="K2233" s="58"/>
      <c r="L2233" s="58"/>
      <c r="M2233" s="57"/>
      <c r="N2233" s="57"/>
      <c r="O2233" s="58"/>
      <c r="P2233" s="82"/>
      <c r="Q2233" s="81"/>
      <c r="R2233" s="81"/>
      <c r="S2233" s="57"/>
      <c r="T2233" s="82"/>
      <c r="U2233" s="82"/>
      <c r="V2233" s="57"/>
      <c r="W2233" s="57"/>
      <c r="X2233" s="57" t="str">
        <f t="shared" si="917"/>
        <v/>
      </c>
      <c r="Y2233" s="58" t="str">
        <f t="shared" ref="Y2233:AC2233" si="2073">TRIM(SUBSTITUTE(SUBSTITUTE(OFFSET($Q2233,0,COLUMN()-COLUMN($AL$1)),CHAR(160)," "),_xludf.UNICHAR(8239)," "))</f>
        <v>#NAME?</v>
      </c>
      <c r="Z2233" s="58" t="str">
        <f t="shared" si="2073"/>
        <v>#NAME?</v>
      </c>
      <c r="AA2233" s="58" t="str">
        <f t="shared" si="2073"/>
        <v>#NAME?</v>
      </c>
      <c r="AB2233" s="58" t="str">
        <f t="shared" si="2073"/>
        <v>#NAME?</v>
      </c>
      <c r="AC2233" s="58" t="str">
        <f t="shared" si="2073"/>
        <v>#NAME?</v>
      </c>
      <c r="AD2233" s="57">
        <f t="shared" si="906"/>
        <v>0</v>
      </c>
      <c r="AE2233" s="57" t="str">
        <f t="shared" si="907"/>
        <v/>
      </c>
      <c r="AF2233" s="57">
        <f t="shared" si="908"/>
        <v>0</v>
      </c>
      <c r="AG2233" s="59">
        <f t="shared" si="909"/>
        <v>0</v>
      </c>
      <c r="AH2233" s="15"/>
      <c r="AI2233" s="15"/>
      <c r="AJ2233" s="15"/>
      <c r="AK2233" s="15"/>
      <c r="AL2233" s="15"/>
      <c r="AM2233" s="15"/>
      <c r="AN2233" s="15"/>
      <c r="AO2233" s="15"/>
      <c r="AP2233" s="15"/>
      <c r="AQ2233" s="15"/>
      <c r="AR2233" s="15"/>
      <c r="AS2233" s="15"/>
      <c r="AT2233" s="15"/>
      <c r="AU2233" s="15"/>
    </row>
    <row r="2234" ht="24.0" customHeight="1">
      <c r="A2234" s="45">
        <v>3658.0</v>
      </c>
      <c r="B2234" s="57"/>
      <c r="C2234" s="57"/>
      <c r="D2234" s="88" t="str">
        <f t="array" ref="D2234">IFERROR(
  LOOKUP(2, 1/((TRIM(IMS!$E$8:$E$2574)=TRIM(IMS!$E2234))*(IMS!$C$8:$C$2574&lt;IMS!$C2234)),
         IMS!$C$8:$C$2574),
"")</f>
        <v/>
      </c>
      <c r="E2234" s="57"/>
      <c r="F2234" s="57"/>
      <c r="G2234" s="77" t="str">
        <f t="shared" si="901"/>
        <v/>
      </c>
      <c r="H2234" s="78" t="str">
        <f t="shared" si="902"/>
        <v/>
      </c>
      <c r="I2234" s="79"/>
      <c r="J2234" s="80" t="str">
        <f t="shared" si="903"/>
        <v>#NAME?</v>
      </c>
      <c r="K2234" s="58"/>
      <c r="L2234" s="58"/>
      <c r="M2234" s="57"/>
      <c r="N2234" s="57"/>
      <c r="O2234" s="58"/>
      <c r="P2234" s="82"/>
      <c r="Q2234" s="81"/>
      <c r="R2234" s="81"/>
      <c r="S2234" s="57"/>
      <c r="T2234" s="82"/>
      <c r="U2234" s="82"/>
      <c r="V2234" s="57"/>
      <c r="W2234" s="57"/>
      <c r="X2234" s="57" t="str">
        <f t="shared" si="917"/>
        <v/>
      </c>
      <c r="Y2234" s="58" t="str">
        <f t="shared" ref="Y2234:AC2234" si="2074">TRIM(SUBSTITUTE(SUBSTITUTE(OFFSET($Q2234,0,COLUMN()-COLUMN($AL$1)),CHAR(160)," "),_xludf.UNICHAR(8239)," "))</f>
        <v>#NAME?</v>
      </c>
      <c r="Z2234" s="58" t="str">
        <f t="shared" si="2074"/>
        <v>#NAME?</v>
      </c>
      <c r="AA2234" s="58" t="str">
        <f t="shared" si="2074"/>
        <v>#NAME?</v>
      </c>
      <c r="AB2234" s="58" t="str">
        <f t="shared" si="2074"/>
        <v>#NAME?</v>
      </c>
      <c r="AC2234" s="58" t="str">
        <f t="shared" si="2074"/>
        <v>#NAME?</v>
      </c>
      <c r="AD2234" s="57">
        <f t="shared" si="906"/>
        <v>0</v>
      </c>
      <c r="AE2234" s="57" t="str">
        <f t="shared" si="907"/>
        <v/>
      </c>
      <c r="AF2234" s="57">
        <f t="shared" si="908"/>
        <v>0</v>
      </c>
      <c r="AG2234" s="59">
        <f t="shared" si="909"/>
        <v>0</v>
      </c>
      <c r="AH2234" s="15"/>
      <c r="AI2234" s="15"/>
      <c r="AJ2234" s="15"/>
      <c r="AK2234" s="15"/>
      <c r="AL2234" s="15"/>
      <c r="AM2234" s="15"/>
      <c r="AN2234" s="15"/>
      <c r="AO2234" s="15"/>
      <c r="AP2234" s="15"/>
      <c r="AQ2234" s="15"/>
      <c r="AR2234" s="15"/>
      <c r="AS2234" s="15"/>
      <c r="AT2234" s="15"/>
      <c r="AU2234" s="15"/>
    </row>
    <row r="2235" ht="24.0" customHeight="1">
      <c r="A2235" s="45">
        <v>3659.0</v>
      </c>
      <c r="B2235" s="57"/>
      <c r="C2235" s="57"/>
      <c r="D2235" s="88" t="str">
        <f t="array" ref="D2235">IFERROR(
  LOOKUP(2, 1/((TRIM(IMS!$E$8:$E$2574)=TRIM(IMS!$E2235))*(IMS!$C$8:$C$2574&lt;IMS!$C2235)),
         IMS!$C$8:$C$2574),
"")</f>
        <v/>
      </c>
      <c r="E2235" s="57"/>
      <c r="F2235" s="57"/>
      <c r="G2235" s="77" t="str">
        <f t="shared" si="901"/>
        <v/>
      </c>
      <c r="H2235" s="78" t="str">
        <f t="shared" si="902"/>
        <v/>
      </c>
      <c r="I2235" s="79"/>
      <c r="J2235" s="80" t="str">
        <f t="shared" si="903"/>
        <v>#NAME?</v>
      </c>
      <c r="K2235" s="58"/>
      <c r="L2235" s="58"/>
      <c r="M2235" s="57"/>
      <c r="N2235" s="57"/>
      <c r="O2235" s="58"/>
      <c r="P2235" s="82"/>
      <c r="Q2235" s="81"/>
      <c r="R2235" s="81"/>
      <c r="S2235" s="57"/>
      <c r="T2235" s="82"/>
      <c r="U2235" s="82"/>
      <c r="V2235" s="57"/>
      <c r="W2235" s="57"/>
      <c r="X2235" s="57" t="str">
        <f t="shared" si="917"/>
        <v/>
      </c>
      <c r="Y2235" s="58" t="str">
        <f t="shared" ref="Y2235:AC2235" si="2075">TRIM(SUBSTITUTE(SUBSTITUTE(OFFSET($Q2235,0,COLUMN()-COLUMN($AL$1)),CHAR(160)," "),_xludf.UNICHAR(8239)," "))</f>
        <v>#NAME?</v>
      </c>
      <c r="Z2235" s="58" t="str">
        <f t="shared" si="2075"/>
        <v>#NAME?</v>
      </c>
      <c r="AA2235" s="58" t="str">
        <f t="shared" si="2075"/>
        <v>#NAME?</v>
      </c>
      <c r="AB2235" s="58" t="str">
        <f t="shared" si="2075"/>
        <v>#NAME?</v>
      </c>
      <c r="AC2235" s="58" t="str">
        <f t="shared" si="2075"/>
        <v>#NAME?</v>
      </c>
      <c r="AD2235" s="57">
        <f t="shared" si="906"/>
        <v>0</v>
      </c>
      <c r="AE2235" s="57" t="str">
        <f t="shared" si="907"/>
        <v/>
      </c>
      <c r="AF2235" s="57">
        <f t="shared" si="908"/>
        <v>0</v>
      </c>
      <c r="AG2235" s="59">
        <f t="shared" si="909"/>
        <v>0</v>
      </c>
      <c r="AH2235" s="15"/>
      <c r="AI2235" s="15"/>
      <c r="AJ2235" s="15"/>
      <c r="AK2235" s="15"/>
      <c r="AL2235" s="15"/>
      <c r="AM2235" s="15"/>
      <c r="AN2235" s="15"/>
      <c r="AO2235" s="15"/>
      <c r="AP2235" s="15"/>
      <c r="AQ2235" s="15"/>
      <c r="AR2235" s="15"/>
      <c r="AS2235" s="15"/>
      <c r="AT2235" s="15"/>
      <c r="AU2235" s="15"/>
    </row>
    <row r="2236" ht="24.0" customHeight="1">
      <c r="A2236" s="45">
        <v>3660.0</v>
      </c>
      <c r="B2236" s="57"/>
      <c r="C2236" s="57"/>
      <c r="D2236" s="88" t="str">
        <f t="array" ref="D2236">IFERROR(
  LOOKUP(2, 1/((TRIM(IMS!$E$8:$E$2574)=TRIM(IMS!$E2236))*(IMS!$C$8:$C$2574&lt;IMS!$C2236)),
         IMS!$C$8:$C$2574),
"")</f>
        <v/>
      </c>
      <c r="E2236" s="57"/>
      <c r="F2236" s="57"/>
      <c r="G2236" s="77" t="str">
        <f t="shared" si="901"/>
        <v/>
      </c>
      <c r="H2236" s="78" t="str">
        <f t="shared" si="902"/>
        <v/>
      </c>
      <c r="I2236" s="79"/>
      <c r="J2236" s="80" t="str">
        <f t="shared" si="903"/>
        <v>#NAME?</v>
      </c>
      <c r="K2236" s="58"/>
      <c r="L2236" s="58"/>
      <c r="M2236" s="57"/>
      <c r="N2236" s="57"/>
      <c r="O2236" s="58"/>
      <c r="P2236" s="82"/>
      <c r="Q2236" s="81"/>
      <c r="R2236" s="81"/>
      <c r="S2236" s="57"/>
      <c r="T2236" s="82"/>
      <c r="U2236" s="82"/>
      <c r="V2236" s="57"/>
      <c r="W2236" s="57"/>
      <c r="X2236" s="57" t="str">
        <f t="shared" si="917"/>
        <v/>
      </c>
      <c r="Y2236" s="58" t="str">
        <f t="shared" ref="Y2236:AC2236" si="2076">TRIM(SUBSTITUTE(SUBSTITUTE(OFFSET($Q2236,0,COLUMN()-COLUMN($AL$1)),CHAR(160)," "),_xludf.UNICHAR(8239)," "))</f>
        <v>#NAME?</v>
      </c>
      <c r="Z2236" s="58" t="str">
        <f t="shared" si="2076"/>
        <v>#NAME?</v>
      </c>
      <c r="AA2236" s="58" t="str">
        <f t="shared" si="2076"/>
        <v>#NAME?</v>
      </c>
      <c r="AB2236" s="58" t="str">
        <f t="shared" si="2076"/>
        <v>#NAME?</v>
      </c>
      <c r="AC2236" s="58" t="str">
        <f t="shared" si="2076"/>
        <v>#NAME?</v>
      </c>
      <c r="AD2236" s="57">
        <f t="shared" si="906"/>
        <v>0</v>
      </c>
      <c r="AE2236" s="57" t="str">
        <f t="shared" si="907"/>
        <v/>
      </c>
      <c r="AF2236" s="57">
        <f t="shared" si="908"/>
        <v>0</v>
      </c>
      <c r="AG2236" s="59">
        <f t="shared" si="909"/>
        <v>0</v>
      </c>
      <c r="AH2236" s="15"/>
      <c r="AI2236" s="15"/>
      <c r="AJ2236" s="15"/>
      <c r="AK2236" s="15"/>
      <c r="AL2236" s="15"/>
      <c r="AM2236" s="15"/>
      <c r="AN2236" s="15"/>
      <c r="AO2236" s="15"/>
      <c r="AP2236" s="15"/>
      <c r="AQ2236" s="15"/>
      <c r="AR2236" s="15"/>
      <c r="AS2236" s="15"/>
      <c r="AT2236" s="15"/>
      <c r="AU2236" s="15"/>
    </row>
    <row r="2237" ht="24.0" customHeight="1">
      <c r="A2237" s="45">
        <v>3661.0</v>
      </c>
      <c r="B2237" s="57"/>
      <c r="C2237" s="57"/>
      <c r="D2237" s="88" t="str">
        <f t="array" ref="D2237">IFERROR(
  LOOKUP(2, 1/((TRIM(IMS!$E$8:$E$2574)=TRIM(IMS!$E2237))*(IMS!$C$8:$C$2574&lt;IMS!$C2237)),
         IMS!$C$8:$C$2574),
"")</f>
        <v/>
      </c>
      <c r="E2237" s="57"/>
      <c r="F2237" s="57"/>
      <c r="G2237" s="77" t="str">
        <f t="shared" si="901"/>
        <v/>
      </c>
      <c r="H2237" s="78" t="str">
        <f t="shared" si="902"/>
        <v/>
      </c>
      <c r="I2237" s="79"/>
      <c r="J2237" s="80" t="str">
        <f t="shared" si="903"/>
        <v>#NAME?</v>
      </c>
      <c r="K2237" s="58"/>
      <c r="L2237" s="58"/>
      <c r="M2237" s="57"/>
      <c r="N2237" s="57"/>
      <c r="O2237" s="58"/>
      <c r="P2237" s="82"/>
      <c r="Q2237" s="81"/>
      <c r="R2237" s="81"/>
      <c r="S2237" s="57"/>
      <c r="T2237" s="82"/>
      <c r="U2237" s="82"/>
      <c r="V2237" s="57"/>
      <c r="W2237" s="57"/>
      <c r="X2237" s="57" t="str">
        <f t="shared" si="917"/>
        <v/>
      </c>
      <c r="Y2237" s="58" t="str">
        <f t="shared" ref="Y2237:AC2237" si="2077">TRIM(SUBSTITUTE(SUBSTITUTE(OFFSET($Q2237,0,COLUMN()-COLUMN($AL$1)),CHAR(160)," "),_xludf.UNICHAR(8239)," "))</f>
        <v>#NAME?</v>
      </c>
      <c r="Z2237" s="58" t="str">
        <f t="shared" si="2077"/>
        <v>#NAME?</v>
      </c>
      <c r="AA2237" s="58" t="str">
        <f t="shared" si="2077"/>
        <v>#NAME?</v>
      </c>
      <c r="AB2237" s="58" t="str">
        <f t="shared" si="2077"/>
        <v>#NAME?</v>
      </c>
      <c r="AC2237" s="58" t="str">
        <f t="shared" si="2077"/>
        <v>#NAME?</v>
      </c>
      <c r="AD2237" s="57">
        <f t="shared" si="906"/>
        <v>0</v>
      </c>
      <c r="AE2237" s="57" t="str">
        <f t="shared" si="907"/>
        <v/>
      </c>
      <c r="AF2237" s="57">
        <f t="shared" si="908"/>
        <v>0</v>
      </c>
      <c r="AG2237" s="59">
        <f t="shared" si="909"/>
        <v>0</v>
      </c>
      <c r="AH2237" s="15"/>
      <c r="AI2237" s="15"/>
      <c r="AJ2237" s="15"/>
      <c r="AK2237" s="15"/>
      <c r="AL2237" s="15"/>
      <c r="AM2237" s="15"/>
      <c r="AN2237" s="15"/>
      <c r="AO2237" s="15"/>
      <c r="AP2237" s="15"/>
      <c r="AQ2237" s="15"/>
      <c r="AR2237" s="15"/>
      <c r="AS2237" s="15"/>
      <c r="AT2237" s="15"/>
      <c r="AU2237" s="15"/>
    </row>
    <row r="2238" ht="24.0" customHeight="1">
      <c r="A2238" s="45">
        <v>3662.0</v>
      </c>
      <c r="B2238" s="57"/>
      <c r="C2238" s="57"/>
      <c r="D2238" s="88" t="str">
        <f t="array" ref="D2238">IFERROR(
  LOOKUP(2, 1/((TRIM(IMS!$E$8:$E$2574)=TRIM(IMS!$E2238))*(IMS!$C$8:$C$2574&lt;IMS!$C2238)),
         IMS!$C$8:$C$2574),
"")</f>
        <v/>
      </c>
      <c r="E2238" s="57"/>
      <c r="F2238" s="57"/>
      <c r="G2238" s="77" t="str">
        <f t="shared" si="901"/>
        <v/>
      </c>
      <c r="H2238" s="78" t="str">
        <f t="shared" si="902"/>
        <v/>
      </c>
      <c r="I2238" s="79"/>
      <c r="J2238" s="80" t="str">
        <f t="shared" si="903"/>
        <v>#NAME?</v>
      </c>
      <c r="K2238" s="58"/>
      <c r="L2238" s="58"/>
      <c r="M2238" s="57"/>
      <c r="N2238" s="57"/>
      <c r="O2238" s="58"/>
      <c r="P2238" s="82"/>
      <c r="Q2238" s="81"/>
      <c r="R2238" s="81"/>
      <c r="S2238" s="57"/>
      <c r="T2238" s="82"/>
      <c r="U2238" s="82"/>
      <c r="V2238" s="57"/>
      <c r="W2238" s="57"/>
      <c r="X2238" s="57" t="str">
        <f t="shared" si="917"/>
        <v/>
      </c>
      <c r="Y2238" s="58" t="str">
        <f t="shared" ref="Y2238:AC2238" si="2078">TRIM(SUBSTITUTE(SUBSTITUTE(OFFSET($Q2238,0,COLUMN()-COLUMN($AL$1)),CHAR(160)," "),_xludf.UNICHAR(8239)," "))</f>
        <v>#NAME?</v>
      </c>
      <c r="Z2238" s="58" t="str">
        <f t="shared" si="2078"/>
        <v>#NAME?</v>
      </c>
      <c r="AA2238" s="58" t="str">
        <f t="shared" si="2078"/>
        <v>#NAME?</v>
      </c>
      <c r="AB2238" s="58" t="str">
        <f t="shared" si="2078"/>
        <v>#NAME?</v>
      </c>
      <c r="AC2238" s="58" t="str">
        <f t="shared" si="2078"/>
        <v>#NAME?</v>
      </c>
      <c r="AD2238" s="57">
        <f t="shared" si="906"/>
        <v>0</v>
      </c>
      <c r="AE2238" s="57" t="str">
        <f t="shared" si="907"/>
        <v/>
      </c>
      <c r="AF2238" s="57">
        <f t="shared" si="908"/>
        <v>0</v>
      </c>
      <c r="AG2238" s="59">
        <f t="shared" si="909"/>
        <v>0</v>
      </c>
      <c r="AH2238" s="15"/>
      <c r="AI2238" s="15"/>
      <c r="AJ2238" s="15"/>
      <c r="AK2238" s="15"/>
      <c r="AL2238" s="15"/>
      <c r="AM2238" s="15"/>
      <c r="AN2238" s="15"/>
      <c r="AO2238" s="15"/>
      <c r="AP2238" s="15"/>
      <c r="AQ2238" s="15"/>
      <c r="AR2238" s="15"/>
      <c r="AS2238" s="15"/>
      <c r="AT2238" s="15"/>
      <c r="AU2238" s="15"/>
    </row>
    <row r="2239" ht="24.0" customHeight="1">
      <c r="A2239" s="45">
        <v>3663.0</v>
      </c>
      <c r="B2239" s="57"/>
      <c r="C2239" s="57"/>
      <c r="D2239" s="88" t="str">
        <f t="array" ref="D2239">IFERROR(
  LOOKUP(2, 1/((TRIM(IMS!$E$8:$E$2574)=TRIM(IMS!$E2239))*(IMS!$C$8:$C$2574&lt;IMS!$C2239)),
         IMS!$C$8:$C$2574),
"")</f>
        <v/>
      </c>
      <c r="E2239" s="57"/>
      <c r="F2239" s="57"/>
      <c r="G2239" s="77" t="str">
        <f t="shared" si="901"/>
        <v/>
      </c>
      <c r="H2239" s="78" t="str">
        <f t="shared" si="902"/>
        <v/>
      </c>
      <c r="I2239" s="79"/>
      <c r="J2239" s="80" t="str">
        <f t="shared" si="903"/>
        <v>#NAME?</v>
      </c>
      <c r="K2239" s="58"/>
      <c r="L2239" s="58"/>
      <c r="M2239" s="57"/>
      <c r="N2239" s="57"/>
      <c r="O2239" s="58"/>
      <c r="P2239" s="82"/>
      <c r="Q2239" s="81"/>
      <c r="R2239" s="81"/>
      <c r="S2239" s="57"/>
      <c r="T2239" s="82"/>
      <c r="U2239" s="82"/>
      <c r="V2239" s="57"/>
      <c r="W2239" s="57"/>
      <c r="X2239" s="57" t="str">
        <f t="shared" si="917"/>
        <v/>
      </c>
      <c r="Y2239" s="58" t="str">
        <f t="shared" ref="Y2239:AC2239" si="2079">TRIM(SUBSTITUTE(SUBSTITUTE(OFFSET($Q2239,0,COLUMN()-COLUMN($AL$1)),CHAR(160)," "),_xludf.UNICHAR(8239)," "))</f>
        <v>#NAME?</v>
      </c>
      <c r="Z2239" s="58" t="str">
        <f t="shared" si="2079"/>
        <v>#NAME?</v>
      </c>
      <c r="AA2239" s="58" t="str">
        <f t="shared" si="2079"/>
        <v>#NAME?</v>
      </c>
      <c r="AB2239" s="58" t="str">
        <f t="shared" si="2079"/>
        <v>#NAME?</v>
      </c>
      <c r="AC2239" s="58" t="str">
        <f t="shared" si="2079"/>
        <v>#NAME?</v>
      </c>
      <c r="AD2239" s="57">
        <f t="shared" si="906"/>
        <v>0</v>
      </c>
      <c r="AE2239" s="57" t="str">
        <f t="shared" si="907"/>
        <v/>
      </c>
      <c r="AF2239" s="57">
        <f t="shared" si="908"/>
        <v>0</v>
      </c>
      <c r="AG2239" s="59">
        <f t="shared" si="909"/>
        <v>0</v>
      </c>
      <c r="AH2239" s="15"/>
      <c r="AI2239" s="15"/>
      <c r="AJ2239" s="15"/>
      <c r="AK2239" s="15"/>
      <c r="AL2239" s="15"/>
      <c r="AM2239" s="15"/>
      <c r="AN2239" s="15"/>
      <c r="AO2239" s="15"/>
      <c r="AP2239" s="15"/>
      <c r="AQ2239" s="15"/>
      <c r="AR2239" s="15"/>
      <c r="AS2239" s="15"/>
      <c r="AT2239" s="15"/>
      <c r="AU2239" s="15"/>
    </row>
    <row r="2240" ht="24.0" customHeight="1">
      <c r="A2240" s="45">
        <v>3664.0</v>
      </c>
      <c r="B2240" s="57"/>
      <c r="C2240" s="57"/>
      <c r="D2240" s="88" t="str">
        <f t="array" ref="D2240">IFERROR(
  LOOKUP(2, 1/((TRIM(IMS!$E$8:$E$2574)=TRIM(IMS!$E2240))*(IMS!$C$8:$C$2574&lt;IMS!$C2240)),
         IMS!$C$8:$C$2574),
"")</f>
        <v/>
      </c>
      <c r="E2240" s="57"/>
      <c r="F2240" s="57"/>
      <c r="G2240" s="77" t="str">
        <f t="shared" si="901"/>
        <v/>
      </c>
      <c r="H2240" s="78" t="str">
        <f t="shared" si="902"/>
        <v/>
      </c>
      <c r="I2240" s="79"/>
      <c r="J2240" s="80" t="str">
        <f t="shared" si="903"/>
        <v>#NAME?</v>
      </c>
      <c r="K2240" s="58"/>
      <c r="L2240" s="58"/>
      <c r="M2240" s="57"/>
      <c r="N2240" s="57"/>
      <c r="O2240" s="58"/>
      <c r="P2240" s="82"/>
      <c r="Q2240" s="81"/>
      <c r="R2240" s="81"/>
      <c r="S2240" s="57"/>
      <c r="T2240" s="82"/>
      <c r="U2240" s="82"/>
      <c r="V2240" s="57"/>
      <c r="W2240" s="57"/>
      <c r="X2240" s="57" t="str">
        <f t="shared" si="917"/>
        <v/>
      </c>
      <c r="Y2240" s="58" t="str">
        <f t="shared" ref="Y2240:AC2240" si="2080">TRIM(SUBSTITUTE(SUBSTITUTE(OFFSET($Q2240,0,COLUMN()-COLUMN($AL$1)),CHAR(160)," "),_xludf.UNICHAR(8239)," "))</f>
        <v>#NAME?</v>
      </c>
      <c r="Z2240" s="58" t="str">
        <f t="shared" si="2080"/>
        <v>#NAME?</v>
      </c>
      <c r="AA2240" s="58" t="str">
        <f t="shared" si="2080"/>
        <v>#NAME?</v>
      </c>
      <c r="AB2240" s="58" t="str">
        <f t="shared" si="2080"/>
        <v>#NAME?</v>
      </c>
      <c r="AC2240" s="58" t="str">
        <f t="shared" si="2080"/>
        <v>#NAME?</v>
      </c>
      <c r="AD2240" s="57">
        <f t="shared" si="906"/>
        <v>0</v>
      </c>
      <c r="AE2240" s="57" t="str">
        <f t="shared" si="907"/>
        <v/>
      </c>
      <c r="AF2240" s="57">
        <f t="shared" si="908"/>
        <v>0</v>
      </c>
      <c r="AG2240" s="59">
        <f t="shared" si="909"/>
        <v>0</v>
      </c>
      <c r="AH2240" s="15"/>
      <c r="AI2240" s="15"/>
      <c r="AJ2240" s="15"/>
      <c r="AK2240" s="15"/>
      <c r="AL2240" s="15"/>
      <c r="AM2240" s="15"/>
      <c r="AN2240" s="15"/>
      <c r="AO2240" s="15"/>
      <c r="AP2240" s="15"/>
      <c r="AQ2240" s="15"/>
      <c r="AR2240" s="15"/>
      <c r="AS2240" s="15"/>
      <c r="AT2240" s="15"/>
      <c r="AU2240" s="15"/>
    </row>
    <row r="2241" ht="24.0" customHeight="1">
      <c r="A2241" s="45">
        <v>3665.0</v>
      </c>
      <c r="B2241" s="57"/>
      <c r="C2241" s="57"/>
      <c r="D2241" s="88" t="str">
        <f t="array" ref="D2241">IFERROR(
  LOOKUP(2, 1/((TRIM(IMS!$E$8:$E$2574)=TRIM(IMS!$E2241))*(IMS!$C$8:$C$2574&lt;IMS!$C2241)),
         IMS!$C$8:$C$2574),
"")</f>
        <v/>
      </c>
      <c r="E2241" s="57"/>
      <c r="F2241" s="57"/>
      <c r="G2241" s="77" t="str">
        <f t="shared" si="901"/>
        <v/>
      </c>
      <c r="H2241" s="78" t="str">
        <f t="shared" si="902"/>
        <v/>
      </c>
      <c r="I2241" s="79"/>
      <c r="J2241" s="80" t="str">
        <f t="shared" si="903"/>
        <v>#NAME?</v>
      </c>
      <c r="K2241" s="58"/>
      <c r="L2241" s="58"/>
      <c r="M2241" s="57"/>
      <c r="N2241" s="57"/>
      <c r="O2241" s="58"/>
      <c r="P2241" s="82"/>
      <c r="Q2241" s="81"/>
      <c r="R2241" s="81"/>
      <c r="S2241" s="57"/>
      <c r="T2241" s="82"/>
      <c r="U2241" s="82"/>
      <c r="V2241" s="57"/>
      <c r="W2241" s="57"/>
      <c r="X2241" s="57" t="str">
        <f t="shared" si="917"/>
        <v/>
      </c>
      <c r="Y2241" s="58" t="str">
        <f t="shared" ref="Y2241:AC2241" si="2081">TRIM(SUBSTITUTE(SUBSTITUTE(OFFSET($Q2241,0,COLUMN()-COLUMN($AL$1)),CHAR(160)," "),_xludf.UNICHAR(8239)," "))</f>
        <v>#NAME?</v>
      </c>
      <c r="Z2241" s="58" t="str">
        <f t="shared" si="2081"/>
        <v>#NAME?</v>
      </c>
      <c r="AA2241" s="58" t="str">
        <f t="shared" si="2081"/>
        <v>#NAME?</v>
      </c>
      <c r="AB2241" s="58" t="str">
        <f t="shared" si="2081"/>
        <v>#NAME?</v>
      </c>
      <c r="AC2241" s="58" t="str">
        <f t="shared" si="2081"/>
        <v>#NAME?</v>
      </c>
      <c r="AD2241" s="57">
        <f t="shared" si="906"/>
        <v>0</v>
      </c>
      <c r="AE2241" s="57" t="str">
        <f t="shared" si="907"/>
        <v/>
      </c>
      <c r="AF2241" s="57">
        <f t="shared" si="908"/>
        <v>0</v>
      </c>
      <c r="AG2241" s="59">
        <f t="shared" si="909"/>
        <v>0</v>
      </c>
      <c r="AH2241" s="15"/>
      <c r="AI2241" s="15"/>
      <c r="AJ2241" s="15"/>
      <c r="AK2241" s="15"/>
      <c r="AL2241" s="15"/>
      <c r="AM2241" s="15"/>
      <c r="AN2241" s="15"/>
      <c r="AO2241" s="15"/>
      <c r="AP2241" s="15"/>
      <c r="AQ2241" s="15"/>
      <c r="AR2241" s="15"/>
      <c r="AS2241" s="15"/>
      <c r="AT2241" s="15"/>
      <c r="AU2241" s="15"/>
    </row>
    <row r="2242" ht="24.0" customHeight="1">
      <c r="A2242" s="45">
        <v>3666.0</v>
      </c>
      <c r="B2242" s="57"/>
      <c r="C2242" s="57"/>
      <c r="D2242" s="88" t="str">
        <f t="array" ref="D2242">IFERROR(
  LOOKUP(2, 1/((TRIM(IMS!$E$8:$E$2574)=TRIM(IMS!$E2242))*(IMS!$C$8:$C$2574&lt;IMS!$C2242)),
         IMS!$C$8:$C$2574),
"")</f>
        <v/>
      </c>
      <c r="E2242" s="57"/>
      <c r="F2242" s="57"/>
      <c r="G2242" s="77" t="str">
        <f t="shared" si="901"/>
        <v/>
      </c>
      <c r="H2242" s="78" t="str">
        <f t="shared" si="902"/>
        <v/>
      </c>
      <c r="I2242" s="79"/>
      <c r="J2242" s="80" t="str">
        <f t="shared" si="903"/>
        <v>#NAME?</v>
      </c>
      <c r="K2242" s="58"/>
      <c r="L2242" s="58"/>
      <c r="M2242" s="57"/>
      <c r="N2242" s="57"/>
      <c r="O2242" s="58"/>
      <c r="P2242" s="82"/>
      <c r="Q2242" s="81"/>
      <c r="R2242" s="81"/>
      <c r="S2242" s="57"/>
      <c r="T2242" s="82"/>
      <c r="U2242" s="82"/>
      <c r="V2242" s="57"/>
      <c r="W2242" s="57"/>
      <c r="X2242" s="57" t="str">
        <f t="shared" si="917"/>
        <v/>
      </c>
      <c r="Y2242" s="58" t="str">
        <f t="shared" ref="Y2242:AC2242" si="2082">TRIM(SUBSTITUTE(SUBSTITUTE(OFFSET($Q2242,0,COLUMN()-COLUMN($AL$1)),CHAR(160)," "),_xludf.UNICHAR(8239)," "))</f>
        <v>#NAME?</v>
      </c>
      <c r="Z2242" s="58" t="str">
        <f t="shared" si="2082"/>
        <v>#NAME?</v>
      </c>
      <c r="AA2242" s="58" t="str">
        <f t="shared" si="2082"/>
        <v>#NAME?</v>
      </c>
      <c r="AB2242" s="58" t="str">
        <f t="shared" si="2082"/>
        <v>#NAME?</v>
      </c>
      <c r="AC2242" s="58" t="str">
        <f t="shared" si="2082"/>
        <v>#NAME?</v>
      </c>
      <c r="AD2242" s="57">
        <f t="shared" si="906"/>
        <v>0</v>
      </c>
      <c r="AE2242" s="57" t="str">
        <f t="shared" si="907"/>
        <v/>
      </c>
      <c r="AF2242" s="57">
        <f t="shared" si="908"/>
        <v>0</v>
      </c>
      <c r="AG2242" s="59">
        <f t="shared" si="909"/>
        <v>0</v>
      </c>
      <c r="AH2242" s="15"/>
      <c r="AI2242" s="15"/>
      <c r="AJ2242" s="15"/>
      <c r="AK2242" s="15"/>
      <c r="AL2242" s="15"/>
      <c r="AM2242" s="15"/>
      <c r="AN2242" s="15"/>
      <c r="AO2242" s="15"/>
      <c r="AP2242" s="15"/>
      <c r="AQ2242" s="15"/>
      <c r="AR2242" s="15"/>
      <c r="AS2242" s="15"/>
      <c r="AT2242" s="15"/>
      <c r="AU2242" s="15"/>
    </row>
    <row r="2243" ht="24.0" customHeight="1">
      <c r="A2243" s="45">
        <v>3667.0</v>
      </c>
      <c r="B2243" s="57"/>
      <c r="C2243" s="57"/>
      <c r="D2243" s="88" t="str">
        <f t="array" ref="D2243">IFERROR(
  LOOKUP(2, 1/((TRIM(IMS!$E$8:$E$2574)=TRIM(IMS!$E2243))*(IMS!$C$8:$C$2574&lt;IMS!$C2243)),
         IMS!$C$8:$C$2574),
"")</f>
        <v/>
      </c>
      <c r="E2243" s="57"/>
      <c r="F2243" s="57"/>
      <c r="G2243" s="77" t="str">
        <f t="shared" si="901"/>
        <v/>
      </c>
      <c r="H2243" s="78" t="str">
        <f t="shared" si="902"/>
        <v/>
      </c>
      <c r="I2243" s="79"/>
      <c r="J2243" s="80" t="str">
        <f t="shared" si="903"/>
        <v>#NAME?</v>
      </c>
      <c r="K2243" s="58"/>
      <c r="L2243" s="58"/>
      <c r="M2243" s="57"/>
      <c r="N2243" s="57"/>
      <c r="O2243" s="58"/>
      <c r="P2243" s="82"/>
      <c r="Q2243" s="81"/>
      <c r="R2243" s="81"/>
      <c r="S2243" s="57"/>
      <c r="T2243" s="82"/>
      <c r="U2243" s="82"/>
      <c r="V2243" s="57"/>
      <c r="W2243" s="57"/>
      <c r="X2243" s="57" t="str">
        <f t="shared" si="917"/>
        <v/>
      </c>
      <c r="Y2243" s="58" t="str">
        <f t="shared" ref="Y2243:AC2243" si="2083">TRIM(SUBSTITUTE(SUBSTITUTE(OFFSET($Q2243,0,COLUMN()-COLUMN($AL$1)),CHAR(160)," "),_xludf.UNICHAR(8239)," "))</f>
        <v>#NAME?</v>
      </c>
      <c r="Z2243" s="58" t="str">
        <f t="shared" si="2083"/>
        <v>#NAME?</v>
      </c>
      <c r="AA2243" s="58" t="str">
        <f t="shared" si="2083"/>
        <v>#NAME?</v>
      </c>
      <c r="AB2243" s="58" t="str">
        <f t="shared" si="2083"/>
        <v>#NAME?</v>
      </c>
      <c r="AC2243" s="58" t="str">
        <f t="shared" si="2083"/>
        <v>#NAME?</v>
      </c>
      <c r="AD2243" s="57">
        <f t="shared" si="906"/>
        <v>0</v>
      </c>
      <c r="AE2243" s="57" t="str">
        <f t="shared" si="907"/>
        <v/>
      </c>
      <c r="AF2243" s="57">
        <f t="shared" si="908"/>
        <v>0</v>
      </c>
      <c r="AG2243" s="59">
        <f t="shared" si="909"/>
        <v>0</v>
      </c>
      <c r="AH2243" s="15"/>
      <c r="AI2243" s="15"/>
      <c r="AJ2243" s="15"/>
      <c r="AK2243" s="15"/>
      <c r="AL2243" s="15"/>
      <c r="AM2243" s="15"/>
      <c r="AN2243" s="15"/>
      <c r="AO2243" s="15"/>
      <c r="AP2243" s="15"/>
      <c r="AQ2243" s="15"/>
      <c r="AR2243" s="15"/>
      <c r="AS2243" s="15"/>
      <c r="AT2243" s="15"/>
      <c r="AU2243" s="15"/>
    </row>
    <row r="2244" ht="24.0" customHeight="1">
      <c r="A2244" s="45">
        <v>3668.0</v>
      </c>
      <c r="B2244" s="57"/>
      <c r="C2244" s="57"/>
      <c r="D2244" s="88" t="str">
        <f t="array" ref="D2244">IFERROR(
  LOOKUP(2, 1/((TRIM(IMS!$E$8:$E$2574)=TRIM(IMS!$E2244))*(IMS!$C$8:$C$2574&lt;IMS!$C2244)),
         IMS!$C$8:$C$2574),
"")</f>
        <v/>
      </c>
      <c r="E2244" s="57"/>
      <c r="F2244" s="57"/>
      <c r="G2244" s="77" t="str">
        <f t="shared" si="901"/>
        <v/>
      </c>
      <c r="H2244" s="78" t="str">
        <f t="shared" si="902"/>
        <v/>
      </c>
      <c r="I2244" s="79"/>
      <c r="J2244" s="80" t="str">
        <f t="shared" si="903"/>
        <v>#NAME?</v>
      </c>
      <c r="K2244" s="58"/>
      <c r="L2244" s="58"/>
      <c r="M2244" s="57"/>
      <c r="N2244" s="57"/>
      <c r="O2244" s="58"/>
      <c r="P2244" s="82"/>
      <c r="Q2244" s="81"/>
      <c r="R2244" s="81"/>
      <c r="S2244" s="57"/>
      <c r="T2244" s="82"/>
      <c r="U2244" s="82"/>
      <c r="V2244" s="57"/>
      <c r="W2244" s="57"/>
      <c r="X2244" s="57" t="str">
        <f t="shared" si="917"/>
        <v/>
      </c>
      <c r="Y2244" s="58" t="str">
        <f t="shared" ref="Y2244:AC2244" si="2084">TRIM(SUBSTITUTE(SUBSTITUTE(OFFSET($Q2244,0,COLUMN()-COLUMN($AL$1)),CHAR(160)," "),_xludf.UNICHAR(8239)," "))</f>
        <v>#NAME?</v>
      </c>
      <c r="Z2244" s="58" t="str">
        <f t="shared" si="2084"/>
        <v>#NAME?</v>
      </c>
      <c r="AA2244" s="58" t="str">
        <f t="shared" si="2084"/>
        <v>#NAME?</v>
      </c>
      <c r="AB2244" s="58" t="str">
        <f t="shared" si="2084"/>
        <v>#NAME?</v>
      </c>
      <c r="AC2244" s="58" t="str">
        <f t="shared" si="2084"/>
        <v>#NAME?</v>
      </c>
      <c r="AD2244" s="57">
        <f t="shared" si="906"/>
        <v>0</v>
      </c>
      <c r="AE2244" s="57" t="str">
        <f t="shared" si="907"/>
        <v/>
      </c>
      <c r="AF2244" s="57">
        <f t="shared" si="908"/>
        <v>0</v>
      </c>
      <c r="AG2244" s="59">
        <f t="shared" si="909"/>
        <v>0</v>
      </c>
      <c r="AH2244" s="15"/>
      <c r="AI2244" s="15"/>
      <c r="AJ2244" s="15"/>
      <c r="AK2244" s="15"/>
      <c r="AL2244" s="15"/>
      <c r="AM2244" s="15"/>
      <c r="AN2244" s="15"/>
      <c r="AO2244" s="15"/>
      <c r="AP2244" s="15"/>
      <c r="AQ2244" s="15"/>
      <c r="AR2244" s="15"/>
      <c r="AS2244" s="15"/>
      <c r="AT2244" s="15"/>
      <c r="AU2244" s="15"/>
    </row>
    <row r="2245" ht="24.0" customHeight="1">
      <c r="A2245" s="45">
        <v>3669.0</v>
      </c>
      <c r="B2245" s="57"/>
      <c r="C2245" s="57"/>
      <c r="D2245" s="88" t="str">
        <f t="array" ref="D2245">IFERROR(
  LOOKUP(2, 1/((TRIM(IMS!$E$8:$E$2574)=TRIM(IMS!$E2245))*(IMS!$C$8:$C$2574&lt;IMS!$C2245)),
         IMS!$C$8:$C$2574),
"")</f>
        <v/>
      </c>
      <c r="E2245" s="57"/>
      <c r="F2245" s="57"/>
      <c r="G2245" s="77" t="str">
        <f t="shared" si="901"/>
        <v/>
      </c>
      <c r="H2245" s="78" t="str">
        <f t="shared" si="902"/>
        <v/>
      </c>
      <c r="I2245" s="79"/>
      <c r="J2245" s="80" t="str">
        <f t="shared" si="903"/>
        <v>#NAME?</v>
      </c>
      <c r="K2245" s="58"/>
      <c r="L2245" s="58"/>
      <c r="M2245" s="57"/>
      <c r="N2245" s="57"/>
      <c r="O2245" s="58"/>
      <c r="P2245" s="82"/>
      <c r="Q2245" s="81"/>
      <c r="R2245" s="81"/>
      <c r="S2245" s="57"/>
      <c r="T2245" s="82"/>
      <c r="U2245" s="82"/>
      <c r="V2245" s="57"/>
      <c r="W2245" s="57"/>
      <c r="X2245" s="57" t="str">
        <f t="shared" si="917"/>
        <v/>
      </c>
      <c r="Y2245" s="58" t="str">
        <f t="shared" ref="Y2245:AC2245" si="2085">TRIM(SUBSTITUTE(SUBSTITUTE(OFFSET($Q2245,0,COLUMN()-COLUMN($AL$1)),CHAR(160)," "),_xludf.UNICHAR(8239)," "))</f>
        <v>#NAME?</v>
      </c>
      <c r="Z2245" s="58" t="str">
        <f t="shared" si="2085"/>
        <v>#NAME?</v>
      </c>
      <c r="AA2245" s="58" t="str">
        <f t="shared" si="2085"/>
        <v>#NAME?</v>
      </c>
      <c r="AB2245" s="58" t="str">
        <f t="shared" si="2085"/>
        <v>#NAME?</v>
      </c>
      <c r="AC2245" s="58" t="str">
        <f t="shared" si="2085"/>
        <v>#NAME?</v>
      </c>
      <c r="AD2245" s="57">
        <f t="shared" si="906"/>
        <v>0</v>
      </c>
      <c r="AE2245" s="57" t="str">
        <f t="shared" si="907"/>
        <v/>
      </c>
      <c r="AF2245" s="57">
        <f t="shared" si="908"/>
        <v>0</v>
      </c>
      <c r="AG2245" s="59">
        <f t="shared" si="909"/>
        <v>0</v>
      </c>
      <c r="AH2245" s="15"/>
      <c r="AI2245" s="15"/>
      <c r="AJ2245" s="15"/>
      <c r="AK2245" s="15"/>
      <c r="AL2245" s="15"/>
      <c r="AM2245" s="15"/>
      <c r="AN2245" s="15"/>
      <c r="AO2245" s="15"/>
      <c r="AP2245" s="15"/>
      <c r="AQ2245" s="15"/>
      <c r="AR2245" s="15"/>
      <c r="AS2245" s="15"/>
      <c r="AT2245" s="15"/>
      <c r="AU2245" s="15"/>
    </row>
    <row r="2246" ht="24.0" customHeight="1">
      <c r="A2246" s="45">
        <v>3670.0</v>
      </c>
      <c r="B2246" s="57"/>
      <c r="C2246" s="57"/>
      <c r="D2246" s="88" t="str">
        <f t="array" ref="D2246">IFERROR(
  LOOKUP(2, 1/((TRIM(IMS!$E$8:$E$2574)=TRIM(IMS!$E2246))*(IMS!$C$8:$C$2574&lt;IMS!$C2246)),
         IMS!$C$8:$C$2574),
"")</f>
        <v/>
      </c>
      <c r="E2246" s="57"/>
      <c r="F2246" s="57"/>
      <c r="G2246" s="77" t="str">
        <f t="shared" si="901"/>
        <v/>
      </c>
      <c r="H2246" s="78" t="str">
        <f t="shared" si="902"/>
        <v/>
      </c>
      <c r="I2246" s="79"/>
      <c r="J2246" s="80" t="str">
        <f t="shared" si="903"/>
        <v>#NAME?</v>
      </c>
      <c r="K2246" s="58"/>
      <c r="L2246" s="58"/>
      <c r="M2246" s="57"/>
      <c r="N2246" s="57"/>
      <c r="O2246" s="58"/>
      <c r="P2246" s="82"/>
      <c r="Q2246" s="81"/>
      <c r="R2246" s="81"/>
      <c r="S2246" s="57"/>
      <c r="T2246" s="82"/>
      <c r="U2246" s="82"/>
      <c r="V2246" s="57"/>
      <c r="W2246" s="57"/>
      <c r="X2246" s="57" t="str">
        <f t="shared" si="917"/>
        <v/>
      </c>
      <c r="Y2246" s="58" t="str">
        <f t="shared" ref="Y2246:AC2246" si="2086">TRIM(SUBSTITUTE(SUBSTITUTE(OFFSET($Q2246,0,COLUMN()-COLUMN($AL$1)),CHAR(160)," "),_xludf.UNICHAR(8239)," "))</f>
        <v>#NAME?</v>
      </c>
      <c r="Z2246" s="58" t="str">
        <f t="shared" si="2086"/>
        <v>#NAME?</v>
      </c>
      <c r="AA2246" s="58" t="str">
        <f t="shared" si="2086"/>
        <v>#NAME?</v>
      </c>
      <c r="AB2246" s="58" t="str">
        <f t="shared" si="2086"/>
        <v>#NAME?</v>
      </c>
      <c r="AC2246" s="58" t="str">
        <f t="shared" si="2086"/>
        <v>#NAME?</v>
      </c>
      <c r="AD2246" s="57">
        <f t="shared" si="906"/>
        <v>0</v>
      </c>
      <c r="AE2246" s="57" t="str">
        <f t="shared" si="907"/>
        <v/>
      </c>
      <c r="AF2246" s="57">
        <f t="shared" si="908"/>
        <v>0</v>
      </c>
      <c r="AG2246" s="59">
        <f t="shared" si="909"/>
        <v>0</v>
      </c>
      <c r="AH2246" s="15"/>
      <c r="AI2246" s="15"/>
      <c r="AJ2246" s="15"/>
      <c r="AK2246" s="15"/>
      <c r="AL2246" s="15"/>
      <c r="AM2246" s="15"/>
      <c r="AN2246" s="15"/>
      <c r="AO2246" s="15"/>
      <c r="AP2246" s="15"/>
      <c r="AQ2246" s="15"/>
      <c r="AR2246" s="15"/>
      <c r="AS2246" s="15"/>
      <c r="AT2246" s="15"/>
      <c r="AU2246" s="15"/>
    </row>
    <row r="2247" ht="24.0" customHeight="1">
      <c r="A2247" s="45">
        <v>3671.0</v>
      </c>
      <c r="B2247" s="57"/>
      <c r="C2247" s="57"/>
      <c r="D2247" s="88" t="str">
        <f t="array" ref="D2247">IFERROR(
  LOOKUP(2, 1/((TRIM(IMS!$E$8:$E$2574)=TRIM(IMS!$E2247))*(IMS!$C$8:$C$2574&lt;IMS!$C2247)),
         IMS!$C$8:$C$2574),
"")</f>
        <v/>
      </c>
      <c r="E2247" s="57"/>
      <c r="F2247" s="57"/>
      <c r="G2247" s="77" t="str">
        <f t="shared" si="901"/>
        <v/>
      </c>
      <c r="H2247" s="78" t="str">
        <f t="shared" si="902"/>
        <v/>
      </c>
      <c r="I2247" s="79"/>
      <c r="J2247" s="80" t="str">
        <f t="shared" si="903"/>
        <v>#NAME?</v>
      </c>
      <c r="K2247" s="58"/>
      <c r="L2247" s="58"/>
      <c r="M2247" s="57"/>
      <c r="N2247" s="57"/>
      <c r="O2247" s="58"/>
      <c r="P2247" s="82"/>
      <c r="Q2247" s="81"/>
      <c r="R2247" s="81"/>
      <c r="S2247" s="57"/>
      <c r="T2247" s="82"/>
      <c r="U2247" s="82"/>
      <c r="V2247" s="57"/>
      <c r="W2247" s="57"/>
      <c r="X2247" s="57" t="str">
        <f t="shared" si="917"/>
        <v/>
      </c>
      <c r="Y2247" s="58" t="str">
        <f t="shared" ref="Y2247:AC2247" si="2087">TRIM(SUBSTITUTE(SUBSTITUTE(OFFSET($Q2247,0,COLUMN()-COLUMN($AL$1)),CHAR(160)," "),_xludf.UNICHAR(8239)," "))</f>
        <v>#NAME?</v>
      </c>
      <c r="Z2247" s="58" t="str">
        <f t="shared" si="2087"/>
        <v>#NAME?</v>
      </c>
      <c r="AA2247" s="58" t="str">
        <f t="shared" si="2087"/>
        <v>#NAME?</v>
      </c>
      <c r="AB2247" s="58" t="str">
        <f t="shared" si="2087"/>
        <v>#NAME?</v>
      </c>
      <c r="AC2247" s="58" t="str">
        <f t="shared" si="2087"/>
        <v>#NAME?</v>
      </c>
      <c r="AD2247" s="57">
        <f t="shared" si="906"/>
        <v>0</v>
      </c>
      <c r="AE2247" s="57" t="str">
        <f t="shared" si="907"/>
        <v/>
      </c>
      <c r="AF2247" s="57">
        <f t="shared" si="908"/>
        <v>0</v>
      </c>
      <c r="AG2247" s="59">
        <f t="shared" si="909"/>
        <v>0</v>
      </c>
      <c r="AH2247" s="15"/>
      <c r="AI2247" s="15"/>
      <c r="AJ2247" s="15"/>
      <c r="AK2247" s="15"/>
      <c r="AL2247" s="15"/>
      <c r="AM2247" s="15"/>
      <c r="AN2247" s="15"/>
      <c r="AO2247" s="15"/>
      <c r="AP2247" s="15"/>
      <c r="AQ2247" s="15"/>
      <c r="AR2247" s="15"/>
      <c r="AS2247" s="15"/>
      <c r="AT2247" s="15"/>
      <c r="AU2247" s="15"/>
    </row>
    <row r="2248" ht="24.0" customHeight="1">
      <c r="A2248" s="45">
        <v>3672.0</v>
      </c>
      <c r="B2248" s="57"/>
      <c r="C2248" s="57"/>
      <c r="D2248" s="88" t="str">
        <f t="array" ref="D2248">IFERROR(
  LOOKUP(2, 1/((TRIM(IMS!$E$8:$E$2574)=TRIM(IMS!$E2248))*(IMS!$C$8:$C$2574&lt;IMS!$C2248)),
         IMS!$C$8:$C$2574),
"")</f>
        <v/>
      </c>
      <c r="E2248" s="57"/>
      <c r="F2248" s="57"/>
      <c r="G2248" s="77" t="str">
        <f t="shared" si="901"/>
        <v/>
      </c>
      <c r="H2248" s="78" t="str">
        <f t="shared" si="902"/>
        <v/>
      </c>
      <c r="I2248" s="79"/>
      <c r="J2248" s="80" t="str">
        <f t="shared" si="903"/>
        <v>#NAME?</v>
      </c>
      <c r="K2248" s="58"/>
      <c r="L2248" s="58"/>
      <c r="M2248" s="57"/>
      <c r="N2248" s="57"/>
      <c r="O2248" s="58"/>
      <c r="P2248" s="82"/>
      <c r="Q2248" s="81"/>
      <c r="R2248" s="81"/>
      <c r="S2248" s="57"/>
      <c r="T2248" s="82"/>
      <c r="U2248" s="82"/>
      <c r="V2248" s="57"/>
      <c r="W2248" s="57"/>
      <c r="X2248" s="57" t="str">
        <f t="shared" si="917"/>
        <v/>
      </c>
      <c r="Y2248" s="58" t="str">
        <f t="shared" ref="Y2248:AC2248" si="2088">TRIM(SUBSTITUTE(SUBSTITUTE(OFFSET($Q2248,0,COLUMN()-COLUMN($AL$1)),CHAR(160)," "),_xludf.UNICHAR(8239)," "))</f>
        <v>#NAME?</v>
      </c>
      <c r="Z2248" s="58" t="str">
        <f t="shared" si="2088"/>
        <v>#NAME?</v>
      </c>
      <c r="AA2248" s="58" t="str">
        <f t="shared" si="2088"/>
        <v>#NAME?</v>
      </c>
      <c r="AB2248" s="58" t="str">
        <f t="shared" si="2088"/>
        <v>#NAME?</v>
      </c>
      <c r="AC2248" s="58" t="str">
        <f t="shared" si="2088"/>
        <v>#NAME?</v>
      </c>
      <c r="AD2248" s="57">
        <f t="shared" si="906"/>
        <v>0</v>
      </c>
      <c r="AE2248" s="57" t="str">
        <f t="shared" si="907"/>
        <v/>
      </c>
      <c r="AF2248" s="57">
        <f t="shared" si="908"/>
        <v>0</v>
      </c>
      <c r="AG2248" s="59">
        <f t="shared" si="909"/>
        <v>0</v>
      </c>
      <c r="AH2248" s="15"/>
      <c r="AI2248" s="15"/>
      <c r="AJ2248" s="15"/>
      <c r="AK2248" s="15"/>
      <c r="AL2248" s="15"/>
      <c r="AM2248" s="15"/>
      <c r="AN2248" s="15"/>
      <c r="AO2248" s="15"/>
      <c r="AP2248" s="15"/>
      <c r="AQ2248" s="15"/>
      <c r="AR2248" s="15"/>
      <c r="AS2248" s="15"/>
      <c r="AT2248" s="15"/>
      <c r="AU2248" s="15"/>
    </row>
    <row r="2249" ht="24.0" customHeight="1">
      <c r="A2249" s="45">
        <v>3673.0</v>
      </c>
      <c r="B2249" s="57"/>
      <c r="C2249" s="57"/>
      <c r="D2249" s="88" t="str">
        <f t="array" ref="D2249">IFERROR(
  LOOKUP(2, 1/((TRIM(IMS!$E$8:$E$2574)=TRIM(IMS!$E2249))*(IMS!$C$8:$C$2574&lt;IMS!$C2249)),
         IMS!$C$8:$C$2574),
"")</f>
        <v/>
      </c>
      <c r="E2249" s="57"/>
      <c r="F2249" s="57"/>
      <c r="G2249" s="77" t="str">
        <f t="shared" si="901"/>
        <v/>
      </c>
      <c r="H2249" s="78" t="str">
        <f t="shared" si="902"/>
        <v/>
      </c>
      <c r="I2249" s="79"/>
      <c r="J2249" s="80" t="str">
        <f t="shared" si="903"/>
        <v>#NAME?</v>
      </c>
      <c r="K2249" s="58"/>
      <c r="L2249" s="58"/>
      <c r="M2249" s="57"/>
      <c r="N2249" s="57"/>
      <c r="O2249" s="58"/>
      <c r="P2249" s="82"/>
      <c r="Q2249" s="81"/>
      <c r="R2249" s="81"/>
      <c r="S2249" s="57"/>
      <c r="T2249" s="82"/>
      <c r="U2249" s="82"/>
      <c r="V2249" s="57"/>
      <c r="W2249" s="57"/>
      <c r="X2249" s="57" t="str">
        <f t="shared" si="917"/>
        <v/>
      </c>
      <c r="Y2249" s="58" t="str">
        <f t="shared" ref="Y2249:AC2249" si="2089">TRIM(SUBSTITUTE(SUBSTITUTE(OFFSET($Q2249,0,COLUMN()-COLUMN($AL$1)),CHAR(160)," "),_xludf.UNICHAR(8239)," "))</f>
        <v>#NAME?</v>
      </c>
      <c r="Z2249" s="58" t="str">
        <f t="shared" si="2089"/>
        <v>#NAME?</v>
      </c>
      <c r="AA2249" s="58" t="str">
        <f t="shared" si="2089"/>
        <v>#NAME?</v>
      </c>
      <c r="AB2249" s="58" t="str">
        <f t="shared" si="2089"/>
        <v>#NAME?</v>
      </c>
      <c r="AC2249" s="58" t="str">
        <f t="shared" si="2089"/>
        <v>#NAME?</v>
      </c>
      <c r="AD2249" s="57">
        <f t="shared" si="906"/>
        <v>0</v>
      </c>
      <c r="AE2249" s="57" t="str">
        <f t="shared" si="907"/>
        <v/>
      </c>
      <c r="AF2249" s="57">
        <f t="shared" si="908"/>
        <v>0</v>
      </c>
      <c r="AG2249" s="59">
        <f t="shared" si="909"/>
        <v>0</v>
      </c>
      <c r="AH2249" s="15"/>
      <c r="AI2249" s="15"/>
      <c r="AJ2249" s="15"/>
      <c r="AK2249" s="15"/>
      <c r="AL2249" s="15"/>
      <c r="AM2249" s="15"/>
      <c r="AN2249" s="15"/>
      <c r="AO2249" s="15"/>
      <c r="AP2249" s="15"/>
      <c r="AQ2249" s="15"/>
      <c r="AR2249" s="15"/>
      <c r="AS2249" s="15"/>
      <c r="AT2249" s="15"/>
      <c r="AU2249" s="15"/>
    </row>
    <row r="2250" ht="24.0" customHeight="1">
      <c r="A2250" s="45">
        <v>3674.0</v>
      </c>
      <c r="B2250" s="57"/>
      <c r="C2250" s="57"/>
      <c r="D2250" s="88" t="str">
        <f t="array" ref="D2250">IFERROR(
  LOOKUP(2, 1/((TRIM(IMS!$E$8:$E$2574)=TRIM(IMS!$E2250))*(IMS!$C$8:$C$2574&lt;IMS!$C2250)),
         IMS!$C$8:$C$2574),
"")</f>
        <v/>
      </c>
      <c r="E2250" s="57"/>
      <c r="F2250" s="57"/>
      <c r="G2250" s="77" t="str">
        <f t="shared" si="901"/>
        <v/>
      </c>
      <c r="H2250" s="78" t="str">
        <f t="shared" si="902"/>
        <v/>
      </c>
      <c r="I2250" s="79"/>
      <c r="J2250" s="80" t="str">
        <f t="shared" si="903"/>
        <v>#NAME?</v>
      </c>
      <c r="K2250" s="58"/>
      <c r="L2250" s="58"/>
      <c r="M2250" s="57"/>
      <c r="N2250" s="57"/>
      <c r="O2250" s="58"/>
      <c r="P2250" s="82"/>
      <c r="Q2250" s="81"/>
      <c r="R2250" s="81"/>
      <c r="S2250" s="57"/>
      <c r="T2250" s="82"/>
      <c r="U2250" s="82"/>
      <c r="V2250" s="57"/>
      <c r="W2250" s="57"/>
      <c r="X2250" s="57" t="str">
        <f t="shared" si="917"/>
        <v/>
      </c>
      <c r="Y2250" s="58" t="str">
        <f t="shared" ref="Y2250:AC2250" si="2090">TRIM(SUBSTITUTE(SUBSTITUTE(OFFSET($Q2250,0,COLUMN()-COLUMN($AL$1)),CHAR(160)," "),_xludf.UNICHAR(8239)," "))</f>
        <v>#NAME?</v>
      </c>
      <c r="Z2250" s="58" t="str">
        <f t="shared" si="2090"/>
        <v>#NAME?</v>
      </c>
      <c r="AA2250" s="58" t="str">
        <f t="shared" si="2090"/>
        <v>#NAME?</v>
      </c>
      <c r="AB2250" s="58" t="str">
        <f t="shared" si="2090"/>
        <v>#NAME?</v>
      </c>
      <c r="AC2250" s="58" t="str">
        <f t="shared" si="2090"/>
        <v>#NAME?</v>
      </c>
      <c r="AD2250" s="57">
        <f t="shared" si="906"/>
        <v>0</v>
      </c>
      <c r="AE2250" s="57" t="str">
        <f t="shared" si="907"/>
        <v/>
      </c>
      <c r="AF2250" s="57">
        <f t="shared" si="908"/>
        <v>0</v>
      </c>
      <c r="AG2250" s="59">
        <f t="shared" si="909"/>
        <v>0</v>
      </c>
      <c r="AH2250" s="15"/>
      <c r="AI2250" s="15"/>
      <c r="AJ2250" s="15"/>
      <c r="AK2250" s="15"/>
      <c r="AL2250" s="15"/>
      <c r="AM2250" s="15"/>
      <c r="AN2250" s="15"/>
      <c r="AO2250" s="15"/>
      <c r="AP2250" s="15"/>
      <c r="AQ2250" s="15"/>
      <c r="AR2250" s="15"/>
      <c r="AS2250" s="15"/>
      <c r="AT2250" s="15"/>
      <c r="AU2250" s="15"/>
    </row>
    <row r="2251" ht="24.0" customHeight="1">
      <c r="A2251" s="45">
        <v>3675.0</v>
      </c>
      <c r="B2251" s="57"/>
      <c r="C2251" s="57"/>
      <c r="D2251" s="88" t="str">
        <f t="array" ref="D2251">IFERROR(
  LOOKUP(2, 1/((TRIM(IMS!$E$8:$E$2574)=TRIM(IMS!$E2251))*(IMS!$C$8:$C$2574&lt;IMS!$C2251)),
         IMS!$C$8:$C$2574),
"")</f>
        <v/>
      </c>
      <c r="E2251" s="57"/>
      <c r="F2251" s="57"/>
      <c r="G2251" s="77" t="str">
        <f t="shared" si="901"/>
        <v/>
      </c>
      <c r="H2251" s="78" t="str">
        <f t="shared" si="902"/>
        <v/>
      </c>
      <c r="I2251" s="79"/>
      <c r="J2251" s="80" t="str">
        <f t="shared" si="903"/>
        <v>#NAME?</v>
      </c>
      <c r="K2251" s="58"/>
      <c r="L2251" s="58"/>
      <c r="M2251" s="57"/>
      <c r="N2251" s="57"/>
      <c r="O2251" s="58"/>
      <c r="P2251" s="82"/>
      <c r="Q2251" s="81"/>
      <c r="R2251" s="81"/>
      <c r="S2251" s="57"/>
      <c r="T2251" s="82"/>
      <c r="U2251" s="82"/>
      <c r="V2251" s="57"/>
      <c r="W2251" s="57"/>
      <c r="X2251" s="57" t="str">
        <f t="shared" si="917"/>
        <v/>
      </c>
      <c r="Y2251" s="58" t="str">
        <f t="shared" ref="Y2251:AC2251" si="2091">TRIM(SUBSTITUTE(SUBSTITUTE(OFFSET($Q2251,0,COLUMN()-COLUMN($AL$1)),CHAR(160)," "),_xludf.UNICHAR(8239)," "))</f>
        <v>#NAME?</v>
      </c>
      <c r="Z2251" s="58" t="str">
        <f t="shared" si="2091"/>
        <v>#NAME?</v>
      </c>
      <c r="AA2251" s="58" t="str">
        <f t="shared" si="2091"/>
        <v>#NAME?</v>
      </c>
      <c r="AB2251" s="58" t="str">
        <f t="shared" si="2091"/>
        <v>#NAME?</v>
      </c>
      <c r="AC2251" s="58" t="str">
        <f t="shared" si="2091"/>
        <v>#NAME?</v>
      </c>
      <c r="AD2251" s="57">
        <f t="shared" si="906"/>
        <v>0</v>
      </c>
      <c r="AE2251" s="57" t="str">
        <f t="shared" si="907"/>
        <v/>
      </c>
      <c r="AF2251" s="57">
        <f t="shared" si="908"/>
        <v>0</v>
      </c>
      <c r="AG2251" s="59">
        <f t="shared" si="909"/>
        <v>0</v>
      </c>
      <c r="AH2251" s="15"/>
      <c r="AI2251" s="15"/>
      <c r="AJ2251" s="15"/>
      <c r="AK2251" s="15"/>
      <c r="AL2251" s="15"/>
      <c r="AM2251" s="15"/>
      <c r="AN2251" s="15"/>
      <c r="AO2251" s="15"/>
      <c r="AP2251" s="15"/>
      <c r="AQ2251" s="15"/>
      <c r="AR2251" s="15"/>
      <c r="AS2251" s="15"/>
      <c r="AT2251" s="15"/>
      <c r="AU2251" s="15"/>
    </row>
    <row r="2252" ht="24.0" customHeight="1">
      <c r="A2252" s="45">
        <v>3676.0</v>
      </c>
      <c r="B2252" s="57"/>
      <c r="C2252" s="57"/>
      <c r="D2252" s="88" t="str">
        <f t="array" ref="D2252">IFERROR(
  LOOKUP(2, 1/((TRIM(IMS!$E$8:$E$2574)=TRIM(IMS!$E2252))*(IMS!$C$8:$C$2574&lt;IMS!$C2252)),
         IMS!$C$8:$C$2574),
"")</f>
        <v/>
      </c>
      <c r="E2252" s="57"/>
      <c r="F2252" s="57"/>
      <c r="G2252" s="77" t="str">
        <f t="shared" si="901"/>
        <v/>
      </c>
      <c r="H2252" s="78" t="str">
        <f t="shared" si="902"/>
        <v/>
      </c>
      <c r="I2252" s="79"/>
      <c r="J2252" s="80" t="str">
        <f t="shared" si="903"/>
        <v>#NAME?</v>
      </c>
      <c r="K2252" s="58"/>
      <c r="L2252" s="58"/>
      <c r="M2252" s="57"/>
      <c r="N2252" s="57"/>
      <c r="O2252" s="58"/>
      <c r="P2252" s="82"/>
      <c r="Q2252" s="81"/>
      <c r="R2252" s="81"/>
      <c r="S2252" s="57"/>
      <c r="T2252" s="82"/>
      <c r="U2252" s="82"/>
      <c r="V2252" s="57"/>
      <c r="W2252" s="57"/>
      <c r="X2252" s="57" t="str">
        <f t="shared" si="917"/>
        <v/>
      </c>
      <c r="Y2252" s="58" t="str">
        <f t="shared" ref="Y2252:AC2252" si="2092">TRIM(SUBSTITUTE(SUBSTITUTE(OFFSET($Q2252,0,COLUMN()-COLUMN($AL$1)),CHAR(160)," "),_xludf.UNICHAR(8239)," "))</f>
        <v>#NAME?</v>
      </c>
      <c r="Z2252" s="58" t="str">
        <f t="shared" si="2092"/>
        <v>#NAME?</v>
      </c>
      <c r="AA2252" s="58" t="str">
        <f t="shared" si="2092"/>
        <v>#NAME?</v>
      </c>
      <c r="AB2252" s="58" t="str">
        <f t="shared" si="2092"/>
        <v>#NAME?</v>
      </c>
      <c r="AC2252" s="58" t="str">
        <f t="shared" si="2092"/>
        <v>#NAME?</v>
      </c>
      <c r="AD2252" s="57">
        <f t="shared" si="906"/>
        <v>0</v>
      </c>
      <c r="AE2252" s="57" t="str">
        <f t="shared" si="907"/>
        <v/>
      </c>
      <c r="AF2252" s="57">
        <f t="shared" si="908"/>
        <v>0</v>
      </c>
      <c r="AG2252" s="59">
        <f t="shared" si="909"/>
        <v>0</v>
      </c>
      <c r="AH2252" s="15"/>
      <c r="AI2252" s="15"/>
      <c r="AJ2252" s="15"/>
      <c r="AK2252" s="15"/>
      <c r="AL2252" s="15"/>
      <c r="AM2252" s="15"/>
      <c r="AN2252" s="15"/>
      <c r="AO2252" s="15"/>
      <c r="AP2252" s="15"/>
      <c r="AQ2252" s="15"/>
      <c r="AR2252" s="15"/>
      <c r="AS2252" s="15"/>
      <c r="AT2252" s="15"/>
      <c r="AU2252" s="15"/>
    </row>
    <row r="2253" ht="24.0" customHeight="1">
      <c r="A2253" s="45">
        <v>3677.0</v>
      </c>
      <c r="B2253" s="57"/>
      <c r="C2253" s="57"/>
      <c r="D2253" s="88" t="str">
        <f t="array" ref="D2253">IFERROR(
  LOOKUP(2, 1/((TRIM(IMS!$E$8:$E$2574)=TRIM(IMS!$E2253))*(IMS!$C$8:$C$2574&lt;IMS!$C2253)),
         IMS!$C$8:$C$2574),
"")</f>
        <v/>
      </c>
      <c r="E2253" s="57"/>
      <c r="F2253" s="57"/>
      <c r="G2253" s="77" t="str">
        <f t="shared" si="901"/>
        <v/>
      </c>
      <c r="H2253" s="78" t="str">
        <f t="shared" si="902"/>
        <v/>
      </c>
      <c r="I2253" s="79"/>
      <c r="J2253" s="80" t="str">
        <f t="shared" si="903"/>
        <v>#NAME?</v>
      </c>
      <c r="K2253" s="58"/>
      <c r="L2253" s="58"/>
      <c r="M2253" s="57"/>
      <c r="N2253" s="57"/>
      <c r="O2253" s="58"/>
      <c r="P2253" s="82"/>
      <c r="Q2253" s="81"/>
      <c r="R2253" s="81"/>
      <c r="S2253" s="57"/>
      <c r="T2253" s="82"/>
      <c r="U2253" s="82"/>
      <c r="V2253" s="57"/>
      <c r="W2253" s="57"/>
      <c r="X2253" s="57" t="str">
        <f t="shared" si="917"/>
        <v/>
      </c>
      <c r="Y2253" s="58" t="str">
        <f t="shared" ref="Y2253:AC2253" si="2093">TRIM(SUBSTITUTE(SUBSTITUTE(OFFSET($Q2253,0,COLUMN()-COLUMN($AL$1)),CHAR(160)," "),_xludf.UNICHAR(8239)," "))</f>
        <v>#NAME?</v>
      </c>
      <c r="Z2253" s="58" t="str">
        <f t="shared" si="2093"/>
        <v>#NAME?</v>
      </c>
      <c r="AA2253" s="58" t="str">
        <f t="shared" si="2093"/>
        <v>#NAME?</v>
      </c>
      <c r="AB2253" s="58" t="str">
        <f t="shared" si="2093"/>
        <v>#NAME?</v>
      </c>
      <c r="AC2253" s="58" t="str">
        <f t="shared" si="2093"/>
        <v>#NAME?</v>
      </c>
      <c r="AD2253" s="57">
        <f t="shared" si="906"/>
        <v>0</v>
      </c>
      <c r="AE2253" s="57" t="str">
        <f t="shared" si="907"/>
        <v/>
      </c>
      <c r="AF2253" s="57">
        <f t="shared" si="908"/>
        <v>0</v>
      </c>
      <c r="AG2253" s="59">
        <f t="shared" si="909"/>
        <v>0</v>
      </c>
      <c r="AH2253" s="15"/>
      <c r="AI2253" s="15"/>
      <c r="AJ2253" s="15"/>
      <c r="AK2253" s="15"/>
      <c r="AL2253" s="15"/>
      <c r="AM2253" s="15"/>
      <c r="AN2253" s="15"/>
      <c r="AO2253" s="15"/>
      <c r="AP2253" s="15"/>
      <c r="AQ2253" s="15"/>
      <c r="AR2253" s="15"/>
      <c r="AS2253" s="15"/>
      <c r="AT2253" s="15"/>
      <c r="AU2253" s="15"/>
    </row>
    <row r="2254" ht="24.0" customHeight="1">
      <c r="A2254" s="45">
        <v>3678.0</v>
      </c>
      <c r="B2254" s="57"/>
      <c r="C2254" s="57"/>
      <c r="D2254" s="88" t="str">
        <f t="array" ref="D2254">IFERROR(
  LOOKUP(2, 1/((TRIM(IMS!$E$8:$E$2574)=TRIM(IMS!$E2254))*(IMS!$C$8:$C$2574&lt;IMS!$C2254)),
         IMS!$C$8:$C$2574),
"")</f>
        <v/>
      </c>
      <c r="E2254" s="57"/>
      <c r="F2254" s="57"/>
      <c r="G2254" s="77" t="str">
        <f t="shared" si="901"/>
        <v/>
      </c>
      <c r="H2254" s="78" t="str">
        <f t="shared" si="902"/>
        <v/>
      </c>
      <c r="I2254" s="79"/>
      <c r="J2254" s="80" t="str">
        <f t="shared" si="903"/>
        <v>#NAME?</v>
      </c>
      <c r="K2254" s="58"/>
      <c r="L2254" s="58"/>
      <c r="M2254" s="57"/>
      <c r="N2254" s="57"/>
      <c r="O2254" s="58"/>
      <c r="P2254" s="82"/>
      <c r="Q2254" s="81"/>
      <c r="R2254" s="81"/>
      <c r="S2254" s="57"/>
      <c r="T2254" s="82"/>
      <c r="U2254" s="82"/>
      <c r="V2254" s="57"/>
      <c r="W2254" s="57"/>
      <c r="X2254" s="57" t="str">
        <f t="shared" si="917"/>
        <v/>
      </c>
      <c r="Y2254" s="58" t="str">
        <f t="shared" ref="Y2254:AC2254" si="2094">TRIM(SUBSTITUTE(SUBSTITUTE(OFFSET($Q2254,0,COLUMN()-COLUMN($AL$1)),CHAR(160)," "),_xludf.UNICHAR(8239)," "))</f>
        <v>#NAME?</v>
      </c>
      <c r="Z2254" s="58" t="str">
        <f t="shared" si="2094"/>
        <v>#NAME?</v>
      </c>
      <c r="AA2254" s="58" t="str">
        <f t="shared" si="2094"/>
        <v>#NAME?</v>
      </c>
      <c r="AB2254" s="58" t="str">
        <f t="shared" si="2094"/>
        <v>#NAME?</v>
      </c>
      <c r="AC2254" s="58" t="str">
        <f t="shared" si="2094"/>
        <v>#NAME?</v>
      </c>
      <c r="AD2254" s="57">
        <f t="shared" si="906"/>
        <v>0</v>
      </c>
      <c r="AE2254" s="57" t="str">
        <f t="shared" si="907"/>
        <v/>
      </c>
      <c r="AF2254" s="57">
        <f t="shared" si="908"/>
        <v>0</v>
      </c>
      <c r="AG2254" s="59">
        <f t="shared" si="909"/>
        <v>0</v>
      </c>
      <c r="AH2254" s="15"/>
      <c r="AI2254" s="15"/>
      <c r="AJ2254" s="15"/>
      <c r="AK2254" s="15"/>
      <c r="AL2254" s="15"/>
      <c r="AM2254" s="15"/>
      <c r="AN2254" s="15"/>
      <c r="AO2254" s="15"/>
      <c r="AP2254" s="15"/>
      <c r="AQ2254" s="15"/>
      <c r="AR2254" s="15"/>
      <c r="AS2254" s="15"/>
      <c r="AT2254" s="15"/>
      <c r="AU2254" s="15"/>
    </row>
    <row r="2255" ht="24.0" customHeight="1">
      <c r="A2255" s="45">
        <v>3679.0</v>
      </c>
      <c r="B2255" s="57"/>
      <c r="C2255" s="57"/>
      <c r="D2255" s="88" t="str">
        <f t="array" ref="D2255">IFERROR(
  LOOKUP(2, 1/((TRIM(IMS!$E$8:$E$2574)=TRIM(IMS!$E2255))*(IMS!$C$8:$C$2574&lt;IMS!$C2255)),
         IMS!$C$8:$C$2574),
"")</f>
        <v/>
      </c>
      <c r="E2255" s="57"/>
      <c r="F2255" s="57"/>
      <c r="G2255" s="77" t="str">
        <f t="shared" si="901"/>
        <v/>
      </c>
      <c r="H2255" s="78" t="str">
        <f t="shared" si="902"/>
        <v/>
      </c>
      <c r="I2255" s="79"/>
      <c r="J2255" s="80" t="str">
        <f t="shared" si="903"/>
        <v>#NAME?</v>
      </c>
      <c r="K2255" s="58"/>
      <c r="L2255" s="58"/>
      <c r="M2255" s="57"/>
      <c r="N2255" s="57"/>
      <c r="O2255" s="58"/>
      <c r="P2255" s="82"/>
      <c r="Q2255" s="81"/>
      <c r="R2255" s="81"/>
      <c r="S2255" s="57"/>
      <c r="T2255" s="82"/>
      <c r="U2255" s="82"/>
      <c r="V2255" s="57"/>
      <c r="W2255" s="57"/>
      <c r="X2255" s="57" t="str">
        <f t="shared" si="917"/>
        <v/>
      </c>
      <c r="Y2255" s="58" t="str">
        <f t="shared" ref="Y2255:AC2255" si="2095">TRIM(SUBSTITUTE(SUBSTITUTE(OFFSET($Q2255,0,COLUMN()-COLUMN($AL$1)),CHAR(160)," "),_xludf.UNICHAR(8239)," "))</f>
        <v>#NAME?</v>
      </c>
      <c r="Z2255" s="58" t="str">
        <f t="shared" si="2095"/>
        <v>#NAME?</v>
      </c>
      <c r="AA2255" s="58" t="str">
        <f t="shared" si="2095"/>
        <v>#NAME?</v>
      </c>
      <c r="AB2255" s="58" t="str">
        <f t="shared" si="2095"/>
        <v>#NAME?</v>
      </c>
      <c r="AC2255" s="58" t="str">
        <f t="shared" si="2095"/>
        <v>#NAME?</v>
      </c>
      <c r="AD2255" s="57">
        <f t="shared" si="906"/>
        <v>0</v>
      </c>
      <c r="AE2255" s="57" t="str">
        <f t="shared" si="907"/>
        <v/>
      </c>
      <c r="AF2255" s="57">
        <f t="shared" si="908"/>
        <v>0</v>
      </c>
      <c r="AG2255" s="59">
        <f t="shared" si="909"/>
        <v>0</v>
      </c>
      <c r="AH2255" s="15"/>
      <c r="AI2255" s="15"/>
      <c r="AJ2255" s="15"/>
      <c r="AK2255" s="15"/>
      <c r="AL2255" s="15"/>
      <c r="AM2255" s="15"/>
      <c r="AN2255" s="15"/>
      <c r="AO2255" s="15"/>
      <c r="AP2255" s="15"/>
      <c r="AQ2255" s="15"/>
      <c r="AR2255" s="15"/>
      <c r="AS2255" s="15"/>
      <c r="AT2255" s="15"/>
      <c r="AU2255" s="15"/>
    </row>
    <row r="2256" ht="24.0" customHeight="1">
      <c r="A2256" s="45">
        <v>3680.0</v>
      </c>
      <c r="B2256" s="57"/>
      <c r="C2256" s="57"/>
      <c r="D2256" s="88" t="str">
        <f t="array" ref="D2256">IFERROR(
  LOOKUP(2, 1/((TRIM(IMS!$E$8:$E$2574)=TRIM(IMS!$E2256))*(IMS!$C$8:$C$2574&lt;IMS!$C2256)),
         IMS!$C$8:$C$2574),
"")</f>
        <v/>
      </c>
      <c r="E2256" s="57"/>
      <c r="F2256" s="57"/>
      <c r="G2256" s="77" t="str">
        <f t="shared" si="901"/>
        <v/>
      </c>
      <c r="H2256" s="78" t="str">
        <f t="shared" si="902"/>
        <v/>
      </c>
      <c r="I2256" s="79"/>
      <c r="J2256" s="80" t="str">
        <f t="shared" si="903"/>
        <v>#NAME?</v>
      </c>
      <c r="K2256" s="58"/>
      <c r="L2256" s="58"/>
      <c r="M2256" s="57"/>
      <c r="N2256" s="57"/>
      <c r="O2256" s="58"/>
      <c r="P2256" s="82"/>
      <c r="Q2256" s="81"/>
      <c r="R2256" s="81"/>
      <c r="S2256" s="57"/>
      <c r="T2256" s="82"/>
      <c r="U2256" s="82"/>
      <c r="V2256" s="57"/>
      <c r="W2256" s="57"/>
      <c r="X2256" s="57" t="str">
        <f t="shared" si="917"/>
        <v/>
      </c>
      <c r="Y2256" s="58" t="str">
        <f t="shared" ref="Y2256:AC2256" si="2096">TRIM(SUBSTITUTE(SUBSTITUTE(OFFSET($Q2256,0,COLUMN()-COLUMN($AL$1)),CHAR(160)," "),_xludf.UNICHAR(8239)," "))</f>
        <v>#NAME?</v>
      </c>
      <c r="Z2256" s="58" t="str">
        <f t="shared" si="2096"/>
        <v>#NAME?</v>
      </c>
      <c r="AA2256" s="58" t="str">
        <f t="shared" si="2096"/>
        <v>#NAME?</v>
      </c>
      <c r="AB2256" s="58" t="str">
        <f t="shared" si="2096"/>
        <v>#NAME?</v>
      </c>
      <c r="AC2256" s="58" t="str">
        <f t="shared" si="2096"/>
        <v>#NAME?</v>
      </c>
      <c r="AD2256" s="57">
        <f t="shared" si="906"/>
        <v>0</v>
      </c>
      <c r="AE2256" s="57" t="str">
        <f t="shared" si="907"/>
        <v/>
      </c>
      <c r="AF2256" s="57">
        <f t="shared" si="908"/>
        <v>0</v>
      </c>
      <c r="AG2256" s="59">
        <f t="shared" si="909"/>
        <v>0</v>
      </c>
      <c r="AH2256" s="15"/>
      <c r="AI2256" s="15"/>
      <c r="AJ2256" s="15"/>
      <c r="AK2256" s="15"/>
      <c r="AL2256" s="15"/>
      <c r="AM2256" s="15"/>
      <c r="AN2256" s="15"/>
      <c r="AO2256" s="15"/>
      <c r="AP2256" s="15"/>
      <c r="AQ2256" s="15"/>
      <c r="AR2256" s="15"/>
      <c r="AS2256" s="15"/>
      <c r="AT2256" s="15"/>
      <c r="AU2256" s="15"/>
    </row>
    <row r="2257" ht="24.0" customHeight="1">
      <c r="A2257" s="45">
        <v>3681.0</v>
      </c>
      <c r="B2257" s="57"/>
      <c r="C2257" s="57"/>
      <c r="D2257" s="88" t="str">
        <f t="array" ref="D2257">IFERROR(
  LOOKUP(2, 1/((TRIM(IMS!$E$8:$E$2574)=TRIM(IMS!$E2257))*(IMS!$C$8:$C$2574&lt;IMS!$C2257)),
         IMS!$C$8:$C$2574),
"")</f>
        <v/>
      </c>
      <c r="E2257" s="57"/>
      <c r="F2257" s="57"/>
      <c r="G2257" s="77" t="str">
        <f t="shared" si="901"/>
        <v/>
      </c>
      <c r="H2257" s="78" t="str">
        <f t="shared" si="902"/>
        <v/>
      </c>
      <c r="I2257" s="79"/>
      <c r="J2257" s="80" t="str">
        <f t="shared" si="903"/>
        <v>#NAME?</v>
      </c>
      <c r="K2257" s="58"/>
      <c r="L2257" s="58"/>
      <c r="M2257" s="57"/>
      <c r="N2257" s="57"/>
      <c r="O2257" s="58"/>
      <c r="P2257" s="82"/>
      <c r="Q2257" s="81"/>
      <c r="R2257" s="81"/>
      <c r="S2257" s="57"/>
      <c r="T2257" s="82"/>
      <c r="U2257" s="82"/>
      <c r="V2257" s="57"/>
      <c r="W2257" s="57"/>
      <c r="X2257" s="57" t="str">
        <f t="shared" si="917"/>
        <v/>
      </c>
      <c r="Y2257" s="58" t="str">
        <f t="shared" ref="Y2257:AC2257" si="2097">TRIM(SUBSTITUTE(SUBSTITUTE(OFFSET($Q2257,0,COLUMN()-COLUMN($AL$1)),CHAR(160)," "),_xludf.UNICHAR(8239)," "))</f>
        <v>#NAME?</v>
      </c>
      <c r="Z2257" s="58" t="str">
        <f t="shared" si="2097"/>
        <v>#NAME?</v>
      </c>
      <c r="AA2257" s="58" t="str">
        <f t="shared" si="2097"/>
        <v>#NAME?</v>
      </c>
      <c r="AB2257" s="58" t="str">
        <f t="shared" si="2097"/>
        <v>#NAME?</v>
      </c>
      <c r="AC2257" s="58" t="str">
        <f t="shared" si="2097"/>
        <v>#NAME?</v>
      </c>
      <c r="AD2257" s="57">
        <f t="shared" si="906"/>
        <v>0</v>
      </c>
      <c r="AE2257" s="57" t="str">
        <f t="shared" si="907"/>
        <v/>
      </c>
      <c r="AF2257" s="57">
        <f t="shared" si="908"/>
        <v>0</v>
      </c>
      <c r="AG2257" s="59">
        <f t="shared" si="909"/>
        <v>0</v>
      </c>
      <c r="AH2257" s="15"/>
      <c r="AI2257" s="15"/>
      <c r="AJ2257" s="15"/>
      <c r="AK2257" s="15"/>
      <c r="AL2257" s="15"/>
      <c r="AM2257" s="15"/>
      <c r="AN2257" s="15"/>
      <c r="AO2257" s="15"/>
      <c r="AP2257" s="15"/>
      <c r="AQ2257" s="15"/>
      <c r="AR2257" s="15"/>
      <c r="AS2257" s="15"/>
      <c r="AT2257" s="15"/>
      <c r="AU2257" s="15"/>
    </row>
    <row r="2258" ht="24.0" customHeight="1">
      <c r="A2258" s="45">
        <v>3682.0</v>
      </c>
      <c r="B2258" s="57"/>
      <c r="C2258" s="57"/>
      <c r="D2258" s="88" t="str">
        <f t="array" ref="D2258">IFERROR(
  LOOKUP(2, 1/((TRIM(IMS!$E$8:$E$2574)=TRIM(IMS!$E2258))*(IMS!$C$8:$C$2574&lt;IMS!$C2258)),
         IMS!$C$8:$C$2574),
"")</f>
        <v/>
      </c>
      <c r="E2258" s="57"/>
      <c r="F2258" s="57"/>
      <c r="G2258" s="77" t="str">
        <f t="shared" si="901"/>
        <v/>
      </c>
      <c r="H2258" s="78" t="str">
        <f t="shared" si="902"/>
        <v/>
      </c>
      <c r="I2258" s="79"/>
      <c r="J2258" s="80" t="str">
        <f t="shared" si="903"/>
        <v>#NAME?</v>
      </c>
      <c r="K2258" s="58"/>
      <c r="L2258" s="58"/>
      <c r="M2258" s="57"/>
      <c r="N2258" s="57"/>
      <c r="O2258" s="58"/>
      <c r="P2258" s="82"/>
      <c r="Q2258" s="81"/>
      <c r="R2258" s="81"/>
      <c r="S2258" s="57"/>
      <c r="T2258" s="82"/>
      <c r="U2258" s="82"/>
      <c r="V2258" s="57"/>
      <c r="W2258" s="57"/>
      <c r="X2258" s="57" t="str">
        <f t="shared" si="917"/>
        <v/>
      </c>
      <c r="Y2258" s="58" t="str">
        <f t="shared" ref="Y2258:AC2258" si="2098">TRIM(SUBSTITUTE(SUBSTITUTE(OFFSET($Q2258,0,COLUMN()-COLUMN($AL$1)),CHAR(160)," "),_xludf.UNICHAR(8239)," "))</f>
        <v>#NAME?</v>
      </c>
      <c r="Z2258" s="58" t="str">
        <f t="shared" si="2098"/>
        <v>#NAME?</v>
      </c>
      <c r="AA2258" s="58" t="str">
        <f t="shared" si="2098"/>
        <v>#NAME?</v>
      </c>
      <c r="AB2258" s="58" t="str">
        <f t="shared" si="2098"/>
        <v>#NAME?</v>
      </c>
      <c r="AC2258" s="58" t="str">
        <f t="shared" si="2098"/>
        <v>#NAME?</v>
      </c>
      <c r="AD2258" s="57">
        <f t="shared" si="906"/>
        <v>0</v>
      </c>
      <c r="AE2258" s="57" t="str">
        <f t="shared" si="907"/>
        <v/>
      </c>
      <c r="AF2258" s="57">
        <f t="shared" si="908"/>
        <v>0</v>
      </c>
      <c r="AG2258" s="59">
        <f t="shared" si="909"/>
        <v>0</v>
      </c>
      <c r="AH2258" s="15"/>
      <c r="AI2258" s="15"/>
      <c r="AJ2258" s="15"/>
      <c r="AK2258" s="15"/>
      <c r="AL2258" s="15"/>
      <c r="AM2258" s="15"/>
      <c r="AN2258" s="15"/>
      <c r="AO2258" s="15"/>
      <c r="AP2258" s="15"/>
      <c r="AQ2258" s="15"/>
      <c r="AR2258" s="15"/>
      <c r="AS2258" s="15"/>
      <c r="AT2258" s="15"/>
      <c r="AU2258" s="15"/>
    </row>
    <row r="2259" ht="24.0" customHeight="1">
      <c r="A2259" s="45">
        <v>3683.0</v>
      </c>
      <c r="B2259" s="57"/>
      <c r="C2259" s="57"/>
      <c r="D2259" s="88" t="str">
        <f t="array" ref="D2259">IFERROR(
  LOOKUP(2, 1/((TRIM(IMS!$E$8:$E$2574)=TRIM(IMS!$E2259))*(IMS!$C$8:$C$2574&lt;IMS!$C2259)),
         IMS!$C$8:$C$2574),
"")</f>
        <v/>
      </c>
      <c r="E2259" s="57"/>
      <c r="F2259" s="57"/>
      <c r="G2259" s="77" t="str">
        <f t="shared" si="901"/>
        <v/>
      </c>
      <c r="H2259" s="78" t="str">
        <f t="shared" si="902"/>
        <v/>
      </c>
      <c r="I2259" s="79"/>
      <c r="J2259" s="80" t="str">
        <f t="shared" si="903"/>
        <v>#NAME?</v>
      </c>
      <c r="K2259" s="58"/>
      <c r="L2259" s="58"/>
      <c r="M2259" s="57"/>
      <c r="N2259" s="57"/>
      <c r="O2259" s="58"/>
      <c r="P2259" s="82"/>
      <c r="Q2259" s="81"/>
      <c r="R2259" s="81"/>
      <c r="S2259" s="57"/>
      <c r="T2259" s="82"/>
      <c r="U2259" s="82"/>
      <c r="V2259" s="57"/>
      <c r="W2259" s="57"/>
      <c r="X2259" s="57" t="str">
        <f t="shared" si="917"/>
        <v/>
      </c>
      <c r="Y2259" s="58" t="str">
        <f t="shared" ref="Y2259:AC2259" si="2099">TRIM(SUBSTITUTE(SUBSTITUTE(OFFSET($Q2259,0,COLUMN()-COLUMN($AL$1)),CHAR(160)," "),_xludf.UNICHAR(8239)," "))</f>
        <v>#NAME?</v>
      </c>
      <c r="Z2259" s="58" t="str">
        <f t="shared" si="2099"/>
        <v>#NAME?</v>
      </c>
      <c r="AA2259" s="58" t="str">
        <f t="shared" si="2099"/>
        <v>#NAME?</v>
      </c>
      <c r="AB2259" s="58" t="str">
        <f t="shared" si="2099"/>
        <v>#NAME?</v>
      </c>
      <c r="AC2259" s="58" t="str">
        <f t="shared" si="2099"/>
        <v>#NAME?</v>
      </c>
      <c r="AD2259" s="57">
        <f t="shared" si="906"/>
        <v>0</v>
      </c>
      <c r="AE2259" s="57" t="str">
        <f t="shared" si="907"/>
        <v/>
      </c>
      <c r="AF2259" s="57">
        <f t="shared" si="908"/>
        <v>0</v>
      </c>
      <c r="AG2259" s="59">
        <f t="shared" si="909"/>
        <v>0</v>
      </c>
      <c r="AH2259" s="15"/>
      <c r="AI2259" s="15"/>
      <c r="AJ2259" s="15"/>
      <c r="AK2259" s="15"/>
      <c r="AL2259" s="15"/>
      <c r="AM2259" s="15"/>
      <c r="AN2259" s="15"/>
      <c r="AO2259" s="15"/>
      <c r="AP2259" s="15"/>
      <c r="AQ2259" s="15"/>
      <c r="AR2259" s="15"/>
      <c r="AS2259" s="15"/>
      <c r="AT2259" s="15"/>
      <c r="AU2259" s="15"/>
    </row>
    <row r="2260" ht="24.0" customHeight="1">
      <c r="A2260" s="45">
        <v>3684.0</v>
      </c>
      <c r="B2260" s="57"/>
      <c r="C2260" s="57"/>
      <c r="D2260" s="88" t="str">
        <f t="array" ref="D2260">IFERROR(
  LOOKUP(2, 1/((TRIM(IMS!$E$8:$E$2574)=TRIM(IMS!$E2260))*(IMS!$C$8:$C$2574&lt;IMS!$C2260)),
         IMS!$C$8:$C$2574),
"")</f>
        <v/>
      </c>
      <c r="E2260" s="57"/>
      <c r="F2260" s="57"/>
      <c r="G2260" s="77" t="str">
        <f t="shared" si="901"/>
        <v/>
      </c>
      <c r="H2260" s="78" t="str">
        <f t="shared" si="902"/>
        <v/>
      </c>
      <c r="I2260" s="79"/>
      <c r="J2260" s="80" t="str">
        <f t="shared" si="903"/>
        <v>#NAME?</v>
      </c>
      <c r="K2260" s="58"/>
      <c r="L2260" s="58"/>
      <c r="M2260" s="57"/>
      <c r="N2260" s="57"/>
      <c r="O2260" s="58"/>
      <c r="P2260" s="82"/>
      <c r="Q2260" s="81"/>
      <c r="R2260" s="81"/>
      <c r="S2260" s="57"/>
      <c r="T2260" s="82"/>
      <c r="U2260" s="82"/>
      <c r="V2260" s="57"/>
      <c r="W2260" s="57"/>
      <c r="X2260" s="57" t="str">
        <f t="shared" si="917"/>
        <v/>
      </c>
      <c r="Y2260" s="58" t="str">
        <f t="shared" ref="Y2260:AC2260" si="2100">TRIM(SUBSTITUTE(SUBSTITUTE(OFFSET($Q2260,0,COLUMN()-COLUMN($AL$1)),CHAR(160)," "),_xludf.UNICHAR(8239)," "))</f>
        <v>#NAME?</v>
      </c>
      <c r="Z2260" s="58" t="str">
        <f t="shared" si="2100"/>
        <v>#NAME?</v>
      </c>
      <c r="AA2260" s="58" t="str">
        <f t="shared" si="2100"/>
        <v>#NAME?</v>
      </c>
      <c r="AB2260" s="58" t="str">
        <f t="shared" si="2100"/>
        <v>#NAME?</v>
      </c>
      <c r="AC2260" s="58" t="str">
        <f t="shared" si="2100"/>
        <v>#NAME?</v>
      </c>
      <c r="AD2260" s="57">
        <f t="shared" si="906"/>
        <v>0</v>
      </c>
      <c r="AE2260" s="57" t="str">
        <f t="shared" si="907"/>
        <v/>
      </c>
      <c r="AF2260" s="57">
        <f t="shared" si="908"/>
        <v>0</v>
      </c>
      <c r="AG2260" s="59">
        <f t="shared" si="909"/>
        <v>0</v>
      </c>
      <c r="AH2260" s="15"/>
      <c r="AI2260" s="15"/>
      <c r="AJ2260" s="15"/>
      <c r="AK2260" s="15"/>
      <c r="AL2260" s="15"/>
      <c r="AM2260" s="15"/>
      <c r="AN2260" s="15"/>
      <c r="AO2260" s="15"/>
      <c r="AP2260" s="15"/>
      <c r="AQ2260" s="15"/>
      <c r="AR2260" s="15"/>
      <c r="AS2260" s="15"/>
      <c r="AT2260" s="15"/>
      <c r="AU2260" s="15"/>
    </row>
    <row r="2261" ht="24.0" customHeight="1">
      <c r="A2261" s="45">
        <v>3685.0</v>
      </c>
      <c r="B2261" s="57"/>
      <c r="C2261" s="57"/>
      <c r="D2261" s="88" t="str">
        <f t="array" ref="D2261">IFERROR(
  LOOKUP(2, 1/((TRIM(IMS!$E$8:$E$2574)=TRIM(IMS!$E2261))*(IMS!$C$8:$C$2574&lt;IMS!$C2261)),
         IMS!$C$8:$C$2574),
"")</f>
        <v/>
      </c>
      <c r="E2261" s="57"/>
      <c r="F2261" s="57"/>
      <c r="G2261" s="77" t="str">
        <f t="shared" si="901"/>
        <v/>
      </c>
      <c r="H2261" s="78" t="str">
        <f t="shared" si="902"/>
        <v/>
      </c>
      <c r="I2261" s="79"/>
      <c r="J2261" s="80" t="str">
        <f t="shared" si="903"/>
        <v>#NAME?</v>
      </c>
      <c r="K2261" s="58"/>
      <c r="L2261" s="58"/>
      <c r="M2261" s="57"/>
      <c r="N2261" s="57"/>
      <c r="O2261" s="58"/>
      <c r="P2261" s="82"/>
      <c r="Q2261" s="81"/>
      <c r="R2261" s="81"/>
      <c r="S2261" s="57"/>
      <c r="T2261" s="82"/>
      <c r="U2261" s="82"/>
      <c r="V2261" s="57"/>
      <c r="W2261" s="57"/>
      <c r="X2261" s="57" t="str">
        <f t="shared" si="917"/>
        <v/>
      </c>
      <c r="Y2261" s="58" t="str">
        <f t="shared" ref="Y2261:AC2261" si="2101">TRIM(SUBSTITUTE(SUBSTITUTE(OFFSET($Q2261,0,COLUMN()-COLUMN($AL$1)),CHAR(160)," "),_xludf.UNICHAR(8239)," "))</f>
        <v>#NAME?</v>
      </c>
      <c r="Z2261" s="58" t="str">
        <f t="shared" si="2101"/>
        <v>#NAME?</v>
      </c>
      <c r="AA2261" s="58" t="str">
        <f t="shared" si="2101"/>
        <v>#NAME?</v>
      </c>
      <c r="AB2261" s="58" t="str">
        <f t="shared" si="2101"/>
        <v>#NAME?</v>
      </c>
      <c r="AC2261" s="58" t="str">
        <f t="shared" si="2101"/>
        <v>#NAME?</v>
      </c>
      <c r="AD2261" s="57">
        <f t="shared" si="906"/>
        <v>0</v>
      </c>
      <c r="AE2261" s="57" t="str">
        <f t="shared" si="907"/>
        <v/>
      </c>
      <c r="AF2261" s="57">
        <f t="shared" si="908"/>
        <v>0</v>
      </c>
      <c r="AG2261" s="59">
        <f t="shared" si="909"/>
        <v>0</v>
      </c>
      <c r="AH2261" s="15"/>
      <c r="AI2261" s="15"/>
      <c r="AJ2261" s="15"/>
      <c r="AK2261" s="15"/>
      <c r="AL2261" s="15"/>
      <c r="AM2261" s="15"/>
      <c r="AN2261" s="15"/>
      <c r="AO2261" s="15"/>
      <c r="AP2261" s="15"/>
      <c r="AQ2261" s="15"/>
      <c r="AR2261" s="15"/>
      <c r="AS2261" s="15"/>
      <c r="AT2261" s="15"/>
      <c r="AU2261" s="15"/>
    </row>
    <row r="2262" ht="24.0" customHeight="1">
      <c r="A2262" s="45">
        <v>3686.0</v>
      </c>
      <c r="B2262" s="57"/>
      <c r="C2262" s="57"/>
      <c r="D2262" s="88" t="str">
        <f t="array" ref="D2262">IFERROR(
  LOOKUP(2, 1/((TRIM(IMS!$E$8:$E$2574)=TRIM(IMS!$E2262))*(IMS!$C$8:$C$2574&lt;IMS!$C2262)),
         IMS!$C$8:$C$2574),
"")</f>
        <v/>
      </c>
      <c r="E2262" s="57"/>
      <c r="F2262" s="57"/>
      <c r="G2262" s="77" t="str">
        <f t="shared" si="901"/>
        <v/>
      </c>
      <c r="H2262" s="78" t="str">
        <f t="shared" si="902"/>
        <v/>
      </c>
      <c r="I2262" s="79"/>
      <c r="J2262" s="80" t="str">
        <f t="shared" si="903"/>
        <v>#NAME?</v>
      </c>
      <c r="K2262" s="58"/>
      <c r="L2262" s="58"/>
      <c r="M2262" s="57"/>
      <c r="N2262" s="57"/>
      <c r="O2262" s="58"/>
      <c r="P2262" s="82"/>
      <c r="Q2262" s="81"/>
      <c r="R2262" s="81"/>
      <c r="S2262" s="57"/>
      <c r="T2262" s="82"/>
      <c r="U2262" s="82"/>
      <c r="V2262" s="57"/>
      <c r="W2262" s="57"/>
      <c r="X2262" s="57" t="str">
        <f t="shared" si="917"/>
        <v/>
      </c>
      <c r="Y2262" s="58" t="str">
        <f t="shared" ref="Y2262:AC2262" si="2102">TRIM(SUBSTITUTE(SUBSTITUTE(OFFSET($Q2262,0,COLUMN()-COLUMN($AL$1)),CHAR(160)," "),_xludf.UNICHAR(8239)," "))</f>
        <v>#NAME?</v>
      </c>
      <c r="Z2262" s="58" t="str">
        <f t="shared" si="2102"/>
        <v>#NAME?</v>
      </c>
      <c r="AA2262" s="58" t="str">
        <f t="shared" si="2102"/>
        <v>#NAME?</v>
      </c>
      <c r="AB2262" s="58" t="str">
        <f t="shared" si="2102"/>
        <v>#NAME?</v>
      </c>
      <c r="AC2262" s="58" t="str">
        <f t="shared" si="2102"/>
        <v>#NAME?</v>
      </c>
      <c r="AD2262" s="57">
        <f t="shared" si="906"/>
        <v>0</v>
      </c>
      <c r="AE2262" s="57" t="str">
        <f t="shared" si="907"/>
        <v/>
      </c>
      <c r="AF2262" s="57">
        <f t="shared" si="908"/>
        <v>0</v>
      </c>
      <c r="AG2262" s="59">
        <f t="shared" si="909"/>
        <v>0</v>
      </c>
      <c r="AH2262" s="15"/>
      <c r="AI2262" s="15"/>
      <c r="AJ2262" s="15"/>
      <c r="AK2262" s="15"/>
      <c r="AL2262" s="15"/>
      <c r="AM2262" s="15"/>
      <c r="AN2262" s="15"/>
      <c r="AO2262" s="15"/>
      <c r="AP2262" s="15"/>
      <c r="AQ2262" s="15"/>
      <c r="AR2262" s="15"/>
      <c r="AS2262" s="15"/>
      <c r="AT2262" s="15"/>
      <c r="AU2262" s="15"/>
    </row>
    <row r="2263" ht="24.0" customHeight="1">
      <c r="A2263" s="45">
        <v>3687.0</v>
      </c>
      <c r="B2263" s="57"/>
      <c r="C2263" s="57"/>
      <c r="D2263" s="88" t="str">
        <f t="array" ref="D2263">IFERROR(
  LOOKUP(2, 1/((TRIM(IMS!$E$8:$E$2574)=TRIM(IMS!$E2263))*(IMS!$C$8:$C$2574&lt;IMS!$C2263)),
         IMS!$C$8:$C$2574),
"")</f>
        <v/>
      </c>
      <c r="E2263" s="57"/>
      <c r="F2263" s="57"/>
      <c r="G2263" s="77" t="str">
        <f t="shared" si="901"/>
        <v/>
      </c>
      <c r="H2263" s="78" t="str">
        <f t="shared" si="902"/>
        <v/>
      </c>
      <c r="I2263" s="79"/>
      <c r="J2263" s="80" t="str">
        <f t="shared" si="903"/>
        <v>#NAME?</v>
      </c>
      <c r="K2263" s="58"/>
      <c r="L2263" s="58"/>
      <c r="M2263" s="57"/>
      <c r="N2263" s="57"/>
      <c r="O2263" s="58"/>
      <c r="P2263" s="82"/>
      <c r="Q2263" s="81"/>
      <c r="R2263" s="81"/>
      <c r="S2263" s="57"/>
      <c r="T2263" s="82"/>
      <c r="U2263" s="82"/>
      <c r="V2263" s="57"/>
      <c r="W2263" s="57"/>
      <c r="X2263" s="57" t="str">
        <f t="shared" si="917"/>
        <v/>
      </c>
      <c r="Y2263" s="58" t="str">
        <f t="shared" ref="Y2263:AC2263" si="2103">TRIM(SUBSTITUTE(SUBSTITUTE(OFFSET($Q2263,0,COLUMN()-COLUMN($AL$1)),CHAR(160)," "),_xludf.UNICHAR(8239)," "))</f>
        <v>#NAME?</v>
      </c>
      <c r="Z2263" s="58" t="str">
        <f t="shared" si="2103"/>
        <v>#NAME?</v>
      </c>
      <c r="AA2263" s="58" t="str">
        <f t="shared" si="2103"/>
        <v>#NAME?</v>
      </c>
      <c r="AB2263" s="58" t="str">
        <f t="shared" si="2103"/>
        <v>#NAME?</v>
      </c>
      <c r="AC2263" s="58" t="str">
        <f t="shared" si="2103"/>
        <v>#NAME?</v>
      </c>
      <c r="AD2263" s="57">
        <f t="shared" si="906"/>
        <v>0</v>
      </c>
      <c r="AE2263" s="57" t="str">
        <f t="shared" si="907"/>
        <v/>
      </c>
      <c r="AF2263" s="57">
        <f t="shared" si="908"/>
        <v>0</v>
      </c>
      <c r="AG2263" s="59">
        <f t="shared" si="909"/>
        <v>0</v>
      </c>
      <c r="AH2263" s="15"/>
      <c r="AI2263" s="15"/>
      <c r="AJ2263" s="15"/>
      <c r="AK2263" s="15"/>
      <c r="AL2263" s="15"/>
      <c r="AM2263" s="15"/>
      <c r="AN2263" s="15"/>
      <c r="AO2263" s="15"/>
      <c r="AP2263" s="15"/>
      <c r="AQ2263" s="15"/>
      <c r="AR2263" s="15"/>
      <c r="AS2263" s="15"/>
      <c r="AT2263" s="15"/>
      <c r="AU2263" s="15"/>
    </row>
    <row r="2264" ht="24.0" customHeight="1">
      <c r="A2264" s="45">
        <v>3688.0</v>
      </c>
      <c r="B2264" s="57"/>
      <c r="C2264" s="57"/>
      <c r="D2264" s="88" t="str">
        <f t="array" ref="D2264">IFERROR(
  LOOKUP(2, 1/((TRIM(IMS!$E$8:$E$2574)=TRIM(IMS!$E2264))*(IMS!$C$8:$C$2574&lt;IMS!$C2264)),
         IMS!$C$8:$C$2574),
"")</f>
        <v/>
      </c>
      <c r="E2264" s="57"/>
      <c r="F2264" s="57"/>
      <c r="G2264" s="77" t="str">
        <f t="shared" si="901"/>
        <v/>
      </c>
      <c r="H2264" s="78" t="str">
        <f t="shared" si="902"/>
        <v/>
      </c>
      <c r="I2264" s="79"/>
      <c r="J2264" s="80" t="str">
        <f t="shared" si="903"/>
        <v>#NAME?</v>
      </c>
      <c r="K2264" s="58"/>
      <c r="L2264" s="58"/>
      <c r="M2264" s="57"/>
      <c r="N2264" s="57"/>
      <c r="O2264" s="58"/>
      <c r="P2264" s="82"/>
      <c r="Q2264" s="81"/>
      <c r="R2264" s="81"/>
      <c r="S2264" s="57"/>
      <c r="T2264" s="82"/>
      <c r="U2264" s="82"/>
      <c r="V2264" s="57"/>
      <c r="W2264" s="57"/>
      <c r="X2264" s="57" t="str">
        <f t="shared" si="917"/>
        <v/>
      </c>
      <c r="Y2264" s="58" t="str">
        <f t="shared" ref="Y2264:AC2264" si="2104">TRIM(SUBSTITUTE(SUBSTITUTE(OFFSET($Q2264,0,COLUMN()-COLUMN($AL$1)),CHAR(160)," "),_xludf.UNICHAR(8239)," "))</f>
        <v>#NAME?</v>
      </c>
      <c r="Z2264" s="58" t="str">
        <f t="shared" si="2104"/>
        <v>#NAME?</v>
      </c>
      <c r="AA2264" s="58" t="str">
        <f t="shared" si="2104"/>
        <v>#NAME?</v>
      </c>
      <c r="AB2264" s="58" t="str">
        <f t="shared" si="2104"/>
        <v>#NAME?</v>
      </c>
      <c r="AC2264" s="58" t="str">
        <f t="shared" si="2104"/>
        <v>#NAME?</v>
      </c>
      <c r="AD2264" s="57">
        <f t="shared" si="906"/>
        <v>0</v>
      </c>
      <c r="AE2264" s="57" t="str">
        <f t="shared" si="907"/>
        <v/>
      </c>
      <c r="AF2264" s="57">
        <f t="shared" si="908"/>
        <v>0</v>
      </c>
      <c r="AG2264" s="59">
        <f t="shared" si="909"/>
        <v>0</v>
      </c>
      <c r="AH2264" s="15"/>
      <c r="AI2264" s="15"/>
      <c r="AJ2264" s="15"/>
      <c r="AK2264" s="15"/>
      <c r="AL2264" s="15"/>
      <c r="AM2264" s="15"/>
      <c r="AN2264" s="15"/>
      <c r="AO2264" s="15"/>
      <c r="AP2264" s="15"/>
      <c r="AQ2264" s="15"/>
      <c r="AR2264" s="15"/>
      <c r="AS2264" s="15"/>
      <c r="AT2264" s="15"/>
      <c r="AU2264" s="15"/>
    </row>
    <row r="2265" ht="24.0" customHeight="1">
      <c r="A2265" s="45">
        <v>3689.0</v>
      </c>
      <c r="B2265" s="57"/>
      <c r="C2265" s="57"/>
      <c r="D2265" s="88" t="str">
        <f t="array" ref="D2265">IFERROR(
  LOOKUP(2, 1/((TRIM(IMS!$E$8:$E$2574)=TRIM(IMS!$E2265))*(IMS!$C$8:$C$2574&lt;IMS!$C2265)),
         IMS!$C$8:$C$2574),
"")</f>
        <v/>
      </c>
      <c r="E2265" s="57"/>
      <c r="F2265" s="57"/>
      <c r="G2265" s="77" t="str">
        <f t="shared" si="901"/>
        <v/>
      </c>
      <c r="H2265" s="78" t="str">
        <f t="shared" si="902"/>
        <v/>
      </c>
      <c r="I2265" s="79"/>
      <c r="J2265" s="80" t="str">
        <f t="shared" si="903"/>
        <v>#NAME?</v>
      </c>
      <c r="K2265" s="58"/>
      <c r="L2265" s="58"/>
      <c r="M2265" s="57"/>
      <c r="N2265" s="57"/>
      <c r="O2265" s="58"/>
      <c r="P2265" s="82"/>
      <c r="Q2265" s="81"/>
      <c r="R2265" s="81"/>
      <c r="S2265" s="57"/>
      <c r="T2265" s="82"/>
      <c r="U2265" s="82"/>
      <c r="V2265" s="57"/>
      <c r="W2265" s="57"/>
      <c r="X2265" s="57" t="str">
        <f t="shared" si="917"/>
        <v/>
      </c>
      <c r="Y2265" s="58" t="str">
        <f t="shared" ref="Y2265:AC2265" si="2105">TRIM(SUBSTITUTE(SUBSTITUTE(OFFSET($Q2265,0,COLUMN()-COLUMN($AL$1)),CHAR(160)," "),_xludf.UNICHAR(8239)," "))</f>
        <v>#NAME?</v>
      </c>
      <c r="Z2265" s="58" t="str">
        <f t="shared" si="2105"/>
        <v>#NAME?</v>
      </c>
      <c r="AA2265" s="58" t="str">
        <f t="shared" si="2105"/>
        <v>#NAME?</v>
      </c>
      <c r="AB2265" s="58" t="str">
        <f t="shared" si="2105"/>
        <v>#NAME?</v>
      </c>
      <c r="AC2265" s="58" t="str">
        <f t="shared" si="2105"/>
        <v>#NAME?</v>
      </c>
      <c r="AD2265" s="57">
        <f t="shared" si="906"/>
        <v>0</v>
      </c>
      <c r="AE2265" s="57" t="str">
        <f t="shared" si="907"/>
        <v/>
      </c>
      <c r="AF2265" s="57">
        <f t="shared" si="908"/>
        <v>0</v>
      </c>
      <c r="AG2265" s="59">
        <f t="shared" si="909"/>
        <v>0</v>
      </c>
      <c r="AH2265" s="15"/>
      <c r="AI2265" s="15"/>
      <c r="AJ2265" s="15"/>
      <c r="AK2265" s="15"/>
      <c r="AL2265" s="15"/>
      <c r="AM2265" s="15"/>
      <c r="AN2265" s="15"/>
      <c r="AO2265" s="15"/>
      <c r="AP2265" s="15"/>
      <c r="AQ2265" s="15"/>
      <c r="AR2265" s="15"/>
      <c r="AS2265" s="15"/>
      <c r="AT2265" s="15"/>
      <c r="AU2265" s="15"/>
    </row>
    <row r="2266" ht="24.0" customHeight="1">
      <c r="A2266" s="45">
        <v>3690.0</v>
      </c>
      <c r="B2266" s="57"/>
      <c r="C2266" s="57"/>
      <c r="D2266" s="88" t="str">
        <f t="array" ref="D2266">IFERROR(
  LOOKUP(2, 1/((TRIM(IMS!$E$8:$E$2574)=TRIM(IMS!$E2266))*(IMS!$C$8:$C$2574&lt;IMS!$C2266)),
         IMS!$C$8:$C$2574),
"")</f>
        <v/>
      </c>
      <c r="E2266" s="57"/>
      <c r="F2266" s="57"/>
      <c r="G2266" s="77" t="str">
        <f t="shared" si="901"/>
        <v/>
      </c>
      <c r="H2266" s="78" t="str">
        <f t="shared" si="902"/>
        <v/>
      </c>
      <c r="I2266" s="79"/>
      <c r="J2266" s="80" t="str">
        <f t="shared" si="903"/>
        <v>#NAME?</v>
      </c>
      <c r="K2266" s="58"/>
      <c r="L2266" s="58"/>
      <c r="M2266" s="57"/>
      <c r="N2266" s="57"/>
      <c r="O2266" s="58"/>
      <c r="P2266" s="82"/>
      <c r="Q2266" s="81"/>
      <c r="R2266" s="81"/>
      <c r="S2266" s="57"/>
      <c r="T2266" s="82"/>
      <c r="U2266" s="82"/>
      <c r="V2266" s="57"/>
      <c r="W2266" s="57"/>
      <c r="X2266" s="57" t="str">
        <f t="shared" si="917"/>
        <v/>
      </c>
      <c r="Y2266" s="58" t="str">
        <f t="shared" ref="Y2266:AC2266" si="2106">TRIM(SUBSTITUTE(SUBSTITUTE(OFFSET($Q2266,0,COLUMN()-COLUMN($AL$1)),CHAR(160)," "),_xludf.UNICHAR(8239)," "))</f>
        <v>#NAME?</v>
      </c>
      <c r="Z2266" s="58" t="str">
        <f t="shared" si="2106"/>
        <v>#NAME?</v>
      </c>
      <c r="AA2266" s="58" t="str">
        <f t="shared" si="2106"/>
        <v>#NAME?</v>
      </c>
      <c r="AB2266" s="58" t="str">
        <f t="shared" si="2106"/>
        <v>#NAME?</v>
      </c>
      <c r="AC2266" s="58" t="str">
        <f t="shared" si="2106"/>
        <v>#NAME?</v>
      </c>
      <c r="AD2266" s="57">
        <f t="shared" si="906"/>
        <v>0</v>
      </c>
      <c r="AE2266" s="57" t="str">
        <f t="shared" si="907"/>
        <v/>
      </c>
      <c r="AF2266" s="57">
        <f t="shared" si="908"/>
        <v>0</v>
      </c>
      <c r="AG2266" s="59">
        <f t="shared" si="909"/>
        <v>0</v>
      </c>
      <c r="AH2266" s="15"/>
      <c r="AI2266" s="15"/>
      <c r="AJ2266" s="15"/>
      <c r="AK2266" s="15"/>
      <c r="AL2266" s="15"/>
      <c r="AM2266" s="15"/>
      <c r="AN2266" s="15"/>
      <c r="AO2266" s="15"/>
      <c r="AP2266" s="15"/>
      <c r="AQ2266" s="15"/>
      <c r="AR2266" s="15"/>
      <c r="AS2266" s="15"/>
      <c r="AT2266" s="15"/>
      <c r="AU2266" s="15"/>
    </row>
    <row r="2267" ht="24.0" customHeight="1">
      <c r="A2267" s="45">
        <v>3691.0</v>
      </c>
      <c r="B2267" s="57"/>
      <c r="C2267" s="57"/>
      <c r="D2267" s="88" t="str">
        <f t="array" ref="D2267">IFERROR(
  LOOKUP(2, 1/((TRIM(IMS!$E$8:$E$2574)=TRIM(IMS!$E2267))*(IMS!$C$8:$C$2574&lt;IMS!$C2267)),
         IMS!$C$8:$C$2574),
"")</f>
        <v/>
      </c>
      <c r="E2267" s="57"/>
      <c r="F2267" s="57"/>
      <c r="G2267" s="77" t="str">
        <f t="shared" si="901"/>
        <v/>
      </c>
      <c r="H2267" s="78" t="str">
        <f t="shared" si="902"/>
        <v/>
      </c>
      <c r="I2267" s="79"/>
      <c r="J2267" s="80" t="str">
        <f t="shared" si="903"/>
        <v>#NAME?</v>
      </c>
      <c r="K2267" s="58"/>
      <c r="L2267" s="58"/>
      <c r="M2267" s="57"/>
      <c r="N2267" s="57"/>
      <c r="O2267" s="58"/>
      <c r="P2267" s="82"/>
      <c r="Q2267" s="81"/>
      <c r="R2267" s="81"/>
      <c r="S2267" s="57"/>
      <c r="T2267" s="82"/>
      <c r="U2267" s="82"/>
      <c r="V2267" s="57"/>
      <c r="W2267" s="57"/>
      <c r="X2267" s="57" t="str">
        <f t="shared" si="917"/>
        <v/>
      </c>
      <c r="Y2267" s="58" t="str">
        <f t="shared" ref="Y2267:AC2267" si="2107">TRIM(SUBSTITUTE(SUBSTITUTE(OFFSET($Q2267,0,COLUMN()-COLUMN($AL$1)),CHAR(160)," "),_xludf.UNICHAR(8239)," "))</f>
        <v>#NAME?</v>
      </c>
      <c r="Z2267" s="58" t="str">
        <f t="shared" si="2107"/>
        <v>#NAME?</v>
      </c>
      <c r="AA2267" s="58" t="str">
        <f t="shared" si="2107"/>
        <v>#NAME?</v>
      </c>
      <c r="AB2267" s="58" t="str">
        <f t="shared" si="2107"/>
        <v>#NAME?</v>
      </c>
      <c r="AC2267" s="58" t="str">
        <f t="shared" si="2107"/>
        <v>#NAME?</v>
      </c>
      <c r="AD2267" s="57">
        <f t="shared" si="906"/>
        <v>0</v>
      </c>
      <c r="AE2267" s="57" t="str">
        <f t="shared" si="907"/>
        <v/>
      </c>
      <c r="AF2267" s="57">
        <f t="shared" si="908"/>
        <v>0</v>
      </c>
      <c r="AG2267" s="59">
        <f t="shared" si="909"/>
        <v>0</v>
      </c>
      <c r="AH2267" s="15"/>
      <c r="AI2267" s="15"/>
      <c r="AJ2267" s="15"/>
      <c r="AK2267" s="15"/>
      <c r="AL2267" s="15"/>
      <c r="AM2267" s="15"/>
      <c r="AN2267" s="15"/>
      <c r="AO2267" s="15"/>
      <c r="AP2267" s="15"/>
      <c r="AQ2267" s="15"/>
      <c r="AR2267" s="15"/>
      <c r="AS2267" s="15"/>
      <c r="AT2267" s="15"/>
      <c r="AU2267" s="15"/>
    </row>
    <row r="2268" ht="24.0" customHeight="1">
      <c r="A2268" s="45">
        <v>3692.0</v>
      </c>
      <c r="B2268" s="57"/>
      <c r="C2268" s="57"/>
      <c r="D2268" s="88" t="str">
        <f t="array" ref="D2268">IFERROR(
  LOOKUP(2, 1/((TRIM(IMS!$E$8:$E$2574)=TRIM(IMS!$E2268))*(IMS!$C$8:$C$2574&lt;IMS!$C2268)),
         IMS!$C$8:$C$2574),
"")</f>
        <v/>
      </c>
      <c r="E2268" s="57"/>
      <c r="F2268" s="57"/>
      <c r="G2268" s="77" t="str">
        <f t="shared" si="901"/>
        <v/>
      </c>
      <c r="H2268" s="78" t="str">
        <f t="shared" si="902"/>
        <v/>
      </c>
      <c r="I2268" s="79"/>
      <c r="J2268" s="80" t="str">
        <f t="shared" si="903"/>
        <v>#NAME?</v>
      </c>
      <c r="K2268" s="58"/>
      <c r="L2268" s="58"/>
      <c r="M2268" s="57"/>
      <c r="N2268" s="57"/>
      <c r="O2268" s="58"/>
      <c r="P2268" s="82"/>
      <c r="Q2268" s="81"/>
      <c r="R2268" s="81"/>
      <c r="S2268" s="57"/>
      <c r="T2268" s="82"/>
      <c r="U2268" s="82"/>
      <c r="V2268" s="57"/>
      <c r="W2268" s="57"/>
      <c r="X2268" s="57" t="str">
        <f t="shared" si="917"/>
        <v/>
      </c>
      <c r="Y2268" s="58" t="str">
        <f t="shared" ref="Y2268:AC2268" si="2108">TRIM(SUBSTITUTE(SUBSTITUTE(OFFSET($Q2268,0,COLUMN()-COLUMN($AL$1)),CHAR(160)," "),_xludf.UNICHAR(8239)," "))</f>
        <v>#NAME?</v>
      </c>
      <c r="Z2268" s="58" t="str">
        <f t="shared" si="2108"/>
        <v>#NAME?</v>
      </c>
      <c r="AA2268" s="58" t="str">
        <f t="shared" si="2108"/>
        <v>#NAME?</v>
      </c>
      <c r="AB2268" s="58" t="str">
        <f t="shared" si="2108"/>
        <v>#NAME?</v>
      </c>
      <c r="AC2268" s="58" t="str">
        <f t="shared" si="2108"/>
        <v>#NAME?</v>
      </c>
      <c r="AD2268" s="57">
        <f t="shared" si="906"/>
        <v>0</v>
      </c>
      <c r="AE2268" s="57" t="str">
        <f t="shared" si="907"/>
        <v/>
      </c>
      <c r="AF2268" s="57">
        <f t="shared" si="908"/>
        <v>0</v>
      </c>
      <c r="AG2268" s="59">
        <f t="shared" si="909"/>
        <v>0</v>
      </c>
      <c r="AH2268" s="15"/>
      <c r="AI2268" s="15"/>
      <c r="AJ2268" s="15"/>
      <c r="AK2268" s="15"/>
      <c r="AL2268" s="15"/>
      <c r="AM2268" s="15"/>
      <c r="AN2268" s="15"/>
      <c r="AO2268" s="15"/>
      <c r="AP2268" s="15"/>
      <c r="AQ2268" s="15"/>
      <c r="AR2268" s="15"/>
      <c r="AS2268" s="15"/>
      <c r="AT2268" s="15"/>
      <c r="AU2268" s="15"/>
    </row>
    <row r="2269" ht="24.0" customHeight="1">
      <c r="A2269" s="45">
        <v>3693.0</v>
      </c>
      <c r="B2269" s="57"/>
      <c r="C2269" s="57"/>
      <c r="D2269" s="88" t="str">
        <f t="array" ref="D2269">IFERROR(
  LOOKUP(2, 1/((TRIM(IMS!$E$8:$E$2574)=TRIM(IMS!$E2269))*(IMS!$C$8:$C$2574&lt;IMS!$C2269)),
         IMS!$C$8:$C$2574),
"")</f>
        <v/>
      </c>
      <c r="E2269" s="57"/>
      <c r="F2269" s="57"/>
      <c r="G2269" s="77" t="str">
        <f t="shared" si="901"/>
        <v/>
      </c>
      <c r="H2269" s="78" t="str">
        <f t="shared" si="902"/>
        <v/>
      </c>
      <c r="I2269" s="79"/>
      <c r="J2269" s="80" t="str">
        <f t="shared" si="903"/>
        <v>#NAME?</v>
      </c>
      <c r="K2269" s="58"/>
      <c r="L2269" s="58"/>
      <c r="M2269" s="57"/>
      <c r="N2269" s="57"/>
      <c r="O2269" s="58"/>
      <c r="P2269" s="82"/>
      <c r="Q2269" s="81"/>
      <c r="R2269" s="81"/>
      <c r="S2269" s="57"/>
      <c r="T2269" s="82"/>
      <c r="U2269" s="82"/>
      <c r="V2269" s="57"/>
      <c r="W2269" s="57"/>
      <c r="X2269" s="57" t="str">
        <f t="shared" si="917"/>
        <v/>
      </c>
      <c r="Y2269" s="58" t="str">
        <f t="shared" ref="Y2269:AC2269" si="2109">TRIM(SUBSTITUTE(SUBSTITUTE(OFFSET($Q2269,0,COLUMN()-COLUMN($AL$1)),CHAR(160)," "),_xludf.UNICHAR(8239)," "))</f>
        <v>#NAME?</v>
      </c>
      <c r="Z2269" s="58" t="str">
        <f t="shared" si="2109"/>
        <v>#NAME?</v>
      </c>
      <c r="AA2269" s="58" t="str">
        <f t="shared" si="2109"/>
        <v>#NAME?</v>
      </c>
      <c r="AB2269" s="58" t="str">
        <f t="shared" si="2109"/>
        <v>#NAME?</v>
      </c>
      <c r="AC2269" s="58" t="str">
        <f t="shared" si="2109"/>
        <v>#NAME?</v>
      </c>
      <c r="AD2269" s="57">
        <f t="shared" si="906"/>
        <v>0</v>
      </c>
      <c r="AE2269" s="57" t="str">
        <f t="shared" si="907"/>
        <v/>
      </c>
      <c r="AF2269" s="57">
        <f t="shared" si="908"/>
        <v>0</v>
      </c>
      <c r="AG2269" s="59">
        <f t="shared" si="909"/>
        <v>0</v>
      </c>
      <c r="AH2269" s="15"/>
      <c r="AI2269" s="15"/>
      <c r="AJ2269" s="15"/>
      <c r="AK2269" s="15"/>
      <c r="AL2269" s="15"/>
      <c r="AM2269" s="15"/>
      <c r="AN2269" s="15"/>
      <c r="AO2269" s="15"/>
      <c r="AP2269" s="15"/>
      <c r="AQ2269" s="15"/>
      <c r="AR2269" s="15"/>
      <c r="AS2269" s="15"/>
      <c r="AT2269" s="15"/>
      <c r="AU2269" s="15"/>
    </row>
    <row r="2270" ht="24.0" customHeight="1">
      <c r="A2270" s="45">
        <v>3694.0</v>
      </c>
      <c r="B2270" s="57"/>
      <c r="C2270" s="57"/>
      <c r="D2270" s="88" t="str">
        <f t="array" ref="D2270">IFERROR(
  LOOKUP(2, 1/((TRIM(IMS!$E$8:$E$2574)=TRIM(IMS!$E2270))*(IMS!$C$8:$C$2574&lt;IMS!$C2270)),
         IMS!$C$8:$C$2574),
"")</f>
        <v/>
      </c>
      <c r="E2270" s="57"/>
      <c r="F2270" s="57"/>
      <c r="G2270" s="77" t="str">
        <f t="shared" si="901"/>
        <v/>
      </c>
      <c r="H2270" s="78" t="str">
        <f t="shared" si="902"/>
        <v/>
      </c>
      <c r="I2270" s="79"/>
      <c r="J2270" s="80" t="str">
        <f t="shared" si="903"/>
        <v>#NAME?</v>
      </c>
      <c r="K2270" s="58"/>
      <c r="L2270" s="58"/>
      <c r="M2270" s="57"/>
      <c r="N2270" s="57"/>
      <c r="O2270" s="58"/>
      <c r="P2270" s="82"/>
      <c r="Q2270" s="81"/>
      <c r="R2270" s="81"/>
      <c r="S2270" s="57"/>
      <c r="T2270" s="82"/>
      <c r="U2270" s="82"/>
      <c r="V2270" s="57"/>
      <c r="W2270" s="57"/>
      <c r="X2270" s="57" t="str">
        <f t="shared" si="917"/>
        <v/>
      </c>
      <c r="Y2270" s="58" t="str">
        <f t="shared" ref="Y2270:AC2270" si="2110">TRIM(SUBSTITUTE(SUBSTITUTE(OFFSET($Q2270,0,COLUMN()-COLUMN($AL$1)),CHAR(160)," "),_xludf.UNICHAR(8239)," "))</f>
        <v>#NAME?</v>
      </c>
      <c r="Z2270" s="58" t="str">
        <f t="shared" si="2110"/>
        <v>#NAME?</v>
      </c>
      <c r="AA2270" s="58" t="str">
        <f t="shared" si="2110"/>
        <v>#NAME?</v>
      </c>
      <c r="AB2270" s="58" t="str">
        <f t="shared" si="2110"/>
        <v>#NAME?</v>
      </c>
      <c r="AC2270" s="58" t="str">
        <f t="shared" si="2110"/>
        <v>#NAME?</v>
      </c>
      <c r="AD2270" s="57">
        <f t="shared" si="906"/>
        <v>0</v>
      </c>
      <c r="AE2270" s="57" t="str">
        <f t="shared" si="907"/>
        <v/>
      </c>
      <c r="AF2270" s="57">
        <f t="shared" si="908"/>
        <v>0</v>
      </c>
      <c r="AG2270" s="59">
        <f t="shared" si="909"/>
        <v>0</v>
      </c>
      <c r="AH2270" s="15"/>
      <c r="AI2270" s="15"/>
      <c r="AJ2270" s="15"/>
      <c r="AK2270" s="15"/>
      <c r="AL2270" s="15"/>
      <c r="AM2270" s="15"/>
      <c r="AN2270" s="15"/>
      <c r="AO2270" s="15"/>
      <c r="AP2270" s="15"/>
      <c r="AQ2270" s="15"/>
      <c r="AR2270" s="15"/>
      <c r="AS2270" s="15"/>
      <c r="AT2270" s="15"/>
      <c r="AU2270" s="15"/>
    </row>
    <row r="2271" ht="24.0" customHeight="1">
      <c r="A2271" s="45">
        <v>3695.0</v>
      </c>
      <c r="B2271" s="57"/>
      <c r="C2271" s="57"/>
      <c r="D2271" s="88" t="str">
        <f t="array" ref="D2271">IFERROR(
  LOOKUP(2, 1/((TRIM(IMS!$E$8:$E$2574)=TRIM(IMS!$E2271))*(IMS!$C$8:$C$2574&lt;IMS!$C2271)),
         IMS!$C$8:$C$2574),
"")</f>
        <v/>
      </c>
      <c r="E2271" s="57"/>
      <c r="F2271" s="57"/>
      <c r="G2271" s="77" t="str">
        <f t="shared" si="901"/>
        <v/>
      </c>
      <c r="H2271" s="78" t="str">
        <f t="shared" si="902"/>
        <v/>
      </c>
      <c r="I2271" s="79"/>
      <c r="J2271" s="80" t="str">
        <f t="shared" si="903"/>
        <v>#NAME?</v>
      </c>
      <c r="K2271" s="58"/>
      <c r="L2271" s="58"/>
      <c r="M2271" s="57"/>
      <c r="N2271" s="57"/>
      <c r="O2271" s="58"/>
      <c r="P2271" s="82"/>
      <c r="Q2271" s="81"/>
      <c r="R2271" s="81"/>
      <c r="S2271" s="57"/>
      <c r="T2271" s="82"/>
      <c r="U2271" s="82"/>
      <c r="V2271" s="57"/>
      <c r="W2271" s="57"/>
      <c r="X2271" s="57" t="str">
        <f t="shared" si="917"/>
        <v/>
      </c>
      <c r="Y2271" s="58" t="str">
        <f t="shared" ref="Y2271:AC2271" si="2111">TRIM(SUBSTITUTE(SUBSTITUTE(OFFSET($Q2271,0,COLUMN()-COLUMN($AL$1)),CHAR(160)," "),_xludf.UNICHAR(8239)," "))</f>
        <v>#NAME?</v>
      </c>
      <c r="Z2271" s="58" t="str">
        <f t="shared" si="2111"/>
        <v>#NAME?</v>
      </c>
      <c r="AA2271" s="58" t="str">
        <f t="shared" si="2111"/>
        <v>#NAME?</v>
      </c>
      <c r="AB2271" s="58" t="str">
        <f t="shared" si="2111"/>
        <v>#NAME?</v>
      </c>
      <c r="AC2271" s="58" t="str">
        <f t="shared" si="2111"/>
        <v>#NAME?</v>
      </c>
      <c r="AD2271" s="57">
        <f t="shared" si="906"/>
        <v>0</v>
      </c>
      <c r="AE2271" s="57" t="str">
        <f t="shared" si="907"/>
        <v/>
      </c>
      <c r="AF2271" s="57">
        <f t="shared" si="908"/>
        <v>0</v>
      </c>
      <c r="AG2271" s="59">
        <f t="shared" si="909"/>
        <v>0</v>
      </c>
      <c r="AH2271" s="15"/>
      <c r="AI2271" s="15"/>
      <c r="AJ2271" s="15"/>
      <c r="AK2271" s="15"/>
      <c r="AL2271" s="15"/>
      <c r="AM2271" s="15"/>
      <c r="AN2271" s="15"/>
      <c r="AO2271" s="15"/>
      <c r="AP2271" s="15"/>
      <c r="AQ2271" s="15"/>
      <c r="AR2271" s="15"/>
      <c r="AS2271" s="15"/>
      <c r="AT2271" s="15"/>
      <c r="AU2271" s="15"/>
    </row>
    <row r="2272" ht="24.0" customHeight="1">
      <c r="A2272" s="45">
        <v>3696.0</v>
      </c>
      <c r="B2272" s="57"/>
      <c r="C2272" s="57"/>
      <c r="D2272" s="88" t="str">
        <f t="array" ref="D2272">IFERROR(
  LOOKUP(2, 1/((TRIM(IMS!$E$8:$E$2574)=TRIM(IMS!$E2272))*(IMS!$C$8:$C$2574&lt;IMS!$C2272)),
         IMS!$C$8:$C$2574),
"")</f>
        <v/>
      </c>
      <c r="E2272" s="57"/>
      <c r="F2272" s="57"/>
      <c r="G2272" s="77" t="str">
        <f t="shared" si="901"/>
        <v/>
      </c>
      <c r="H2272" s="78" t="str">
        <f t="shared" si="902"/>
        <v/>
      </c>
      <c r="I2272" s="79"/>
      <c r="J2272" s="80" t="str">
        <f t="shared" si="903"/>
        <v>#NAME?</v>
      </c>
      <c r="K2272" s="58"/>
      <c r="L2272" s="58"/>
      <c r="M2272" s="57"/>
      <c r="N2272" s="57"/>
      <c r="O2272" s="58"/>
      <c r="P2272" s="82"/>
      <c r="Q2272" s="81"/>
      <c r="R2272" s="81"/>
      <c r="S2272" s="57"/>
      <c r="T2272" s="82"/>
      <c r="U2272" s="82"/>
      <c r="V2272" s="57"/>
      <c r="W2272" s="57"/>
      <c r="X2272" s="57" t="str">
        <f t="shared" si="917"/>
        <v/>
      </c>
      <c r="Y2272" s="58" t="str">
        <f t="shared" ref="Y2272:AC2272" si="2112">TRIM(SUBSTITUTE(SUBSTITUTE(OFFSET($Q2272,0,COLUMN()-COLUMN($AL$1)),CHAR(160)," "),_xludf.UNICHAR(8239)," "))</f>
        <v>#NAME?</v>
      </c>
      <c r="Z2272" s="58" t="str">
        <f t="shared" si="2112"/>
        <v>#NAME?</v>
      </c>
      <c r="AA2272" s="58" t="str">
        <f t="shared" si="2112"/>
        <v>#NAME?</v>
      </c>
      <c r="AB2272" s="58" t="str">
        <f t="shared" si="2112"/>
        <v>#NAME?</v>
      </c>
      <c r="AC2272" s="58" t="str">
        <f t="shared" si="2112"/>
        <v>#NAME?</v>
      </c>
      <c r="AD2272" s="57">
        <f t="shared" si="906"/>
        <v>0</v>
      </c>
      <c r="AE2272" s="57" t="str">
        <f t="shared" si="907"/>
        <v/>
      </c>
      <c r="AF2272" s="57">
        <f t="shared" si="908"/>
        <v>0</v>
      </c>
      <c r="AG2272" s="59">
        <f t="shared" si="909"/>
        <v>0</v>
      </c>
      <c r="AH2272" s="15"/>
      <c r="AI2272" s="15"/>
      <c r="AJ2272" s="15"/>
      <c r="AK2272" s="15"/>
      <c r="AL2272" s="15"/>
      <c r="AM2272" s="15"/>
      <c r="AN2272" s="15"/>
      <c r="AO2272" s="15"/>
      <c r="AP2272" s="15"/>
      <c r="AQ2272" s="15"/>
      <c r="AR2272" s="15"/>
      <c r="AS2272" s="15"/>
      <c r="AT2272" s="15"/>
      <c r="AU2272" s="15"/>
    </row>
    <row r="2273" ht="24.0" customHeight="1">
      <c r="A2273" s="45">
        <v>3697.0</v>
      </c>
      <c r="B2273" s="57"/>
      <c r="C2273" s="57"/>
      <c r="D2273" s="88" t="str">
        <f t="array" ref="D2273">IFERROR(
  LOOKUP(2, 1/((TRIM(IMS!$E$8:$E$2574)=TRIM(IMS!$E2273))*(IMS!$C$8:$C$2574&lt;IMS!$C2273)),
         IMS!$C$8:$C$2574),
"")</f>
        <v/>
      </c>
      <c r="E2273" s="57"/>
      <c r="F2273" s="57"/>
      <c r="G2273" s="77" t="str">
        <f t="shared" si="901"/>
        <v/>
      </c>
      <c r="H2273" s="78" t="str">
        <f t="shared" si="902"/>
        <v/>
      </c>
      <c r="I2273" s="79"/>
      <c r="J2273" s="80" t="str">
        <f t="shared" si="903"/>
        <v>#NAME?</v>
      </c>
      <c r="K2273" s="58"/>
      <c r="L2273" s="58"/>
      <c r="M2273" s="57"/>
      <c r="N2273" s="57"/>
      <c r="O2273" s="58"/>
      <c r="P2273" s="82"/>
      <c r="Q2273" s="81"/>
      <c r="R2273" s="81"/>
      <c r="S2273" s="57"/>
      <c r="T2273" s="82"/>
      <c r="U2273" s="82"/>
      <c r="V2273" s="57"/>
      <c r="W2273" s="57"/>
      <c r="X2273" s="57" t="str">
        <f t="shared" si="917"/>
        <v/>
      </c>
      <c r="Y2273" s="58" t="str">
        <f t="shared" ref="Y2273:AC2273" si="2113">TRIM(SUBSTITUTE(SUBSTITUTE(OFFSET($Q2273,0,COLUMN()-COLUMN($AL$1)),CHAR(160)," "),_xludf.UNICHAR(8239)," "))</f>
        <v>#NAME?</v>
      </c>
      <c r="Z2273" s="58" t="str">
        <f t="shared" si="2113"/>
        <v>#NAME?</v>
      </c>
      <c r="AA2273" s="58" t="str">
        <f t="shared" si="2113"/>
        <v>#NAME?</v>
      </c>
      <c r="AB2273" s="58" t="str">
        <f t="shared" si="2113"/>
        <v>#NAME?</v>
      </c>
      <c r="AC2273" s="58" t="str">
        <f t="shared" si="2113"/>
        <v>#NAME?</v>
      </c>
      <c r="AD2273" s="57">
        <f t="shared" si="906"/>
        <v>0</v>
      </c>
      <c r="AE2273" s="57" t="str">
        <f t="shared" si="907"/>
        <v/>
      </c>
      <c r="AF2273" s="57">
        <f t="shared" si="908"/>
        <v>0</v>
      </c>
      <c r="AG2273" s="59">
        <f t="shared" si="909"/>
        <v>0</v>
      </c>
      <c r="AH2273" s="15"/>
      <c r="AI2273" s="15"/>
      <c r="AJ2273" s="15"/>
      <c r="AK2273" s="15"/>
      <c r="AL2273" s="15"/>
      <c r="AM2273" s="15"/>
      <c r="AN2273" s="15"/>
      <c r="AO2273" s="15"/>
      <c r="AP2273" s="15"/>
      <c r="AQ2273" s="15"/>
      <c r="AR2273" s="15"/>
      <c r="AS2273" s="15"/>
      <c r="AT2273" s="15"/>
      <c r="AU2273" s="15"/>
    </row>
    <row r="2274" ht="24.0" customHeight="1">
      <c r="A2274" s="45">
        <v>3698.0</v>
      </c>
      <c r="B2274" s="57"/>
      <c r="C2274" s="57"/>
      <c r="D2274" s="88" t="str">
        <f t="array" ref="D2274">IFERROR(
  LOOKUP(2, 1/((TRIM(IMS!$E$8:$E$2574)=TRIM(IMS!$E2274))*(IMS!$C$8:$C$2574&lt;IMS!$C2274)),
         IMS!$C$8:$C$2574),
"")</f>
        <v/>
      </c>
      <c r="E2274" s="57"/>
      <c r="F2274" s="57"/>
      <c r="G2274" s="77" t="str">
        <f t="shared" si="901"/>
        <v/>
      </c>
      <c r="H2274" s="78" t="str">
        <f t="shared" si="902"/>
        <v/>
      </c>
      <c r="I2274" s="79"/>
      <c r="J2274" s="80" t="str">
        <f t="shared" si="903"/>
        <v>#NAME?</v>
      </c>
      <c r="K2274" s="58"/>
      <c r="L2274" s="58"/>
      <c r="M2274" s="57"/>
      <c r="N2274" s="57"/>
      <c r="O2274" s="58"/>
      <c r="P2274" s="82"/>
      <c r="Q2274" s="81"/>
      <c r="R2274" s="81"/>
      <c r="S2274" s="57"/>
      <c r="T2274" s="82"/>
      <c r="U2274" s="82"/>
      <c r="V2274" s="57"/>
      <c r="W2274" s="57"/>
      <c r="X2274" s="57" t="str">
        <f t="shared" si="917"/>
        <v/>
      </c>
      <c r="Y2274" s="58" t="str">
        <f t="shared" ref="Y2274:AC2274" si="2114">TRIM(SUBSTITUTE(SUBSTITUTE(OFFSET($Q2274,0,COLUMN()-COLUMN($AL$1)),CHAR(160)," "),_xludf.UNICHAR(8239)," "))</f>
        <v>#NAME?</v>
      </c>
      <c r="Z2274" s="58" t="str">
        <f t="shared" si="2114"/>
        <v>#NAME?</v>
      </c>
      <c r="AA2274" s="58" t="str">
        <f t="shared" si="2114"/>
        <v>#NAME?</v>
      </c>
      <c r="AB2274" s="58" t="str">
        <f t="shared" si="2114"/>
        <v>#NAME?</v>
      </c>
      <c r="AC2274" s="58" t="str">
        <f t="shared" si="2114"/>
        <v>#NAME?</v>
      </c>
      <c r="AD2274" s="57">
        <f t="shared" si="906"/>
        <v>0</v>
      </c>
      <c r="AE2274" s="57" t="str">
        <f t="shared" si="907"/>
        <v/>
      </c>
      <c r="AF2274" s="57">
        <f t="shared" si="908"/>
        <v>0</v>
      </c>
      <c r="AG2274" s="59">
        <f t="shared" si="909"/>
        <v>0</v>
      </c>
      <c r="AH2274" s="15"/>
      <c r="AI2274" s="15"/>
      <c r="AJ2274" s="15"/>
      <c r="AK2274" s="15"/>
      <c r="AL2274" s="15"/>
      <c r="AM2274" s="15"/>
      <c r="AN2274" s="15"/>
      <c r="AO2274" s="15"/>
      <c r="AP2274" s="15"/>
      <c r="AQ2274" s="15"/>
      <c r="AR2274" s="15"/>
      <c r="AS2274" s="15"/>
      <c r="AT2274" s="15"/>
      <c r="AU2274" s="15"/>
    </row>
    <row r="2275" ht="24.0" customHeight="1">
      <c r="A2275" s="45">
        <v>3699.0</v>
      </c>
      <c r="B2275" s="57"/>
      <c r="C2275" s="57"/>
      <c r="D2275" s="88" t="str">
        <f t="array" ref="D2275">IFERROR(
  LOOKUP(2, 1/((TRIM(IMS!$E$8:$E$2574)=TRIM(IMS!$E2275))*(IMS!$C$8:$C$2574&lt;IMS!$C2275)),
         IMS!$C$8:$C$2574),
"")</f>
        <v/>
      </c>
      <c r="E2275" s="57"/>
      <c r="F2275" s="57"/>
      <c r="G2275" s="77" t="str">
        <f t="shared" si="901"/>
        <v/>
      </c>
      <c r="H2275" s="78" t="str">
        <f t="shared" si="902"/>
        <v/>
      </c>
      <c r="I2275" s="79"/>
      <c r="J2275" s="80" t="str">
        <f t="shared" si="903"/>
        <v>#NAME?</v>
      </c>
      <c r="K2275" s="58"/>
      <c r="L2275" s="58"/>
      <c r="M2275" s="57"/>
      <c r="N2275" s="57"/>
      <c r="O2275" s="58"/>
      <c r="P2275" s="82"/>
      <c r="Q2275" s="81"/>
      <c r="R2275" s="81"/>
      <c r="S2275" s="57"/>
      <c r="T2275" s="82"/>
      <c r="U2275" s="82"/>
      <c r="V2275" s="57"/>
      <c r="W2275" s="57"/>
      <c r="X2275" s="57" t="str">
        <f t="shared" si="917"/>
        <v/>
      </c>
      <c r="Y2275" s="58" t="str">
        <f t="shared" ref="Y2275:AC2275" si="2115">TRIM(SUBSTITUTE(SUBSTITUTE(OFFSET($Q2275,0,COLUMN()-COLUMN($AL$1)),CHAR(160)," "),_xludf.UNICHAR(8239)," "))</f>
        <v>#NAME?</v>
      </c>
      <c r="Z2275" s="58" t="str">
        <f t="shared" si="2115"/>
        <v>#NAME?</v>
      </c>
      <c r="AA2275" s="58" t="str">
        <f t="shared" si="2115"/>
        <v>#NAME?</v>
      </c>
      <c r="AB2275" s="58" t="str">
        <f t="shared" si="2115"/>
        <v>#NAME?</v>
      </c>
      <c r="AC2275" s="58" t="str">
        <f t="shared" si="2115"/>
        <v>#NAME?</v>
      </c>
      <c r="AD2275" s="57">
        <f t="shared" si="906"/>
        <v>0</v>
      </c>
      <c r="AE2275" s="57" t="str">
        <f t="shared" si="907"/>
        <v/>
      </c>
      <c r="AF2275" s="57">
        <f t="shared" si="908"/>
        <v>0</v>
      </c>
      <c r="AG2275" s="59">
        <f t="shared" si="909"/>
        <v>0</v>
      </c>
      <c r="AH2275" s="15"/>
      <c r="AI2275" s="15"/>
      <c r="AJ2275" s="15"/>
      <c r="AK2275" s="15"/>
      <c r="AL2275" s="15"/>
      <c r="AM2275" s="15"/>
      <c r="AN2275" s="15"/>
      <c r="AO2275" s="15"/>
      <c r="AP2275" s="15"/>
      <c r="AQ2275" s="15"/>
      <c r="AR2275" s="15"/>
      <c r="AS2275" s="15"/>
      <c r="AT2275" s="15"/>
      <c r="AU2275" s="15"/>
    </row>
    <row r="2276" ht="24.0" customHeight="1">
      <c r="A2276" s="45">
        <v>3700.0</v>
      </c>
      <c r="B2276" s="57"/>
      <c r="C2276" s="57"/>
      <c r="D2276" s="88" t="str">
        <f t="array" ref="D2276">IFERROR(
  LOOKUP(2, 1/((TRIM(IMS!$E$8:$E$2574)=TRIM(IMS!$E2276))*(IMS!$C$8:$C$2574&lt;IMS!$C2276)),
         IMS!$C$8:$C$2574),
"")</f>
        <v/>
      </c>
      <c r="E2276" s="57"/>
      <c r="F2276" s="57"/>
      <c r="G2276" s="77" t="str">
        <f t="shared" si="901"/>
        <v/>
      </c>
      <c r="H2276" s="78" t="str">
        <f t="shared" si="902"/>
        <v/>
      </c>
      <c r="I2276" s="79"/>
      <c r="J2276" s="80" t="str">
        <f t="shared" si="903"/>
        <v>#NAME?</v>
      </c>
      <c r="K2276" s="58"/>
      <c r="L2276" s="58"/>
      <c r="M2276" s="57"/>
      <c r="N2276" s="57"/>
      <c r="O2276" s="58"/>
      <c r="P2276" s="82"/>
      <c r="Q2276" s="81"/>
      <c r="R2276" s="81"/>
      <c r="S2276" s="57"/>
      <c r="T2276" s="82"/>
      <c r="U2276" s="82"/>
      <c r="V2276" s="57"/>
      <c r="W2276" s="57"/>
      <c r="X2276" s="57" t="str">
        <f t="shared" si="917"/>
        <v/>
      </c>
      <c r="Y2276" s="58" t="str">
        <f t="shared" ref="Y2276:AC2276" si="2116">TRIM(SUBSTITUTE(SUBSTITUTE(OFFSET($Q2276,0,COLUMN()-COLUMN($AL$1)),CHAR(160)," "),_xludf.UNICHAR(8239)," "))</f>
        <v>#NAME?</v>
      </c>
      <c r="Z2276" s="58" t="str">
        <f t="shared" si="2116"/>
        <v>#NAME?</v>
      </c>
      <c r="AA2276" s="58" t="str">
        <f t="shared" si="2116"/>
        <v>#NAME?</v>
      </c>
      <c r="AB2276" s="58" t="str">
        <f t="shared" si="2116"/>
        <v>#NAME?</v>
      </c>
      <c r="AC2276" s="58" t="str">
        <f t="shared" si="2116"/>
        <v>#NAME?</v>
      </c>
      <c r="AD2276" s="57">
        <f t="shared" si="906"/>
        <v>0</v>
      </c>
      <c r="AE2276" s="57" t="str">
        <f t="shared" si="907"/>
        <v/>
      </c>
      <c r="AF2276" s="57">
        <f t="shared" si="908"/>
        <v>0</v>
      </c>
      <c r="AG2276" s="59">
        <f t="shared" si="909"/>
        <v>0</v>
      </c>
      <c r="AH2276" s="15"/>
      <c r="AI2276" s="15"/>
      <c r="AJ2276" s="15"/>
      <c r="AK2276" s="15"/>
      <c r="AL2276" s="15"/>
      <c r="AM2276" s="15"/>
      <c r="AN2276" s="15"/>
      <c r="AO2276" s="15"/>
      <c r="AP2276" s="15"/>
      <c r="AQ2276" s="15"/>
      <c r="AR2276" s="15"/>
      <c r="AS2276" s="15"/>
      <c r="AT2276" s="15"/>
      <c r="AU2276" s="15"/>
    </row>
    <row r="2277" ht="24.0" customHeight="1">
      <c r="A2277" s="45">
        <v>3701.0</v>
      </c>
      <c r="B2277" s="57"/>
      <c r="C2277" s="57"/>
      <c r="D2277" s="88" t="str">
        <f t="array" ref="D2277">IFERROR(
  LOOKUP(2, 1/((TRIM(IMS!$E$8:$E$2574)=TRIM(IMS!$E2277))*(IMS!$C$8:$C$2574&lt;IMS!$C2277)),
         IMS!$C$8:$C$2574),
"")</f>
        <v/>
      </c>
      <c r="E2277" s="57"/>
      <c r="F2277" s="57"/>
      <c r="G2277" s="77" t="str">
        <f t="shared" si="901"/>
        <v/>
      </c>
      <c r="H2277" s="78" t="str">
        <f t="shared" si="902"/>
        <v/>
      </c>
      <c r="I2277" s="79"/>
      <c r="J2277" s="80" t="str">
        <f t="shared" si="903"/>
        <v>#NAME?</v>
      </c>
      <c r="K2277" s="58"/>
      <c r="L2277" s="58"/>
      <c r="M2277" s="57"/>
      <c r="N2277" s="57"/>
      <c r="O2277" s="58"/>
      <c r="P2277" s="82"/>
      <c r="Q2277" s="81"/>
      <c r="R2277" s="81"/>
      <c r="S2277" s="57"/>
      <c r="T2277" s="82"/>
      <c r="U2277" s="82"/>
      <c r="V2277" s="57"/>
      <c r="W2277" s="57"/>
      <c r="X2277" s="57" t="str">
        <f t="shared" si="917"/>
        <v/>
      </c>
      <c r="Y2277" s="58" t="str">
        <f t="shared" ref="Y2277:AC2277" si="2117">TRIM(SUBSTITUTE(SUBSTITUTE(OFFSET($Q2277,0,COLUMN()-COLUMN($AL$1)),CHAR(160)," "),_xludf.UNICHAR(8239)," "))</f>
        <v>#NAME?</v>
      </c>
      <c r="Z2277" s="58" t="str">
        <f t="shared" si="2117"/>
        <v>#NAME?</v>
      </c>
      <c r="AA2277" s="58" t="str">
        <f t="shared" si="2117"/>
        <v>#NAME?</v>
      </c>
      <c r="AB2277" s="58" t="str">
        <f t="shared" si="2117"/>
        <v>#NAME?</v>
      </c>
      <c r="AC2277" s="58" t="str">
        <f t="shared" si="2117"/>
        <v>#NAME?</v>
      </c>
      <c r="AD2277" s="57">
        <f t="shared" si="906"/>
        <v>0</v>
      </c>
      <c r="AE2277" s="57" t="str">
        <f t="shared" si="907"/>
        <v/>
      </c>
      <c r="AF2277" s="57">
        <f t="shared" si="908"/>
        <v>0</v>
      </c>
      <c r="AG2277" s="59">
        <f t="shared" si="909"/>
        <v>0</v>
      </c>
      <c r="AH2277" s="15"/>
      <c r="AI2277" s="15"/>
      <c r="AJ2277" s="15"/>
      <c r="AK2277" s="15"/>
      <c r="AL2277" s="15"/>
      <c r="AM2277" s="15"/>
      <c r="AN2277" s="15"/>
      <c r="AO2277" s="15"/>
      <c r="AP2277" s="15"/>
      <c r="AQ2277" s="15"/>
      <c r="AR2277" s="15"/>
      <c r="AS2277" s="15"/>
      <c r="AT2277" s="15"/>
      <c r="AU2277" s="15"/>
    </row>
    <row r="2278" ht="24.0" customHeight="1">
      <c r="A2278" s="45">
        <v>3702.0</v>
      </c>
      <c r="B2278" s="57"/>
      <c r="C2278" s="57"/>
      <c r="D2278" s="88" t="str">
        <f t="array" ref="D2278">IFERROR(
  LOOKUP(2, 1/((TRIM(IMS!$E$8:$E$2574)=TRIM(IMS!$E2278))*(IMS!$C$8:$C$2574&lt;IMS!$C2278)),
         IMS!$C$8:$C$2574),
"")</f>
        <v/>
      </c>
      <c r="E2278" s="57"/>
      <c r="F2278" s="57"/>
      <c r="G2278" s="77" t="str">
        <f t="shared" si="901"/>
        <v/>
      </c>
      <c r="H2278" s="78" t="str">
        <f t="shared" si="902"/>
        <v/>
      </c>
      <c r="I2278" s="79"/>
      <c r="J2278" s="80" t="str">
        <f t="shared" si="903"/>
        <v>#NAME?</v>
      </c>
      <c r="K2278" s="58"/>
      <c r="L2278" s="58"/>
      <c r="M2278" s="57"/>
      <c r="N2278" s="57"/>
      <c r="O2278" s="58"/>
      <c r="P2278" s="82"/>
      <c r="Q2278" s="81"/>
      <c r="R2278" s="81"/>
      <c r="S2278" s="57"/>
      <c r="T2278" s="82"/>
      <c r="U2278" s="82"/>
      <c r="V2278" s="57"/>
      <c r="W2278" s="57"/>
      <c r="X2278" s="57" t="str">
        <f t="shared" si="917"/>
        <v/>
      </c>
      <c r="Y2278" s="58" t="str">
        <f t="shared" ref="Y2278:AC2278" si="2118">TRIM(SUBSTITUTE(SUBSTITUTE(OFFSET($Q2278,0,COLUMN()-COLUMN($AL$1)),CHAR(160)," "),_xludf.UNICHAR(8239)," "))</f>
        <v>#NAME?</v>
      </c>
      <c r="Z2278" s="58" t="str">
        <f t="shared" si="2118"/>
        <v>#NAME?</v>
      </c>
      <c r="AA2278" s="58" t="str">
        <f t="shared" si="2118"/>
        <v>#NAME?</v>
      </c>
      <c r="AB2278" s="58" t="str">
        <f t="shared" si="2118"/>
        <v>#NAME?</v>
      </c>
      <c r="AC2278" s="58" t="str">
        <f t="shared" si="2118"/>
        <v>#NAME?</v>
      </c>
      <c r="AD2278" s="57">
        <f t="shared" si="906"/>
        <v>0</v>
      </c>
      <c r="AE2278" s="57" t="str">
        <f t="shared" si="907"/>
        <v/>
      </c>
      <c r="AF2278" s="57">
        <f t="shared" si="908"/>
        <v>0</v>
      </c>
      <c r="AG2278" s="59">
        <f t="shared" si="909"/>
        <v>0</v>
      </c>
      <c r="AH2278" s="15"/>
      <c r="AI2278" s="15"/>
      <c r="AJ2278" s="15"/>
      <c r="AK2278" s="15"/>
      <c r="AL2278" s="15"/>
      <c r="AM2278" s="15"/>
      <c r="AN2278" s="15"/>
      <c r="AO2278" s="15"/>
      <c r="AP2278" s="15"/>
      <c r="AQ2278" s="15"/>
      <c r="AR2278" s="15"/>
      <c r="AS2278" s="15"/>
      <c r="AT2278" s="15"/>
      <c r="AU2278" s="15"/>
    </row>
    <row r="2279" ht="24.0" customHeight="1">
      <c r="A2279" s="45">
        <v>3703.0</v>
      </c>
      <c r="B2279" s="57"/>
      <c r="C2279" s="57"/>
      <c r="D2279" s="88" t="str">
        <f t="array" ref="D2279">IFERROR(
  LOOKUP(2, 1/((TRIM(IMS!$E$8:$E$2574)=TRIM(IMS!$E2279))*(IMS!$C$8:$C$2574&lt;IMS!$C2279)),
         IMS!$C$8:$C$2574),
"")</f>
        <v/>
      </c>
      <c r="E2279" s="57"/>
      <c r="F2279" s="57"/>
      <c r="G2279" s="77" t="str">
        <f t="shared" si="901"/>
        <v/>
      </c>
      <c r="H2279" s="78" t="str">
        <f t="shared" si="902"/>
        <v/>
      </c>
      <c r="I2279" s="79"/>
      <c r="J2279" s="80" t="str">
        <f t="shared" si="903"/>
        <v>#NAME?</v>
      </c>
      <c r="K2279" s="58"/>
      <c r="L2279" s="58"/>
      <c r="M2279" s="57"/>
      <c r="N2279" s="57"/>
      <c r="O2279" s="58"/>
      <c r="P2279" s="82"/>
      <c r="Q2279" s="81"/>
      <c r="R2279" s="81"/>
      <c r="S2279" s="57"/>
      <c r="T2279" s="82"/>
      <c r="U2279" s="82"/>
      <c r="V2279" s="57"/>
      <c r="W2279" s="57"/>
      <c r="X2279" s="57" t="str">
        <f t="shared" si="917"/>
        <v/>
      </c>
      <c r="Y2279" s="58" t="str">
        <f t="shared" ref="Y2279:AC2279" si="2119">TRIM(SUBSTITUTE(SUBSTITUTE(OFFSET($Q2279,0,COLUMN()-COLUMN($AL$1)),CHAR(160)," "),_xludf.UNICHAR(8239)," "))</f>
        <v>#NAME?</v>
      </c>
      <c r="Z2279" s="58" t="str">
        <f t="shared" si="2119"/>
        <v>#NAME?</v>
      </c>
      <c r="AA2279" s="58" t="str">
        <f t="shared" si="2119"/>
        <v>#NAME?</v>
      </c>
      <c r="AB2279" s="58" t="str">
        <f t="shared" si="2119"/>
        <v>#NAME?</v>
      </c>
      <c r="AC2279" s="58" t="str">
        <f t="shared" si="2119"/>
        <v>#NAME?</v>
      </c>
      <c r="AD2279" s="57">
        <f t="shared" si="906"/>
        <v>0</v>
      </c>
      <c r="AE2279" s="57" t="str">
        <f t="shared" si="907"/>
        <v/>
      </c>
      <c r="AF2279" s="57">
        <f t="shared" si="908"/>
        <v>0</v>
      </c>
      <c r="AG2279" s="59">
        <f t="shared" si="909"/>
        <v>0</v>
      </c>
      <c r="AH2279" s="15"/>
      <c r="AI2279" s="15"/>
      <c r="AJ2279" s="15"/>
      <c r="AK2279" s="15"/>
      <c r="AL2279" s="15"/>
      <c r="AM2279" s="15"/>
      <c r="AN2279" s="15"/>
      <c r="AO2279" s="15"/>
      <c r="AP2279" s="15"/>
      <c r="AQ2279" s="15"/>
      <c r="AR2279" s="15"/>
      <c r="AS2279" s="15"/>
      <c r="AT2279" s="15"/>
      <c r="AU2279" s="15"/>
    </row>
    <row r="2280" ht="24.0" customHeight="1">
      <c r="A2280" s="45">
        <v>3704.0</v>
      </c>
      <c r="B2280" s="57"/>
      <c r="C2280" s="57"/>
      <c r="D2280" s="88" t="str">
        <f t="array" ref="D2280">IFERROR(
  LOOKUP(2, 1/((TRIM(IMS!$E$8:$E$2574)=TRIM(IMS!$E2280))*(IMS!$C$8:$C$2574&lt;IMS!$C2280)),
         IMS!$C$8:$C$2574),
"")</f>
        <v/>
      </c>
      <c r="E2280" s="57"/>
      <c r="F2280" s="57"/>
      <c r="G2280" s="77" t="str">
        <f t="shared" si="901"/>
        <v/>
      </c>
      <c r="H2280" s="78" t="str">
        <f t="shared" si="902"/>
        <v/>
      </c>
      <c r="I2280" s="79"/>
      <c r="J2280" s="80" t="str">
        <f t="shared" si="903"/>
        <v>#NAME?</v>
      </c>
      <c r="K2280" s="58"/>
      <c r="L2280" s="58"/>
      <c r="M2280" s="57"/>
      <c r="N2280" s="57"/>
      <c r="O2280" s="58"/>
      <c r="P2280" s="82"/>
      <c r="Q2280" s="81"/>
      <c r="R2280" s="81"/>
      <c r="S2280" s="57"/>
      <c r="T2280" s="82"/>
      <c r="U2280" s="82"/>
      <c r="V2280" s="57"/>
      <c r="W2280" s="57"/>
      <c r="X2280" s="57" t="str">
        <f t="shared" si="917"/>
        <v/>
      </c>
      <c r="Y2280" s="58" t="str">
        <f t="shared" ref="Y2280:AC2280" si="2120">TRIM(SUBSTITUTE(SUBSTITUTE(OFFSET($Q2280,0,COLUMN()-COLUMN($AL$1)),CHAR(160)," "),_xludf.UNICHAR(8239)," "))</f>
        <v>#NAME?</v>
      </c>
      <c r="Z2280" s="58" t="str">
        <f t="shared" si="2120"/>
        <v>#NAME?</v>
      </c>
      <c r="AA2280" s="58" t="str">
        <f t="shared" si="2120"/>
        <v>#NAME?</v>
      </c>
      <c r="AB2280" s="58" t="str">
        <f t="shared" si="2120"/>
        <v>#NAME?</v>
      </c>
      <c r="AC2280" s="58" t="str">
        <f t="shared" si="2120"/>
        <v>#NAME?</v>
      </c>
      <c r="AD2280" s="57">
        <f t="shared" si="906"/>
        <v>0</v>
      </c>
      <c r="AE2280" s="57" t="str">
        <f t="shared" si="907"/>
        <v/>
      </c>
      <c r="AF2280" s="57">
        <f t="shared" si="908"/>
        <v>0</v>
      </c>
      <c r="AG2280" s="59">
        <f t="shared" si="909"/>
        <v>0</v>
      </c>
      <c r="AH2280" s="15"/>
      <c r="AI2280" s="15"/>
      <c r="AJ2280" s="15"/>
      <c r="AK2280" s="15"/>
      <c r="AL2280" s="15"/>
      <c r="AM2280" s="15"/>
      <c r="AN2280" s="15"/>
      <c r="AO2280" s="15"/>
      <c r="AP2280" s="15"/>
      <c r="AQ2280" s="15"/>
      <c r="AR2280" s="15"/>
      <c r="AS2280" s="15"/>
      <c r="AT2280" s="15"/>
      <c r="AU2280" s="15"/>
    </row>
    <row r="2281" ht="24.0" customHeight="1">
      <c r="A2281" s="45">
        <v>3705.0</v>
      </c>
      <c r="B2281" s="57"/>
      <c r="C2281" s="57"/>
      <c r="D2281" s="88" t="str">
        <f t="array" ref="D2281">IFERROR(
  LOOKUP(2, 1/((TRIM(IMS!$E$8:$E$2574)=TRIM(IMS!$E2281))*(IMS!$C$8:$C$2574&lt;IMS!$C2281)),
         IMS!$C$8:$C$2574),
"")</f>
        <v/>
      </c>
      <c r="E2281" s="57"/>
      <c r="F2281" s="57"/>
      <c r="G2281" s="77" t="str">
        <f t="shared" si="901"/>
        <v/>
      </c>
      <c r="H2281" s="78" t="str">
        <f t="shared" si="902"/>
        <v/>
      </c>
      <c r="I2281" s="79"/>
      <c r="J2281" s="80" t="str">
        <f t="shared" si="903"/>
        <v>#NAME?</v>
      </c>
      <c r="K2281" s="58"/>
      <c r="L2281" s="58"/>
      <c r="M2281" s="57"/>
      <c r="N2281" s="57"/>
      <c r="O2281" s="58"/>
      <c r="P2281" s="82"/>
      <c r="Q2281" s="81"/>
      <c r="R2281" s="81"/>
      <c r="S2281" s="57"/>
      <c r="T2281" s="82"/>
      <c r="U2281" s="82"/>
      <c r="V2281" s="57"/>
      <c r="W2281" s="57"/>
      <c r="X2281" s="57" t="str">
        <f t="shared" si="917"/>
        <v/>
      </c>
      <c r="Y2281" s="58" t="str">
        <f t="shared" ref="Y2281:AC2281" si="2121">TRIM(SUBSTITUTE(SUBSTITUTE(OFFSET($Q2281,0,COLUMN()-COLUMN($AL$1)),CHAR(160)," "),_xludf.UNICHAR(8239)," "))</f>
        <v>#NAME?</v>
      </c>
      <c r="Z2281" s="58" t="str">
        <f t="shared" si="2121"/>
        <v>#NAME?</v>
      </c>
      <c r="AA2281" s="58" t="str">
        <f t="shared" si="2121"/>
        <v>#NAME?</v>
      </c>
      <c r="AB2281" s="58" t="str">
        <f t="shared" si="2121"/>
        <v>#NAME?</v>
      </c>
      <c r="AC2281" s="58" t="str">
        <f t="shared" si="2121"/>
        <v>#NAME?</v>
      </c>
      <c r="AD2281" s="57">
        <f t="shared" si="906"/>
        <v>0</v>
      </c>
      <c r="AE2281" s="57" t="str">
        <f t="shared" si="907"/>
        <v/>
      </c>
      <c r="AF2281" s="57">
        <f t="shared" si="908"/>
        <v>0</v>
      </c>
      <c r="AG2281" s="59">
        <f t="shared" si="909"/>
        <v>0</v>
      </c>
      <c r="AH2281" s="15"/>
      <c r="AI2281" s="15"/>
      <c r="AJ2281" s="15"/>
      <c r="AK2281" s="15"/>
      <c r="AL2281" s="15"/>
      <c r="AM2281" s="15"/>
      <c r="AN2281" s="15"/>
      <c r="AO2281" s="15"/>
      <c r="AP2281" s="15"/>
      <c r="AQ2281" s="15"/>
      <c r="AR2281" s="15"/>
      <c r="AS2281" s="15"/>
      <c r="AT2281" s="15"/>
      <c r="AU2281" s="15"/>
    </row>
    <row r="2282" ht="24.0" customHeight="1">
      <c r="A2282" s="45">
        <v>3706.0</v>
      </c>
      <c r="B2282" s="57"/>
      <c r="C2282" s="57"/>
      <c r="D2282" s="88" t="str">
        <f t="array" ref="D2282">IFERROR(
  LOOKUP(2, 1/((TRIM(IMS!$E$8:$E$2574)=TRIM(IMS!$E2282))*(IMS!$C$8:$C$2574&lt;IMS!$C2282)),
         IMS!$C$8:$C$2574),
"")</f>
        <v/>
      </c>
      <c r="E2282" s="57"/>
      <c r="F2282" s="57"/>
      <c r="G2282" s="77" t="str">
        <f t="shared" si="901"/>
        <v/>
      </c>
      <c r="H2282" s="78" t="str">
        <f t="shared" si="902"/>
        <v/>
      </c>
      <c r="I2282" s="79"/>
      <c r="J2282" s="80" t="str">
        <f t="shared" si="903"/>
        <v>#NAME?</v>
      </c>
      <c r="K2282" s="58"/>
      <c r="L2282" s="58"/>
      <c r="M2282" s="57"/>
      <c r="N2282" s="57"/>
      <c r="O2282" s="58"/>
      <c r="P2282" s="82"/>
      <c r="Q2282" s="81"/>
      <c r="R2282" s="81"/>
      <c r="S2282" s="57"/>
      <c r="T2282" s="82"/>
      <c r="U2282" s="82"/>
      <c r="V2282" s="57"/>
      <c r="W2282" s="57"/>
      <c r="X2282" s="57" t="str">
        <f t="shared" si="917"/>
        <v/>
      </c>
      <c r="Y2282" s="58" t="str">
        <f t="shared" ref="Y2282:AC2282" si="2122">TRIM(SUBSTITUTE(SUBSTITUTE(OFFSET($Q2282,0,COLUMN()-COLUMN($AL$1)),CHAR(160)," "),_xludf.UNICHAR(8239)," "))</f>
        <v>#NAME?</v>
      </c>
      <c r="Z2282" s="58" t="str">
        <f t="shared" si="2122"/>
        <v>#NAME?</v>
      </c>
      <c r="AA2282" s="58" t="str">
        <f t="shared" si="2122"/>
        <v>#NAME?</v>
      </c>
      <c r="AB2282" s="58" t="str">
        <f t="shared" si="2122"/>
        <v>#NAME?</v>
      </c>
      <c r="AC2282" s="58" t="str">
        <f t="shared" si="2122"/>
        <v>#NAME?</v>
      </c>
      <c r="AD2282" s="57">
        <f t="shared" si="906"/>
        <v>0</v>
      </c>
      <c r="AE2282" s="57" t="str">
        <f t="shared" si="907"/>
        <v/>
      </c>
      <c r="AF2282" s="57">
        <f t="shared" si="908"/>
        <v>0</v>
      </c>
      <c r="AG2282" s="59">
        <f t="shared" si="909"/>
        <v>0</v>
      </c>
      <c r="AH2282" s="15"/>
      <c r="AI2282" s="15"/>
      <c r="AJ2282" s="15"/>
      <c r="AK2282" s="15"/>
      <c r="AL2282" s="15"/>
      <c r="AM2282" s="15"/>
      <c r="AN2282" s="15"/>
      <c r="AO2282" s="15"/>
      <c r="AP2282" s="15"/>
      <c r="AQ2282" s="15"/>
      <c r="AR2282" s="15"/>
      <c r="AS2282" s="15"/>
      <c r="AT2282" s="15"/>
      <c r="AU2282" s="15"/>
    </row>
    <row r="2283" ht="24.0" customHeight="1">
      <c r="A2283" s="45">
        <v>3707.0</v>
      </c>
      <c r="B2283" s="57"/>
      <c r="C2283" s="57"/>
      <c r="D2283" s="88" t="str">
        <f t="array" ref="D2283">IFERROR(
  LOOKUP(2, 1/((TRIM(IMS!$E$8:$E$2574)=TRIM(IMS!$E2283))*(IMS!$C$8:$C$2574&lt;IMS!$C2283)),
         IMS!$C$8:$C$2574),
"")</f>
        <v/>
      </c>
      <c r="E2283" s="57"/>
      <c r="F2283" s="57"/>
      <c r="G2283" s="77" t="str">
        <f t="shared" si="901"/>
        <v/>
      </c>
      <c r="H2283" s="78" t="str">
        <f t="shared" si="902"/>
        <v/>
      </c>
      <c r="I2283" s="79"/>
      <c r="J2283" s="80" t="str">
        <f t="shared" si="903"/>
        <v>#NAME?</v>
      </c>
      <c r="K2283" s="58"/>
      <c r="L2283" s="58"/>
      <c r="M2283" s="57"/>
      <c r="N2283" s="57"/>
      <c r="O2283" s="58"/>
      <c r="P2283" s="82"/>
      <c r="Q2283" s="81"/>
      <c r="R2283" s="81"/>
      <c r="S2283" s="57"/>
      <c r="T2283" s="82"/>
      <c r="U2283" s="82"/>
      <c r="V2283" s="57"/>
      <c r="W2283" s="57"/>
      <c r="X2283" s="57" t="str">
        <f t="shared" si="917"/>
        <v/>
      </c>
      <c r="Y2283" s="58" t="str">
        <f t="shared" ref="Y2283:AC2283" si="2123">TRIM(SUBSTITUTE(SUBSTITUTE(OFFSET($Q2283,0,COLUMN()-COLUMN($AL$1)),CHAR(160)," "),_xludf.UNICHAR(8239)," "))</f>
        <v>#NAME?</v>
      </c>
      <c r="Z2283" s="58" t="str">
        <f t="shared" si="2123"/>
        <v>#NAME?</v>
      </c>
      <c r="AA2283" s="58" t="str">
        <f t="shared" si="2123"/>
        <v>#NAME?</v>
      </c>
      <c r="AB2283" s="58" t="str">
        <f t="shared" si="2123"/>
        <v>#NAME?</v>
      </c>
      <c r="AC2283" s="58" t="str">
        <f t="shared" si="2123"/>
        <v>#NAME?</v>
      </c>
      <c r="AD2283" s="57">
        <f t="shared" si="906"/>
        <v>0</v>
      </c>
      <c r="AE2283" s="57" t="str">
        <f t="shared" si="907"/>
        <v/>
      </c>
      <c r="AF2283" s="57">
        <f t="shared" si="908"/>
        <v>0</v>
      </c>
      <c r="AG2283" s="59">
        <f t="shared" si="909"/>
        <v>0</v>
      </c>
      <c r="AH2283" s="15"/>
      <c r="AI2283" s="15"/>
      <c r="AJ2283" s="15"/>
      <c r="AK2283" s="15"/>
      <c r="AL2283" s="15"/>
      <c r="AM2283" s="15"/>
      <c r="AN2283" s="15"/>
      <c r="AO2283" s="15"/>
      <c r="AP2283" s="15"/>
      <c r="AQ2283" s="15"/>
      <c r="AR2283" s="15"/>
      <c r="AS2283" s="15"/>
      <c r="AT2283" s="15"/>
      <c r="AU2283" s="15"/>
    </row>
    <row r="2284" ht="24.0" customHeight="1">
      <c r="A2284" s="45">
        <v>3708.0</v>
      </c>
      <c r="B2284" s="57"/>
      <c r="C2284" s="57"/>
      <c r="D2284" s="88" t="str">
        <f t="array" ref="D2284">IFERROR(
  LOOKUP(2, 1/((TRIM(IMS!$E$8:$E$2574)=TRIM(IMS!$E2284))*(IMS!$C$8:$C$2574&lt;IMS!$C2284)),
         IMS!$C$8:$C$2574),
"")</f>
        <v/>
      </c>
      <c r="E2284" s="57"/>
      <c r="F2284" s="57"/>
      <c r="G2284" s="77" t="str">
        <f t="shared" si="901"/>
        <v/>
      </c>
      <c r="H2284" s="78" t="str">
        <f t="shared" si="902"/>
        <v/>
      </c>
      <c r="I2284" s="79"/>
      <c r="J2284" s="80" t="str">
        <f t="shared" si="903"/>
        <v>#NAME?</v>
      </c>
      <c r="K2284" s="58"/>
      <c r="L2284" s="58"/>
      <c r="M2284" s="57"/>
      <c r="N2284" s="57"/>
      <c r="O2284" s="58"/>
      <c r="P2284" s="82"/>
      <c r="Q2284" s="81"/>
      <c r="R2284" s="81"/>
      <c r="S2284" s="57"/>
      <c r="T2284" s="82"/>
      <c r="U2284" s="82"/>
      <c r="V2284" s="57"/>
      <c r="W2284" s="57"/>
      <c r="X2284" s="57" t="str">
        <f t="shared" si="917"/>
        <v/>
      </c>
      <c r="Y2284" s="58" t="str">
        <f t="shared" ref="Y2284:AC2284" si="2124">TRIM(SUBSTITUTE(SUBSTITUTE(OFFSET($Q2284,0,COLUMN()-COLUMN($AL$1)),CHAR(160)," "),_xludf.UNICHAR(8239)," "))</f>
        <v>#NAME?</v>
      </c>
      <c r="Z2284" s="58" t="str">
        <f t="shared" si="2124"/>
        <v>#NAME?</v>
      </c>
      <c r="AA2284" s="58" t="str">
        <f t="shared" si="2124"/>
        <v>#NAME?</v>
      </c>
      <c r="AB2284" s="58" t="str">
        <f t="shared" si="2124"/>
        <v>#NAME?</v>
      </c>
      <c r="AC2284" s="58" t="str">
        <f t="shared" si="2124"/>
        <v>#NAME?</v>
      </c>
      <c r="AD2284" s="57">
        <f t="shared" si="906"/>
        <v>0</v>
      </c>
      <c r="AE2284" s="57" t="str">
        <f t="shared" si="907"/>
        <v/>
      </c>
      <c r="AF2284" s="57">
        <f t="shared" si="908"/>
        <v>0</v>
      </c>
      <c r="AG2284" s="59">
        <f t="shared" si="909"/>
        <v>0</v>
      </c>
      <c r="AH2284" s="15"/>
      <c r="AI2284" s="15"/>
      <c r="AJ2284" s="15"/>
      <c r="AK2284" s="15"/>
      <c r="AL2284" s="15"/>
      <c r="AM2284" s="15"/>
      <c r="AN2284" s="15"/>
      <c r="AO2284" s="15"/>
      <c r="AP2284" s="15"/>
      <c r="AQ2284" s="15"/>
      <c r="AR2284" s="15"/>
      <c r="AS2284" s="15"/>
      <c r="AT2284" s="15"/>
      <c r="AU2284" s="15"/>
    </row>
    <row r="2285" ht="24.0" customHeight="1">
      <c r="A2285" s="45">
        <v>3709.0</v>
      </c>
      <c r="B2285" s="57"/>
      <c r="C2285" s="57"/>
      <c r="D2285" s="88" t="str">
        <f t="array" ref="D2285">IFERROR(
  LOOKUP(2, 1/((TRIM(IMS!$E$8:$E$2574)=TRIM(IMS!$E2285))*(IMS!$C$8:$C$2574&lt;IMS!$C2285)),
         IMS!$C$8:$C$2574),
"")</f>
        <v/>
      </c>
      <c r="E2285" s="57"/>
      <c r="F2285" s="57"/>
      <c r="G2285" s="77" t="str">
        <f t="shared" si="901"/>
        <v/>
      </c>
      <c r="H2285" s="78" t="str">
        <f t="shared" si="902"/>
        <v/>
      </c>
      <c r="I2285" s="79"/>
      <c r="J2285" s="80" t="str">
        <f t="shared" si="903"/>
        <v>#NAME?</v>
      </c>
      <c r="K2285" s="58"/>
      <c r="L2285" s="58"/>
      <c r="M2285" s="57"/>
      <c r="N2285" s="57"/>
      <c r="O2285" s="58"/>
      <c r="P2285" s="82"/>
      <c r="Q2285" s="81"/>
      <c r="R2285" s="81"/>
      <c r="S2285" s="57"/>
      <c r="T2285" s="82"/>
      <c r="U2285" s="82"/>
      <c r="V2285" s="57"/>
      <c r="W2285" s="57"/>
      <c r="X2285" s="57" t="str">
        <f t="shared" si="917"/>
        <v/>
      </c>
      <c r="Y2285" s="58" t="str">
        <f t="shared" ref="Y2285:AC2285" si="2125">TRIM(SUBSTITUTE(SUBSTITUTE(OFFSET($Q2285,0,COLUMN()-COLUMN($AL$1)),CHAR(160)," "),_xludf.UNICHAR(8239)," "))</f>
        <v>#NAME?</v>
      </c>
      <c r="Z2285" s="58" t="str">
        <f t="shared" si="2125"/>
        <v>#NAME?</v>
      </c>
      <c r="AA2285" s="58" t="str">
        <f t="shared" si="2125"/>
        <v>#NAME?</v>
      </c>
      <c r="AB2285" s="58" t="str">
        <f t="shared" si="2125"/>
        <v>#NAME?</v>
      </c>
      <c r="AC2285" s="58" t="str">
        <f t="shared" si="2125"/>
        <v>#NAME?</v>
      </c>
      <c r="AD2285" s="57">
        <f t="shared" si="906"/>
        <v>0</v>
      </c>
      <c r="AE2285" s="57" t="str">
        <f t="shared" si="907"/>
        <v/>
      </c>
      <c r="AF2285" s="57">
        <f t="shared" si="908"/>
        <v>0</v>
      </c>
      <c r="AG2285" s="59">
        <f t="shared" si="909"/>
        <v>0</v>
      </c>
      <c r="AH2285" s="15"/>
      <c r="AI2285" s="15"/>
      <c r="AJ2285" s="15"/>
      <c r="AK2285" s="15"/>
      <c r="AL2285" s="15"/>
      <c r="AM2285" s="15"/>
      <c r="AN2285" s="15"/>
      <c r="AO2285" s="15"/>
      <c r="AP2285" s="15"/>
      <c r="AQ2285" s="15"/>
      <c r="AR2285" s="15"/>
      <c r="AS2285" s="15"/>
      <c r="AT2285" s="15"/>
      <c r="AU2285" s="15"/>
    </row>
    <row r="2286" ht="24.0" customHeight="1">
      <c r="A2286" s="45">
        <v>3710.0</v>
      </c>
      <c r="B2286" s="57"/>
      <c r="C2286" s="57"/>
      <c r="D2286" s="88" t="str">
        <f t="array" ref="D2286">IFERROR(
  LOOKUP(2, 1/((TRIM(IMS!$E$8:$E$2574)=TRIM(IMS!$E2286))*(IMS!$C$8:$C$2574&lt;IMS!$C2286)),
         IMS!$C$8:$C$2574),
"")</f>
        <v/>
      </c>
      <c r="E2286" s="57"/>
      <c r="F2286" s="57"/>
      <c r="G2286" s="77" t="str">
        <f t="shared" si="901"/>
        <v/>
      </c>
      <c r="H2286" s="78" t="str">
        <f t="shared" si="902"/>
        <v/>
      </c>
      <c r="I2286" s="79"/>
      <c r="J2286" s="80" t="str">
        <f t="shared" si="903"/>
        <v>#NAME?</v>
      </c>
      <c r="K2286" s="58"/>
      <c r="L2286" s="58"/>
      <c r="M2286" s="57"/>
      <c r="N2286" s="57"/>
      <c r="O2286" s="58"/>
      <c r="P2286" s="82"/>
      <c r="Q2286" s="81"/>
      <c r="R2286" s="81"/>
      <c r="S2286" s="57"/>
      <c r="T2286" s="82"/>
      <c r="U2286" s="82"/>
      <c r="V2286" s="57"/>
      <c r="W2286" s="57"/>
      <c r="X2286" s="57" t="str">
        <f t="shared" si="917"/>
        <v/>
      </c>
      <c r="Y2286" s="58" t="str">
        <f t="shared" ref="Y2286:AC2286" si="2126">TRIM(SUBSTITUTE(SUBSTITUTE(OFFSET($Q2286,0,COLUMN()-COLUMN($AL$1)),CHAR(160)," "),_xludf.UNICHAR(8239)," "))</f>
        <v>#NAME?</v>
      </c>
      <c r="Z2286" s="58" t="str">
        <f t="shared" si="2126"/>
        <v>#NAME?</v>
      </c>
      <c r="AA2286" s="58" t="str">
        <f t="shared" si="2126"/>
        <v>#NAME?</v>
      </c>
      <c r="AB2286" s="58" t="str">
        <f t="shared" si="2126"/>
        <v>#NAME?</v>
      </c>
      <c r="AC2286" s="58" t="str">
        <f t="shared" si="2126"/>
        <v>#NAME?</v>
      </c>
      <c r="AD2286" s="57">
        <f t="shared" si="906"/>
        <v>0</v>
      </c>
      <c r="AE2286" s="57" t="str">
        <f t="shared" si="907"/>
        <v/>
      </c>
      <c r="AF2286" s="57">
        <f t="shared" si="908"/>
        <v>0</v>
      </c>
      <c r="AG2286" s="59">
        <f t="shared" si="909"/>
        <v>0</v>
      </c>
      <c r="AH2286" s="15"/>
      <c r="AI2286" s="15"/>
      <c r="AJ2286" s="15"/>
      <c r="AK2286" s="15"/>
      <c r="AL2286" s="15"/>
      <c r="AM2286" s="15"/>
      <c r="AN2286" s="15"/>
      <c r="AO2286" s="15"/>
      <c r="AP2286" s="15"/>
      <c r="AQ2286" s="15"/>
      <c r="AR2286" s="15"/>
      <c r="AS2286" s="15"/>
      <c r="AT2286" s="15"/>
      <c r="AU2286" s="15"/>
    </row>
    <row r="2287" ht="24.0" customHeight="1">
      <c r="A2287" s="45">
        <v>3711.0</v>
      </c>
      <c r="B2287" s="57"/>
      <c r="C2287" s="57"/>
      <c r="D2287" s="88" t="str">
        <f t="array" ref="D2287">IFERROR(
  LOOKUP(2, 1/((TRIM(IMS!$E$8:$E$2574)=TRIM(IMS!$E2287))*(IMS!$C$8:$C$2574&lt;IMS!$C2287)),
         IMS!$C$8:$C$2574),
"")</f>
        <v/>
      </c>
      <c r="E2287" s="57"/>
      <c r="F2287" s="57"/>
      <c r="G2287" s="77" t="str">
        <f t="shared" si="901"/>
        <v/>
      </c>
      <c r="H2287" s="78" t="str">
        <f t="shared" si="902"/>
        <v/>
      </c>
      <c r="I2287" s="79"/>
      <c r="J2287" s="80" t="str">
        <f t="shared" si="903"/>
        <v>#NAME?</v>
      </c>
      <c r="K2287" s="58"/>
      <c r="L2287" s="58"/>
      <c r="M2287" s="57"/>
      <c r="N2287" s="57"/>
      <c r="O2287" s="58"/>
      <c r="P2287" s="82"/>
      <c r="Q2287" s="81"/>
      <c r="R2287" s="81"/>
      <c r="S2287" s="57"/>
      <c r="T2287" s="82"/>
      <c r="U2287" s="82"/>
      <c r="V2287" s="57"/>
      <c r="W2287" s="57"/>
      <c r="X2287" s="57" t="str">
        <f t="shared" si="917"/>
        <v/>
      </c>
      <c r="Y2287" s="58" t="str">
        <f t="shared" ref="Y2287:AC2287" si="2127">TRIM(SUBSTITUTE(SUBSTITUTE(OFFSET($Q2287,0,COLUMN()-COLUMN($AL$1)),CHAR(160)," "),_xludf.UNICHAR(8239)," "))</f>
        <v>#NAME?</v>
      </c>
      <c r="Z2287" s="58" t="str">
        <f t="shared" si="2127"/>
        <v>#NAME?</v>
      </c>
      <c r="AA2287" s="58" t="str">
        <f t="shared" si="2127"/>
        <v>#NAME?</v>
      </c>
      <c r="AB2287" s="58" t="str">
        <f t="shared" si="2127"/>
        <v>#NAME?</v>
      </c>
      <c r="AC2287" s="58" t="str">
        <f t="shared" si="2127"/>
        <v>#NAME?</v>
      </c>
      <c r="AD2287" s="57">
        <f t="shared" si="906"/>
        <v>0</v>
      </c>
      <c r="AE2287" s="57" t="str">
        <f t="shared" si="907"/>
        <v/>
      </c>
      <c r="AF2287" s="57">
        <f t="shared" si="908"/>
        <v>0</v>
      </c>
      <c r="AG2287" s="59">
        <f t="shared" si="909"/>
        <v>0</v>
      </c>
      <c r="AH2287" s="15"/>
      <c r="AI2287" s="15"/>
      <c r="AJ2287" s="15"/>
      <c r="AK2287" s="15"/>
      <c r="AL2287" s="15"/>
      <c r="AM2287" s="15"/>
      <c r="AN2287" s="15"/>
      <c r="AO2287" s="15"/>
      <c r="AP2287" s="15"/>
      <c r="AQ2287" s="15"/>
      <c r="AR2287" s="15"/>
      <c r="AS2287" s="15"/>
      <c r="AT2287" s="15"/>
      <c r="AU2287" s="15"/>
    </row>
    <row r="2288" ht="24.0" customHeight="1">
      <c r="A2288" s="45">
        <v>3712.0</v>
      </c>
      <c r="B2288" s="57"/>
      <c r="C2288" s="57"/>
      <c r="D2288" s="88" t="str">
        <f t="array" ref="D2288">IFERROR(
  LOOKUP(2, 1/((TRIM(IMS!$E$8:$E$2574)=TRIM(IMS!$E2288))*(IMS!$C$8:$C$2574&lt;IMS!$C2288)),
         IMS!$C$8:$C$2574),
"")</f>
        <v/>
      </c>
      <c r="E2288" s="57"/>
      <c r="F2288" s="57"/>
      <c r="G2288" s="77" t="str">
        <f t="shared" si="901"/>
        <v/>
      </c>
      <c r="H2288" s="78" t="str">
        <f t="shared" si="902"/>
        <v/>
      </c>
      <c r="I2288" s="79"/>
      <c r="J2288" s="80" t="str">
        <f t="shared" si="903"/>
        <v>#NAME?</v>
      </c>
      <c r="K2288" s="58"/>
      <c r="L2288" s="58"/>
      <c r="M2288" s="57"/>
      <c r="N2288" s="57"/>
      <c r="O2288" s="58"/>
      <c r="P2288" s="82"/>
      <c r="Q2288" s="81"/>
      <c r="R2288" s="81"/>
      <c r="S2288" s="57"/>
      <c r="T2288" s="82"/>
      <c r="U2288" s="82"/>
      <c r="V2288" s="57"/>
      <c r="W2288" s="57"/>
      <c r="X2288" s="57" t="str">
        <f t="shared" si="917"/>
        <v/>
      </c>
      <c r="Y2288" s="58" t="str">
        <f t="shared" ref="Y2288:AC2288" si="2128">TRIM(SUBSTITUTE(SUBSTITUTE(OFFSET($Q2288,0,COLUMN()-COLUMN($AL$1)),CHAR(160)," "),_xludf.UNICHAR(8239)," "))</f>
        <v>#NAME?</v>
      </c>
      <c r="Z2288" s="58" t="str">
        <f t="shared" si="2128"/>
        <v>#NAME?</v>
      </c>
      <c r="AA2288" s="58" t="str">
        <f t="shared" si="2128"/>
        <v>#NAME?</v>
      </c>
      <c r="AB2288" s="58" t="str">
        <f t="shared" si="2128"/>
        <v>#NAME?</v>
      </c>
      <c r="AC2288" s="58" t="str">
        <f t="shared" si="2128"/>
        <v>#NAME?</v>
      </c>
      <c r="AD2288" s="57">
        <f t="shared" si="906"/>
        <v>0</v>
      </c>
      <c r="AE2288" s="57" t="str">
        <f t="shared" si="907"/>
        <v/>
      </c>
      <c r="AF2288" s="57">
        <f t="shared" si="908"/>
        <v>0</v>
      </c>
      <c r="AG2288" s="59">
        <f t="shared" si="909"/>
        <v>0</v>
      </c>
      <c r="AH2288" s="15"/>
      <c r="AI2288" s="15"/>
      <c r="AJ2288" s="15"/>
      <c r="AK2288" s="15"/>
      <c r="AL2288" s="15"/>
      <c r="AM2288" s="15"/>
      <c r="AN2288" s="15"/>
      <c r="AO2288" s="15"/>
      <c r="AP2288" s="15"/>
      <c r="AQ2288" s="15"/>
      <c r="AR2288" s="15"/>
      <c r="AS2288" s="15"/>
      <c r="AT2288" s="15"/>
      <c r="AU2288" s="15"/>
    </row>
    <row r="2289" ht="24.0" customHeight="1">
      <c r="A2289" s="45">
        <v>3713.0</v>
      </c>
      <c r="B2289" s="57"/>
      <c r="C2289" s="57"/>
      <c r="D2289" s="88" t="str">
        <f t="array" ref="D2289">IFERROR(
  LOOKUP(2, 1/((TRIM(IMS!$E$8:$E$2574)=TRIM(IMS!$E2289))*(IMS!$C$8:$C$2574&lt;IMS!$C2289)),
         IMS!$C$8:$C$2574),
"")</f>
        <v/>
      </c>
      <c r="E2289" s="57"/>
      <c r="F2289" s="57"/>
      <c r="G2289" s="77" t="str">
        <f t="shared" si="901"/>
        <v/>
      </c>
      <c r="H2289" s="78" t="str">
        <f t="shared" si="902"/>
        <v/>
      </c>
      <c r="I2289" s="79"/>
      <c r="J2289" s="80" t="str">
        <f t="shared" si="903"/>
        <v>#NAME?</v>
      </c>
      <c r="K2289" s="58"/>
      <c r="L2289" s="58"/>
      <c r="M2289" s="57"/>
      <c r="N2289" s="57"/>
      <c r="O2289" s="58"/>
      <c r="P2289" s="82"/>
      <c r="Q2289" s="81"/>
      <c r="R2289" s="81"/>
      <c r="S2289" s="57"/>
      <c r="T2289" s="82"/>
      <c r="U2289" s="82"/>
      <c r="V2289" s="57"/>
      <c r="W2289" s="57"/>
      <c r="X2289" s="57" t="str">
        <f t="shared" si="917"/>
        <v/>
      </c>
      <c r="Y2289" s="58" t="str">
        <f t="shared" ref="Y2289:AC2289" si="2129">TRIM(SUBSTITUTE(SUBSTITUTE(OFFSET($Q2289,0,COLUMN()-COLUMN($AL$1)),CHAR(160)," "),_xludf.UNICHAR(8239)," "))</f>
        <v>#NAME?</v>
      </c>
      <c r="Z2289" s="58" t="str">
        <f t="shared" si="2129"/>
        <v>#NAME?</v>
      </c>
      <c r="AA2289" s="58" t="str">
        <f t="shared" si="2129"/>
        <v>#NAME?</v>
      </c>
      <c r="AB2289" s="58" t="str">
        <f t="shared" si="2129"/>
        <v>#NAME?</v>
      </c>
      <c r="AC2289" s="58" t="str">
        <f t="shared" si="2129"/>
        <v>#NAME?</v>
      </c>
      <c r="AD2289" s="57">
        <f t="shared" si="906"/>
        <v>0</v>
      </c>
      <c r="AE2289" s="57" t="str">
        <f t="shared" si="907"/>
        <v/>
      </c>
      <c r="AF2289" s="57">
        <f t="shared" si="908"/>
        <v>0</v>
      </c>
      <c r="AG2289" s="59">
        <f t="shared" si="909"/>
        <v>0</v>
      </c>
      <c r="AH2289" s="15"/>
      <c r="AI2289" s="15"/>
      <c r="AJ2289" s="15"/>
      <c r="AK2289" s="15"/>
      <c r="AL2289" s="15"/>
      <c r="AM2289" s="15"/>
      <c r="AN2289" s="15"/>
      <c r="AO2289" s="15"/>
      <c r="AP2289" s="15"/>
      <c r="AQ2289" s="15"/>
      <c r="AR2289" s="15"/>
      <c r="AS2289" s="15"/>
      <c r="AT2289" s="15"/>
      <c r="AU2289" s="15"/>
    </row>
    <row r="2290" ht="24.0" customHeight="1">
      <c r="A2290" s="45">
        <v>3714.0</v>
      </c>
      <c r="B2290" s="57"/>
      <c r="C2290" s="57"/>
      <c r="D2290" s="88" t="str">
        <f t="array" ref="D2290">IFERROR(
  LOOKUP(2, 1/((TRIM(IMS!$E$8:$E$2574)=TRIM(IMS!$E2290))*(IMS!$C$8:$C$2574&lt;IMS!$C2290)),
         IMS!$C$8:$C$2574),
"")</f>
        <v/>
      </c>
      <c r="E2290" s="57"/>
      <c r="F2290" s="57"/>
      <c r="G2290" s="77" t="str">
        <f t="shared" si="901"/>
        <v/>
      </c>
      <c r="H2290" s="78" t="str">
        <f t="shared" si="902"/>
        <v/>
      </c>
      <c r="I2290" s="79"/>
      <c r="J2290" s="80" t="str">
        <f t="shared" si="903"/>
        <v>#NAME?</v>
      </c>
      <c r="K2290" s="58"/>
      <c r="L2290" s="58"/>
      <c r="M2290" s="57"/>
      <c r="N2290" s="57"/>
      <c r="O2290" s="58"/>
      <c r="P2290" s="82"/>
      <c r="Q2290" s="81"/>
      <c r="R2290" s="81"/>
      <c r="S2290" s="57"/>
      <c r="T2290" s="82"/>
      <c r="U2290" s="82"/>
      <c r="V2290" s="57"/>
      <c r="W2290" s="57"/>
      <c r="X2290" s="57" t="str">
        <f t="shared" si="917"/>
        <v/>
      </c>
      <c r="Y2290" s="58" t="str">
        <f t="shared" ref="Y2290:AC2290" si="2130">TRIM(SUBSTITUTE(SUBSTITUTE(OFFSET($Q2290,0,COLUMN()-COLUMN($AL$1)),CHAR(160)," "),_xludf.UNICHAR(8239)," "))</f>
        <v>#NAME?</v>
      </c>
      <c r="Z2290" s="58" t="str">
        <f t="shared" si="2130"/>
        <v>#NAME?</v>
      </c>
      <c r="AA2290" s="58" t="str">
        <f t="shared" si="2130"/>
        <v>#NAME?</v>
      </c>
      <c r="AB2290" s="58" t="str">
        <f t="shared" si="2130"/>
        <v>#NAME?</v>
      </c>
      <c r="AC2290" s="58" t="str">
        <f t="shared" si="2130"/>
        <v>#NAME?</v>
      </c>
      <c r="AD2290" s="57">
        <f t="shared" si="906"/>
        <v>0</v>
      </c>
      <c r="AE2290" s="57" t="str">
        <f t="shared" si="907"/>
        <v/>
      </c>
      <c r="AF2290" s="57">
        <f t="shared" si="908"/>
        <v>0</v>
      </c>
      <c r="AG2290" s="59">
        <f t="shared" si="909"/>
        <v>0</v>
      </c>
      <c r="AH2290" s="15"/>
      <c r="AI2290" s="15"/>
      <c r="AJ2290" s="15"/>
      <c r="AK2290" s="15"/>
      <c r="AL2290" s="15"/>
      <c r="AM2290" s="15"/>
      <c r="AN2290" s="15"/>
      <c r="AO2290" s="15"/>
      <c r="AP2290" s="15"/>
      <c r="AQ2290" s="15"/>
      <c r="AR2290" s="15"/>
      <c r="AS2290" s="15"/>
      <c r="AT2290" s="15"/>
      <c r="AU2290" s="15"/>
    </row>
    <row r="2291" ht="24.0" customHeight="1">
      <c r="A2291" s="45">
        <v>3715.0</v>
      </c>
      <c r="B2291" s="57"/>
      <c r="C2291" s="57"/>
      <c r="D2291" s="88" t="str">
        <f t="array" ref="D2291">IFERROR(
  LOOKUP(2, 1/((TRIM(IMS!$E$8:$E$2574)=TRIM(IMS!$E2291))*(IMS!$C$8:$C$2574&lt;IMS!$C2291)),
         IMS!$C$8:$C$2574),
"")</f>
        <v/>
      </c>
      <c r="E2291" s="57"/>
      <c r="F2291" s="57"/>
      <c r="G2291" s="77" t="str">
        <f t="shared" si="901"/>
        <v/>
      </c>
      <c r="H2291" s="78" t="str">
        <f t="shared" si="902"/>
        <v/>
      </c>
      <c r="I2291" s="79"/>
      <c r="J2291" s="80" t="str">
        <f t="shared" si="903"/>
        <v>#NAME?</v>
      </c>
      <c r="K2291" s="58"/>
      <c r="L2291" s="58"/>
      <c r="M2291" s="57"/>
      <c r="N2291" s="57"/>
      <c r="O2291" s="58"/>
      <c r="P2291" s="82"/>
      <c r="Q2291" s="81"/>
      <c r="R2291" s="81"/>
      <c r="S2291" s="57"/>
      <c r="T2291" s="82"/>
      <c r="U2291" s="82"/>
      <c r="V2291" s="57"/>
      <c r="W2291" s="57"/>
      <c r="X2291" s="57" t="str">
        <f t="shared" si="917"/>
        <v/>
      </c>
      <c r="Y2291" s="58" t="str">
        <f t="shared" ref="Y2291:AC2291" si="2131">TRIM(SUBSTITUTE(SUBSTITUTE(OFFSET($Q2291,0,COLUMN()-COLUMN($AL$1)),CHAR(160)," "),_xludf.UNICHAR(8239)," "))</f>
        <v>#NAME?</v>
      </c>
      <c r="Z2291" s="58" t="str">
        <f t="shared" si="2131"/>
        <v>#NAME?</v>
      </c>
      <c r="AA2291" s="58" t="str">
        <f t="shared" si="2131"/>
        <v>#NAME?</v>
      </c>
      <c r="AB2291" s="58" t="str">
        <f t="shared" si="2131"/>
        <v>#NAME?</v>
      </c>
      <c r="AC2291" s="58" t="str">
        <f t="shared" si="2131"/>
        <v>#NAME?</v>
      </c>
      <c r="AD2291" s="57">
        <f t="shared" si="906"/>
        <v>0</v>
      </c>
      <c r="AE2291" s="57" t="str">
        <f t="shared" si="907"/>
        <v/>
      </c>
      <c r="AF2291" s="57">
        <f t="shared" si="908"/>
        <v>0</v>
      </c>
      <c r="AG2291" s="59">
        <f t="shared" si="909"/>
        <v>0</v>
      </c>
      <c r="AH2291" s="15"/>
      <c r="AI2291" s="15"/>
      <c r="AJ2291" s="15"/>
      <c r="AK2291" s="15"/>
      <c r="AL2291" s="15"/>
      <c r="AM2291" s="15"/>
      <c r="AN2291" s="15"/>
      <c r="AO2291" s="15"/>
      <c r="AP2291" s="15"/>
      <c r="AQ2291" s="15"/>
      <c r="AR2291" s="15"/>
      <c r="AS2291" s="15"/>
      <c r="AT2291" s="15"/>
      <c r="AU2291" s="15"/>
    </row>
    <row r="2292" ht="24.0" customHeight="1">
      <c r="A2292" s="45">
        <v>3716.0</v>
      </c>
      <c r="B2292" s="57"/>
      <c r="C2292" s="57"/>
      <c r="D2292" s="88" t="str">
        <f t="array" ref="D2292">IFERROR(
  LOOKUP(2, 1/((TRIM(IMS!$E$8:$E$2574)=TRIM(IMS!$E2292))*(IMS!$C$8:$C$2574&lt;IMS!$C2292)),
         IMS!$C$8:$C$2574),
"")</f>
        <v/>
      </c>
      <c r="E2292" s="57"/>
      <c r="F2292" s="57"/>
      <c r="G2292" s="77" t="str">
        <f t="shared" si="901"/>
        <v/>
      </c>
      <c r="H2292" s="78" t="str">
        <f t="shared" si="902"/>
        <v/>
      </c>
      <c r="I2292" s="79"/>
      <c r="J2292" s="80" t="str">
        <f t="shared" si="903"/>
        <v>#NAME?</v>
      </c>
      <c r="K2292" s="58"/>
      <c r="L2292" s="58"/>
      <c r="M2292" s="57"/>
      <c r="N2292" s="57"/>
      <c r="O2292" s="58"/>
      <c r="P2292" s="82"/>
      <c r="Q2292" s="81"/>
      <c r="R2292" s="81"/>
      <c r="S2292" s="57"/>
      <c r="T2292" s="82"/>
      <c r="U2292" s="82"/>
      <c r="V2292" s="57"/>
      <c r="W2292" s="57"/>
      <c r="X2292" s="57" t="str">
        <f t="shared" si="917"/>
        <v/>
      </c>
      <c r="Y2292" s="58" t="str">
        <f t="shared" ref="Y2292:AC2292" si="2132">TRIM(SUBSTITUTE(SUBSTITUTE(OFFSET($Q2292,0,COLUMN()-COLUMN($AL$1)),CHAR(160)," "),_xludf.UNICHAR(8239)," "))</f>
        <v>#NAME?</v>
      </c>
      <c r="Z2292" s="58" t="str">
        <f t="shared" si="2132"/>
        <v>#NAME?</v>
      </c>
      <c r="AA2292" s="58" t="str">
        <f t="shared" si="2132"/>
        <v>#NAME?</v>
      </c>
      <c r="AB2292" s="58" t="str">
        <f t="shared" si="2132"/>
        <v>#NAME?</v>
      </c>
      <c r="AC2292" s="58" t="str">
        <f t="shared" si="2132"/>
        <v>#NAME?</v>
      </c>
      <c r="AD2292" s="57">
        <f t="shared" si="906"/>
        <v>0</v>
      </c>
      <c r="AE2292" s="57" t="str">
        <f t="shared" si="907"/>
        <v/>
      </c>
      <c r="AF2292" s="57">
        <f t="shared" si="908"/>
        <v>0</v>
      </c>
      <c r="AG2292" s="59">
        <f t="shared" si="909"/>
        <v>0</v>
      </c>
      <c r="AH2292" s="15"/>
      <c r="AI2292" s="15"/>
      <c r="AJ2292" s="15"/>
      <c r="AK2292" s="15"/>
      <c r="AL2292" s="15"/>
      <c r="AM2292" s="15"/>
      <c r="AN2292" s="15"/>
      <c r="AO2292" s="15"/>
      <c r="AP2292" s="15"/>
      <c r="AQ2292" s="15"/>
      <c r="AR2292" s="15"/>
      <c r="AS2292" s="15"/>
      <c r="AT2292" s="15"/>
      <c r="AU2292" s="15"/>
    </row>
    <row r="2293" ht="24.0" customHeight="1">
      <c r="A2293" s="45">
        <v>3717.0</v>
      </c>
      <c r="B2293" s="57"/>
      <c r="C2293" s="57"/>
      <c r="D2293" s="88" t="str">
        <f t="array" ref="D2293">IFERROR(
  LOOKUP(2, 1/((TRIM(IMS!$E$8:$E$2574)=TRIM(IMS!$E2293))*(IMS!$C$8:$C$2574&lt;IMS!$C2293)),
         IMS!$C$8:$C$2574),
"")</f>
        <v/>
      </c>
      <c r="E2293" s="57"/>
      <c r="F2293" s="57"/>
      <c r="G2293" s="77" t="str">
        <f t="shared" si="901"/>
        <v/>
      </c>
      <c r="H2293" s="78" t="str">
        <f t="shared" si="902"/>
        <v/>
      </c>
      <c r="I2293" s="79"/>
      <c r="J2293" s="80" t="str">
        <f t="shared" si="903"/>
        <v>#NAME?</v>
      </c>
      <c r="K2293" s="58"/>
      <c r="L2293" s="58"/>
      <c r="M2293" s="57"/>
      <c r="N2293" s="57"/>
      <c r="O2293" s="58"/>
      <c r="P2293" s="82"/>
      <c r="Q2293" s="81"/>
      <c r="R2293" s="81"/>
      <c r="S2293" s="57"/>
      <c r="T2293" s="82"/>
      <c r="U2293" s="82"/>
      <c r="V2293" s="57"/>
      <c r="W2293" s="57"/>
      <c r="X2293" s="57" t="str">
        <f t="shared" si="917"/>
        <v/>
      </c>
      <c r="Y2293" s="58" t="str">
        <f t="shared" ref="Y2293:AC2293" si="2133">TRIM(SUBSTITUTE(SUBSTITUTE(OFFSET($Q2293,0,COLUMN()-COLUMN($AL$1)),CHAR(160)," "),_xludf.UNICHAR(8239)," "))</f>
        <v>#NAME?</v>
      </c>
      <c r="Z2293" s="58" t="str">
        <f t="shared" si="2133"/>
        <v>#NAME?</v>
      </c>
      <c r="AA2293" s="58" t="str">
        <f t="shared" si="2133"/>
        <v>#NAME?</v>
      </c>
      <c r="AB2293" s="58" t="str">
        <f t="shared" si="2133"/>
        <v>#NAME?</v>
      </c>
      <c r="AC2293" s="58" t="str">
        <f t="shared" si="2133"/>
        <v>#NAME?</v>
      </c>
      <c r="AD2293" s="57">
        <f t="shared" si="906"/>
        <v>0</v>
      </c>
      <c r="AE2293" s="57" t="str">
        <f t="shared" si="907"/>
        <v/>
      </c>
      <c r="AF2293" s="57">
        <f t="shared" si="908"/>
        <v>0</v>
      </c>
      <c r="AG2293" s="59">
        <f t="shared" si="909"/>
        <v>0</v>
      </c>
      <c r="AH2293" s="15"/>
      <c r="AI2293" s="15"/>
      <c r="AJ2293" s="15"/>
      <c r="AK2293" s="15"/>
      <c r="AL2293" s="15"/>
      <c r="AM2293" s="15"/>
      <c r="AN2293" s="15"/>
      <c r="AO2293" s="15"/>
      <c r="AP2293" s="15"/>
      <c r="AQ2293" s="15"/>
      <c r="AR2293" s="15"/>
      <c r="AS2293" s="15"/>
      <c r="AT2293" s="15"/>
      <c r="AU2293" s="15"/>
    </row>
    <row r="2294" ht="24.0" customHeight="1">
      <c r="A2294" s="45">
        <v>3718.0</v>
      </c>
      <c r="B2294" s="57"/>
      <c r="C2294" s="57"/>
      <c r="D2294" s="88" t="str">
        <f t="array" ref="D2294">IFERROR(
  LOOKUP(2, 1/((TRIM(IMS!$E$8:$E$2574)=TRIM(IMS!$E2294))*(IMS!$C$8:$C$2574&lt;IMS!$C2294)),
         IMS!$C$8:$C$2574),
"")</f>
        <v/>
      </c>
      <c r="E2294" s="57"/>
      <c r="F2294" s="57"/>
      <c r="G2294" s="77" t="str">
        <f t="shared" si="901"/>
        <v/>
      </c>
      <c r="H2294" s="78" t="str">
        <f t="shared" si="902"/>
        <v/>
      </c>
      <c r="I2294" s="79"/>
      <c r="J2294" s="80" t="str">
        <f t="shared" si="903"/>
        <v>#NAME?</v>
      </c>
      <c r="K2294" s="58"/>
      <c r="L2294" s="58"/>
      <c r="M2294" s="57"/>
      <c r="N2294" s="57"/>
      <c r="O2294" s="58"/>
      <c r="P2294" s="82"/>
      <c r="Q2294" s="81"/>
      <c r="R2294" s="81"/>
      <c r="S2294" s="57"/>
      <c r="T2294" s="82"/>
      <c r="U2294" s="82"/>
      <c r="V2294" s="57"/>
      <c r="W2294" s="57"/>
      <c r="X2294" s="57" t="str">
        <f t="shared" si="917"/>
        <v/>
      </c>
      <c r="Y2294" s="58" t="str">
        <f t="shared" ref="Y2294:AC2294" si="2134">TRIM(SUBSTITUTE(SUBSTITUTE(OFFSET($Q2294,0,COLUMN()-COLUMN($AL$1)),CHAR(160)," "),_xludf.UNICHAR(8239)," "))</f>
        <v>#NAME?</v>
      </c>
      <c r="Z2294" s="58" t="str">
        <f t="shared" si="2134"/>
        <v>#NAME?</v>
      </c>
      <c r="AA2294" s="58" t="str">
        <f t="shared" si="2134"/>
        <v>#NAME?</v>
      </c>
      <c r="AB2294" s="58" t="str">
        <f t="shared" si="2134"/>
        <v>#NAME?</v>
      </c>
      <c r="AC2294" s="58" t="str">
        <f t="shared" si="2134"/>
        <v>#NAME?</v>
      </c>
      <c r="AD2294" s="57">
        <f t="shared" si="906"/>
        <v>0</v>
      </c>
      <c r="AE2294" s="57" t="str">
        <f t="shared" si="907"/>
        <v/>
      </c>
      <c r="AF2294" s="57">
        <f t="shared" si="908"/>
        <v>0</v>
      </c>
      <c r="AG2294" s="59">
        <f t="shared" si="909"/>
        <v>0</v>
      </c>
      <c r="AH2294" s="15"/>
      <c r="AI2294" s="15"/>
      <c r="AJ2294" s="15"/>
      <c r="AK2294" s="15"/>
      <c r="AL2294" s="15"/>
      <c r="AM2294" s="15"/>
      <c r="AN2294" s="15"/>
      <c r="AO2294" s="15"/>
      <c r="AP2294" s="15"/>
      <c r="AQ2294" s="15"/>
      <c r="AR2294" s="15"/>
      <c r="AS2294" s="15"/>
      <c r="AT2294" s="15"/>
      <c r="AU2294" s="15"/>
    </row>
    <row r="2295" ht="24.0" customHeight="1">
      <c r="A2295" s="45">
        <v>3719.0</v>
      </c>
      <c r="B2295" s="57"/>
      <c r="C2295" s="57"/>
      <c r="D2295" s="88" t="str">
        <f t="array" ref="D2295">IFERROR(
  LOOKUP(2, 1/((TRIM(IMS!$E$8:$E$2574)=TRIM(IMS!$E2295))*(IMS!$C$8:$C$2574&lt;IMS!$C2295)),
         IMS!$C$8:$C$2574),
"")</f>
        <v/>
      </c>
      <c r="E2295" s="57"/>
      <c r="F2295" s="57"/>
      <c r="G2295" s="77" t="str">
        <f t="shared" si="901"/>
        <v/>
      </c>
      <c r="H2295" s="78" t="str">
        <f t="shared" si="902"/>
        <v/>
      </c>
      <c r="I2295" s="79"/>
      <c r="J2295" s="80" t="str">
        <f t="shared" si="903"/>
        <v>#NAME?</v>
      </c>
      <c r="K2295" s="58"/>
      <c r="L2295" s="58"/>
      <c r="M2295" s="57"/>
      <c r="N2295" s="57"/>
      <c r="O2295" s="58"/>
      <c r="P2295" s="82"/>
      <c r="Q2295" s="81"/>
      <c r="R2295" s="81"/>
      <c r="S2295" s="57"/>
      <c r="T2295" s="82"/>
      <c r="U2295" s="82"/>
      <c r="V2295" s="57"/>
      <c r="W2295" s="57"/>
      <c r="X2295" s="57" t="str">
        <f t="shared" si="917"/>
        <v/>
      </c>
      <c r="Y2295" s="58" t="str">
        <f t="shared" ref="Y2295:AC2295" si="2135">TRIM(SUBSTITUTE(SUBSTITUTE(OFFSET($Q2295,0,COLUMN()-COLUMN($AL$1)),CHAR(160)," "),_xludf.UNICHAR(8239)," "))</f>
        <v>#NAME?</v>
      </c>
      <c r="Z2295" s="58" t="str">
        <f t="shared" si="2135"/>
        <v>#NAME?</v>
      </c>
      <c r="AA2295" s="58" t="str">
        <f t="shared" si="2135"/>
        <v>#NAME?</v>
      </c>
      <c r="AB2295" s="58" t="str">
        <f t="shared" si="2135"/>
        <v>#NAME?</v>
      </c>
      <c r="AC2295" s="58" t="str">
        <f t="shared" si="2135"/>
        <v>#NAME?</v>
      </c>
      <c r="AD2295" s="57">
        <f t="shared" si="906"/>
        <v>0</v>
      </c>
      <c r="AE2295" s="57" t="str">
        <f t="shared" si="907"/>
        <v/>
      </c>
      <c r="AF2295" s="57">
        <f t="shared" si="908"/>
        <v>0</v>
      </c>
      <c r="AG2295" s="59">
        <f t="shared" si="909"/>
        <v>0</v>
      </c>
      <c r="AH2295" s="15"/>
      <c r="AI2295" s="15"/>
      <c r="AJ2295" s="15"/>
      <c r="AK2295" s="15"/>
      <c r="AL2295" s="15"/>
      <c r="AM2295" s="15"/>
      <c r="AN2295" s="15"/>
      <c r="AO2295" s="15"/>
      <c r="AP2295" s="15"/>
      <c r="AQ2295" s="15"/>
      <c r="AR2295" s="15"/>
      <c r="AS2295" s="15"/>
      <c r="AT2295" s="15"/>
      <c r="AU2295" s="15"/>
    </row>
    <row r="2296" ht="24.0" customHeight="1">
      <c r="A2296" s="45">
        <v>3720.0</v>
      </c>
      <c r="B2296" s="57"/>
      <c r="C2296" s="57"/>
      <c r="D2296" s="88" t="str">
        <f t="array" ref="D2296">IFERROR(
  LOOKUP(2, 1/((TRIM(IMS!$E$8:$E$2574)=TRIM(IMS!$E2296))*(IMS!$C$8:$C$2574&lt;IMS!$C2296)),
         IMS!$C$8:$C$2574),
"")</f>
        <v/>
      </c>
      <c r="E2296" s="57"/>
      <c r="F2296" s="57"/>
      <c r="G2296" s="77" t="str">
        <f t="shared" si="901"/>
        <v/>
      </c>
      <c r="H2296" s="78" t="str">
        <f t="shared" si="902"/>
        <v/>
      </c>
      <c r="I2296" s="79"/>
      <c r="J2296" s="80" t="str">
        <f t="shared" si="903"/>
        <v>#NAME?</v>
      </c>
      <c r="K2296" s="58"/>
      <c r="L2296" s="58"/>
      <c r="M2296" s="57"/>
      <c r="N2296" s="57"/>
      <c r="O2296" s="58"/>
      <c r="P2296" s="82"/>
      <c r="Q2296" s="81"/>
      <c r="R2296" s="81"/>
      <c r="S2296" s="57"/>
      <c r="T2296" s="82"/>
      <c r="U2296" s="82"/>
      <c r="V2296" s="57"/>
      <c r="W2296" s="57"/>
      <c r="X2296" s="57" t="str">
        <f t="shared" si="917"/>
        <v/>
      </c>
      <c r="Y2296" s="58" t="str">
        <f t="shared" ref="Y2296:AC2296" si="2136">TRIM(SUBSTITUTE(SUBSTITUTE(OFFSET($Q2296,0,COLUMN()-COLUMN($AL$1)),CHAR(160)," "),_xludf.UNICHAR(8239)," "))</f>
        <v>#NAME?</v>
      </c>
      <c r="Z2296" s="58" t="str">
        <f t="shared" si="2136"/>
        <v>#NAME?</v>
      </c>
      <c r="AA2296" s="58" t="str">
        <f t="shared" si="2136"/>
        <v>#NAME?</v>
      </c>
      <c r="AB2296" s="58" t="str">
        <f t="shared" si="2136"/>
        <v>#NAME?</v>
      </c>
      <c r="AC2296" s="58" t="str">
        <f t="shared" si="2136"/>
        <v>#NAME?</v>
      </c>
      <c r="AD2296" s="57">
        <f t="shared" si="906"/>
        <v>0</v>
      </c>
      <c r="AE2296" s="57" t="str">
        <f t="shared" si="907"/>
        <v/>
      </c>
      <c r="AF2296" s="57">
        <f t="shared" si="908"/>
        <v>0</v>
      </c>
      <c r="AG2296" s="59">
        <f t="shared" si="909"/>
        <v>0</v>
      </c>
      <c r="AH2296" s="15"/>
      <c r="AI2296" s="15"/>
      <c r="AJ2296" s="15"/>
      <c r="AK2296" s="15"/>
      <c r="AL2296" s="15"/>
      <c r="AM2296" s="15"/>
      <c r="AN2296" s="15"/>
      <c r="AO2296" s="15"/>
      <c r="AP2296" s="15"/>
      <c r="AQ2296" s="15"/>
      <c r="AR2296" s="15"/>
      <c r="AS2296" s="15"/>
      <c r="AT2296" s="15"/>
      <c r="AU2296" s="15"/>
    </row>
    <row r="2297" ht="24.0" customHeight="1">
      <c r="A2297" s="45">
        <v>3721.0</v>
      </c>
      <c r="B2297" s="57"/>
      <c r="C2297" s="57"/>
      <c r="D2297" s="88" t="str">
        <f t="array" ref="D2297">IFERROR(
  LOOKUP(2, 1/((TRIM(IMS!$E$8:$E$2574)=TRIM(IMS!$E2297))*(IMS!$C$8:$C$2574&lt;IMS!$C2297)),
         IMS!$C$8:$C$2574),
"")</f>
        <v/>
      </c>
      <c r="E2297" s="57"/>
      <c r="F2297" s="57"/>
      <c r="G2297" s="77" t="str">
        <f t="shared" si="901"/>
        <v/>
      </c>
      <c r="H2297" s="78" t="str">
        <f t="shared" si="902"/>
        <v/>
      </c>
      <c r="I2297" s="79"/>
      <c r="J2297" s="80" t="str">
        <f t="shared" si="903"/>
        <v>#NAME?</v>
      </c>
      <c r="K2297" s="58"/>
      <c r="L2297" s="58"/>
      <c r="M2297" s="57"/>
      <c r="N2297" s="57"/>
      <c r="O2297" s="58"/>
      <c r="P2297" s="82"/>
      <c r="Q2297" s="81"/>
      <c r="R2297" s="81"/>
      <c r="S2297" s="57"/>
      <c r="T2297" s="82"/>
      <c r="U2297" s="82"/>
      <c r="V2297" s="57"/>
      <c r="W2297" s="57"/>
      <c r="X2297" s="57" t="str">
        <f t="shared" si="917"/>
        <v/>
      </c>
      <c r="Y2297" s="58" t="str">
        <f t="shared" ref="Y2297:AC2297" si="2137">TRIM(SUBSTITUTE(SUBSTITUTE(OFFSET($Q2297,0,COLUMN()-COLUMN($AL$1)),CHAR(160)," "),_xludf.UNICHAR(8239)," "))</f>
        <v>#NAME?</v>
      </c>
      <c r="Z2297" s="58" t="str">
        <f t="shared" si="2137"/>
        <v>#NAME?</v>
      </c>
      <c r="AA2297" s="58" t="str">
        <f t="shared" si="2137"/>
        <v>#NAME?</v>
      </c>
      <c r="AB2297" s="58" t="str">
        <f t="shared" si="2137"/>
        <v>#NAME?</v>
      </c>
      <c r="AC2297" s="58" t="str">
        <f t="shared" si="2137"/>
        <v>#NAME?</v>
      </c>
      <c r="AD2297" s="57">
        <f t="shared" si="906"/>
        <v>0</v>
      </c>
      <c r="AE2297" s="57" t="str">
        <f t="shared" si="907"/>
        <v/>
      </c>
      <c r="AF2297" s="57">
        <f t="shared" si="908"/>
        <v>0</v>
      </c>
      <c r="AG2297" s="59">
        <f t="shared" si="909"/>
        <v>0</v>
      </c>
      <c r="AH2297" s="15"/>
      <c r="AI2297" s="15"/>
      <c r="AJ2297" s="15"/>
      <c r="AK2297" s="15"/>
      <c r="AL2297" s="15"/>
      <c r="AM2297" s="15"/>
      <c r="AN2297" s="15"/>
      <c r="AO2297" s="15"/>
      <c r="AP2297" s="15"/>
      <c r="AQ2297" s="15"/>
      <c r="AR2297" s="15"/>
      <c r="AS2297" s="15"/>
      <c r="AT2297" s="15"/>
      <c r="AU2297" s="15"/>
    </row>
    <row r="2298" ht="24.0" customHeight="1">
      <c r="A2298" s="45">
        <v>3722.0</v>
      </c>
      <c r="B2298" s="57"/>
      <c r="C2298" s="57"/>
      <c r="D2298" s="88" t="str">
        <f t="array" ref="D2298">IFERROR(
  LOOKUP(2, 1/((TRIM(IMS!$E$8:$E$2574)=TRIM(IMS!$E2298))*(IMS!$C$8:$C$2574&lt;IMS!$C2298)),
         IMS!$C$8:$C$2574),
"")</f>
        <v/>
      </c>
      <c r="E2298" s="57"/>
      <c r="F2298" s="57"/>
      <c r="G2298" s="77" t="str">
        <f t="shared" si="901"/>
        <v/>
      </c>
      <c r="H2298" s="78" t="str">
        <f t="shared" si="902"/>
        <v/>
      </c>
      <c r="I2298" s="79"/>
      <c r="J2298" s="80" t="str">
        <f t="shared" si="903"/>
        <v>#NAME?</v>
      </c>
      <c r="K2298" s="58"/>
      <c r="L2298" s="58"/>
      <c r="M2298" s="57"/>
      <c r="N2298" s="57"/>
      <c r="O2298" s="58"/>
      <c r="P2298" s="82"/>
      <c r="Q2298" s="81"/>
      <c r="R2298" s="81"/>
      <c r="S2298" s="57"/>
      <c r="T2298" s="82"/>
      <c r="U2298" s="82"/>
      <c r="V2298" s="57"/>
      <c r="W2298" s="57"/>
      <c r="X2298" s="57" t="str">
        <f t="shared" si="917"/>
        <v/>
      </c>
      <c r="Y2298" s="58" t="str">
        <f t="shared" ref="Y2298:AC2298" si="2138">TRIM(SUBSTITUTE(SUBSTITUTE(OFFSET($Q2298,0,COLUMN()-COLUMN($AL$1)),CHAR(160)," "),_xludf.UNICHAR(8239)," "))</f>
        <v>#NAME?</v>
      </c>
      <c r="Z2298" s="58" t="str">
        <f t="shared" si="2138"/>
        <v>#NAME?</v>
      </c>
      <c r="AA2298" s="58" t="str">
        <f t="shared" si="2138"/>
        <v>#NAME?</v>
      </c>
      <c r="AB2298" s="58" t="str">
        <f t="shared" si="2138"/>
        <v>#NAME?</v>
      </c>
      <c r="AC2298" s="58" t="str">
        <f t="shared" si="2138"/>
        <v>#NAME?</v>
      </c>
      <c r="AD2298" s="57">
        <f t="shared" si="906"/>
        <v>0</v>
      </c>
      <c r="AE2298" s="57" t="str">
        <f t="shared" si="907"/>
        <v/>
      </c>
      <c r="AF2298" s="57">
        <f t="shared" si="908"/>
        <v>0</v>
      </c>
      <c r="AG2298" s="59">
        <f t="shared" si="909"/>
        <v>0</v>
      </c>
      <c r="AH2298" s="15"/>
      <c r="AI2298" s="15"/>
      <c r="AJ2298" s="15"/>
      <c r="AK2298" s="15"/>
      <c r="AL2298" s="15"/>
      <c r="AM2298" s="15"/>
      <c r="AN2298" s="15"/>
      <c r="AO2298" s="15"/>
      <c r="AP2298" s="15"/>
      <c r="AQ2298" s="15"/>
      <c r="AR2298" s="15"/>
      <c r="AS2298" s="15"/>
      <c r="AT2298" s="15"/>
      <c r="AU2298" s="15"/>
    </row>
    <row r="2299" ht="24.0" customHeight="1">
      <c r="A2299" s="45">
        <v>3723.0</v>
      </c>
      <c r="B2299" s="57"/>
      <c r="C2299" s="57"/>
      <c r="D2299" s="88" t="str">
        <f t="array" ref="D2299">IFERROR(
  LOOKUP(2, 1/((TRIM(IMS!$E$8:$E$2574)=TRIM(IMS!$E2299))*(IMS!$C$8:$C$2574&lt;IMS!$C2299)),
         IMS!$C$8:$C$2574),
"")</f>
        <v/>
      </c>
      <c r="E2299" s="57"/>
      <c r="F2299" s="57"/>
      <c r="G2299" s="77" t="str">
        <f t="shared" si="901"/>
        <v/>
      </c>
      <c r="H2299" s="78" t="str">
        <f t="shared" si="902"/>
        <v/>
      </c>
      <c r="I2299" s="79"/>
      <c r="J2299" s="80" t="str">
        <f t="shared" si="903"/>
        <v>#NAME?</v>
      </c>
      <c r="K2299" s="58"/>
      <c r="L2299" s="58"/>
      <c r="M2299" s="57"/>
      <c r="N2299" s="57"/>
      <c r="O2299" s="58"/>
      <c r="P2299" s="82"/>
      <c r="Q2299" s="81"/>
      <c r="R2299" s="81"/>
      <c r="S2299" s="57"/>
      <c r="T2299" s="82"/>
      <c r="U2299" s="82"/>
      <c r="V2299" s="57"/>
      <c r="W2299" s="57"/>
      <c r="X2299" s="57" t="str">
        <f t="shared" si="917"/>
        <v/>
      </c>
      <c r="Y2299" s="58" t="str">
        <f t="shared" ref="Y2299:AC2299" si="2139">TRIM(SUBSTITUTE(SUBSTITUTE(OFFSET($Q2299,0,COLUMN()-COLUMN($AL$1)),CHAR(160)," "),_xludf.UNICHAR(8239)," "))</f>
        <v>#NAME?</v>
      </c>
      <c r="Z2299" s="58" t="str">
        <f t="shared" si="2139"/>
        <v>#NAME?</v>
      </c>
      <c r="AA2299" s="58" t="str">
        <f t="shared" si="2139"/>
        <v>#NAME?</v>
      </c>
      <c r="AB2299" s="58" t="str">
        <f t="shared" si="2139"/>
        <v>#NAME?</v>
      </c>
      <c r="AC2299" s="58" t="str">
        <f t="shared" si="2139"/>
        <v>#NAME?</v>
      </c>
      <c r="AD2299" s="57">
        <f t="shared" si="906"/>
        <v>0</v>
      </c>
      <c r="AE2299" s="57" t="str">
        <f t="shared" si="907"/>
        <v/>
      </c>
      <c r="AF2299" s="57">
        <f t="shared" si="908"/>
        <v>0</v>
      </c>
      <c r="AG2299" s="59">
        <f t="shared" si="909"/>
        <v>0</v>
      </c>
      <c r="AH2299" s="15"/>
      <c r="AI2299" s="15"/>
      <c r="AJ2299" s="15"/>
      <c r="AK2299" s="15"/>
      <c r="AL2299" s="15"/>
      <c r="AM2299" s="15"/>
      <c r="AN2299" s="15"/>
      <c r="AO2299" s="15"/>
      <c r="AP2299" s="15"/>
      <c r="AQ2299" s="15"/>
      <c r="AR2299" s="15"/>
      <c r="AS2299" s="15"/>
      <c r="AT2299" s="15"/>
      <c r="AU2299" s="15"/>
    </row>
    <row r="2300" ht="24.0" customHeight="1">
      <c r="A2300" s="45">
        <v>3724.0</v>
      </c>
      <c r="B2300" s="57"/>
      <c r="C2300" s="57"/>
      <c r="D2300" s="88" t="str">
        <f t="array" ref="D2300">IFERROR(
  LOOKUP(2, 1/((TRIM(IMS!$E$8:$E$2574)=TRIM(IMS!$E2300))*(IMS!$C$8:$C$2574&lt;IMS!$C2300)),
         IMS!$C$8:$C$2574),
"")</f>
        <v/>
      </c>
      <c r="E2300" s="57"/>
      <c r="F2300" s="57"/>
      <c r="G2300" s="77" t="str">
        <f t="shared" si="901"/>
        <v/>
      </c>
      <c r="H2300" s="78" t="str">
        <f t="shared" si="902"/>
        <v/>
      </c>
      <c r="I2300" s="79"/>
      <c r="J2300" s="80" t="str">
        <f t="shared" si="903"/>
        <v>#NAME?</v>
      </c>
      <c r="K2300" s="58"/>
      <c r="L2300" s="58"/>
      <c r="M2300" s="57"/>
      <c r="N2300" s="57"/>
      <c r="O2300" s="58"/>
      <c r="P2300" s="82"/>
      <c r="Q2300" s="81"/>
      <c r="R2300" s="81"/>
      <c r="S2300" s="57"/>
      <c r="T2300" s="82"/>
      <c r="U2300" s="82"/>
      <c r="V2300" s="57"/>
      <c r="W2300" s="57"/>
      <c r="X2300" s="57" t="str">
        <f t="shared" si="917"/>
        <v/>
      </c>
      <c r="Y2300" s="58" t="str">
        <f t="shared" ref="Y2300:AC2300" si="2140">TRIM(SUBSTITUTE(SUBSTITUTE(OFFSET($Q2300,0,COLUMN()-COLUMN($AL$1)),CHAR(160)," "),_xludf.UNICHAR(8239)," "))</f>
        <v>#NAME?</v>
      </c>
      <c r="Z2300" s="58" t="str">
        <f t="shared" si="2140"/>
        <v>#NAME?</v>
      </c>
      <c r="AA2300" s="58" t="str">
        <f t="shared" si="2140"/>
        <v>#NAME?</v>
      </c>
      <c r="AB2300" s="58" t="str">
        <f t="shared" si="2140"/>
        <v>#NAME?</v>
      </c>
      <c r="AC2300" s="58" t="str">
        <f t="shared" si="2140"/>
        <v>#NAME?</v>
      </c>
      <c r="AD2300" s="57">
        <f t="shared" si="906"/>
        <v>0</v>
      </c>
      <c r="AE2300" s="57" t="str">
        <f t="shared" si="907"/>
        <v/>
      </c>
      <c r="AF2300" s="57">
        <f t="shared" si="908"/>
        <v>0</v>
      </c>
      <c r="AG2300" s="59">
        <f t="shared" si="909"/>
        <v>0</v>
      </c>
      <c r="AH2300" s="15"/>
      <c r="AI2300" s="15"/>
      <c r="AJ2300" s="15"/>
      <c r="AK2300" s="15"/>
      <c r="AL2300" s="15"/>
      <c r="AM2300" s="15"/>
      <c r="AN2300" s="15"/>
      <c r="AO2300" s="15"/>
      <c r="AP2300" s="15"/>
      <c r="AQ2300" s="15"/>
      <c r="AR2300" s="15"/>
      <c r="AS2300" s="15"/>
      <c r="AT2300" s="15"/>
      <c r="AU2300" s="15"/>
    </row>
    <row r="2301" ht="24.0" customHeight="1">
      <c r="A2301" s="45">
        <v>3725.0</v>
      </c>
      <c r="B2301" s="57"/>
      <c r="C2301" s="57"/>
      <c r="D2301" s="88" t="str">
        <f t="array" ref="D2301">IFERROR(
  LOOKUP(2, 1/((TRIM(IMS!$E$8:$E$2574)=TRIM(IMS!$E2301))*(IMS!$C$8:$C$2574&lt;IMS!$C2301)),
         IMS!$C$8:$C$2574),
"")</f>
        <v/>
      </c>
      <c r="E2301" s="57"/>
      <c r="F2301" s="57"/>
      <c r="G2301" s="77" t="str">
        <f t="shared" si="901"/>
        <v/>
      </c>
      <c r="H2301" s="78" t="str">
        <f t="shared" si="902"/>
        <v/>
      </c>
      <c r="I2301" s="79"/>
      <c r="J2301" s="80" t="str">
        <f t="shared" si="903"/>
        <v>#NAME?</v>
      </c>
      <c r="K2301" s="58"/>
      <c r="L2301" s="58"/>
      <c r="M2301" s="57"/>
      <c r="N2301" s="57"/>
      <c r="O2301" s="58"/>
      <c r="P2301" s="82"/>
      <c r="Q2301" s="81"/>
      <c r="R2301" s="81"/>
      <c r="S2301" s="57"/>
      <c r="T2301" s="82"/>
      <c r="U2301" s="82"/>
      <c r="V2301" s="57"/>
      <c r="W2301" s="57"/>
      <c r="X2301" s="57" t="str">
        <f t="shared" si="917"/>
        <v/>
      </c>
      <c r="Y2301" s="58" t="str">
        <f t="shared" ref="Y2301:AC2301" si="2141">TRIM(SUBSTITUTE(SUBSTITUTE(OFFSET($Q2301,0,COLUMN()-COLUMN($AL$1)),CHAR(160)," "),_xludf.UNICHAR(8239)," "))</f>
        <v>#NAME?</v>
      </c>
      <c r="Z2301" s="58" t="str">
        <f t="shared" si="2141"/>
        <v>#NAME?</v>
      </c>
      <c r="AA2301" s="58" t="str">
        <f t="shared" si="2141"/>
        <v>#NAME?</v>
      </c>
      <c r="AB2301" s="58" t="str">
        <f t="shared" si="2141"/>
        <v>#NAME?</v>
      </c>
      <c r="AC2301" s="58" t="str">
        <f t="shared" si="2141"/>
        <v>#NAME?</v>
      </c>
      <c r="AD2301" s="57">
        <f t="shared" si="906"/>
        <v>0</v>
      </c>
      <c r="AE2301" s="57" t="str">
        <f t="shared" si="907"/>
        <v/>
      </c>
      <c r="AF2301" s="57">
        <f t="shared" si="908"/>
        <v>0</v>
      </c>
      <c r="AG2301" s="59">
        <f t="shared" si="909"/>
        <v>0</v>
      </c>
      <c r="AH2301" s="15"/>
      <c r="AI2301" s="15"/>
      <c r="AJ2301" s="15"/>
      <c r="AK2301" s="15"/>
      <c r="AL2301" s="15"/>
      <c r="AM2301" s="15"/>
      <c r="AN2301" s="15"/>
      <c r="AO2301" s="15"/>
      <c r="AP2301" s="15"/>
      <c r="AQ2301" s="15"/>
      <c r="AR2301" s="15"/>
      <c r="AS2301" s="15"/>
      <c r="AT2301" s="15"/>
      <c r="AU2301" s="15"/>
    </row>
    <row r="2302" ht="24.0" customHeight="1">
      <c r="A2302" s="45">
        <v>3726.0</v>
      </c>
      <c r="B2302" s="57"/>
      <c r="C2302" s="57"/>
      <c r="D2302" s="88" t="str">
        <f t="array" ref="D2302">IFERROR(
  LOOKUP(2, 1/((TRIM(IMS!$E$8:$E$2574)=TRIM(IMS!$E2302))*(IMS!$C$8:$C$2574&lt;IMS!$C2302)),
         IMS!$C$8:$C$2574),
"")</f>
        <v/>
      </c>
      <c r="E2302" s="57"/>
      <c r="F2302" s="57"/>
      <c r="G2302" s="77" t="str">
        <f t="shared" si="901"/>
        <v/>
      </c>
      <c r="H2302" s="78" t="str">
        <f t="shared" si="902"/>
        <v/>
      </c>
      <c r="I2302" s="79"/>
      <c r="J2302" s="80" t="str">
        <f t="shared" si="903"/>
        <v>#NAME?</v>
      </c>
      <c r="K2302" s="58"/>
      <c r="L2302" s="58"/>
      <c r="M2302" s="57"/>
      <c r="N2302" s="57"/>
      <c r="O2302" s="58"/>
      <c r="P2302" s="82"/>
      <c r="Q2302" s="81"/>
      <c r="R2302" s="81"/>
      <c r="S2302" s="57"/>
      <c r="T2302" s="82"/>
      <c r="U2302" s="82"/>
      <c r="V2302" s="57"/>
      <c r="W2302" s="57"/>
      <c r="X2302" s="57" t="str">
        <f t="shared" si="917"/>
        <v/>
      </c>
      <c r="Y2302" s="58" t="str">
        <f t="shared" ref="Y2302:AC2302" si="2142">TRIM(SUBSTITUTE(SUBSTITUTE(OFFSET($Q2302,0,COLUMN()-COLUMN($AL$1)),CHAR(160)," "),_xludf.UNICHAR(8239)," "))</f>
        <v>#NAME?</v>
      </c>
      <c r="Z2302" s="58" t="str">
        <f t="shared" si="2142"/>
        <v>#NAME?</v>
      </c>
      <c r="AA2302" s="58" t="str">
        <f t="shared" si="2142"/>
        <v>#NAME?</v>
      </c>
      <c r="AB2302" s="58" t="str">
        <f t="shared" si="2142"/>
        <v>#NAME?</v>
      </c>
      <c r="AC2302" s="58" t="str">
        <f t="shared" si="2142"/>
        <v>#NAME?</v>
      </c>
      <c r="AD2302" s="57">
        <f t="shared" si="906"/>
        <v>0</v>
      </c>
      <c r="AE2302" s="57" t="str">
        <f t="shared" si="907"/>
        <v/>
      </c>
      <c r="AF2302" s="57">
        <f t="shared" si="908"/>
        <v>0</v>
      </c>
      <c r="AG2302" s="59">
        <f t="shared" si="909"/>
        <v>0</v>
      </c>
      <c r="AH2302" s="15"/>
      <c r="AI2302" s="15"/>
      <c r="AJ2302" s="15"/>
      <c r="AK2302" s="15"/>
      <c r="AL2302" s="15"/>
      <c r="AM2302" s="15"/>
      <c r="AN2302" s="15"/>
      <c r="AO2302" s="15"/>
      <c r="AP2302" s="15"/>
      <c r="AQ2302" s="15"/>
      <c r="AR2302" s="15"/>
      <c r="AS2302" s="15"/>
      <c r="AT2302" s="15"/>
      <c r="AU2302" s="15"/>
    </row>
    <row r="2303" ht="24.0" customHeight="1">
      <c r="A2303" s="45">
        <v>3727.0</v>
      </c>
      <c r="B2303" s="57"/>
      <c r="C2303" s="57"/>
      <c r="D2303" s="88" t="str">
        <f t="array" ref="D2303">IFERROR(
  LOOKUP(2, 1/((TRIM(IMS!$E$8:$E$2574)=TRIM(IMS!$E2303))*(IMS!$C$8:$C$2574&lt;IMS!$C2303)),
         IMS!$C$8:$C$2574),
"")</f>
        <v/>
      </c>
      <c r="E2303" s="57"/>
      <c r="F2303" s="57"/>
      <c r="G2303" s="77" t="str">
        <f t="shared" si="901"/>
        <v/>
      </c>
      <c r="H2303" s="78" t="str">
        <f t="shared" si="902"/>
        <v/>
      </c>
      <c r="I2303" s="79"/>
      <c r="J2303" s="80" t="str">
        <f t="shared" si="903"/>
        <v>#NAME?</v>
      </c>
      <c r="K2303" s="58"/>
      <c r="L2303" s="58"/>
      <c r="M2303" s="57"/>
      <c r="N2303" s="57"/>
      <c r="O2303" s="58"/>
      <c r="P2303" s="82"/>
      <c r="Q2303" s="81"/>
      <c r="R2303" s="81"/>
      <c r="S2303" s="57"/>
      <c r="T2303" s="82"/>
      <c r="U2303" s="82"/>
      <c r="V2303" s="57"/>
      <c r="W2303" s="57"/>
      <c r="X2303" s="57" t="str">
        <f t="shared" si="917"/>
        <v/>
      </c>
      <c r="Y2303" s="58" t="str">
        <f t="shared" ref="Y2303:AC2303" si="2143">TRIM(SUBSTITUTE(SUBSTITUTE(OFFSET($Q2303,0,COLUMN()-COLUMN($AL$1)),CHAR(160)," "),_xludf.UNICHAR(8239)," "))</f>
        <v>#NAME?</v>
      </c>
      <c r="Z2303" s="58" t="str">
        <f t="shared" si="2143"/>
        <v>#NAME?</v>
      </c>
      <c r="AA2303" s="58" t="str">
        <f t="shared" si="2143"/>
        <v>#NAME?</v>
      </c>
      <c r="AB2303" s="58" t="str">
        <f t="shared" si="2143"/>
        <v>#NAME?</v>
      </c>
      <c r="AC2303" s="58" t="str">
        <f t="shared" si="2143"/>
        <v>#NAME?</v>
      </c>
      <c r="AD2303" s="57">
        <f t="shared" si="906"/>
        <v>0</v>
      </c>
      <c r="AE2303" s="57" t="str">
        <f t="shared" si="907"/>
        <v/>
      </c>
      <c r="AF2303" s="57">
        <f t="shared" si="908"/>
        <v>0</v>
      </c>
      <c r="AG2303" s="59">
        <f t="shared" si="909"/>
        <v>0</v>
      </c>
      <c r="AH2303" s="15"/>
      <c r="AI2303" s="15"/>
      <c r="AJ2303" s="15"/>
      <c r="AK2303" s="15"/>
      <c r="AL2303" s="15"/>
      <c r="AM2303" s="15"/>
      <c r="AN2303" s="15"/>
      <c r="AO2303" s="15"/>
      <c r="AP2303" s="15"/>
      <c r="AQ2303" s="15"/>
      <c r="AR2303" s="15"/>
      <c r="AS2303" s="15"/>
      <c r="AT2303" s="15"/>
      <c r="AU2303" s="15"/>
    </row>
    <row r="2304" ht="24.0" customHeight="1">
      <c r="A2304" s="45">
        <v>3728.0</v>
      </c>
      <c r="B2304" s="57"/>
      <c r="C2304" s="57"/>
      <c r="D2304" s="88" t="str">
        <f t="array" ref="D2304">IFERROR(
  LOOKUP(2, 1/((TRIM(IMS!$E$8:$E$2574)=TRIM(IMS!$E2304))*(IMS!$C$8:$C$2574&lt;IMS!$C2304)),
         IMS!$C$8:$C$2574),
"")</f>
        <v/>
      </c>
      <c r="E2304" s="57"/>
      <c r="F2304" s="57"/>
      <c r="G2304" s="77" t="str">
        <f t="shared" si="901"/>
        <v/>
      </c>
      <c r="H2304" s="78" t="str">
        <f t="shared" si="902"/>
        <v/>
      </c>
      <c r="I2304" s="79"/>
      <c r="J2304" s="80" t="str">
        <f t="shared" si="903"/>
        <v>#NAME?</v>
      </c>
      <c r="K2304" s="58"/>
      <c r="L2304" s="58"/>
      <c r="M2304" s="57"/>
      <c r="N2304" s="57"/>
      <c r="O2304" s="58"/>
      <c r="P2304" s="82"/>
      <c r="Q2304" s="81"/>
      <c r="R2304" s="81"/>
      <c r="S2304" s="57"/>
      <c r="T2304" s="82"/>
      <c r="U2304" s="82"/>
      <c r="V2304" s="57"/>
      <c r="W2304" s="57"/>
      <c r="X2304" s="57" t="str">
        <f t="shared" si="917"/>
        <v/>
      </c>
      <c r="Y2304" s="58" t="str">
        <f t="shared" ref="Y2304:AC2304" si="2144">TRIM(SUBSTITUTE(SUBSTITUTE(OFFSET($Q2304,0,COLUMN()-COLUMN($AL$1)),CHAR(160)," "),_xludf.UNICHAR(8239)," "))</f>
        <v>#NAME?</v>
      </c>
      <c r="Z2304" s="58" t="str">
        <f t="shared" si="2144"/>
        <v>#NAME?</v>
      </c>
      <c r="AA2304" s="58" t="str">
        <f t="shared" si="2144"/>
        <v>#NAME?</v>
      </c>
      <c r="AB2304" s="58" t="str">
        <f t="shared" si="2144"/>
        <v>#NAME?</v>
      </c>
      <c r="AC2304" s="58" t="str">
        <f t="shared" si="2144"/>
        <v>#NAME?</v>
      </c>
      <c r="AD2304" s="57">
        <f t="shared" si="906"/>
        <v>0</v>
      </c>
      <c r="AE2304" s="57" t="str">
        <f t="shared" si="907"/>
        <v/>
      </c>
      <c r="AF2304" s="57">
        <f t="shared" si="908"/>
        <v>0</v>
      </c>
      <c r="AG2304" s="59">
        <f t="shared" si="909"/>
        <v>0</v>
      </c>
      <c r="AH2304" s="15"/>
      <c r="AI2304" s="15"/>
      <c r="AJ2304" s="15"/>
      <c r="AK2304" s="15"/>
      <c r="AL2304" s="15"/>
      <c r="AM2304" s="15"/>
      <c r="AN2304" s="15"/>
      <c r="AO2304" s="15"/>
      <c r="AP2304" s="15"/>
      <c r="AQ2304" s="15"/>
      <c r="AR2304" s="15"/>
      <c r="AS2304" s="15"/>
      <c r="AT2304" s="15"/>
      <c r="AU2304" s="15"/>
    </row>
    <row r="2305" ht="24.0" customHeight="1">
      <c r="A2305" s="45">
        <v>3729.0</v>
      </c>
      <c r="B2305" s="57"/>
      <c r="C2305" s="57"/>
      <c r="D2305" s="88" t="str">
        <f t="array" ref="D2305">IFERROR(
  LOOKUP(2, 1/((TRIM(IMS!$E$8:$E$2574)=TRIM(IMS!$E2305))*(IMS!$C$8:$C$2574&lt;IMS!$C2305)),
         IMS!$C$8:$C$2574),
"")</f>
        <v/>
      </c>
      <c r="E2305" s="57"/>
      <c r="F2305" s="57"/>
      <c r="G2305" s="77" t="str">
        <f t="shared" si="901"/>
        <v/>
      </c>
      <c r="H2305" s="78" t="str">
        <f t="shared" si="902"/>
        <v/>
      </c>
      <c r="I2305" s="79"/>
      <c r="J2305" s="80" t="str">
        <f t="shared" si="903"/>
        <v>#NAME?</v>
      </c>
      <c r="K2305" s="58"/>
      <c r="L2305" s="58"/>
      <c r="M2305" s="57"/>
      <c r="N2305" s="57"/>
      <c r="O2305" s="58"/>
      <c r="P2305" s="82"/>
      <c r="Q2305" s="81"/>
      <c r="R2305" s="81"/>
      <c r="S2305" s="57"/>
      <c r="T2305" s="82"/>
      <c r="U2305" s="82"/>
      <c r="V2305" s="57"/>
      <c r="W2305" s="57"/>
      <c r="X2305" s="57" t="str">
        <f t="shared" si="917"/>
        <v/>
      </c>
      <c r="Y2305" s="58" t="str">
        <f t="shared" ref="Y2305:AC2305" si="2145">TRIM(SUBSTITUTE(SUBSTITUTE(OFFSET($Q2305,0,COLUMN()-COLUMN($AL$1)),CHAR(160)," "),_xludf.UNICHAR(8239)," "))</f>
        <v>#NAME?</v>
      </c>
      <c r="Z2305" s="58" t="str">
        <f t="shared" si="2145"/>
        <v>#NAME?</v>
      </c>
      <c r="AA2305" s="58" t="str">
        <f t="shared" si="2145"/>
        <v>#NAME?</v>
      </c>
      <c r="AB2305" s="58" t="str">
        <f t="shared" si="2145"/>
        <v>#NAME?</v>
      </c>
      <c r="AC2305" s="58" t="str">
        <f t="shared" si="2145"/>
        <v>#NAME?</v>
      </c>
      <c r="AD2305" s="57">
        <f t="shared" si="906"/>
        <v>0</v>
      </c>
      <c r="AE2305" s="57" t="str">
        <f t="shared" si="907"/>
        <v/>
      </c>
      <c r="AF2305" s="57">
        <f t="shared" si="908"/>
        <v>0</v>
      </c>
      <c r="AG2305" s="59">
        <f t="shared" si="909"/>
        <v>0</v>
      </c>
      <c r="AH2305" s="15"/>
      <c r="AI2305" s="15"/>
      <c r="AJ2305" s="15"/>
      <c r="AK2305" s="15"/>
      <c r="AL2305" s="15"/>
      <c r="AM2305" s="15"/>
      <c r="AN2305" s="15"/>
      <c r="AO2305" s="15"/>
      <c r="AP2305" s="15"/>
      <c r="AQ2305" s="15"/>
      <c r="AR2305" s="15"/>
      <c r="AS2305" s="15"/>
      <c r="AT2305" s="15"/>
      <c r="AU2305" s="15"/>
    </row>
    <row r="2306" ht="24.0" customHeight="1">
      <c r="A2306" s="45">
        <v>3730.0</v>
      </c>
      <c r="B2306" s="57"/>
      <c r="C2306" s="57"/>
      <c r="D2306" s="88" t="str">
        <f t="array" ref="D2306">IFERROR(
  LOOKUP(2, 1/((TRIM(IMS!$E$8:$E$2574)=TRIM(IMS!$E2306))*(IMS!$C$8:$C$2574&lt;IMS!$C2306)),
         IMS!$C$8:$C$2574),
"")</f>
        <v/>
      </c>
      <c r="E2306" s="57"/>
      <c r="F2306" s="57"/>
      <c r="G2306" s="77" t="str">
        <f t="shared" si="901"/>
        <v/>
      </c>
      <c r="H2306" s="78" t="str">
        <f t="shared" si="902"/>
        <v/>
      </c>
      <c r="I2306" s="79"/>
      <c r="J2306" s="80" t="str">
        <f t="shared" si="903"/>
        <v>#NAME?</v>
      </c>
      <c r="K2306" s="58"/>
      <c r="L2306" s="58"/>
      <c r="M2306" s="57"/>
      <c r="N2306" s="57"/>
      <c r="O2306" s="58"/>
      <c r="P2306" s="82"/>
      <c r="Q2306" s="81"/>
      <c r="R2306" s="81"/>
      <c r="S2306" s="57"/>
      <c r="T2306" s="82"/>
      <c r="U2306" s="82"/>
      <c r="V2306" s="57"/>
      <c r="W2306" s="57"/>
      <c r="X2306" s="57" t="str">
        <f t="shared" si="917"/>
        <v/>
      </c>
      <c r="Y2306" s="58" t="str">
        <f t="shared" ref="Y2306:AC2306" si="2146">TRIM(SUBSTITUTE(SUBSTITUTE(OFFSET($Q2306,0,COLUMN()-COLUMN($AL$1)),CHAR(160)," "),_xludf.UNICHAR(8239)," "))</f>
        <v>#NAME?</v>
      </c>
      <c r="Z2306" s="58" t="str">
        <f t="shared" si="2146"/>
        <v>#NAME?</v>
      </c>
      <c r="AA2306" s="58" t="str">
        <f t="shared" si="2146"/>
        <v>#NAME?</v>
      </c>
      <c r="AB2306" s="58" t="str">
        <f t="shared" si="2146"/>
        <v>#NAME?</v>
      </c>
      <c r="AC2306" s="58" t="str">
        <f t="shared" si="2146"/>
        <v>#NAME?</v>
      </c>
      <c r="AD2306" s="57">
        <f t="shared" si="906"/>
        <v>0</v>
      </c>
      <c r="AE2306" s="57" t="str">
        <f t="shared" si="907"/>
        <v/>
      </c>
      <c r="AF2306" s="57">
        <f t="shared" si="908"/>
        <v>0</v>
      </c>
      <c r="AG2306" s="59">
        <f t="shared" si="909"/>
        <v>0</v>
      </c>
      <c r="AH2306" s="15"/>
      <c r="AI2306" s="15"/>
      <c r="AJ2306" s="15"/>
      <c r="AK2306" s="15"/>
      <c r="AL2306" s="15"/>
      <c r="AM2306" s="15"/>
      <c r="AN2306" s="15"/>
      <c r="AO2306" s="15"/>
      <c r="AP2306" s="15"/>
      <c r="AQ2306" s="15"/>
      <c r="AR2306" s="15"/>
      <c r="AS2306" s="15"/>
      <c r="AT2306" s="15"/>
      <c r="AU2306" s="15"/>
    </row>
    <row r="2307" ht="24.0" customHeight="1">
      <c r="A2307" s="45">
        <v>3731.0</v>
      </c>
      <c r="B2307" s="57"/>
      <c r="C2307" s="57"/>
      <c r="D2307" s="88" t="str">
        <f t="array" ref="D2307">IFERROR(
  LOOKUP(2, 1/((TRIM(IMS!$E$8:$E$2574)=TRIM(IMS!$E2307))*(IMS!$C$8:$C$2574&lt;IMS!$C2307)),
         IMS!$C$8:$C$2574),
"")</f>
        <v/>
      </c>
      <c r="E2307" s="57"/>
      <c r="F2307" s="57"/>
      <c r="G2307" s="77" t="str">
        <f t="shared" si="901"/>
        <v/>
      </c>
      <c r="H2307" s="78" t="str">
        <f t="shared" si="902"/>
        <v/>
      </c>
      <c r="I2307" s="79"/>
      <c r="J2307" s="80" t="str">
        <f t="shared" si="903"/>
        <v>#NAME?</v>
      </c>
      <c r="K2307" s="58"/>
      <c r="L2307" s="58"/>
      <c r="M2307" s="57"/>
      <c r="N2307" s="57"/>
      <c r="O2307" s="58"/>
      <c r="P2307" s="82"/>
      <c r="Q2307" s="81"/>
      <c r="R2307" s="81"/>
      <c r="S2307" s="57"/>
      <c r="T2307" s="82"/>
      <c r="U2307" s="82"/>
      <c r="V2307" s="57"/>
      <c r="W2307" s="57"/>
      <c r="X2307" s="57" t="str">
        <f t="shared" si="917"/>
        <v/>
      </c>
      <c r="Y2307" s="58" t="str">
        <f t="shared" ref="Y2307:AC2307" si="2147">TRIM(SUBSTITUTE(SUBSTITUTE(OFFSET($Q2307,0,COLUMN()-COLUMN($AL$1)),CHAR(160)," "),_xludf.UNICHAR(8239)," "))</f>
        <v>#NAME?</v>
      </c>
      <c r="Z2307" s="58" t="str">
        <f t="shared" si="2147"/>
        <v>#NAME?</v>
      </c>
      <c r="AA2307" s="58" t="str">
        <f t="shared" si="2147"/>
        <v>#NAME?</v>
      </c>
      <c r="AB2307" s="58" t="str">
        <f t="shared" si="2147"/>
        <v>#NAME?</v>
      </c>
      <c r="AC2307" s="58" t="str">
        <f t="shared" si="2147"/>
        <v>#NAME?</v>
      </c>
      <c r="AD2307" s="57">
        <f t="shared" si="906"/>
        <v>0</v>
      </c>
      <c r="AE2307" s="57" t="str">
        <f t="shared" si="907"/>
        <v/>
      </c>
      <c r="AF2307" s="57">
        <f t="shared" si="908"/>
        <v>0</v>
      </c>
      <c r="AG2307" s="59">
        <f t="shared" si="909"/>
        <v>0</v>
      </c>
      <c r="AH2307" s="15"/>
      <c r="AI2307" s="15"/>
      <c r="AJ2307" s="15"/>
      <c r="AK2307" s="15"/>
      <c r="AL2307" s="15"/>
      <c r="AM2307" s="15"/>
      <c r="AN2307" s="15"/>
      <c r="AO2307" s="15"/>
      <c r="AP2307" s="15"/>
      <c r="AQ2307" s="15"/>
      <c r="AR2307" s="15"/>
      <c r="AS2307" s="15"/>
      <c r="AT2307" s="15"/>
      <c r="AU2307" s="15"/>
    </row>
    <row r="2308" ht="24.0" customHeight="1">
      <c r="A2308" s="45">
        <v>3732.0</v>
      </c>
      <c r="B2308" s="57"/>
      <c r="C2308" s="57"/>
      <c r="D2308" s="88" t="str">
        <f t="array" ref="D2308">IFERROR(
  LOOKUP(2, 1/((TRIM(IMS!$E$8:$E$2574)=TRIM(IMS!$E2308))*(IMS!$C$8:$C$2574&lt;IMS!$C2308)),
         IMS!$C$8:$C$2574),
"")</f>
        <v/>
      </c>
      <c r="E2308" s="57"/>
      <c r="F2308" s="57"/>
      <c r="G2308" s="77" t="str">
        <f t="shared" si="901"/>
        <v/>
      </c>
      <c r="H2308" s="78" t="str">
        <f t="shared" si="902"/>
        <v/>
      </c>
      <c r="I2308" s="79"/>
      <c r="J2308" s="80" t="str">
        <f t="shared" si="903"/>
        <v>#NAME?</v>
      </c>
      <c r="K2308" s="58"/>
      <c r="L2308" s="58"/>
      <c r="M2308" s="57"/>
      <c r="N2308" s="57"/>
      <c r="O2308" s="58"/>
      <c r="P2308" s="82"/>
      <c r="Q2308" s="81"/>
      <c r="R2308" s="81"/>
      <c r="S2308" s="57"/>
      <c r="T2308" s="82"/>
      <c r="U2308" s="82"/>
      <c r="V2308" s="57"/>
      <c r="W2308" s="57"/>
      <c r="X2308" s="57" t="str">
        <f t="shared" si="917"/>
        <v/>
      </c>
      <c r="Y2308" s="58" t="str">
        <f t="shared" ref="Y2308:AC2308" si="2148">TRIM(SUBSTITUTE(SUBSTITUTE(OFFSET($Q2308,0,COLUMN()-COLUMN($AL$1)),CHAR(160)," "),_xludf.UNICHAR(8239)," "))</f>
        <v>#NAME?</v>
      </c>
      <c r="Z2308" s="58" t="str">
        <f t="shared" si="2148"/>
        <v>#NAME?</v>
      </c>
      <c r="AA2308" s="58" t="str">
        <f t="shared" si="2148"/>
        <v>#NAME?</v>
      </c>
      <c r="AB2308" s="58" t="str">
        <f t="shared" si="2148"/>
        <v>#NAME?</v>
      </c>
      <c r="AC2308" s="58" t="str">
        <f t="shared" si="2148"/>
        <v>#NAME?</v>
      </c>
      <c r="AD2308" s="57">
        <f t="shared" si="906"/>
        <v>0</v>
      </c>
      <c r="AE2308" s="57" t="str">
        <f t="shared" si="907"/>
        <v/>
      </c>
      <c r="AF2308" s="57">
        <f t="shared" si="908"/>
        <v>0</v>
      </c>
      <c r="AG2308" s="59">
        <f t="shared" si="909"/>
        <v>0</v>
      </c>
      <c r="AH2308" s="15"/>
      <c r="AI2308" s="15"/>
      <c r="AJ2308" s="15"/>
      <c r="AK2308" s="15"/>
      <c r="AL2308" s="15"/>
      <c r="AM2308" s="15"/>
      <c r="AN2308" s="15"/>
      <c r="AO2308" s="15"/>
      <c r="AP2308" s="15"/>
      <c r="AQ2308" s="15"/>
      <c r="AR2308" s="15"/>
      <c r="AS2308" s="15"/>
      <c r="AT2308" s="15"/>
      <c r="AU2308" s="15"/>
    </row>
    <row r="2309" ht="24.0" customHeight="1">
      <c r="A2309" s="45">
        <v>3733.0</v>
      </c>
      <c r="B2309" s="57"/>
      <c r="C2309" s="57"/>
      <c r="D2309" s="88" t="str">
        <f t="array" ref="D2309">IFERROR(
  LOOKUP(2, 1/((TRIM(IMS!$E$8:$E$2574)=TRIM(IMS!$E2309))*(IMS!$C$8:$C$2574&lt;IMS!$C2309)),
         IMS!$C$8:$C$2574),
"")</f>
        <v/>
      </c>
      <c r="E2309" s="57"/>
      <c r="F2309" s="57"/>
      <c r="G2309" s="77" t="str">
        <f t="shared" si="901"/>
        <v/>
      </c>
      <c r="H2309" s="78" t="str">
        <f t="shared" si="902"/>
        <v/>
      </c>
      <c r="I2309" s="79"/>
      <c r="J2309" s="80" t="str">
        <f t="shared" si="903"/>
        <v>#NAME?</v>
      </c>
      <c r="K2309" s="58"/>
      <c r="L2309" s="58"/>
      <c r="M2309" s="57"/>
      <c r="N2309" s="57"/>
      <c r="O2309" s="58"/>
      <c r="P2309" s="82"/>
      <c r="Q2309" s="81"/>
      <c r="R2309" s="81"/>
      <c r="S2309" s="57"/>
      <c r="T2309" s="82"/>
      <c r="U2309" s="82"/>
      <c r="V2309" s="57"/>
      <c r="W2309" s="57"/>
      <c r="X2309" s="57" t="str">
        <f t="shared" si="917"/>
        <v/>
      </c>
      <c r="Y2309" s="58" t="str">
        <f t="shared" ref="Y2309:AC2309" si="2149">TRIM(SUBSTITUTE(SUBSTITUTE(OFFSET($Q2309,0,COLUMN()-COLUMN($AL$1)),CHAR(160)," "),_xludf.UNICHAR(8239)," "))</f>
        <v>#NAME?</v>
      </c>
      <c r="Z2309" s="58" t="str">
        <f t="shared" si="2149"/>
        <v>#NAME?</v>
      </c>
      <c r="AA2309" s="58" t="str">
        <f t="shared" si="2149"/>
        <v>#NAME?</v>
      </c>
      <c r="AB2309" s="58" t="str">
        <f t="shared" si="2149"/>
        <v>#NAME?</v>
      </c>
      <c r="AC2309" s="58" t="str">
        <f t="shared" si="2149"/>
        <v>#NAME?</v>
      </c>
      <c r="AD2309" s="57">
        <f t="shared" si="906"/>
        <v>0</v>
      </c>
      <c r="AE2309" s="57" t="str">
        <f t="shared" si="907"/>
        <v/>
      </c>
      <c r="AF2309" s="57">
        <f t="shared" si="908"/>
        <v>0</v>
      </c>
      <c r="AG2309" s="59">
        <f t="shared" si="909"/>
        <v>0</v>
      </c>
      <c r="AH2309" s="15"/>
      <c r="AI2309" s="15"/>
      <c r="AJ2309" s="15"/>
      <c r="AK2309" s="15"/>
      <c r="AL2309" s="15"/>
      <c r="AM2309" s="15"/>
      <c r="AN2309" s="15"/>
      <c r="AO2309" s="15"/>
      <c r="AP2309" s="15"/>
      <c r="AQ2309" s="15"/>
      <c r="AR2309" s="15"/>
      <c r="AS2309" s="15"/>
      <c r="AT2309" s="15"/>
      <c r="AU2309" s="15"/>
    </row>
    <row r="2310" ht="24.0" customHeight="1">
      <c r="A2310" s="45">
        <v>3734.0</v>
      </c>
      <c r="B2310" s="57"/>
      <c r="C2310" s="57"/>
      <c r="D2310" s="88" t="str">
        <f t="array" ref="D2310">IFERROR(
  LOOKUP(2, 1/((TRIM(IMS!$E$8:$E$2574)=TRIM(IMS!$E2310))*(IMS!$C$8:$C$2574&lt;IMS!$C2310)),
         IMS!$C$8:$C$2574),
"")</f>
        <v/>
      </c>
      <c r="E2310" s="57"/>
      <c r="F2310" s="57"/>
      <c r="G2310" s="77" t="str">
        <f t="shared" si="901"/>
        <v/>
      </c>
      <c r="H2310" s="78" t="str">
        <f t="shared" si="902"/>
        <v/>
      </c>
      <c r="I2310" s="79"/>
      <c r="J2310" s="80" t="str">
        <f t="shared" si="903"/>
        <v>#NAME?</v>
      </c>
      <c r="K2310" s="58"/>
      <c r="L2310" s="58"/>
      <c r="M2310" s="57"/>
      <c r="N2310" s="57"/>
      <c r="O2310" s="58"/>
      <c r="P2310" s="82"/>
      <c r="Q2310" s="81"/>
      <c r="R2310" s="81"/>
      <c r="S2310" s="57"/>
      <c r="T2310" s="82"/>
      <c r="U2310" s="82"/>
      <c r="V2310" s="57"/>
      <c r="W2310" s="57"/>
      <c r="X2310" s="57" t="str">
        <f t="shared" si="917"/>
        <v/>
      </c>
      <c r="Y2310" s="58" t="str">
        <f t="shared" ref="Y2310:AC2310" si="2150">TRIM(SUBSTITUTE(SUBSTITUTE(OFFSET($Q2310,0,COLUMN()-COLUMN($AL$1)),CHAR(160)," "),_xludf.UNICHAR(8239)," "))</f>
        <v>#NAME?</v>
      </c>
      <c r="Z2310" s="58" t="str">
        <f t="shared" si="2150"/>
        <v>#NAME?</v>
      </c>
      <c r="AA2310" s="58" t="str">
        <f t="shared" si="2150"/>
        <v>#NAME?</v>
      </c>
      <c r="AB2310" s="58" t="str">
        <f t="shared" si="2150"/>
        <v>#NAME?</v>
      </c>
      <c r="AC2310" s="58" t="str">
        <f t="shared" si="2150"/>
        <v>#NAME?</v>
      </c>
      <c r="AD2310" s="57">
        <f t="shared" si="906"/>
        <v>0</v>
      </c>
      <c r="AE2310" s="57" t="str">
        <f t="shared" si="907"/>
        <v/>
      </c>
      <c r="AF2310" s="57">
        <f t="shared" si="908"/>
        <v>0</v>
      </c>
      <c r="AG2310" s="59">
        <f t="shared" si="909"/>
        <v>0</v>
      </c>
      <c r="AH2310" s="15"/>
      <c r="AI2310" s="15"/>
      <c r="AJ2310" s="15"/>
      <c r="AK2310" s="15"/>
      <c r="AL2310" s="15"/>
      <c r="AM2310" s="15"/>
      <c r="AN2310" s="15"/>
      <c r="AO2310" s="15"/>
      <c r="AP2310" s="15"/>
      <c r="AQ2310" s="15"/>
      <c r="AR2310" s="15"/>
      <c r="AS2310" s="15"/>
      <c r="AT2310" s="15"/>
      <c r="AU2310" s="15"/>
    </row>
    <row r="2311" ht="24.0" customHeight="1">
      <c r="A2311" s="45">
        <v>3735.0</v>
      </c>
      <c r="B2311" s="57"/>
      <c r="C2311" s="57"/>
      <c r="D2311" s="88" t="str">
        <f t="array" ref="D2311">IFERROR(
  LOOKUP(2, 1/((TRIM(IMS!$E$8:$E$2574)=TRIM(IMS!$E2311))*(IMS!$C$8:$C$2574&lt;IMS!$C2311)),
         IMS!$C$8:$C$2574),
"")</f>
        <v/>
      </c>
      <c r="E2311" s="57"/>
      <c r="F2311" s="57"/>
      <c r="G2311" s="77" t="str">
        <f t="shared" si="901"/>
        <v/>
      </c>
      <c r="H2311" s="78" t="str">
        <f t="shared" si="902"/>
        <v/>
      </c>
      <c r="I2311" s="79"/>
      <c r="J2311" s="80" t="str">
        <f t="shared" si="903"/>
        <v>#NAME?</v>
      </c>
      <c r="K2311" s="58"/>
      <c r="L2311" s="58"/>
      <c r="M2311" s="57"/>
      <c r="N2311" s="57"/>
      <c r="O2311" s="58"/>
      <c r="P2311" s="82"/>
      <c r="Q2311" s="81"/>
      <c r="R2311" s="81"/>
      <c r="S2311" s="57"/>
      <c r="T2311" s="82"/>
      <c r="U2311" s="82"/>
      <c r="V2311" s="57"/>
      <c r="W2311" s="57"/>
      <c r="X2311" s="57" t="str">
        <f t="shared" si="917"/>
        <v/>
      </c>
      <c r="Y2311" s="58" t="str">
        <f t="shared" ref="Y2311:AC2311" si="2151">TRIM(SUBSTITUTE(SUBSTITUTE(OFFSET($Q2311,0,COLUMN()-COLUMN($AL$1)),CHAR(160)," "),_xludf.UNICHAR(8239)," "))</f>
        <v>#NAME?</v>
      </c>
      <c r="Z2311" s="58" t="str">
        <f t="shared" si="2151"/>
        <v>#NAME?</v>
      </c>
      <c r="AA2311" s="58" t="str">
        <f t="shared" si="2151"/>
        <v>#NAME?</v>
      </c>
      <c r="AB2311" s="58" t="str">
        <f t="shared" si="2151"/>
        <v>#NAME?</v>
      </c>
      <c r="AC2311" s="58" t="str">
        <f t="shared" si="2151"/>
        <v>#NAME?</v>
      </c>
      <c r="AD2311" s="57">
        <f t="shared" si="906"/>
        <v>0</v>
      </c>
      <c r="AE2311" s="57" t="str">
        <f t="shared" si="907"/>
        <v/>
      </c>
      <c r="AF2311" s="57">
        <f t="shared" si="908"/>
        <v>0</v>
      </c>
      <c r="AG2311" s="59">
        <f t="shared" si="909"/>
        <v>0</v>
      </c>
      <c r="AH2311" s="15"/>
      <c r="AI2311" s="15"/>
      <c r="AJ2311" s="15"/>
      <c r="AK2311" s="15"/>
      <c r="AL2311" s="15"/>
      <c r="AM2311" s="15"/>
      <c r="AN2311" s="15"/>
      <c r="AO2311" s="15"/>
      <c r="AP2311" s="15"/>
      <c r="AQ2311" s="15"/>
      <c r="AR2311" s="15"/>
      <c r="AS2311" s="15"/>
      <c r="AT2311" s="15"/>
      <c r="AU2311" s="15"/>
    </row>
    <row r="2312" ht="24.0" customHeight="1">
      <c r="A2312" s="45">
        <v>3736.0</v>
      </c>
      <c r="B2312" s="57"/>
      <c r="C2312" s="57"/>
      <c r="D2312" s="88" t="str">
        <f t="array" ref="D2312">IFERROR(
  LOOKUP(2, 1/((TRIM(IMS!$E$8:$E$2574)=TRIM(IMS!$E2312))*(IMS!$C$8:$C$2574&lt;IMS!$C2312)),
         IMS!$C$8:$C$2574),
"")</f>
        <v/>
      </c>
      <c r="E2312" s="57"/>
      <c r="F2312" s="57"/>
      <c r="G2312" s="77" t="str">
        <f t="shared" si="901"/>
        <v/>
      </c>
      <c r="H2312" s="78" t="str">
        <f t="shared" si="902"/>
        <v/>
      </c>
      <c r="I2312" s="79"/>
      <c r="J2312" s="80" t="str">
        <f t="shared" si="903"/>
        <v>#NAME?</v>
      </c>
      <c r="K2312" s="58"/>
      <c r="L2312" s="58"/>
      <c r="M2312" s="57"/>
      <c r="N2312" s="57"/>
      <c r="O2312" s="58"/>
      <c r="P2312" s="82"/>
      <c r="Q2312" s="81"/>
      <c r="R2312" s="81"/>
      <c r="S2312" s="57"/>
      <c r="T2312" s="82"/>
      <c r="U2312" s="82"/>
      <c r="V2312" s="57"/>
      <c r="W2312" s="57"/>
      <c r="X2312" s="57" t="str">
        <f t="shared" si="917"/>
        <v/>
      </c>
      <c r="Y2312" s="58" t="str">
        <f t="shared" ref="Y2312:AC2312" si="2152">TRIM(SUBSTITUTE(SUBSTITUTE(OFFSET($Q2312,0,COLUMN()-COLUMN($AL$1)),CHAR(160)," "),_xludf.UNICHAR(8239)," "))</f>
        <v>#NAME?</v>
      </c>
      <c r="Z2312" s="58" t="str">
        <f t="shared" si="2152"/>
        <v>#NAME?</v>
      </c>
      <c r="AA2312" s="58" t="str">
        <f t="shared" si="2152"/>
        <v>#NAME?</v>
      </c>
      <c r="AB2312" s="58" t="str">
        <f t="shared" si="2152"/>
        <v>#NAME?</v>
      </c>
      <c r="AC2312" s="58" t="str">
        <f t="shared" si="2152"/>
        <v>#NAME?</v>
      </c>
      <c r="AD2312" s="57">
        <f t="shared" si="906"/>
        <v>0</v>
      </c>
      <c r="AE2312" s="57" t="str">
        <f t="shared" si="907"/>
        <v/>
      </c>
      <c r="AF2312" s="57">
        <f t="shared" si="908"/>
        <v>0</v>
      </c>
      <c r="AG2312" s="59">
        <f t="shared" si="909"/>
        <v>0</v>
      </c>
      <c r="AH2312" s="15"/>
      <c r="AI2312" s="15"/>
      <c r="AJ2312" s="15"/>
      <c r="AK2312" s="15"/>
      <c r="AL2312" s="15"/>
      <c r="AM2312" s="15"/>
      <c r="AN2312" s="15"/>
      <c r="AO2312" s="15"/>
      <c r="AP2312" s="15"/>
      <c r="AQ2312" s="15"/>
      <c r="AR2312" s="15"/>
      <c r="AS2312" s="15"/>
      <c r="AT2312" s="15"/>
      <c r="AU2312" s="15"/>
    </row>
    <row r="2313" ht="24.0" customHeight="1">
      <c r="A2313" s="45">
        <v>3737.0</v>
      </c>
      <c r="B2313" s="57"/>
      <c r="C2313" s="57"/>
      <c r="D2313" s="88" t="str">
        <f t="array" ref="D2313">IFERROR(
  LOOKUP(2, 1/((TRIM(IMS!$E$8:$E$2574)=TRIM(IMS!$E2313))*(IMS!$C$8:$C$2574&lt;IMS!$C2313)),
         IMS!$C$8:$C$2574),
"")</f>
        <v/>
      </c>
      <c r="E2313" s="57"/>
      <c r="F2313" s="57"/>
      <c r="G2313" s="77" t="str">
        <f t="shared" si="901"/>
        <v/>
      </c>
      <c r="H2313" s="78" t="str">
        <f t="shared" si="902"/>
        <v/>
      </c>
      <c r="I2313" s="79"/>
      <c r="J2313" s="80" t="str">
        <f t="shared" si="903"/>
        <v>#NAME?</v>
      </c>
      <c r="K2313" s="58"/>
      <c r="L2313" s="58"/>
      <c r="M2313" s="57"/>
      <c r="N2313" s="57"/>
      <c r="O2313" s="58"/>
      <c r="P2313" s="82"/>
      <c r="Q2313" s="81"/>
      <c r="R2313" s="81"/>
      <c r="S2313" s="57"/>
      <c r="T2313" s="82"/>
      <c r="U2313" s="82"/>
      <c r="V2313" s="57"/>
      <c r="W2313" s="57"/>
      <c r="X2313" s="57" t="str">
        <f t="shared" si="917"/>
        <v/>
      </c>
      <c r="Y2313" s="58" t="str">
        <f t="shared" ref="Y2313:AC2313" si="2153">TRIM(SUBSTITUTE(SUBSTITUTE(OFFSET($Q2313,0,COLUMN()-COLUMN($AL$1)),CHAR(160)," "),_xludf.UNICHAR(8239)," "))</f>
        <v>#NAME?</v>
      </c>
      <c r="Z2313" s="58" t="str">
        <f t="shared" si="2153"/>
        <v>#NAME?</v>
      </c>
      <c r="AA2313" s="58" t="str">
        <f t="shared" si="2153"/>
        <v>#NAME?</v>
      </c>
      <c r="AB2313" s="58" t="str">
        <f t="shared" si="2153"/>
        <v>#NAME?</v>
      </c>
      <c r="AC2313" s="58" t="str">
        <f t="shared" si="2153"/>
        <v>#NAME?</v>
      </c>
      <c r="AD2313" s="57">
        <f t="shared" si="906"/>
        <v>0</v>
      </c>
      <c r="AE2313" s="57" t="str">
        <f t="shared" si="907"/>
        <v/>
      </c>
      <c r="AF2313" s="57">
        <f t="shared" si="908"/>
        <v>0</v>
      </c>
      <c r="AG2313" s="59">
        <f t="shared" si="909"/>
        <v>0</v>
      </c>
      <c r="AH2313" s="15"/>
      <c r="AI2313" s="15"/>
      <c r="AJ2313" s="15"/>
      <c r="AK2313" s="15"/>
      <c r="AL2313" s="15"/>
      <c r="AM2313" s="15"/>
      <c r="AN2313" s="15"/>
      <c r="AO2313" s="15"/>
      <c r="AP2313" s="15"/>
      <c r="AQ2313" s="15"/>
      <c r="AR2313" s="15"/>
      <c r="AS2313" s="15"/>
      <c r="AT2313" s="15"/>
      <c r="AU2313" s="15"/>
    </row>
    <row r="2314" ht="24.0" customHeight="1">
      <c r="A2314" s="45">
        <v>3738.0</v>
      </c>
      <c r="B2314" s="57"/>
      <c r="C2314" s="57"/>
      <c r="D2314" s="88" t="str">
        <f t="array" ref="D2314">IFERROR(
  LOOKUP(2, 1/((TRIM(IMS!$E$8:$E$2574)=TRIM(IMS!$E2314))*(IMS!$C$8:$C$2574&lt;IMS!$C2314)),
         IMS!$C$8:$C$2574),
"")</f>
        <v/>
      </c>
      <c r="E2314" s="57"/>
      <c r="F2314" s="57"/>
      <c r="G2314" s="77" t="str">
        <f t="shared" si="901"/>
        <v/>
      </c>
      <c r="H2314" s="78" t="str">
        <f t="shared" si="902"/>
        <v/>
      </c>
      <c r="I2314" s="79"/>
      <c r="J2314" s="80" t="str">
        <f t="shared" si="903"/>
        <v>#NAME?</v>
      </c>
      <c r="K2314" s="58"/>
      <c r="L2314" s="58"/>
      <c r="M2314" s="57"/>
      <c r="N2314" s="57"/>
      <c r="O2314" s="58"/>
      <c r="P2314" s="82"/>
      <c r="Q2314" s="81"/>
      <c r="R2314" s="81"/>
      <c r="S2314" s="57"/>
      <c r="T2314" s="82"/>
      <c r="U2314" s="82"/>
      <c r="V2314" s="57"/>
      <c r="W2314" s="57"/>
      <c r="X2314" s="57" t="str">
        <f t="shared" si="917"/>
        <v/>
      </c>
      <c r="Y2314" s="58" t="str">
        <f t="shared" ref="Y2314:AC2314" si="2154">TRIM(SUBSTITUTE(SUBSTITUTE(OFFSET($Q2314,0,COLUMN()-COLUMN($AL$1)),CHAR(160)," "),_xludf.UNICHAR(8239)," "))</f>
        <v>#NAME?</v>
      </c>
      <c r="Z2314" s="58" t="str">
        <f t="shared" si="2154"/>
        <v>#NAME?</v>
      </c>
      <c r="AA2314" s="58" t="str">
        <f t="shared" si="2154"/>
        <v>#NAME?</v>
      </c>
      <c r="AB2314" s="58" t="str">
        <f t="shared" si="2154"/>
        <v>#NAME?</v>
      </c>
      <c r="AC2314" s="58" t="str">
        <f t="shared" si="2154"/>
        <v>#NAME?</v>
      </c>
      <c r="AD2314" s="57">
        <f t="shared" si="906"/>
        <v>0</v>
      </c>
      <c r="AE2314" s="57" t="str">
        <f t="shared" si="907"/>
        <v/>
      </c>
      <c r="AF2314" s="57">
        <f t="shared" si="908"/>
        <v>0</v>
      </c>
      <c r="AG2314" s="59">
        <f t="shared" si="909"/>
        <v>0</v>
      </c>
      <c r="AH2314" s="15"/>
      <c r="AI2314" s="15"/>
      <c r="AJ2314" s="15"/>
      <c r="AK2314" s="15"/>
      <c r="AL2314" s="15"/>
      <c r="AM2314" s="15"/>
      <c r="AN2314" s="15"/>
      <c r="AO2314" s="15"/>
      <c r="AP2314" s="15"/>
      <c r="AQ2314" s="15"/>
      <c r="AR2314" s="15"/>
      <c r="AS2314" s="15"/>
      <c r="AT2314" s="15"/>
      <c r="AU2314" s="15"/>
    </row>
    <row r="2315" ht="24.0" customHeight="1">
      <c r="A2315" s="45">
        <v>3739.0</v>
      </c>
      <c r="B2315" s="57"/>
      <c r="C2315" s="57"/>
      <c r="D2315" s="88" t="str">
        <f t="array" ref="D2315">IFERROR(
  LOOKUP(2, 1/((TRIM(IMS!$E$8:$E$2574)=TRIM(IMS!$E2315))*(IMS!$C$8:$C$2574&lt;IMS!$C2315)),
         IMS!$C$8:$C$2574),
"")</f>
        <v/>
      </c>
      <c r="E2315" s="57"/>
      <c r="F2315" s="57"/>
      <c r="G2315" s="77" t="str">
        <f t="shared" si="901"/>
        <v/>
      </c>
      <c r="H2315" s="78" t="str">
        <f t="shared" si="902"/>
        <v/>
      </c>
      <c r="I2315" s="79"/>
      <c r="J2315" s="80" t="str">
        <f t="shared" si="903"/>
        <v>#NAME?</v>
      </c>
      <c r="K2315" s="58"/>
      <c r="L2315" s="58"/>
      <c r="M2315" s="57"/>
      <c r="N2315" s="57"/>
      <c r="O2315" s="58"/>
      <c r="P2315" s="82"/>
      <c r="Q2315" s="81"/>
      <c r="R2315" s="81"/>
      <c r="S2315" s="57"/>
      <c r="T2315" s="82"/>
      <c r="U2315" s="82"/>
      <c r="V2315" s="57"/>
      <c r="W2315" s="57"/>
      <c r="X2315" s="57" t="str">
        <f t="shared" si="917"/>
        <v/>
      </c>
      <c r="Y2315" s="58" t="str">
        <f t="shared" ref="Y2315:AC2315" si="2155">TRIM(SUBSTITUTE(SUBSTITUTE(OFFSET($Q2315,0,COLUMN()-COLUMN($AL$1)),CHAR(160)," "),_xludf.UNICHAR(8239)," "))</f>
        <v>#NAME?</v>
      </c>
      <c r="Z2315" s="58" t="str">
        <f t="shared" si="2155"/>
        <v>#NAME?</v>
      </c>
      <c r="AA2315" s="58" t="str">
        <f t="shared" si="2155"/>
        <v>#NAME?</v>
      </c>
      <c r="AB2315" s="58" t="str">
        <f t="shared" si="2155"/>
        <v>#NAME?</v>
      </c>
      <c r="AC2315" s="58" t="str">
        <f t="shared" si="2155"/>
        <v>#NAME?</v>
      </c>
      <c r="AD2315" s="57">
        <f t="shared" si="906"/>
        <v>0</v>
      </c>
      <c r="AE2315" s="57" t="str">
        <f t="shared" si="907"/>
        <v/>
      </c>
      <c r="AF2315" s="57">
        <f t="shared" si="908"/>
        <v>0</v>
      </c>
      <c r="AG2315" s="59">
        <f t="shared" si="909"/>
        <v>0</v>
      </c>
      <c r="AH2315" s="15"/>
      <c r="AI2315" s="15"/>
      <c r="AJ2315" s="15"/>
      <c r="AK2315" s="15"/>
      <c r="AL2315" s="15"/>
      <c r="AM2315" s="15"/>
      <c r="AN2315" s="15"/>
      <c r="AO2315" s="15"/>
      <c r="AP2315" s="15"/>
      <c r="AQ2315" s="15"/>
      <c r="AR2315" s="15"/>
      <c r="AS2315" s="15"/>
      <c r="AT2315" s="15"/>
      <c r="AU2315" s="15"/>
    </row>
    <row r="2316" ht="24.0" customHeight="1">
      <c r="A2316" s="45">
        <v>3740.0</v>
      </c>
      <c r="B2316" s="57"/>
      <c r="C2316" s="57"/>
      <c r="D2316" s="88" t="str">
        <f t="array" ref="D2316">IFERROR(
  LOOKUP(2, 1/((TRIM(IMS!$E$8:$E$2574)=TRIM(IMS!$E2316))*(IMS!$C$8:$C$2574&lt;IMS!$C2316)),
         IMS!$C$8:$C$2574),
"")</f>
        <v/>
      </c>
      <c r="E2316" s="57"/>
      <c r="F2316" s="57"/>
      <c r="G2316" s="77" t="str">
        <f t="shared" si="901"/>
        <v/>
      </c>
      <c r="H2316" s="78" t="str">
        <f t="shared" si="902"/>
        <v/>
      </c>
      <c r="I2316" s="79"/>
      <c r="J2316" s="80" t="str">
        <f t="shared" si="903"/>
        <v>#NAME?</v>
      </c>
      <c r="K2316" s="58"/>
      <c r="L2316" s="58"/>
      <c r="M2316" s="57"/>
      <c r="N2316" s="57"/>
      <c r="O2316" s="58"/>
      <c r="P2316" s="82"/>
      <c r="Q2316" s="81"/>
      <c r="R2316" s="81"/>
      <c r="S2316" s="57"/>
      <c r="T2316" s="82"/>
      <c r="U2316" s="82"/>
      <c r="V2316" s="57"/>
      <c r="W2316" s="57"/>
      <c r="X2316" s="57" t="str">
        <f t="shared" si="917"/>
        <v/>
      </c>
      <c r="Y2316" s="58" t="str">
        <f t="shared" ref="Y2316:AC2316" si="2156">TRIM(SUBSTITUTE(SUBSTITUTE(OFFSET($Q2316,0,COLUMN()-COLUMN($AL$1)),CHAR(160)," "),_xludf.UNICHAR(8239)," "))</f>
        <v>#NAME?</v>
      </c>
      <c r="Z2316" s="58" t="str">
        <f t="shared" si="2156"/>
        <v>#NAME?</v>
      </c>
      <c r="AA2316" s="58" t="str">
        <f t="shared" si="2156"/>
        <v>#NAME?</v>
      </c>
      <c r="AB2316" s="58" t="str">
        <f t="shared" si="2156"/>
        <v>#NAME?</v>
      </c>
      <c r="AC2316" s="58" t="str">
        <f t="shared" si="2156"/>
        <v>#NAME?</v>
      </c>
      <c r="AD2316" s="57">
        <f t="shared" si="906"/>
        <v>0</v>
      </c>
      <c r="AE2316" s="57" t="str">
        <f t="shared" si="907"/>
        <v/>
      </c>
      <c r="AF2316" s="57">
        <f t="shared" si="908"/>
        <v>0</v>
      </c>
      <c r="AG2316" s="59">
        <f t="shared" si="909"/>
        <v>0</v>
      </c>
      <c r="AH2316" s="15"/>
      <c r="AI2316" s="15"/>
      <c r="AJ2316" s="15"/>
      <c r="AK2316" s="15"/>
      <c r="AL2316" s="15"/>
      <c r="AM2316" s="15"/>
      <c r="AN2316" s="15"/>
      <c r="AO2316" s="15"/>
      <c r="AP2316" s="15"/>
      <c r="AQ2316" s="15"/>
      <c r="AR2316" s="15"/>
      <c r="AS2316" s="15"/>
      <c r="AT2316" s="15"/>
      <c r="AU2316" s="15"/>
    </row>
    <row r="2317" ht="24.0" customHeight="1">
      <c r="A2317" s="45">
        <v>3741.0</v>
      </c>
      <c r="B2317" s="57"/>
      <c r="C2317" s="57"/>
      <c r="D2317" s="88" t="str">
        <f t="array" ref="D2317">IFERROR(
  LOOKUP(2, 1/((TRIM(IMS!$E$8:$E$2574)=TRIM(IMS!$E2317))*(IMS!$C$8:$C$2574&lt;IMS!$C2317)),
         IMS!$C$8:$C$2574),
"")</f>
        <v/>
      </c>
      <c r="E2317" s="57"/>
      <c r="F2317" s="57"/>
      <c r="G2317" s="77" t="str">
        <f t="shared" si="901"/>
        <v/>
      </c>
      <c r="H2317" s="78" t="str">
        <f t="shared" si="902"/>
        <v/>
      </c>
      <c r="I2317" s="79"/>
      <c r="J2317" s="80" t="str">
        <f t="shared" si="903"/>
        <v>#NAME?</v>
      </c>
      <c r="K2317" s="58"/>
      <c r="L2317" s="58"/>
      <c r="M2317" s="57"/>
      <c r="N2317" s="57"/>
      <c r="O2317" s="58"/>
      <c r="P2317" s="82"/>
      <c r="Q2317" s="81"/>
      <c r="R2317" s="81"/>
      <c r="S2317" s="57"/>
      <c r="T2317" s="82"/>
      <c r="U2317" s="82"/>
      <c r="V2317" s="57"/>
      <c r="W2317" s="57"/>
      <c r="X2317" s="57" t="str">
        <f t="shared" si="917"/>
        <v/>
      </c>
      <c r="Y2317" s="58" t="str">
        <f t="shared" ref="Y2317:AC2317" si="2157">TRIM(SUBSTITUTE(SUBSTITUTE(OFFSET($Q2317,0,COLUMN()-COLUMN($AL$1)),CHAR(160)," "),_xludf.UNICHAR(8239)," "))</f>
        <v>#NAME?</v>
      </c>
      <c r="Z2317" s="58" t="str">
        <f t="shared" si="2157"/>
        <v>#NAME?</v>
      </c>
      <c r="AA2317" s="58" t="str">
        <f t="shared" si="2157"/>
        <v>#NAME?</v>
      </c>
      <c r="AB2317" s="58" t="str">
        <f t="shared" si="2157"/>
        <v>#NAME?</v>
      </c>
      <c r="AC2317" s="58" t="str">
        <f t="shared" si="2157"/>
        <v>#NAME?</v>
      </c>
      <c r="AD2317" s="57">
        <f t="shared" si="906"/>
        <v>0</v>
      </c>
      <c r="AE2317" s="57" t="str">
        <f t="shared" si="907"/>
        <v/>
      </c>
      <c r="AF2317" s="57">
        <f t="shared" si="908"/>
        <v>0</v>
      </c>
      <c r="AG2317" s="59">
        <f t="shared" si="909"/>
        <v>0</v>
      </c>
      <c r="AH2317" s="15"/>
      <c r="AI2317" s="15"/>
      <c r="AJ2317" s="15"/>
      <c r="AK2317" s="15"/>
      <c r="AL2317" s="15"/>
      <c r="AM2317" s="15"/>
      <c r="AN2317" s="15"/>
      <c r="AO2317" s="15"/>
      <c r="AP2317" s="15"/>
      <c r="AQ2317" s="15"/>
      <c r="AR2317" s="15"/>
      <c r="AS2317" s="15"/>
      <c r="AT2317" s="15"/>
      <c r="AU2317" s="15"/>
    </row>
    <row r="2318" ht="24.0" customHeight="1">
      <c r="A2318" s="45">
        <v>3742.0</v>
      </c>
      <c r="B2318" s="57"/>
      <c r="C2318" s="57"/>
      <c r="D2318" s="88" t="str">
        <f t="array" ref="D2318">IFERROR(
  LOOKUP(2, 1/((TRIM(IMS!$E$8:$E$2574)=TRIM(IMS!$E2318))*(IMS!$C$8:$C$2574&lt;IMS!$C2318)),
         IMS!$C$8:$C$2574),
"")</f>
        <v/>
      </c>
      <c r="E2318" s="57"/>
      <c r="F2318" s="57"/>
      <c r="G2318" s="77" t="str">
        <f t="shared" si="901"/>
        <v/>
      </c>
      <c r="H2318" s="78" t="str">
        <f t="shared" si="902"/>
        <v/>
      </c>
      <c r="I2318" s="79"/>
      <c r="J2318" s="80" t="str">
        <f t="shared" si="903"/>
        <v>#NAME?</v>
      </c>
      <c r="K2318" s="58"/>
      <c r="L2318" s="58"/>
      <c r="M2318" s="57"/>
      <c r="N2318" s="57"/>
      <c r="O2318" s="58"/>
      <c r="P2318" s="82"/>
      <c r="Q2318" s="81"/>
      <c r="R2318" s="81"/>
      <c r="S2318" s="57"/>
      <c r="T2318" s="82"/>
      <c r="U2318" s="82"/>
      <c r="V2318" s="57"/>
      <c r="W2318" s="57"/>
      <c r="X2318" s="57" t="str">
        <f t="shared" si="917"/>
        <v/>
      </c>
      <c r="Y2318" s="58" t="str">
        <f t="shared" ref="Y2318:AC2318" si="2158">TRIM(SUBSTITUTE(SUBSTITUTE(OFFSET($Q2318,0,COLUMN()-COLUMN($AL$1)),CHAR(160)," "),_xludf.UNICHAR(8239)," "))</f>
        <v>#NAME?</v>
      </c>
      <c r="Z2318" s="58" t="str">
        <f t="shared" si="2158"/>
        <v>#NAME?</v>
      </c>
      <c r="AA2318" s="58" t="str">
        <f t="shared" si="2158"/>
        <v>#NAME?</v>
      </c>
      <c r="AB2318" s="58" t="str">
        <f t="shared" si="2158"/>
        <v>#NAME?</v>
      </c>
      <c r="AC2318" s="58" t="str">
        <f t="shared" si="2158"/>
        <v>#NAME?</v>
      </c>
      <c r="AD2318" s="57">
        <f t="shared" si="906"/>
        <v>0</v>
      </c>
      <c r="AE2318" s="57" t="str">
        <f t="shared" si="907"/>
        <v/>
      </c>
      <c r="AF2318" s="57">
        <f t="shared" si="908"/>
        <v>0</v>
      </c>
      <c r="AG2318" s="59">
        <f t="shared" si="909"/>
        <v>0</v>
      </c>
      <c r="AH2318" s="15"/>
      <c r="AI2318" s="15"/>
      <c r="AJ2318" s="15"/>
      <c r="AK2318" s="15"/>
      <c r="AL2318" s="15"/>
      <c r="AM2318" s="15"/>
      <c r="AN2318" s="15"/>
      <c r="AO2318" s="15"/>
      <c r="AP2318" s="15"/>
      <c r="AQ2318" s="15"/>
      <c r="AR2318" s="15"/>
      <c r="AS2318" s="15"/>
      <c r="AT2318" s="15"/>
      <c r="AU2318" s="15"/>
    </row>
    <row r="2319" ht="24.0" customHeight="1">
      <c r="A2319" s="45">
        <v>3743.0</v>
      </c>
      <c r="B2319" s="57"/>
      <c r="C2319" s="57"/>
      <c r="D2319" s="88" t="str">
        <f t="array" ref="D2319">IFERROR(
  LOOKUP(2, 1/((TRIM(IMS!$E$8:$E$2574)=TRIM(IMS!$E2319))*(IMS!$C$8:$C$2574&lt;IMS!$C2319)),
         IMS!$C$8:$C$2574),
"")</f>
        <v/>
      </c>
      <c r="E2319" s="57"/>
      <c r="F2319" s="57"/>
      <c r="G2319" s="77" t="str">
        <f t="shared" si="901"/>
        <v/>
      </c>
      <c r="H2319" s="78" t="str">
        <f t="shared" si="902"/>
        <v/>
      </c>
      <c r="I2319" s="79"/>
      <c r="J2319" s="80" t="str">
        <f t="shared" si="903"/>
        <v>#NAME?</v>
      </c>
      <c r="K2319" s="58"/>
      <c r="L2319" s="58"/>
      <c r="M2319" s="57"/>
      <c r="N2319" s="57"/>
      <c r="O2319" s="58"/>
      <c r="P2319" s="82"/>
      <c r="Q2319" s="81"/>
      <c r="R2319" s="81"/>
      <c r="S2319" s="57"/>
      <c r="T2319" s="82"/>
      <c r="U2319" s="82"/>
      <c r="V2319" s="57"/>
      <c r="W2319" s="57"/>
      <c r="X2319" s="57" t="str">
        <f t="shared" si="917"/>
        <v/>
      </c>
      <c r="Y2319" s="58" t="str">
        <f t="shared" ref="Y2319:AC2319" si="2159">TRIM(SUBSTITUTE(SUBSTITUTE(OFFSET($Q2319,0,COLUMN()-COLUMN($AL$1)),CHAR(160)," "),_xludf.UNICHAR(8239)," "))</f>
        <v>#NAME?</v>
      </c>
      <c r="Z2319" s="58" t="str">
        <f t="shared" si="2159"/>
        <v>#NAME?</v>
      </c>
      <c r="AA2319" s="58" t="str">
        <f t="shared" si="2159"/>
        <v>#NAME?</v>
      </c>
      <c r="AB2319" s="58" t="str">
        <f t="shared" si="2159"/>
        <v>#NAME?</v>
      </c>
      <c r="AC2319" s="58" t="str">
        <f t="shared" si="2159"/>
        <v>#NAME?</v>
      </c>
      <c r="AD2319" s="57">
        <f t="shared" si="906"/>
        <v>0</v>
      </c>
      <c r="AE2319" s="57" t="str">
        <f t="shared" si="907"/>
        <v/>
      </c>
      <c r="AF2319" s="57">
        <f t="shared" si="908"/>
        <v>0</v>
      </c>
      <c r="AG2319" s="59">
        <f t="shared" si="909"/>
        <v>0</v>
      </c>
      <c r="AH2319" s="15"/>
      <c r="AI2319" s="15"/>
      <c r="AJ2319" s="15"/>
      <c r="AK2319" s="15"/>
      <c r="AL2319" s="15"/>
      <c r="AM2319" s="15"/>
      <c r="AN2319" s="15"/>
      <c r="AO2319" s="15"/>
      <c r="AP2319" s="15"/>
      <c r="AQ2319" s="15"/>
      <c r="AR2319" s="15"/>
      <c r="AS2319" s="15"/>
      <c r="AT2319" s="15"/>
      <c r="AU2319" s="15"/>
    </row>
    <row r="2320" ht="24.0" customHeight="1">
      <c r="A2320" s="45">
        <v>3744.0</v>
      </c>
      <c r="B2320" s="57"/>
      <c r="C2320" s="57"/>
      <c r="D2320" s="88" t="str">
        <f t="array" ref="D2320">IFERROR(
  LOOKUP(2, 1/((TRIM(IMS!$E$8:$E$2574)=TRIM(IMS!$E2320))*(IMS!$C$8:$C$2574&lt;IMS!$C2320)),
         IMS!$C$8:$C$2574),
"")</f>
        <v/>
      </c>
      <c r="E2320" s="57"/>
      <c r="F2320" s="57"/>
      <c r="G2320" s="77" t="str">
        <f t="shared" si="901"/>
        <v/>
      </c>
      <c r="H2320" s="78" t="str">
        <f t="shared" si="902"/>
        <v/>
      </c>
      <c r="I2320" s="79"/>
      <c r="J2320" s="80" t="str">
        <f t="shared" si="903"/>
        <v>#NAME?</v>
      </c>
      <c r="K2320" s="58"/>
      <c r="L2320" s="58"/>
      <c r="M2320" s="57"/>
      <c r="N2320" s="57"/>
      <c r="O2320" s="58"/>
      <c r="P2320" s="82"/>
      <c r="Q2320" s="81"/>
      <c r="R2320" s="81"/>
      <c r="S2320" s="57"/>
      <c r="T2320" s="82"/>
      <c r="U2320" s="82"/>
      <c r="V2320" s="57"/>
      <c r="W2320" s="57"/>
      <c r="X2320" s="57" t="str">
        <f t="shared" si="917"/>
        <v/>
      </c>
      <c r="Y2320" s="58" t="str">
        <f t="shared" ref="Y2320:AC2320" si="2160">TRIM(SUBSTITUTE(SUBSTITUTE(OFFSET($Q2320,0,COLUMN()-COLUMN($AL$1)),CHAR(160)," "),_xludf.UNICHAR(8239)," "))</f>
        <v>#NAME?</v>
      </c>
      <c r="Z2320" s="58" t="str">
        <f t="shared" si="2160"/>
        <v>#NAME?</v>
      </c>
      <c r="AA2320" s="58" t="str">
        <f t="shared" si="2160"/>
        <v>#NAME?</v>
      </c>
      <c r="AB2320" s="58" t="str">
        <f t="shared" si="2160"/>
        <v>#NAME?</v>
      </c>
      <c r="AC2320" s="58" t="str">
        <f t="shared" si="2160"/>
        <v>#NAME?</v>
      </c>
      <c r="AD2320" s="57">
        <f t="shared" si="906"/>
        <v>0</v>
      </c>
      <c r="AE2320" s="57" t="str">
        <f t="shared" si="907"/>
        <v/>
      </c>
      <c r="AF2320" s="57">
        <f t="shared" si="908"/>
        <v>0</v>
      </c>
      <c r="AG2320" s="59">
        <f t="shared" si="909"/>
        <v>0</v>
      </c>
      <c r="AH2320" s="15"/>
      <c r="AI2320" s="15"/>
      <c r="AJ2320" s="15"/>
      <c r="AK2320" s="15"/>
      <c r="AL2320" s="15"/>
      <c r="AM2320" s="15"/>
      <c r="AN2320" s="15"/>
      <c r="AO2320" s="15"/>
      <c r="AP2320" s="15"/>
      <c r="AQ2320" s="15"/>
      <c r="AR2320" s="15"/>
      <c r="AS2320" s="15"/>
      <c r="AT2320" s="15"/>
      <c r="AU2320" s="15"/>
    </row>
    <row r="2321" ht="24.0" customHeight="1">
      <c r="A2321" s="45">
        <v>3745.0</v>
      </c>
      <c r="B2321" s="57"/>
      <c r="C2321" s="57"/>
      <c r="D2321" s="88" t="str">
        <f t="array" ref="D2321">IFERROR(
  LOOKUP(2, 1/((TRIM(IMS!$E$8:$E$2574)=TRIM(IMS!$E2321))*(IMS!$C$8:$C$2574&lt;IMS!$C2321)),
         IMS!$C$8:$C$2574),
"")</f>
        <v/>
      </c>
      <c r="E2321" s="57"/>
      <c r="F2321" s="57"/>
      <c r="G2321" s="77" t="str">
        <f t="shared" si="901"/>
        <v/>
      </c>
      <c r="H2321" s="78" t="str">
        <f t="shared" si="902"/>
        <v/>
      </c>
      <c r="I2321" s="79"/>
      <c r="J2321" s="80" t="str">
        <f t="shared" si="903"/>
        <v>#NAME?</v>
      </c>
      <c r="K2321" s="58"/>
      <c r="L2321" s="58"/>
      <c r="M2321" s="57"/>
      <c r="N2321" s="57"/>
      <c r="O2321" s="58"/>
      <c r="P2321" s="82"/>
      <c r="Q2321" s="81"/>
      <c r="R2321" s="81"/>
      <c r="S2321" s="57"/>
      <c r="T2321" s="82"/>
      <c r="U2321" s="82"/>
      <c r="V2321" s="57"/>
      <c r="W2321" s="57"/>
      <c r="X2321" s="57" t="str">
        <f t="shared" si="917"/>
        <v/>
      </c>
      <c r="Y2321" s="58" t="str">
        <f t="shared" ref="Y2321:AC2321" si="2161">TRIM(SUBSTITUTE(SUBSTITUTE(OFFSET($Q2321,0,COLUMN()-COLUMN($AL$1)),CHAR(160)," "),_xludf.UNICHAR(8239)," "))</f>
        <v>#NAME?</v>
      </c>
      <c r="Z2321" s="58" t="str">
        <f t="shared" si="2161"/>
        <v>#NAME?</v>
      </c>
      <c r="AA2321" s="58" t="str">
        <f t="shared" si="2161"/>
        <v>#NAME?</v>
      </c>
      <c r="AB2321" s="58" t="str">
        <f t="shared" si="2161"/>
        <v>#NAME?</v>
      </c>
      <c r="AC2321" s="58" t="str">
        <f t="shared" si="2161"/>
        <v>#NAME?</v>
      </c>
      <c r="AD2321" s="57">
        <f t="shared" si="906"/>
        <v>0</v>
      </c>
      <c r="AE2321" s="57" t="str">
        <f t="shared" si="907"/>
        <v/>
      </c>
      <c r="AF2321" s="57">
        <f t="shared" si="908"/>
        <v>0</v>
      </c>
      <c r="AG2321" s="59">
        <f t="shared" si="909"/>
        <v>0</v>
      </c>
      <c r="AH2321" s="15"/>
      <c r="AI2321" s="15"/>
      <c r="AJ2321" s="15"/>
      <c r="AK2321" s="15"/>
      <c r="AL2321" s="15"/>
      <c r="AM2321" s="15"/>
      <c r="AN2321" s="15"/>
      <c r="AO2321" s="15"/>
      <c r="AP2321" s="15"/>
      <c r="AQ2321" s="15"/>
      <c r="AR2321" s="15"/>
      <c r="AS2321" s="15"/>
      <c r="AT2321" s="15"/>
      <c r="AU2321" s="15"/>
    </row>
    <row r="2322" ht="24.0" customHeight="1">
      <c r="A2322" s="45">
        <v>3746.0</v>
      </c>
      <c r="B2322" s="57"/>
      <c r="C2322" s="57"/>
      <c r="D2322" s="88" t="str">
        <f t="array" ref="D2322">IFERROR(
  LOOKUP(2, 1/((TRIM(IMS!$E$8:$E$2574)=TRIM(IMS!$E2322))*(IMS!$C$8:$C$2574&lt;IMS!$C2322)),
         IMS!$C$8:$C$2574),
"")</f>
        <v/>
      </c>
      <c r="E2322" s="57"/>
      <c r="F2322" s="57"/>
      <c r="G2322" s="77" t="str">
        <f t="shared" si="901"/>
        <v/>
      </c>
      <c r="H2322" s="78" t="str">
        <f t="shared" si="902"/>
        <v/>
      </c>
      <c r="I2322" s="79"/>
      <c r="J2322" s="80" t="str">
        <f t="shared" si="903"/>
        <v>#NAME?</v>
      </c>
      <c r="K2322" s="58"/>
      <c r="L2322" s="58"/>
      <c r="M2322" s="57"/>
      <c r="N2322" s="57"/>
      <c r="O2322" s="58"/>
      <c r="P2322" s="82"/>
      <c r="Q2322" s="81"/>
      <c r="R2322" s="81"/>
      <c r="S2322" s="57"/>
      <c r="T2322" s="82"/>
      <c r="U2322" s="82"/>
      <c r="V2322" s="57"/>
      <c r="W2322" s="57"/>
      <c r="X2322" s="57" t="str">
        <f t="shared" si="917"/>
        <v/>
      </c>
      <c r="Y2322" s="58" t="str">
        <f t="shared" ref="Y2322:AC2322" si="2162">TRIM(SUBSTITUTE(SUBSTITUTE(OFFSET($Q2322,0,COLUMN()-COLUMN($AL$1)),CHAR(160)," "),_xludf.UNICHAR(8239)," "))</f>
        <v>#NAME?</v>
      </c>
      <c r="Z2322" s="58" t="str">
        <f t="shared" si="2162"/>
        <v>#NAME?</v>
      </c>
      <c r="AA2322" s="58" t="str">
        <f t="shared" si="2162"/>
        <v>#NAME?</v>
      </c>
      <c r="AB2322" s="58" t="str">
        <f t="shared" si="2162"/>
        <v>#NAME?</v>
      </c>
      <c r="AC2322" s="58" t="str">
        <f t="shared" si="2162"/>
        <v>#NAME?</v>
      </c>
      <c r="AD2322" s="57">
        <f t="shared" si="906"/>
        <v>0</v>
      </c>
      <c r="AE2322" s="57" t="str">
        <f t="shared" si="907"/>
        <v/>
      </c>
      <c r="AF2322" s="57">
        <f t="shared" si="908"/>
        <v>0</v>
      </c>
      <c r="AG2322" s="59">
        <f t="shared" si="909"/>
        <v>0</v>
      </c>
      <c r="AH2322" s="15"/>
      <c r="AI2322" s="15"/>
      <c r="AJ2322" s="15"/>
      <c r="AK2322" s="15"/>
      <c r="AL2322" s="15"/>
      <c r="AM2322" s="15"/>
      <c r="AN2322" s="15"/>
      <c r="AO2322" s="15"/>
      <c r="AP2322" s="15"/>
      <c r="AQ2322" s="15"/>
      <c r="AR2322" s="15"/>
      <c r="AS2322" s="15"/>
      <c r="AT2322" s="15"/>
      <c r="AU2322" s="15"/>
    </row>
    <row r="2323" ht="24.0" customHeight="1">
      <c r="A2323" s="45">
        <v>3747.0</v>
      </c>
      <c r="B2323" s="57"/>
      <c r="C2323" s="57"/>
      <c r="D2323" s="88" t="str">
        <f t="array" ref="D2323">IFERROR(
  LOOKUP(2, 1/((TRIM(IMS!$E$8:$E$2574)=TRIM(IMS!$E2323))*(IMS!$C$8:$C$2574&lt;IMS!$C2323)),
         IMS!$C$8:$C$2574),
"")</f>
        <v/>
      </c>
      <c r="E2323" s="57"/>
      <c r="F2323" s="57"/>
      <c r="G2323" s="77" t="str">
        <f t="shared" si="901"/>
        <v/>
      </c>
      <c r="H2323" s="78" t="str">
        <f t="shared" si="902"/>
        <v/>
      </c>
      <c r="I2323" s="79"/>
      <c r="J2323" s="80" t="str">
        <f t="shared" si="903"/>
        <v>#NAME?</v>
      </c>
      <c r="K2323" s="58"/>
      <c r="L2323" s="58"/>
      <c r="M2323" s="57"/>
      <c r="N2323" s="57"/>
      <c r="O2323" s="58"/>
      <c r="P2323" s="82"/>
      <c r="Q2323" s="81"/>
      <c r="R2323" s="81"/>
      <c r="S2323" s="57"/>
      <c r="T2323" s="82"/>
      <c r="U2323" s="82"/>
      <c r="V2323" s="57"/>
      <c r="W2323" s="57"/>
      <c r="X2323" s="57" t="str">
        <f t="shared" si="917"/>
        <v/>
      </c>
      <c r="Y2323" s="58" t="str">
        <f t="shared" ref="Y2323:AC2323" si="2163">TRIM(SUBSTITUTE(SUBSTITUTE(OFFSET($Q2323,0,COLUMN()-COLUMN($AL$1)),CHAR(160)," "),_xludf.UNICHAR(8239)," "))</f>
        <v>#NAME?</v>
      </c>
      <c r="Z2323" s="58" t="str">
        <f t="shared" si="2163"/>
        <v>#NAME?</v>
      </c>
      <c r="AA2323" s="58" t="str">
        <f t="shared" si="2163"/>
        <v>#NAME?</v>
      </c>
      <c r="AB2323" s="58" t="str">
        <f t="shared" si="2163"/>
        <v>#NAME?</v>
      </c>
      <c r="AC2323" s="58" t="str">
        <f t="shared" si="2163"/>
        <v>#NAME?</v>
      </c>
      <c r="AD2323" s="57">
        <f t="shared" si="906"/>
        <v>0</v>
      </c>
      <c r="AE2323" s="57" t="str">
        <f t="shared" si="907"/>
        <v/>
      </c>
      <c r="AF2323" s="57">
        <f t="shared" si="908"/>
        <v>0</v>
      </c>
      <c r="AG2323" s="59">
        <f t="shared" si="909"/>
        <v>0</v>
      </c>
      <c r="AH2323" s="15"/>
      <c r="AI2323" s="15"/>
      <c r="AJ2323" s="15"/>
      <c r="AK2323" s="15"/>
      <c r="AL2323" s="15"/>
      <c r="AM2323" s="15"/>
      <c r="AN2323" s="15"/>
      <c r="AO2323" s="15"/>
      <c r="AP2323" s="15"/>
      <c r="AQ2323" s="15"/>
      <c r="AR2323" s="15"/>
      <c r="AS2323" s="15"/>
      <c r="AT2323" s="15"/>
      <c r="AU2323" s="15"/>
    </row>
    <row r="2324" ht="24.0" customHeight="1">
      <c r="A2324" s="45">
        <v>3748.0</v>
      </c>
      <c r="B2324" s="57"/>
      <c r="C2324" s="57"/>
      <c r="D2324" s="88" t="str">
        <f t="array" ref="D2324">IFERROR(
  LOOKUP(2, 1/((TRIM(IMS!$E$8:$E$2574)=TRIM(IMS!$E2324))*(IMS!$C$8:$C$2574&lt;IMS!$C2324)),
         IMS!$C$8:$C$2574),
"")</f>
        <v/>
      </c>
      <c r="E2324" s="57"/>
      <c r="F2324" s="57"/>
      <c r="G2324" s="77" t="str">
        <f t="shared" si="901"/>
        <v/>
      </c>
      <c r="H2324" s="78" t="str">
        <f t="shared" si="902"/>
        <v/>
      </c>
      <c r="I2324" s="79"/>
      <c r="J2324" s="80" t="str">
        <f t="shared" si="903"/>
        <v>#NAME?</v>
      </c>
      <c r="K2324" s="58"/>
      <c r="L2324" s="58"/>
      <c r="M2324" s="57"/>
      <c r="N2324" s="57"/>
      <c r="O2324" s="58"/>
      <c r="P2324" s="82"/>
      <c r="Q2324" s="81"/>
      <c r="R2324" s="81"/>
      <c r="S2324" s="57"/>
      <c r="T2324" s="82"/>
      <c r="U2324" s="82"/>
      <c r="V2324" s="57"/>
      <c r="W2324" s="57"/>
      <c r="X2324" s="57" t="str">
        <f t="shared" si="917"/>
        <v/>
      </c>
      <c r="Y2324" s="58" t="str">
        <f t="shared" ref="Y2324:AC2324" si="2164">TRIM(SUBSTITUTE(SUBSTITUTE(OFFSET($Q2324,0,COLUMN()-COLUMN($AL$1)),CHAR(160)," "),_xludf.UNICHAR(8239)," "))</f>
        <v>#NAME?</v>
      </c>
      <c r="Z2324" s="58" t="str">
        <f t="shared" si="2164"/>
        <v>#NAME?</v>
      </c>
      <c r="AA2324" s="58" t="str">
        <f t="shared" si="2164"/>
        <v>#NAME?</v>
      </c>
      <c r="AB2324" s="58" t="str">
        <f t="shared" si="2164"/>
        <v>#NAME?</v>
      </c>
      <c r="AC2324" s="58" t="str">
        <f t="shared" si="2164"/>
        <v>#NAME?</v>
      </c>
      <c r="AD2324" s="57">
        <f t="shared" si="906"/>
        <v>0</v>
      </c>
      <c r="AE2324" s="57" t="str">
        <f t="shared" si="907"/>
        <v/>
      </c>
      <c r="AF2324" s="57">
        <f t="shared" si="908"/>
        <v>0</v>
      </c>
      <c r="AG2324" s="59">
        <f t="shared" si="909"/>
        <v>0</v>
      </c>
      <c r="AH2324" s="15"/>
      <c r="AI2324" s="15"/>
      <c r="AJ2324" s="15"/>
      <c r="AK2324" s="15"/>
      <c r="AL2324" s="15"/>
      <c r="AM2324" s="15"/>
      <c r="AN2324" s="15"/>
      <c r="AO2324" s="15"/>
      <c r="AP2324" s="15"/>
      <c r="AQ2324" s="15"/>
      <c r="AR2324" s="15"/>
      <c r="AS2324" s="15"/>
      <c r="AT2324" s="15"/>
      <c r="AU2324" s="15"/>
    </row>
    <row r="2325" ht="24.0" customHeight="1">
      <c r="A2325" s="45">
        <v>3749.0</v>
      </c>
      <c r="B2325" s="57"/>
      <c r="C2325" s="57"/>
      <c r="D2325" s="88" t="str">
        <f t="array" ref="D2325">IFERROR(
  LOOKUP(2, 1/((TRIM(IMS!$E$8:$E$2574)=TRIM(IMS!$E2325))*(IMS!$C$8:$C$2574&lt;IMS!$C2325)),
         IMS!$C$8:$C$2574),
"")</f>
        <v/>
      </c>
      <c r="E2325" s="57"/>
      <c r="F2325" s="57"/>
      <c r="G2325" s="77" t="str">
        <f t="shared" si="901"/>
        <v/>
      </c>
      <c r="H2325" s="78" t="str">
        <f t="shared" si="902"/>
        <v/>
      </c>
      <c r="I2325" s="79"/>
      <c r="J2325" s="80" t="str">
        <f t="shared" si="903"/>
        <v>#NAME?</v>
      </c>
      <c r="K2325" s="58"/>
      <c r="L2325" s="58"/>
      <c r="M2325" s="57"/>
      <c r="N2325" s="57"/>
      <c r="O2325" s="58"/>
      <c r="P2325" s="82"/>
      <c r="Q2325" s="81"/>
      <c r="R2325" s="81"/>
      <c r="S2325" s="57"/>
      <c r="T2325" s="82"/>
      <c r="U2325" s="82"/>
      <c r="V2325" s="57"/>
      <c r="W2325" s="57"/>
      <c r="X2325" s="57" t="str">
        <f t="shared" si="917"/>
        <v/>
      </c>
      <c r="Y2325" s="58" t="str">
        <f t="shared" ref="Y2325:AC2325" si="2165">TRIM(SUBSTITUTE(SUBSTITUTE(OFFSET($Q2325,0,COLUMN()-COLUMN($AL$1)),CHAR(160)," "),_xludf.UNICHAR(8239)," "))</f>
        <v>#NAME?</v>
      </c>
      <c r="Z2325" s="58" t="str">
        <f t="shared" si="2165"/>
        <v>#NAME?</v>
      </c>
      <c r="AA2325" s="58" t="str">
        <f t="shared" si="2165"/>
        <v>#NAME?</v>
      </c>
      <c r="AB2325" s="58" t="str">
        <f t="shared" si="2165"/>
        <v>#NAME?</v>
      </c>
      <c r="AC2325" s="58" t="str">
        <f t="shared" si="2165"/>
        <v>#NAME?</v>
      </c>
      <c r="AD2325" s="57">
        <f t="shared" si="906"/>
        <v>0</v>
      </c>
      <c r="AE2325" s="57" t="str">
        <f t="shared" si="907"/>
        <v/>
      </c>
      <c r="AF2325" s="57">
        <f t="shared" si="908"/>
        <v>0</v>
      </c>
      <c r="AG2325" s="59">
        <f t="shared" si="909"/>
        <v>0</v>
      </c>
      <c r="AH2325" s="15"/>
      <c r="AI2325" s="15"/>
      <c r="AJ2325" s="15"/>
      <c r="AK2325" s="15"/>
      <c r="AL2325" s="15"/>
      <c r="AM2325" s="15"/>
      <c r="AN2325" s="15"/>
      <c r="AO2325" s="15"/>
      <c r="AP2325" s="15"/>
      <c r="AQ2325" s="15"/>
      <c r="AR2325" s="15"/>
      <c r="AS2325" s="15"/>
      <c r="AT2325" s="15"/>
      <c r="AU2325" s="15"/>
    </row>
    <row r="2326" ht="24.0" customHeight="1">
      <c r="A2326" s="45">
        <v>3750.0</v>
      </c>
      <c r="B2326" s="57"/>
      <c r="C2326" s="57"/>
      <c r="D2326" s="88" t="str">
        <f t="array" ref="D2326">IFERROR(
  LOOKUP(2, 1/((TRIM(IMS!$E$8:$E$2574)=TRIM(IMS!$E2326))*(IMS!$C$8:$C$2574&lt;IMS!$C2326)),
         IMS!$C$8:$C$2574),
"")</f>
        <v/>
      </c>
      <c r="E2326" s="57"/>
      <c r="F2326" s="57"/>
      <c r="G2326" s="77" t="str">
        <f t="shared" si="901"/>
        <v/>
      </c>
      <c r="H2326" s="78" t="str">
        <f t="shared" si="902"/>
        <v/>
      </c>
      <c r="I2326" s="79"/>
      <c r="J2326" s="80" t="str">
        <f t="shared" si="903"/>
        <v>#NAME?</v>
      </c>
      <c r="K2326" s="58"/>
      <c r="L2326" s="58"/>
      <c r="M2326" s="57"/>
      <c r="N2326" s="57"/>
      <c r="O2326" s="58"/>
      <c r="P2326" s="82"/>
      <c r="Q2326" s="81"/>
      <c r="R2326" s="81"/>
      <c r="S2326" s="57"/>
      <c r="T2326" s="82"/>
      <c r="U2326" s="82"/>
      <c r="V2326" s="57"/>
      <c r="W2326" s="57"/>
      <c r="X2326" s="57" t="str">
        <f t="shared" si="917"/>
        <v/>
      </c>
      <c r="Y2326" s="58" t="str">
        <f t="shared" ref="Y2326:AC2326" si="2166">TRIM(SUBSTITUTE(SUBSTITUTE(OFFSET($Q2326,0,COLUMN()-COLUMN($AL$1)),CHAR(160)," "),_xludf.UNICHAR(8239)," "))</f>
        <v>#NAME?</v>
      </c>
      <c r="Z2326" s="58" t="str">
        <f t="shared" si="2166"/>
        <v>#NAME?</v>
      </c>
      <c r="AA2326" s="58" t="str">
        <f t="shared" si="2166"/>
        <v>#NAME?</v>
      </c>
      <c r="AB2326" s="58" t="str">
        <f t="shared" si="2166"/>
        <v>#NAME?</v>
      </c>
      <c r="AC2326" s="58" t="str">
        <f t="shared" si="2166"/>
        <v>#NAME?</v>
      </c>
      <c r="AD2326" s="57">
        <f t="shared" si="906"/>
        <v>0</v>
      </c>
      <c r="AE2326" s="57" t="str">
        <f t="shared" si="907"/>
        <v/>
      </c>
      <c r="AF2326" s="57">
        <f t="shared" si="908"/>
        <v>0</v>
      </c>
      <c r="AG2326" s="59">
        <f t="shared" si="909"/>
        <v>0</v>
      </c>
      <c r="AH2326" s="15"/>
      <c r="AI2326" s="15"/>
      <c r="AJ2326" s="15"/>
      <c r="AK2326" s="15"/>
      <c r="AL2326" s="15"/>
      <c r="AM2326" s="15"/>
      <c r="AN2326" s="15"/>
      <c r="AO2326" s="15"/>
      <c r="AP2326" s="15"/>
      <c r="AQ2326" s="15"/>
      <c r="AR2326" s="15"/>
      <c r="AS2326" s="15"/>
      <c r="AT2326" s="15"/>
      <c r="AU2326" s="15"/>
    </row>
    <row r="2327" ht="24.0" customHeight="1">
      <c r="A2327" s="45">
        <v>3751.0</v>
      </c>
      <c r="B2327" s="57"/>
      <c r="C2327" s="57"/>
      <c r="D2327" s="88" t="str">
        <f t="array" ref="D2327">IFERROR(
  LOOKUP(2, 1/((TRIM(IMS!$E$8:$E$2574)=TRIM(IMS!$E2327))*(IMS!$C$8:$C$2574&lt;IMS!$C2327)),
         IMS!$C$8:$C$2574),
"")</f>
        <v/>
      </c>
      <c r="E2327" s="57"/>
      <c r="F2327" s="57"/>
      <c r="G2327" s="77" t="str">
        <f t="shared" si="901"/>
        <v/>
      </c>
      <c r="H2327" s="78" t="str">
        <f t="shared" si="902"/>
        <v/>
      </c>
      <c r="I2327" s="79"/>
      <c r="J2327" s="80" t="str">
        <f t="shared" si="903"/>
        <v>#NAME?</v>
      </c>
      <c r="K2327" s="58"/>
      <c r="L2327" s="58"/>
      <c r="M2327" s="57"/>
      <c r="N2327" s="57"/>
      <c r="O2327" s="58"/>
      <c r="P2327" s="82"/>
      <c r="Q2327" s="81"/>
      <c r="R2327" s="81"/>
      <c r="S2327" s="57"/>
      <c r="T2327" s="82"/>
      <c r="U2327" s="82"/>
      <c r="V2327" s="57"/>
      <c r="W2327" s="57"/>
      <c r="X2327" s="57" t="str">
        <f t="shared" si="917"/>
        <v/>
      </c>
      <c r="Y2327" s="58" t="str">
        <f t="shared" ref="Y2327:AC2327" si="2167">TRIM(SUBSTITUTE(SUBSTITUTE(OFFSET($Q2327,0,COLUMN()-COLUMN($AL$1)),CHAR(160)," "),_xludf.UNICHAR(8239)," "))</f>
        <v>#NAME?</v>
      </c>
      <c r="Z2327" s="58" t="str">
        <f t="shared" si="2167"/>
        <v>#NAME?</v>
      </c>
      <c r="AA2327" s="58" t="str">
        <f t="shared" si="2167"/>
        <v>#NAME?</v>
      </c>
      <c r="AB2327" s="58" t="str">
        <f t="shared" si="2167"/>
        <v>#NAME?</v>
      </c>
      <c r="AC2327" s="58" t="str">
        <f t="shared" si="2167"/>
        <v>#NAME?</v>
      </c>
      <c r="AD2327" s="57">
        <f t="shared" si="906"/>
        <v>0</v>
      </c>
      <c r="AE2327" s="57" t="str">
        <f t="shared" si="907"/>
        <v/>
      </c>
      <c r="AF2327" s="57">
        <f t="shared" si="908"/>
        <v>0</v>
      </c>
      <c r="AG2327" s="59">
        <f t="shared" si="909"/>
        <v>0</v>
      </c>
      <c r="AH2327" s="15"/>
      <c r="AI2327" s="15"/>
      <c r="AJ2327" s="15"/>
      <c r="AK2327" s="15"/>
      <c r="AL2327" s="15"/>
      <c r="AM2327" s="15"/>
      <c r="AN2327" s="15"/>
      <c r="AO2327" s="15"/>
      <c r="AP2327" s="15"/>
      <c r="AQ2327" s="15"/>
      <c r="AR2327" s="15"/>
      <c r="AS2327" s="15"/>
      <c r="AT2327" s="15"/>
      <c r="AU2327" s="15"/>
    </row>
    <row r="2328" ht="24.0" customHeight="1">
      <c r="A2328" s="45">
        <v>3752.0</v>
      </c>
      <c r="B2328" s="57"/>
      <c r="C2328" s="57"/>
      <c r="D2328" s="88" t="str">
        <f t="array" ref="D2328">IFERROR(
  LOOKUP(2, 1/((TRIM(IMS!$E$8:$E$2574)=TRIM(IMS!$E2328))*(IMS!$C$8:$C$2574&lt;IMS!$C2328)),
         IMS!$C$8:$C$2574),
"")</f>
        <v/>
      </c>
      <c r="E2328" s="57"/>
      <c r="F2328" s="57"/>
      <c r="G2328" s="77" t="str">
        <f t="shared" si="901"/>
        <v/>
      </c>
      <c r="H2328" s="78" t="str">
        <f t="shared" si="902"/>
        <v/>
      </c>
      <c r="I2328" s="79"/>
      <c r="J2328" s="80" t="str">
        <f t="shared" si="903"/>
        <v>#NAME?</v>
      </c>
      <c r="K2328" s="58"/>
      <c r="L2328" s="58"/>
      <c r="M2328" s="57"/>
      <c r="N2328" s="57"/>
      <c r="O2328" s="58"/>
      <c r="P2328" s="82"/>
      <c r="Q2328" s="81"/>
      <c r="R2328" s="81"/>
      <c r="S2328" s="57"/>
      <c r="T2328" s="82"/>
      <c r="U2328" s="82"/>
      <c r="V2328" s="57"/>
      <c r="W2328" s="57"/>
      <c r="X2328" s="57" t="str">
        <f t="shared" si="917"/>
        <v/>
      </c>
      <c r="Y2328" s="58" t="str">
        <f t="shared" ref="Y2328:AC2328" si="2168">TRIM(SUBSTITUTE(SUBSTITUTE(OFFSET($Q2328,0,COLUMN()-COLUMN($AL$1)),CHAR(160)," "),_xludf.UNICHAR(8239)," "))</f>
        <v>#NAME?</v>
      </c>
      <c r="Z2328" s="58" t="str">
        <f t="shared" si="2168"/>
        <v>#NAME?</v>
      </c>
      <c r="AA2328" s="58" t="str">
        <f t="shared" si="2168"/>
        <v>#NAME?</v>
      </c>
      <c r="AB2328" s="58" t="str">
        <f t="shared" si="2168"/>
        <v>#NAME?</v>
      </c>
      <c r="AC2328" s="58" t="str">
        <f t="shared" si="2168"/>
        <v>#NAME?</v>
      </c>
      <c r="AD2328" s="57">
        <f t="shared" si="906"/>
        <v>0</v>
      </c>
      <c r="AE2328" s="57" t="str">
        <f t="shared" si="907"/>
        <v/>
      </c>
      <c r="AF2328" s="57">
        <f t="shared" si="908"/>
        <v>0</v>
      </c>
      <c r="AG2328" s="59">
        <f t="shared" si="909"/>
        <v>0</v>
      </c>
      <c r="AH2328" s="15"/>
      <c r="AI2328" s="15"/>
      <c r="AJ2328" s="15"/>
      <c r="AK2328" s="15"/>
      <c r="AL2328" s="15"/>
      <c r="AM2328" s="15"/>
      <c r="AN2328" s="15"/>
      <c r="AO2328" s="15"/>
      <c r="AP2328" s="15"/>
      <c r="AQ2328" s="15"/>
      <c r="AR2328" s="15"/>
      <c r="AS2328" s="15"/>
      <c r="AT2328" s="15"/>
      <c r="AU2328" s="15"/>
    </row>
    <row r="2329" ht="24.0" customHeight="1">
      <c r="A2329" s="45">
        <v>3753.0</v>
      </c>
      <c r="B2329" s="57"/>
      <c r="C2329" s="57"/>
      <c r="D2329" s="88" t="str">
        <f t="array" ref="D2329">IFERROR(
  LOOKUP(2, 1/((TRIM(IMS!$E$8:$E$2574)=TRIM(IMS!$E2329))*(IMS!$C$8:$C$2574&lt;IMS!$C2329)),
         IMS!$C$8:$C$2574),
"")</f>
        <v/>
      </c>
      <c r="E2329" s="57"/>
      <c r="F2329" s="57"/>
      <c r="G2329" s="77" t="str">
        <f t="shared" si="901"/>
        <v/>
      </c>
      <c r="H2329" s="78" t="str">
        <f t="shared" si="902"/>
        <v/>
      </c>
      <c r="I2329" s="79"/>
      <c r="J2329" s="80" t="str">
        <f t="shared" si="903"/>
        <v>#NAME?</v>
      </c>
      <c r="K2329" s="58"/>
      <c r="L2329" s="58"/>
      <c r="M2329" s="57"/>
      <c r="N2329" s="57"/>
      <c r="O2329" s="58"/>
      <c r="P2329" s="82"/>
      <c r="Q2329" s="81"/>
      <c r="R2329" s="81"/>
      <c r="S2329" s="57"/>
      <c r="T2329" s="82"/>
      <c r="U2329" s="82"/>
      <c r="V2329" s="57"/>
      <c r="W2329" s="57"/>
      <c r="X2329" s="57" t="str">
        <f t="shared" si="917"/>
        <v/>
      </c>
      <c r="Y2329" s="58" t="str">
        <f t="shared" ref="Y2329:AC2329" si="2169">TRIM(SUBSTITUTE(SUBSTITUTE(OFFSET($Q2329,0,COLUMN()-COLUMN($AL$1)),CHAR(160)," "),_xludf.UNICHAR(8239)," "))</f>
        <v>#NAME?</v>
      </c>
      <c r="Z2329" s="58" t="str">
        <f t="shared" si="2169"/>
        <v>#NAME?</v>
      </c>
      <c r="AA2329" s="58" t="str">
        <f t="shared" si="2169"/>
        <v>#NAME?</v>
      </c>
      <c r="AB2329" s="58" t="str">
        <f t="shared" si="2169"/>
        <v>#NAME?</v>
      </c>
      <c r="AC2329" s="58" t="str">
        <f t="shared" si="2169"/>
        <v>#NAME?</v>
      </c>
      <c r="AD2329" s="57">
        <f t="shared" si="906"/>
        <v>0</v>
      </c>
      <c r="AE2329" s="57" t="str">
        <f t="shared" si="907"/>
        <v/>
      </c>
      <c r="AF2329" s="57">
        <f t="shared" si="908"/>
        <v>0</v>
      </c>
      <c r="AG2329" s="59">
        <f t="shared" si="909"/>
        <v>0</v>
      </c>
      <c r="AH2329" s="15"/>
      <c r="AI2329" s="15"/>
      <c r="AJ2329" s="15"/>
      <c r="AK2329" s="15"/>
      <c r="AL2329" s="15"/>
      <c r="AM2329" s="15"/>
      <c r="AN2329" s="15"/>
      <c r="AO2329" s="15"/>
      <c r="AP2329" s="15"/>
      <c r="AQ2329" s="15"/>
      <c r="AR2329" s="15"/>
      <c r="AS2329" s="15"/>
      <c r="AT2329" s="15"/>
      <c r="AU2329" s="15"/>
    </row>
    <row r="2330" ht="24.0" customHeight="1">
      <c r="A2330" s="45">
        <v>3754.0</v>
      </c>
      <c r="B2330" s="57"/>
      <c r="C2330" s="57"/>
      <c r="D2330" s="88" t="str">
        <f t="array" ref="D2330">IFERROR(
  LOOKUP(2, 1/((TRIM(IMS!$E$8:$E$2574)=TRIM(IMS!$E2330))*(IMS!$C$8:$C$2574&lt;IMS!$C2330)),
         IMS!$C$8:$C$2574),
"")</f>
        <v/>
      </c>
      <c r="E2330" s="57"/>
      <c r="F2330" s="57"/>
      <c r="G2330" s="77" t="str">
        <f t="shared" si="901"/>
        <v/>
      </c>
      <c r="H2330" s="78" t="str">
        <f t="shared" si="902"/>
        <v/>
      </c>
      <c r="I2330" s="79"/>
      <c r="J2330" s="80" t="str">
        <f t="shared" si="903"/>
        <v>#NAME?</v>
      </c>
      <c r="K2330" s="58"/>
      <c r="L2330" s="58"/>
      <c r="M2330" s="57"/>
      <c r="N2330" s="57"/>
      <c r="O2330" s="58"/>
      <c r="P2330" s="82"/>
      <c r="Q2330" s="81"/>
      <c r="R2330" s="81"/>
      <c r="S2330" s="57"/>
      <c r="T2330" s="82"/>
      <c r="U2330" s="82"/>
      <c r="V2330" s="57"/>
      <c r="W2330" s="57"/>
      <c r="X2330" s="57" t="str">
        <f t="shared" si="917"/>
        <v/>
      </c>
      <c r="Y2330" s="58" t="str">
        <f t="shared" ref="Y2330:AC2330" si="2170">TRIM(SUBSTITUTE(SUBSTITUTE(OFFSET($Q2330,0,COLUMN()-COLUMN($AL$1)),CHAR(160)," "),_xludf.UNICHAR(8239)," "))</f>
        <v>#NAME?</v>
      </c>
      <c r="Z2330" s="58" t="str">
        <f t="shared" si="2170"/>
        <v>#NAME?</v>
      </c>
      <c r="AA2330" s="58" t="str">
        <f t="shared" si="2170"/>
        <v>#NAME?</v>
      </c>
      <c r="AB2330" s="58" t="str">
        <f t="shared" si="2170"/>
        <v>#NAME?</v>
      </c>
      <c r="AC2330" s="58" t="str">
        <f t="shared" si="2170"/>
        <v>#NAME?</v>
      </c>
      <c r="AD2330" s="57">
        <f t="shared" si="906"/>
        <v>0</v>
      </c>
      <c r="AE2330" s="57" t="str">
        <f t="shared" si="907"/>
        <v/>
      </c>
      <c r="AF2330" s="57">
        <f t="shared" si="908"/>
        <v>0</v>
      </c>
      <c r="AG2330" s="59">
        <f t="shared" si="909"/>
        <v>0</v>
      </c>
      <c r="AH2330" s="15"/>
      <c r="AI2330" s="15"/>
      <c r="AJ2330" s="15"/>
      <c r="AK2330" s="15"/>
      <c r="AL2330" s="15"/>
      <c r="AM2330" s="15"/>
      <c r="AN2330" s="15"/>
      <c r="AO2330" s="15"/>
      <c r="AP2330" s="15"/>
      <c r="AQ2330" s="15"/>
      <c r="AR2330" s="15"/>
      <c r="AS2330" s="15"/>
      <c r="AT2330" s="15"/>
      <c r="AU2330" s="15"/>
    </row>
    <row r="2331" ht="24.0" customHeight="1">
      <c r="A2331" s="45">
        <v>3755.0</v>
      </c>
      <c r="B2331" s="57"/>
      <c r="C2331" s="57"/>
      <c r="D2331" s="88" t="str">
        <f t="array" ref="D2331">IFERROR(
  LOOKUP(2, 1/((TRIM(IMS!$E$8:$E$2574)=TRIM(IMS!$E2331))*(IMS!$C$8:$C$2574&lt;IMS!$C2331)),
         IMS!$C$8:$C$2574),
"")</f>
        <v/>
      </c>
      <c r="E2331" s="57"/>
      <c r="F2331" s="57"/>
      <c r="G2331" s="77" t="str">
        <f t="shared" si="901"/>
        <v/>
      </c>
      <c r="H2331" s="78" t="str">
        <f t="shared" si="902"/>
        <v/>
      </c>
      <c r="I2331" s="79"/>
      <c r="J2331" s="80" t="str">
        <f t="shared" si="903"/>
        <v>#NAME?</v>
      </c>
      <c r="K2331" s="58"/>
      <c r="L2331" s="58"/>
      <c r="M2331" s="57"/>
      <c r="N2331" s="57"/>
      <c r="O2331" s="58"/>
      <c r="P2331" s="82"/>
      <c r="Q2331" s="81"/>
      <c r="R2331" s="81"/>
      <c r="S2331" s="57"/>
      <c r="T2331" s="82"/>
      <c r="U2331" s="82"/>
      <c r="V2331" s="57"/>
      <c r="W2331" s="57"/>
      <c r="X2331" s="57" t="str">
        <f t="shared" si="917"/>
        <v/>
      </c>
      <c r="Y2331" s="58" t="str">
        <f t="shared" ref="Y2331:AC2331" si="2171">TRIM(SUBSTITUTE(SUBSTITUTE(OFFSET($Q2331,0,COLUMN()-COLUMN($AL$1)),CHAR(160)," "),_xludf.UNICHAR(8239)," "))</f>
        <v>#NAME?</v>
      </c>
      <c r="Z2331" s="58" t="str">
        <f t="shared" si="2171"/>
        <v>#NAME?</v>
      </c>
      <c r="AA2331" s="58" t="str">
        <f t="shared" si="2171"/>
        <v>#NAME?</v>
      </c>
      <c r="AB2331" s="58" t="str">
        <f t="shared" si="2171"/>
        <v>#NAME?</v>
      </c>
      <c r="AC2331" s="58" t="str">
        <f t="shared" si="2171"/>
        <v>#NAME?</v>
      </c>
      <c r="AD2331" s="57">
        <f t="shared" si="906"/>
        <v>0</v>
      </c>
      <c r="AE2331" s="57" t="str">
        <f t="shared" si="907"/>
        <v/>
      </c>
      <c r="AF2331" s="57">
        <f t="shared" si="908"/>
        <v>0</v>
      </c>
      <c r="AG2331" s="59">
        <f t="shared" si="909"/>
        <v>0</v>
      </c>
      <c r="AH2331" s="15"/>
      <c r="AI2331" s="15"/>
      <c r="AJ2331" s="15"/>
      <c r="AK2331" s="15"/>
      <c r="AL2331" s="15"/>
      <c r="AM2331" s="15"/>
      <c r="AN2331" s="15"/>
      <c r="AO2331" s="15"/>
      <c r="AP2331" s="15"/>
      <c r="AQ2331" s="15"/>
      <c r="AR2331" s="15"/>
      <c r="AS2331" s="15"/>
      <c r="AT2331" s="15"/>
      <c r="AU2331" s="15"/>
    </row>
    <row r="2332" ht="24.0" customHeight="1">
      <c r="A2332" s="45">
        <v>3756.0</v>
      </c>
      <c r="B2332" s="57"/>
      <c r="C2332" s="57"/>
      <c r="D2332" s="88" t="str">
        <f t="array" ref="D2332">IFERROR(
  LOOKUP(2, 1/((TRIM(IMS!$E$8:$E$2574)=TRIM(IMS!$E2332))*(IMS!$C$8:$C$2574&lt;IMS!$C2332)),
         IMS!$C$8:$C$2574),
"")</f>
        <v/>
      </c>
      <c r="E2332" s="57"/>
      <c r="F2332" s="57"/>
      <c r="G2332" s="77" t="str">
        <f t="shared" si="901"/>
        <v/>
      </c>
      <c r="H2332" s="78" t="str">
        <f t="shared" si="902"/>
        <v/>
      </c>
      <c r="I2332" s="79"/>
      <c r="J2332" s="80" t="str">
        <f t="shared" si="903"/>
        <v>#NAME?</v>
      </c>
      <c r="K2332" s="58"/>
      <c r="L2332" s="58"/>
      <c r="M2332" s="57"/>
      <c r="N2332" s="57"/>
      <c r="O2332" s="58"/>
      <c r="P2332" s="82"/>
      <c r="Q2332" s="81"/>
      <c r="R2332" s="81"/>
      <c r="S2332" s="57"/>
      <c r="T2332" s="82"/>
      <c r="U2332" s="82"/>
      <c r="V2332" s="57"/>
      <c r="W2332" s="57"/>
      <c r="X2332" s="57" t="str">
        <f t="shared" si="917"/>
        <v/>
      </c>
      <c r="Y2332" s="58" t="str">
        <f t="shared" ref="Y2332:AC2332" si="2172">TRIM(SUBSTITUTE(SUBSTITUTE(OFFSET($Q2332,0,COLUMN()-COLUMN($AL$1)),CHAR(160)," "),_xludf.UNICHAR(8239)," "))</f>
        <v>#NAME?</v>
      </c>
      <c r="Z2332" s="58" t="str">
        <f t="shared" si="2172"/>
        <v>#NAME?</v>
      </c>
      <c r="AA2332" s="58" t="str">
        <f t="shared" si="2172"/>
        <v>#NAME?</v>
      </c>
      <c r="AB2332" s="58" t="str">
        <f t="shared" si="2172"/>
        <v>#NAME?</v>
      </c>
      <c r="AC2332" s="58" t="str">
        <f t="shared" si="2172"/>
        <v>#NAME?</v>
      </c>
      <c r="AD2332" s="57">
        <f t="shared" si="906"/>
        <v>0</v>
      </c>
      <c r="AE2332" s="57" t="str">
        <f t="shared" si="907"/>
        <v/>
      </c>
      <c r="AF2332" s="57">
        <f t="shared" si="908"/>
        <v>0</v>
      </c>
      <c r="AG2332" s="59">
        <f t="shared" si="909"/>
        <v>0</v>
      </c>
      <c r="AH2332" s="15"/>
      <c r="AI2332" s="15"/>
      <c r="AJ2332" s="15"/>
      <c r="AK2332" s="15"/>
      <c r="AL2332" s="15"/>
      <c r="AM2332" s="15"/>
      <c r="AN2332" s="15"/>
      <c r="AO2332" s="15"/>
      <c r="AP2332" s="15"/>
      <c r="AQ2332" s="15"/>
      <c r="AR2332" s="15"/>
      <c r="AS2332" s="15"/>
      <c r="AT2332" s="15"/>
      <c r="AU2332" s="15"/>
    </row>
    <row r="2333" ht="24.0" customHeight="1">
      <c r="A2333" s="45">
        <v>3757.0</v>
      </c>
      <c r="B2333" s="57"/>
      <c r="C2333" s="57"/>
      <c r="D2333" s="88" t="str">
        <f t="array" ref="D2333">IFERROR(
  LOOKUP(2, 1/((TRIM(IMS!$E$8:$E$2574)=TRIM(IMS!$E2333))*(IMS!$C$8:$C$2574&lt;IMS!$C2333)),
         IMS!$C$8:$C$2574),
"")</f>
        <v/>
      </c>
      <c r="E2333" s="57"/>
      <c r="F2333" s="57"/>
      <c r="G2333" s="77" t="str">
        <f t="shared" si="901"/>
        <v/>
      </c>
      <c r="H2333" s="78" t="str">
        <f t="shared" si="902"/>
        <v/>
      </c>
      <c r="I2333" s="79"/>
      <c r="J2333" s="80" t="str">
        <f t="shared" si="903"/>
        <v>#NAME?</v>
      </c>
      <c r="K2333" s="58"/>
      <c r="L2333" s="58"/>
      <c r="M2333" s="57"/>
      <c r="N2333" s="57"/>
      <c r="O2333" s="58"/>
      <c r="P2333" s="82"/>
      <c r="Q2333" s="81"/>
      <c r="R2333" s="81"/>
      <c r="S2333" s="57"/>
      <c r="T2333" s="82"/>
      <c r="U2333" s="82"/>
      <c r="V2333" s="57"/>
      <c r="W2333" s="57"/>
      <c r="X2333" s="57" t="str">
        <f t="shared" si="917"/>
        <v/>
      </c>
      <c r="Y2333" s="58" t="str">
        <f t="shared" ref="Y2333:AC2333" si="2173">TRIM(SUBSTITUTE(SUBSTITUTE(OFFSET($Q2333,0,COLUMN()-COLUMN($AL$1)),CHAR(160)," "),_xludf.UNICHAR(8239)," "))</f>
        <v>#NAME?</v>
      </c>
      <c r="Z2333" s="58" t="str">
        <f t="shared" si="2173"/>
        <v>#NAME?</v>
      </c>
      <c r="AA2333" s="58" t="str">
        <f t="shared" si="2173"/>
        <v>#NAME?</v>
      </c>
      <c r="AB2333" s="58" t="str">
        <f t="shared" si="2173"/>
        <v>#NAME?</v>
      </c>
      <c r="AC2333" s="58" t="str">
        <f t="shared" si="2173"/>
        <v>#NAME?</v>
      </c>
      <c r="AD2333" s="57">
        <f t="shared" si="906"/>
        <v>0</v>
      </c>
      <c r="AE2333" s="57" t="str">
        <f t="shared" si="907"/>
        <v/>
      </c>
      <c r="AF2333" s="57">
        <f t="shared" si="908"/>
        <v>0</v>
      </c>
      <c r="AG2333" s="59">
        <f t="shared" si="909"/>
        <v>0</v>
      </c>
      <c r="AH2333" s="15"/>
      <c r="AI2333" s="15"/>
      <c r="AJ2333" s="15"/>
      <c r="AK2333" s="15"/>
      <c r="AL2333" s="15"/>
      <c r="AM2333" s="15"/>
      <c r="AN2333" s="15"/>
      <c r="AO2333" s="15"/>
      <c r="AP2333" s="15"/>
      <c r="AQ2333" s="15"/>
      <c r="AR2333" s="15"/>
      <c r="AS2333" s="15"/>
      <c r="AT2333" s="15"/>
      <c r="AU2333" s="15"/>
    </row>
    <row r="2334" ht="24.0" customHeight="1">
      <c r="A2334" s="45">
        <v>3758.0</v>
      </c>
      <c r="B2334" s="57"/>
      <c r="C2334" s="57"/>
      <c r="D2334" s="88" t="str">
        <f t="array" ref="D2334">IFERROR(
  LOOKUP(2, 1/((TRIM(IMS!$E$8:$E$2574)=TRIM(IMS!$E2334))*(IMS!$C$8:$C$2574&lt;IMS!$C2334)),
         IMS!$C$8:$C$2574),
"")</f>
        <v/>
      </c>
      <c r="E2334" s="57"/>
      <c r="F2334" s="57"/>
      <c r="G2334" s="77" t="str">
        <f t="shared" si="901"/>
        <v/>
      </c>
      <c r="H2334" s="78" t="str">
        <f t="shared" si="902"/>
        <v/>
      </c>
      <c r="I2334" s="79"/>
      <c r="J2334" s="80" t="str">
        <f t="shared" si="903"/>
        <v>#NAME?</v>
      </c>
      <c r="K2334" s="58"/>
      <c r="L2334" s="58"/>
      <c r="M2334" s="57"/>
      <c r="N2334" s="57"/>
      <c r="O2334" s="58"/>
      <c r="P2334" s="82"/>
      <c r="Q2334" s="81"/>
      <c r="R2334" s="81"/>
      <c r="S2334" s="57"/>
      <c r="T2334" s="82"/>
      <c r="U2334" s="82"/>
      <c r="V2334" s="57"/>
      <c r="W2334" s="57"/>
      <c r="X2334" s="57" t="str">
        <f t="shared" si="917"/>
        <v/>
      </c>
      <c r="Y2334" s="58" t="str">
        <f t="shared" ref="Y2334:AC2334" si="2174">TRIM(SUBSTITUTE(SUBSTITUTE(OFFSET($Q2334,0,COLUMN()-COLUMN($AL$1)),CHAR(160)," "),_xludf.UNICHAR(8239)," "))</f>
        <v>#NAME?</v>
      </c>
      <c r="Z2334" s="58" t="str">
        <f t="shared" si="2174"/>
        <v>#NAME?</v>
      </c>
      <c r="AA2334" s="58" t="str">
        <f t="shared" si="2174"/>
        <v>#NAME?</v>
      </c>
      <c r="AB2334" s="58" t="str">
        <f t="shared" si="2174"/>
        <v>#NAME?</v>
      </c>
      <c r="AC2334" s="58" t="str">
        <f t="shared" si="2174"/>
        <v>#NAME?</v>
      </c>
      <c r="AD2334" s="57">
        <f t="shared" si="906"/>
        <v>0</v>
      </c>
      <c r="AE2334" s="57" t="str">
        <f t="shared" si="907"/>
        <v/>
      </c>
      <c r="AF2334" s="57">
        <f t="shared" si="908"/>
        <v>0</v>
      </c>
      <c r="AG2334" s="59">
        <f t="shared" si="909"/>
        <v>0</v>
      </c>
      <c r="AH2334" s="15"/>
      <c r="AI2334" s="15"/>
      <c r="AJ2334" s="15"/>
      <c r="AK2334" s="15"/>
      <c r="AL2334" s="15"/>
      <c r="AM2334" s="15"/>
      <c r="AN2334" s="15"/>
      <c r="AO2334" s="15"/>
      <c r="AP2334" s="15"/>
      <c r="AQ2334" s="15"/>
      <c r="AR2334" s="15"/>
      <c r="AS2334" s="15"/>
      <c r="AT2334" s="15"/>
      <c r="AU2334" s="15"/>
    </row>
    <row r="2335" ht="24.0" customHeight="1">
      <c r="A2335" s="45">
        <v>3759.0</v>
      </c>
      <c r="B2335" s="57"/>
      <c r="C2335" s="57"/>
      <c r="D2335" s="88" t="str">
        <f t="array" ref="D2335">IFERROR(
  LOOKUP(2, 1/((TRIM(IMS!$E$8:$E$2574)=TRIM(IMS!$E2335))*(IMS!$C$8:$C$2574&lt;IMS!$C2335)),
         IMS!$C$8:$C$2574),
"")</f>
        <v/>
      </c>
      <c r="E2335" s="57"/>
      <c r="F2335" s="57"/>
      <c r="G2335" s="77" t="str">
        <f t="shared" si="901"/>
        <v/>
      </c>
      <c r="H2335" s="78" t="str">
        <f t="shared" si="902"/>
        <v/>
      </c>
      <c r="I2335" s="79"/>
      <c r="J2335" s="80" t="str">
        <f t="shared" si="903"/>
        <v>#NAME?</v>
      </c>
      <c r="K2335" s="58"/>
      <c r="L2335" s="58"/>
      <c r="M2335" s="57"/>
      <c r="N2335" s="57"/>
      <c r="O2335" s="58"/>
      <c r="P2335" s="82"/>
      <c r="Q2335" s="81"/>
      <c r="R2335" s="81"/>
      <c r="S2335" s="57"/>
      <c r="T2335" s="82"/>
      <c r="U2335" s="82"/>
      <c r="V2335" s="57"/>
      <c r="W2335" s="57"/>
      <c r="X2335" s="57" t="str">
        <f t="shared" si="917"/>
        <v/>
      </c>
      <c r="Y2335" s="58" t="str">
        <f t="shared" ref="Y2335:AC2335" si="2175">TRIM(SUBSTITUTE(SUBSTITUTE(OFFSET($Q2335,0,COLUMN()-COLUMN($AL$1)),CHAR(160)," "),_xludf.UNICHAR(8239)," "))</f>
        <v>#NAME?</v>
      </c>
      <c r="Z2335" s="58" t="str">
        <f t="shared" si="2175"/>
        <v>#NAME?</v>
      </c>
      <c r="AA2335" s="58" t="str">
        <f t="shared" si="2175"/>
        <v>#NAME?</v>
      </c>
      <c r="AB2335" s="58" t="str">
        <f t="shared" si="2175"/>
        <v>#NAME?</v>
      </c>
      <c r="AC2335" s="58" t="str">
        <f t="shared" si="2175"/>
        <v>#NAME?</v>
      </c>
      <c r="AD2335" s="57">
        <f t="shared" si="906"/>
        <v>0</v>
      </c>
      <c r="AE2335" s="57" t="str">
        <f t="shared" si="907"/>
        <v/>
      </c>
      <c r="AF2335" s="57">
        <f t="shared" si="908"/>
        <v>0</v>
      </c>
      <c r="AG2335" s="59">
        <f t="shared" si="909"/>
        <v>0</v>
      </c>
      <c r="AH2335" s="15"/>
      <c r="AI2335" s="15"/>
      <c r="AJ2335" s="15"/>
      <c r="AK2335" s="15"/>
      <c r="AL2335" s="15"/>
      <c r="AM2335" s="15"/>
      <c r="AN2335" s="15"/>
      <c r="AO2335" s="15"/>
      <c r="AP2335" s="15"/>
      <c r="AQ2335" s="15"/>
      <c r="AR2335" s="15"/>
      <c r="AS2335" s="15"/>
      <c r="AT2335" s="15"/>
      <c r="AU2335" s="15"/>
    </row>
    <row r="2336" ht="24.0" customHeight="1">
      <c r="A2336" s="45">
        <v>3760.0</v>
      </c>
      <c r="B2336" s="57"/>
      <c r="C2336" s="57"/>
      <c r="D2336" s="88" t="str">
        <f t="array" ref="D2336">IFERROR(
  LOOKUP(2, 1/((TRIM(IMS!$E$8:$E$2574)=TRIM(IMS!$E2336))*(IMS!$C$8:$C$2574&lt;IMS!$C2336)),
         IMS!$C$8:$C$2574),
"")</f>
        <v/>
      </c>
      <c r="E2336" s="57"/>
      <c r="F2336" s="57"/>
      <c r="G2336" s="77" t="str">
        <f t="shared" si="901"/>
        <v/>
      </c>
      <c r="H2336" s="78" t="str">
        <f t="shared" si="902"/>
        <v/>
      </c>
      <c r="I2336" s="79"/>
      <c r="J2336" s="80" t="str">
        <f t="shared" si="903"/>
        <v>#NAME?</v>
      </c>
      <c r="K2336" s="58"/>
      <c r="L2336" s="58"/>
      <c r="M2336" s="57"/>
      <c r="N2336" s="57"/>
      <c r="O2336" s="58"/>
      <c r="P2336" s="82"/>
      <c r="Q2336" s="81"/>
      <c r="R2336" s="81"/>
      <c r="S2336" s="57"/>
      <c r="T2336" s="82"/>
      <c r="U2336" s="82"/>
      <c r="V2336" s="57"/>
      <c r="W2336" s="57"/>
      <c r="X2336" s="57" t="str">
        <f t="shared" si="917"/>
        <v/>
      </c>
      <c r="Y2336" s="58" t="str">
        <f t="shared" ref="Y2336:AC2336" si="2176">TRIM(SUBSTITUTE(SUBSTITUTE(OFFSET($Q2336,0,COLUMN()-COLUMN($AL$1)),CHAR(160)," "),_xludf.UNICHAR(8239)," "))</f>
        <v>#NAME?</v>
      </c>
      <c r="Z2336" s="58" t="str">
        <f t="shared" si="2176"/>
        <v>#NAME?</v>
      </c>
      <c r="AA2336" s="58" t="str">
        <f t="shared" si="2176"/>
        <v>#NAME?</v>
      </c>
      <c r="AB2336" s="58" t="str">
        <f t="shared" si="2176"/>
        <v>#NAME?</v>
      </c>
      <c r="AC2336" s="58" t="str">
        <f t="shared" si="2176"/>
        <v>#NAME?</v>
      </c>
      <c r="AD2336" s="57">
        <f t="shared" si="906"/>
        <v>0</v>
      </c>
      <c r="AE2336" s="57" t="str">
        <f t="shared" si="907"/>
        <v/>
      </c>
      <c r="AF2336" s="57">
        <f t="shared" si="908"/>
        <v>0</v>
      </c>
      <c r="AG2336" s="59">
        <f t="shared" si="909"/>
        <v>0</v>
      </c>
      <c r="AH2336" s="15"/>
      <c r="AI2336" s="15"/>
      <c r="AJ2336" s="15"/>
      <c r="AK2336" s="15"/>
      <c r="AL2336" s="15"/>
      <c r="AM2336" s="15"/>
      <c r="AN2336" s="15"/>
      <c r="AO2336" s="15"/>
      <c r="AP2336" s="15"/>
      <c r="AQ2336" s="15"/>
      <c r="AR2336" s="15"/>
      <c r="AS2336" s="15"/>
      <c r="AT2336" s="15"/>
      <c r="AU2336" s="15"/>
    </row>
    <row r="2337" ht="24.0" customHeight="1">
      <c r="A2337" s="45">
        <v>3761.0</v>
      </c>
      <c r="B2337" s="57"/>
      <c r="C2337" s="57"/>
      <c r="D2337" s="88" t="str">
        <f t="array" ref="D2337">IFERROR(
  LOOKUP(2, 1/((TRIM(IMS!$E$8:$E$2574)=TRIM(IMS!$E2337))*(IMS!$C$8:$C$2574&lt;IMS!$C2337)),
         IMS!$C$8:$C$2574),
"")</f>
        <v/>
      </c>
      <c r="E2337" s="57"/>
      <c r="F2337" s="57"/>
      <c r="G2337" s="77" t="str">
        <f t="shared" si="901"/>
        <v/>
      </c>
      <c r="H2337" s="78" t="str">
        <f t="shared" si="902"/>
        <v/>
      </c>
      <c r="I2337" s="79"/>
      <c r="J2337" s="80" t="str">
        <f t="shared" si="903"/>
        <v>#NAME?</v>
      </c>
      <c r="K2337" s="58"/>
      <c r="L2337" s="58"/>
      <c r="M2337" s="57"/>
      <c r="N2337" s="57"/>
      <c r="O2337" s="58"/>
      <c r="P2337" s="82"/>
      <c r="Q2337" s="81"/>
      <c r="R2337" s="81"/>
      <c r="S2337" s="57"/>
      <c r="T2337" s="82"/>
      <c r="U2337" s="82"/>
      <c r="V2337" s="57"/>
      <c r="W2337" s="57"/>
      <c r="X2337" s="57" t="str">
        <f t="shared" si="917"/>
        <v/>
      </c>
      <c r="Y2337" s="58" t="str">
        <f t="shared" ref="Y2337:AC2337" si="2177">TRIM(SUBSTITUTE(SUBSTITUTE(OFFSET($Q2337,0,COLUMN()-COLUMN($AL$1)),CHAR(160)," "),_xludf.UNICHAR(8239)," "))</f>
        <v>#NAME?</v>
      </c>
      <c r="Z2337" s="58" t="str">
        <f t="shared" si="2177"/>
        <v>#NAME?</v>
      </c>
      <c r="AA2337" s="58" t="str">
        <f t="shared" si="2177"/>
        <v>#NAME?</v>
      </c>
      <c r="AB2337" s="58" t="str">
        <f t="shared" si="2177"/>
        <v>#NAME?</v>
      </c>
      <c r="AC2337" s="58" t="str">
        <f t="shared" si="2177"/>
        <v>#NAME?</v>
      </c>
      <c r="AD2337" s="57">
        <f t="shared" si="906"/>
        <v>0</v>
      </c>
      <c r="AE2337" s="57" t="str">
        <f t="shared" si="907"/>
        <v/>
      </c>
      <c r="AF2337" s="57">
        <f t="shared" si="908"/>
        <v>0</v>
      </c>
      <c r="AG2337" s="59">
        <f t="shared" si="909"/>
        <v>0</v>
      </c>
      <c r="AH2337" s="15"/>
      <c r="AI2337" s="15"/>
      <c r="AJ2337" s="15"/>
      <c r="AK2337" s="15"/>
      <c r="AL2337" s="15"/>
      <c r="AM2337" s="15"/>
      <c r="AN2337" s="15"/>
      <c r="AO2337" s="15"/>
      <c r="AP2337" s="15"/>
      <c r="AQ2337" s="15"/>
      <c r="AR2337" s="15"/>
      <c r="AS2337" s="15"/>
      <c r="AT2337" s="15"/>
      <c r="AU2337" s="15"/>
    </row>
    <row r="2338" ht="24.0" customHeight="1">
      <c r="A2338" s="45">
        <v>3762.0</v>
      </c>
      <c r="B2338" s="57"/>
      <c r="C2338" s="57"/>
      <c r="D2338" s="88" t="str">
        <f t="array" ref="D2338">IFERROR(
  LOOKUP(2, 1/((TRIM(IMS!$E$8:$E$2574)=TRIM(IMS!$E2338))*(IMS!$C$8:$C$2574&lt;IMS!$C2338)),
         IMS!$C$8:$C$2574),
"")</f>
        <v/>
      </c>
      <c r="E2338" s="57"/>
      <c r="F2338" s="57"/>
      <c r="G2338" s="77" t="str">
        <f t="shared" si="901"/>
        <v/>
      </c>
      <c r="H2338" s="78" t="str">
        <f t="shared" si="902"/>
        <v/>
      </c>
      <c r="I2338" s="79"/>
      <c r="J2338" s="80" t="str">
        <f t="shared" si="903"/>
        <v>#NAME?</v>
      </c>
      <c r="K2338" s="58"/>
      <c r="L2338" s="58"/>
      <c r="M2338" s="57"/>
      <c r="N2338" s="57"/>
      <c r="O2338" s="58"/>
      <c r="P2338" s="82"/>
      <c r="Q2338" s="81"/>
      <c r="R2338" s="81"/>
      <c r="S2338" s="57"/>
      <c r="T2338" s="82"/>
      <c r="U2338" s="82"/>
      <c r="V2338" s="57"/>
      <c r="W2338" s="57"/>
      <c r="X2338" s="57" t="str">
        <f t="shared" si="917"/>
        <v/>
      </c>
      <c r="Y2338" s="58" t="str">
        <f t="shared" ref="Y2338:AC2338" si="2178">TRIM(SUBSTITUTE(SUBSTITUTE(OFFSET($Q2338,0,COLUMN()-COLUMN($AL$1)),CHAR(160)," "),_xludf.UNICHAR(8239)," "))</f>
        <v>#NAME?</v>
      </c>
      <c r="Z2338" s="58" t="str">
        <f t="shared" si="2178"/>
        <v>#NAME?</v>
      </c>
      <c r="AA2338" s="58" t="str">
        <f t="shared" si="2178"/>
        <v>#NAME?</v>
      </c>
      <c r="AB2338" s="58" t="str">
        <f t="shared" si="2178"/>
        <v>#NAME?</v>
      </c>
      <c r="AC2338" s="58" t="str">
        <f t="shared" si="2178"/>
        <v>#NAME?</v>
      </c>
      <c r="AD2338" s="57">
        <f t="shared" si="906"/>
        <v>0</v>
      </c>
      <c r="AE2338" s="57" t="str">
        <f t="shared" si="907"/>
        <v/>
      </c>
      <c r="AF2338" s="57">
        <f t="shared" si="908"/>
        <v>0</v>
      </c>
      <c r="AG2338" s="59">
        <f t="shared" si="909"/>
        <v>0</v>
      </c>
      <c r="AH2338" s="15"/>
      <c r="AI2338" s="15"/>
      <c r="AJ2338" s="15"/>
      <c r="AK2338" s="15"/>
      <c r="AL2338" s="15"/>
      <c r="AM2338" s="15"/>
      <c r="AN2338" s="15"/>
      <c r="AO2338" s="15"/>
      <c r="AP2338" s="15"/>
      <c r="AQ2338" s="15"/>
      <c r="AR2338" s="15"/>
      <c r="AS2338" s="15"/>
      <c r="AT2338" s="15"/>
      <c r="AU2338" s="15"/>
    </row>
    <row r="2339" ht="24.0" customHeight="1">
      <c r="A2339" s="45">
        <v>3763.0</v>
      </c>
      <c r="B2339" s="57"/>
      <c r="C2339" s="57"/>
      <c r="D2339" s="88" t="str">
        <f t="array" ref="D2339">IFERROR(
  LOOKUP(2, 1/((TRIM(IMS!$E$8:$E$2574)=TRIM(IMS!$E2339))*(IMS!$C$8:$C$2574&lt;IMS!$C2339)),
         IMS!$C$8:$C$2574),
"")</f>
        <v/>
      </c>
      <c r="E2339" s="57"/>
      <c r="F2339" s="57"/>
      <c r="G2339" s="77" t="str">
        <f t="shared" si="901"/>
        <v/>
      </c>
      <c r="H2339" s="78" t="str">
        <f t="shared" si="902"/>
        <v/>
      </c>
      <c r="I2339" s="79"/>
      <c r="J2339" s="80" t="str">
        <f t="shared" si="903"/>
        <v>#NAME?</v>
      </c>
      <c r="K2339" s="58"/>
      <c r="L2339" s="58"/>
      <c r="M2339" s="57"/>
      <c r="N2339" s="57"/>
      <c r="O2339" s="58"/>
      <c r="P2339" s="82"/>
      <c r="Q2339" s="81"/>
      <c r="R2339" s="81"/>
      <c r="S2339" s="57"/>
      <c r="T2339" s="82"/>
      <c r="U2339" s="82"/>
      <c r="V2339" s="57"/>
      <c r="W2339" s="57"/>
      <c r="X2339" s="57" t="str">
        <f t="shared" si="917"/>
        <v/>
      </c>
      <c r="Y2339" s="58" t="str">
        <f t="shared" ref="Y2339:AC2339" si="2179">TRIM(SUBSTITUTE(SUBSTITUTE(OFFSET($Q2339,0,COLUMN()-COLUMN($AL$1)),CHAR(160)," "),_xludf.UNICHAR(8239)," "))</f>
        <v>#NAME?</v>
      </c>
      <c r="Z2339" s="58" t="str">
        <f t="shared" si="2179"/>
        <v>#NAME?</v>
      </c>
      <c r="AA2339" s="58" t="str">
        <f t="shared" si="2179"/>
        <v>#NAME?</v>
      </c>
      <c r="AB2339" s="58" t="str">
        <f t="shared" si="2179"/>
        <v>#NAME?</v>
      </c>
      <c r="AC2339" s="58" t="str">
        <f t="shared" si="2179"/>
        <v>#NAME?</v>
      </c>
      <c r="AD2339" s="57">
        <f t="shared" si="906"/>
        <v>0</v>
      </c>
      <c r="AE2339" s="57" t="str">
        <f t="shared" si="907"/>
        <v/>
      </c>
      <c r="AF2339" s="57">
        <f t="shared" si="908"/>
        <v>0</v>
      </c>
      <c r="AG2339" s="59">
        <f t="shared" si="909"/>
        <v>0</v>
      </c>
      <c r="AH2339" s="15"/>
      <c r="AI2339" s="15"/>
      <c r="AJ2339" s="15"/>
      <c r="AK2339" s="15"/>
      <c r="AL2339" s="15"/>
      <c r="AM2339" s="15"/>
      <c r="AN2339" s="15"/>
      <c r="AO2339" s="15"/>
      <c r="AP2339" s="15"/>
      <c r="AQ2339" s="15"/>
      <c r="AR2339" s="15"/>
      <c r="AS2339" s="15"/>
      <c r="AT2339" s="15"/>
      <c r="AU2339" s="15"/>
    </row>
    <row r="2340" ht="24.0" customHeight="1">
      <c r="A2340" s="45">
        <v>3764.0</v>
      </c>
      <c r="B2340" s="57"/>
      <c r="C2340" s="57"/>
      <c r="D2340" s="88" t="str">
        <f t="array" ref="D2340">IFERROR(
  LOOKUP(2, 1/((TRIM(IMS!$E$8:$E$2574)=TRIM(IMS!$E2340))*(IMS!$C$8:$C$2574&lt;IMS!$C2340)),
         IMS!$C$8:$C$2574),
"")</f>
        <v/>
      </c>
      <c r="E2340" s="57"/>
      <c r="F2340" s="57"/>
      <c r="G2340" s="77" t="str">
        <f t="shared" si="901"/>
        <v/>
      </c>
      <c r="H2340" s="78" t="str">
        <f t="shared" si="902"/>
        <v/>
      </c>
      <c r="I2340" s="79"/>
      <c r="J2340" s="80" t="str">
        <f t="shared" si="903"/>
        <v>#NAME?</v>
      </c>
      <c r="K2340" s="58"/>
      <c r="L2340" s="58"/>
      <c r="M2340" s="57"/>
      <c r="N2340" s="57"/>
      <c r="O2340" s="58"/>
      <c r="P2340" s="82"/>
      <c r="Q2340" s="81"/>
      <c r="R2340" s="81"/>
      <c r="S2340" s="57"/>
      <c r="T2340" s="82"/>
      <c r="U2340" s="82"/>
      <c r="V2340" s="57"/>
      <c r="W2340" s="57"/>
      <c r="X2340" s="57" t="str">
        <f t="shared" si="917"/>
        <v/>
      </c>
      <c r="Y2340" s="58" t="str">
        <f t="shared" ref="Y2340:AC2340" si="2180">TRIM(SUBSTITUTE(SUBSTITUTE(OFFSET($Q2340,0,COLUMN()-COLUMN($AL$1)),CHAR(160)," "),_xludf.UNICHAR(8239)," "))</f>
        <v>#NAME?</v>
      </c>
      <c r="Z2340" s="58" t="str">
        <f t="shared" si="2180"/>
        <v>#NAME?</v>
      </c>
      <c r="AA2340" s="58" t="str">
        <f t="shared" si="2180"/>
        <v>#NAME?</v>
      </c>
      <c r="AB2340" s="58" t="str">
        <f t="shared" si="2180"/>
        <v>#NAME?</v>
      </c>
      <c r="AC2340" s="58" t="str">
        <f t="shared" si="2180"/>
        <v>#NAME?</v>
      </c>
      <c r="AD2340" s="57">
        <f t="shared" si="906"/>
        <v>0</v>
      </c>
      <c r="AE2340" s="57" t="str">
        <f t="shared" si="907"/>
        <v/>
      </c>
      <c r="AF2340" s="57">
        <f t="shared" si="908"/>
        <v>0</v>
      </c>
      <c r="AG2340" s="59">
        <f t="shared" si="909"/>
        <v>0</v>
      </c>
      <c r="AH2340" s="15"/>
      <c r="AI2340" s="15"/>
      <c r="AJ2340" s="15"/>
      <c r="AK2340" s="15"/>
      <c r="AL2340" s="15"/>
      <c r="AM2340" s="15"/>
      <c r="AN2340" s="15"/>
      <c r="AO2340" s="15"/>
      <c r="AP2340" s="15"/>
      <c r="AQ2340" s="15"/>
      <c r="AR2340" s="15"/>
      <c r="AS2340" s="15"/>
      <c r="AT2340" s="15"/>
      <c r="AU2340" s="15"/>
    </row>
    <row r="2341" ht="24.0" customHeight="1">
      <c r="A2341" s="45">
        <v>3765.0</v>
      </c>
      <c r="B2341" s="57"/>
      <c r="C2341" s="57"/>
      <c r="D2341" s="88" t="str">
        <f t="array" ref="D2341">IFERROR(
  LOOKUP(2, 1/((TRIM(IMS!$E$8:$E$2574)=TRIM(IMS!$E2341))*(IMS!$C$8:$C$2574&lt;IMS!$C2341)),
         IMS!$C$8:$C$2574),
"")</f>
        <v/>
      </c>
      <c r="E2341" s="57"/>
      <c r="F2341" s="57"/>
      <c r="G2341" s="77" t="str">
        <f t="shared" si="901"/>
        <v/>
      </c>
      <c r="H2341" s="78" t="str">
        <f t="shared" si="902"/>
        <v/>
      </c>
      <c r="I2341" s="79"/>
      <c r="J2341" s="80" t="str">
        <f t="shared" si="903"/>
        <v>#NAME?</v>
      </c>
      <c r="K2341" s="58"/>
      <c r="L2341" s="58"/>
      <c r="M2341" s="57"/>
      <c r="N2341" s="57"/>
      <c r="O2341" s="58"/>
      <c r="P2341" s="82"/>
      <c r="Q2341" s="81"/>
      <c r="R2341" s="81"/>
      <c r="S2341" s="57"/>
      <c r="T2341" s="82"/>
      <c r="U2341" s="82"/>
      <c r="V2341" s="57"/>
      <c r="W2341" s="57"/>
      <c r="X2341" s="57" t="str">
        <f t="shared" si="917"/>
        <v/>
      </c>
      <c r="Y2341" s="58" t="str">
        <f t="shared" ref="Y2341:AC2341" si="2181">TRIM(SUBSTITUTE(SUBSTITUTE(OFFSET($Q2341,0,COLUMN()-COLUMN($AL$1)),CHAR(160)," "),_xludf.UNICHAR(8239)," "))</f>
        <v>#NAME?</v>
      </c>
      <c r="Z2341" s="58" t="str">
        <f t="shared" si="2181"/>
        <v>#NAME?</v>
      </c>
      <c r="AA2341" s="58" t="str">
        <f t="shared" si="2181"/>
        <v>#NAME?</v>
      </c>
      <c r="AB2341" s="58" t="str">
        <f t="shared" si="2181"/>
        <v>#NAME?</v>
      </c>
      <c r="AC2341" s="58" t="str">
        <f t="shared" si="2181"/>
        <v>#NAME?</v>
      </c>
      <c r="AD2341" s="57">
        <f t="shared" si="906"/>
        <v>0</v>
      </c>
      <c r="AE2341" s="57" t="str">
        <f t="shared" si="907"/>
        <v/>
      </c>
      <c r="AF2341" s="57">
        <f t="shared" si="908"/>
        <v>0</v>
      </c>
      <c r="AG2341" s="59">
        <f t="shared" si="909"/>
        <v>0</v>
      </c>
      <c r="AH2341" s="15"/>
      <c r="AI2341" s="15"/>
      <c r="AJ2341" s="15"/>
      <c r="AK2341" s="15"/>
      <c r="AL2341" s="15"/>
      <c r="AM2341" s="15"/>
      <c r="AN2341" s="15"/>
      <c r="AO2341" s="15"/>
      <c r="AP2341" s="15"/>
      <c r="AQ2341" s="15"/>
      <c r="AR2341" s="15"/>
      <c r="AS2341" s="15"/>
      <c r="AT2341" s="15"/>
      <c r="AU2341" s="15"/>
    </row>
    <row r="2342" ht="24.0" customHeight="1">
      <c r="A2342" s="45">
        <v>3766.0</v>
      </c>
      <c r="B2342" s="57"/>
      <c r="C2342" s="57"/>
      <c r="D2342" s="88" t="str">
        <f t="array" ref="D2342">IFERROR(
  LOOKUP(2, 1/((TRIM(IMS!$E$8:$E$2574)=TRIM(IMS!$E2342))*(IMS!$C$8:$C$2574&lt;IMS!$C2342)),
         IMS!$C$8:$C$2574),
"")</f>
        <v/>
      </c>
      <c r="E2342" s="57"/>
      <c r="F2342" s="57"/>
      <c r="G2342" s="77" t="str">
        <f t="shared" si="901"/>
        <v/>
      </c>
      <c r="H2342" s="78" t="str">
        <f t="shared" si="902"/>
        <v/>
      </c>
      <c r="I2342" s="79"/>
      <c r="J2342" s="80" t="str">
        <f t="shared" si="903"/>
        <v>#NAME?</v>
      </c>
      <c r="K2342" s="58"/>
      <c r="L2342" s="58"/>
      <c r="M2342" s="57"/>
      <c r="N2342" s="57"/>
      <c r="O2342" s="58"/>
      <c r="P2342" s="82"/>
      <c r="Q2342" s="81"/>
      <c r="R2342" s="81"/>
      <c r="S2342" s="57"/>
      <c r="T2342" s="82"/>
      <c r="U2342" s="82"/>
      <c r="V2342" s="57"/>
      <c r="W2342" s="57"/>
      <c r="X2342" s="57" t="str">
        <f t="shared" si="917"/>
        <v/>
      </c>
      <c r="Y2342" s="58" t="str">
        <f t="shared" ref="Y2342:AC2342" si="2182">TRIM(SUBSTITUTE(SUBSTITUTE(OFFSET($Q2342,0,COLUMN()-COLUMN($AL$1)),CHAR(160)," "),_xludf.UNICHAR(8239)," "))</f>
        <v>#NAME?</v>
      </c>
      <c r="Z2342" s="58" t="str">
        <f t="shared" si="2182"/>
        <v>#NAME?</v>
      </c>
      <c r="AA2342" s="58" t="str">
        <f t="shared" si="2182"/>
        <v>#NAME?</v>
      </c>
      <c r="AB2342" s="58" t="str">
        <f t="shared" si="2182"/>
        <v>#NAME?</v>
      </c>
      <c r="AC2342" s="58" t="str">
        <f t="shared" si="2182"/>
        <v>#NAME?</v>
      </c>
      <c r="AD2342" s="57">
        <f t="shared" si="906"/>
        <v>0</v>
      </c>
      <c r="AE2342" s="57" t="str">
        <f t="shared" si="907"/>
        <v/>
      </c>
      <c r="AF2342" s="57">
        <f t="shared" si="908"/>
        <v>0</v>
      </c>
      <c r="AG2342" s="59">
        <f t="shared" si="909"/>
        <v>0</v>
      </c>
      <c r="AH2342" s="15"/>
      <c r="AI2342" s="15"/>
      <c r="AJ2342" s="15"/>
      <c r="AK2342" s="15"/>
      <c r="AL2342" s="15"/>
      <c r="AM2342" s="15"/>
      <c r="AN2342" s="15"/>
      <c r="AO2342" s="15"/>
      <c r="AP2342" s="15"/>
      <c r="AQ2342" s="15"/>
      <c r="AR2342" s="15"/>
      <c r="AS2342" s="15"/>
      <c r="AT2342" s="15"/>
      <c r="AU2342" s="15"/>
    </row>
    <row r="2343" ht="24.0" customHeight="1">
      <c r="A2343" s="45">
        <v>3767.0</v>
      </c>
      <c r="B2343" s="57"/>
      <c r="C2343" s="57"/>
      <c r="D2343" s="88" t="str">
        <f t="array" ref="D2343">IFERROR(
  LOOKUP(2, 1/((TRIM(IMS!$E$8:$E$2574)=TRIM(IMS!$E2343))*(IMS!$C$8:$C$2574&lt;IMS!$C2343)),
         IMS!$C$8:$C$2574),
"")</f>
        <v/>
      </c>
      <c r="E2343" s="57"/>
      <c r="F2343" s="57"/>
      <c r="G2343" s="77" t="str">
        <f t="shared" si="901"/>
        <v/>
      </c>
      <c r="H2343" s="78" t="str">
        <f t="shared" si="902"/>
        <v/>
      </c>
      <c r="I2343" s="79"/>
      <c r="J2343" s="80" t="str">
        <f t="shared" si="903"/>
        <v>#NAME?</v>
      </c>
      <c r="K2343" s="58"/>
      <c r="L2343" s="58"/>
      <c r="M2343" s="57"/>
      <c r="N2343" s="57"/>
      <c r="O2343" s="58"/>
      <c r="P2343" s="82"/>
      <c r="Q2343" s="81"/>
      <c r="R2343" s="81"/>
      <c r="S2343" s="57"/>
      <c r="T2343" s="82"/>
      <c r="U2343" s="82"/>
      <c r="V2343" s="57"/>
      <c r="W2343" s="57"/>
      <c r="X2343" s="57" t="str">
        <f t="shared" si="917"/>
        <v/>
      </c>
      <c r="Y2343" s="58" t="str">
        <f t="shared" ref="Y2343:AC2343" si="2183">TRIM(SUBSTITUTE(SUBSTITUTE(OFFSET($Q2343,0,COLUMN()-COLUMN($AL$1)),CHAR(160)," "),_xludf.UNICHAR(8239)," "))</f>
        <v>#NAME?</v>
      </c>
      <c r="Z2343" s="58" t="str">
        <f t="shared" si="2183"/>
        <v>#NAME?</v>
      </c>
      <c r="AA2343" s="58" t="str">
        <f t="shared" si="2183"/>
        <v>#NAME?</v>
      </c>
      <c r="AB2343" s="58" t="str">
        <f t="shared" si="2183"/>
        <v>#NAME?</v>
      </c>
      <c r="AC2343" s="58" t="str">
        <f t="shared" si="2183"/>
        <v>#NAME?</v>
      </c>
      <c r="AD2343" s="57">
        <f t="shared" si="906"/>
        <v>0</v>
      </c>
      <c r="AE2343" s="57" t="str">
        <f t="shared" si="907"/>
        <v/>
      </c>
      <c r="AF2343" s="57">
        <f t="shared" si="908"/>
        <v>0</v>
      </c>
      <c r="AG2343" s="59">
        <f t="shared" si="909"/>
        <v>0</v>
      </c>
      <c r="AH2343" s="15"/>
      <c r="AI2343" s="15"/>
      <c r="AJ2343" s="15"/>
      <c r="AK2343" s="15"/>
      <c r="AL2343" s="15"/>
      <c r="AM2343" s="15"/>
      <c r="AN2343" s="15"/>
      <c r="AO2343" s="15"/>
      <c r="AP2343" s="15"/>
      <c r="AQ2343" s="15"/>
      <c r="AR2343" s="15"/>
      <c r="AS2343" s="15"/>
      <c r="AT2343" s="15"/>
      <c r="AU2343" s="15"/>
    </row>
    <row r="2344" ht="24.0" customHeight="1">
      <c r="A2344" s="45">
        <v>3768.0</v>
      </c>
      <c r="B2344" s="57"/>
      <c r="C2344" s="57"/>
      <c r="D2344" s="88" t="str">
        <f t="array" ref="D2344">IFERROR(
  LOOKUP(2, 1/((TRIM(IMS!$E$8:$E$2574)=TRIM(IMS!$E2344))*(IMS!$C$8:$C$2574&lt;IMS!$C2344)),
         IMS!$C$8:$C$2574),
"")</f>
        <v/>
      </c>
      <c r="E2344" s="57"/>
      <c r="F2344" s="57"/>
      <c r="G2344" s="77" t="str">
        <f t="shared" si="901"/>
        <v/>
      </c>
      <c r="H2344" s="78" t="str">
        <f t="shared" si="902"/>
        <v/>
      </c>
      <c r="I2344" s="79"/>
      <c r="J2344" s="80" t="str">
        <f t="shared" si="903"/>
        <v>#NAME?</v>
      </c>
      <c r="K2344" s="58"/>
      <c r="L2344" s="58"/>
      <c r="M2344" s="57"/>
      <c r="N2344" s="57"/>
      <c r="O2344" s="58"/>
      <c r="P2344" s="82"/>
      <c r="Q2344" s="81"/>
      <c r="R2344" s="81"/>
      <c r="S2344" s="57"/>
      <c r="T2344" s="82"/>
      <c r="U2344" s="82"/>
      <c r="V2344" s="57"/>
      <c r="W2344" s="57"/>
      <c r="X2344" s="57" t="str">
        <f t="shared" si="917"/>
        <v/>
      </c>
      <c r="Y2344" s="58" t="str">
        <f t="shared" ref="Y2344:AC2344" si="2184">TRIM(SUBSTITUTE(SUBSTITUTE(OFFSET($Q2344,0,COLUMN()-COLUMN($AL$1)),CHAR(160)," "),_xludf.UNICHAR(8239)," "))</f>
        <v>#NAME?</v>
      </c>
      <c r="Z2344" s="58" t="str">
        <f t="shared" si="2184"/>
        <v>#NAME?</v>
      </c>
      <c r="AA2344" s="58" t="str">
        <f t="shared" si="2184"/>
        <v>#NAME?</v>
      </c>
      <c r="AB2344" s="58" t="str">
        <f t="shared" si="2184"/>
        <v>#NAME?</v>
      </c>
      <c r="AC2344" s="58" t="str">
        <f t="shared" si="2184"/>
        <v>#NAME?</v>
      </c>
      <c r="AD2344" s="57">
        <f t="shared" si="906"/>
        <v>0</v>
      </c>
      <c r="AE2344" s="57" t="str">
        <f t="shared" si="907"/>
        <v/>
      </c>
      <c r="AF2344" s="57">
        <f t="shared" si="908"/>
        <v>0</v>
      </c>
      <c r="AG2344" s="59">
        <f t="shared" si="909"/>
        <v>0</v>
      </c>
      <c r="AH2344" s="15"/>
      <c r="AI2344" s="15"/>
      <c r="AJ2344" s="15"/>
      <c r="AK2344" s="15"/>
      <c r="AL2344" s="15"/>
      <c r="AM2344" s="15"/>
      <c r="AN2344" s="15"/>
      <c r="AO2344" s="15"/>
      <c r="AP2344" s="15"/>
      <c r="AQ2344" s="15"/>
      <c r="AR2344" s="15"/>
      <c r="AS2344" s="15"/>
      <c r="AT2344" s="15"/>
      <c r="AU2344" s="15"/>
    </row>
    <row r="2345" ht="24.0" customHeight="1">
      <c r="A2345" s="45">
        <v>3769.0</v>
      </c>
      <c r="B2345" s="57"/>
      <c r="C2345" s="57"/>
      <c r="D2345" s="88" t="str">
        <f t="array" ref="D2345">IFERROR(
  LOOKUP(2, 1/((TRIM(IMS!$E$8:$E$2574)=TRIM(IMS!$E2345))*(IMS!$C$8:$C$2574&lt;IMS!$C2345)),
         IMS!$C$8:$C$2574),
"")</f>
        <v/>
      </c>
      <c r="E2345" s="57"/>
      <c r="F2345" s="57"/>
      <c r="G2345" s="77" t="str">
        <f t="shared" si="901"/>
        <v/>
      </c>
      <c r="H2345" s="78" t="str">
        <f t="shared" si="902"/>
        <v/>
      </c>
      <c r="I2345" s="79"/>
      <c r="J2345" s="80" t="str">
        <f t="shared" si="903"/>
        <v>#NAME?</v>
      </c>
      <c r="K2345" s="58"/>
      <c r="L2345" s="58"/>
      <c r="M2345" s="57"/>
      <c r="N2345" s="57"/>
      <c r="O2345" s="58"/>
      <c r="P2345" s="82"/>
      <c r="Q2345" s="81"/>
      <c r="R2345" s="81"/>
      <c r="S2345" s="57"/>
      <c r="T2345" s="82"/>
      <c r="U2345" s="82"/>
      <c r="V2345" s="57"/>
      <c r="W2345" s="57"/>
      <c r="X2345" s="57" t="str">
        <f t="shared" si="917"/>
        <v/>
      </c>
      <c r="Y2345" s="58" t="str">
        <f t="shared" ref="Y2345:AC2345" si="2185">TRIM(SUBSTITUTE(SUBSTITUTE(OFFSET($Q2345,0,COLUMN()-COLUMN($AL$1)),CHAR(160)," "),_xludf.UNICHAR(8239)," "))</f>
        <v>#NAME?</v>
      </c>
      <c r="Z2345" s="58" t="str">
        <f t="shared" si="2185"/>
        <v>#NAME?</v>
      </c>
      <c r="AA2345" s="58" t="str">
        <f t="shared" si="2185"/>
        <v>#NAME?</v>
      </c>
      <c r="AB2345" s="58" t="str">
        <f t="shared" si="2185"/>
        <v>#NAME?</v>
      </c>
      <c r="AC2345" s="58" t="str">
        <f t="shared" si="2185"/>
        <v>#NAME?</v>
      </c>
      <c r="AD2345" s="57">
        <f t="shared" si="906"/>
        <v>0</v>
      </c>
      <c r="AE2345" s="57" t="str">
        <f t="shared" si="907"/>
        <v/>
      </c>
      <c r="AF2345" s="57">
        <f t="shared" si="908"/>
        <v>0</v>
      </c>
      <c r="AG2345" s="59">
        <f t="shared" si="909"/>
        <v>0</v>
      </c>
      <c r="AH2345" s="15"/>
      <c r="AI2345" s="15"/>
      <c r="AJ2345" s="15"/>
      <c r="AK2345" s="15"/>
      <c r="AL2345" s="15"/>
      <c r="AM2345" s="15"/>
      <c r="AN2345" s="15"/>
      <c r="AO2345" s="15"/>
      <c r="AP2345" s="15"/>
      <c r="AQ2345" s="15"/>
      <c r="AR2345" s="15"/>
      <c r="AS2345" s="15"/>
      <c r="AT2345" s="15"/>
      <c r="AU2345" s="15"/>
    </row>
    <row r="2346" ht="24.0" customHeight="1">
      <c r="A2346" s="45">
        <v>3770.0</v>
      </c>
      <c r="B2346" s="57"/>
      <c r="C2346" s="57"/>
      <c r="D2346" s="88" t="str">
        <f t="array" ref="D2346">IFERROR(
  LOOKUP(2, 1/((TRIM(IMS!$E$8:$E$2574)=TRIM(IMS!$E2346))*(IMS!$C$8:$C$2574&lt;IMS!$C2346)),
         IMS!$C$8:$C$2574),
"")</f>
        <v/>
      </c>
      <c r="E2346" s="57"/>
      <c r="F2346" s="57"/>
      <c r="G2346" s="77" t="str">
        <f t="shared" si="901"/>
        <v/>
      </c>
      <c r="H2346" s="78" t="str">
        <f t="shared" si="902"/>
        <v/>
      </c>
      <c r="I2346" s="79"/>
      <c r="J2346" s="80" t="str">
        <f t="shared" si="903"/>
        <v>#NAME?</v>
      </c>
      <c r="K2346" s="58"/>
      <c r="L2346" s="58"/>
      <c r="M2346" s="57"/>
      <c r="N2346" s="57"/>
      <c r="O2346" s="58"/>
      <c r="P2346" s="82"/>
      <c r="Q2346" s="81"/>
      <c r="R2346" s="81"/>
      <c r="S2346" s="57"/>
      <c r="T2346" s="82"/>
      <c r="U2346" s="82"/>
      <c r="V2346" s="57"/>
      <c r="W2346" s="57"/>
      <c r="X2346" s="57" t="str">
        <f t="shared" si="917"/>
        <v/>
      </c>
      <c r="Y2346" s="58" t="str">
        <f t="shared" ref="Y2346:AC2346" si="2186">TRIM(SUBSTITUTE(SUBSTITUTE(OFFSET($Q2346,0,COLUMN()-COLUMN($AL$1)),CHAR(160)," "),_xludf.UNICHAR(8239)," "))</f>
        <v>#NAME?</v>
      </c>
      <c r="Z2346" s="58" t="str">
        <f t="shared" si="2186"/>
        <v>#NAME?</v>
      </c>
      <c r="AA2346" s="58" t="str">
        <f t="shared" si="2186"/>
        <v>#NAME?</v>
      </c>
      <c r="AB2346" s="58" t="str">
        <f t="shared" si="2186"/>
        <v>#NAME?</v>
      </c>
      <c r="AC2346" s="58" t="str">
        <f t="shared" si="2186"/>
        <v>#NAME?</v>
      </c>
      <c r="AD2346" s="57">
        <f t="shared" si="906"/>
        <v>0</v>
      </c>
      <c r="AE2346" s="57" t="str">
        <f t="shared" si="907"/>
        <v/>
      </c>
      <c r="AF2346" s="57">
        <f t="shared" si="908"/>
        <v>0</v>
      </c>
      <c r="AG2346" s="59">
        <f t="shared" si="909"/>
        <v>0</v>
      </c>
      <c r="AH2346" s="15"/>
      <c r="AI2346" s="15"/>
      <c r="AJ2346" s="15"/>
      <c r="AK2346" s="15"/>
      <c r="AL2346" s="15"/>
      <c r="AM2346" s="15"/>
      <c r="AN2346" s="15"/>
      <c r="AO2346" s="15"/>
      <c r="AP2346" s="15"/>
      <c r="AQ2346" s="15"/>
      <c r="AR2346" s="15"/>
      <c r="AS2346" s="15"/>
      <c r="AT2346" s="15"/>
      <c r="AU2346" s="15"/>
    </row>
    <row r="2347" ht="24.0" customHeight="1">
      <c r="A2347" s="45">
        <v>3771.0</v>
      </c>
      <c r="B2347" s="57"/>
      <c r="C2347" s="57"/>
      <c r="D2347" s="88" t="str">
        <f t="array" ref="D2347">IFERROR(
  LOOKUP(2, 1/((TRIM(IMS!$E$8:$E$2574)=TRIM(IMS!$E2347))*(IMS!$C$8:$C$2574&lt;IMS!$C2347)),
         IMS!$C$8:$C$2574),
"")</f>
        <v/>
      </c>
      <c r="E2347" s="57"/>
      <c r="F2347" s="57"/>
      <c r="G2347" s="77" t="str">
        <f t="shared" si="901"/>
        <v/>
      </c>
      <c r="H2347" s="78" t="str">
        <f t="shared" si="902"/>
        <v/>
      </c>
      <c r="I2347" s="79"/>
      <c r="J2347" s="80" t="str">
        <f t="shared" si="903"/>
        <v>#NAME?</v>
      </c>
      <c r="K2347" s="58"/>
      <c r="L2347" s="58"/>
      <c r="M2347" s="57"/>
      <c r="N2347" s="57"/>
      <c r="O2347" s="58"/>
      <c r="P2347" s="82"/>
      <c r="Q2347" s="81"/>
      <c r="R2347" s="81"/>
      <c r="S2347" s="57"/>
      <c r="T2347" s="82"/>
      <c r="U2347" s="82"/>
      <c r="V2347" s="57"/>
      <c r="W2347" s="57"/>
      <c r="X2347" s="57" t="str">
        <f t="shared" si="917"/>
        <v/>
      </c>
      <c r="Y2347" s="58" t="str">
        <f t="shared" ref="Y2347:AC2347" si="2187">TRIM(SUBSTITUTE(SUBSTITUTE(OFFSET($Q2347,0,COLUMN()-COLUMN($AL$1)),CHAR(160)," "),_xludf.UNICHAR(8239)," "))</f>
        <v>#NAME?</v>
      </c>
      <c r="Z2347" s="58" t="str">
        <f t="shared" si="2187"/>
        <v>#NAME?</v>
      </c>
      <c r="AA2347" s="58" t="str">
        <f t="shared" si="2187"/>
        <v>#NAME?</v>
      </c>
      <c r="AB2347" s="58" t="str">
        <f t="shared" si="2187"/>
        <v>#NAME?</v>
      </c>
      <c r="AC2347" s="58" t="str">
        <f t="shared" si="2187"/>
        <v>#NAME?</v>
      </c>
      <c r="AD2347" s="57">
        <f t="shared" si="906"/>
        <v>0</v>
      </c>
      <c r="AE2347" s="57" t="str">
        <f t="shared" si="907"/>
        <v/>
      </c>
      <c r="AF2347" s="57">
        <f t="shared" si="908"/>
        <v>0</v>
      </c>
      <c r="AG2347" s="59">
        <f t="shared" si="909"/>
        <v>0</v>
      </c>
      <c r="AH2347" s="15"/>
      <c r="AI2347" s="15"/>
      <c r="AJ2347" s="15"/>
      <c r="AK2347" s="15"/>
      <c r="AL2347" s="15"/>
      <c r="AM2347" s="15"/>
      <c r="AN2347" s="15"/>
      <c r="AO2347" s="15"/>
      <c r="AP2347" s="15"/>
      <c r="AQ2347" s="15"/>
      <c r="AR2347" s="15"/>
      <c r="AS2347" s="15"/>
      <c r="AT2347" s="15"/>
      <c r="AU2347" s="15"/>
    </row>
    <row r="2348" ht="24.0" customHeight="1">
      <c r="A2348" s="45">
        <v>3772.0</v>
      </c>
      <c r="B2348" s="57"/>
      <c r="C2348" s="57"/>
      <c r="D2348" s="88" t="str">
        <f t="array" ref="D2348">IFERROR(
  LOOKUP(2, 1/((TRIM(IMS!$E$8:$E$2574)=TRIM(IMS!$E2348))*(IMS!$C$8:$C$2574&lt;IMS!$C2348)),
         IMS!$C$8:$C$2574),
"")</f>
        <v/>
      </c>
      <c r="E2348" s="57"/>
      <c r="F2348" s="57"/>
      <c r="G2348" s="77" t="str">
        <f t="shared" si="901"/>
        <v/>
      </c>
      <c r="H2348" s="78" t="str">
        <f t="shared" si="902"/>
        <v/>
      </c>
      <c r="I2348" s="79"/>
      <c r="J2348" s="80" t="str">
        <f t="shared" si="903"/>
        <v>#NAME?</v>
      </c>
      <c r="K2348" s="58"/>
      <c r="L2348" s="58"/>
      <c r="M2348" s="57"/>
      <c r="N2348" s="57"/>
      <c r="O2348" s="58"/>
      <c r="P2348" s="82"/>
      <c r="Q2348" s="81"/>
      <c r="R2348" s="81"/>
      <c r="S2348" s="57"/>
      <c r="T2348" s="82"/>
      <c r="U2348" s="82"/>
      <c r="V2348" s="57"/>
      <c r="W2348" s="57"/>
      <c r="X2348" s="57" t="str">
        <f t="shared" si="917"/>
        <v/>
      </c>
      <c r="Y2348" s="58" t="str">
        <f t="shared" ref="Y2348:AC2348" si="2188">TRIM(SUBSTITUTE(SUBSTITUTE(OFFSET($Q2348,0,COLUMN()-COLUMN($AL$1)),CHAR(160)," "),_xludf.UNICHAR(8239)," "))</f>
        <v>#NAME?</v>
      </c>
      <c r="Z2348" s="58" t="str">
        <f t="shared" si="2188"/>
        <v>#NAME?</v>
      </c>
      <c r="AA2348" s="58" t="str">
        <f t="shared" si="2188"/>
        <v>#NAME?</v>
      </c>
      <c r="AB2348" s="58" t="str">
        <f t="shared" si="2188"/>
        <v>#NAME?</v>
      </c>
      <c r="AC2348" s="58" t="str">
        <f t="shared" si="2188"/>
        <v>#NAME?</v>
      </c>
      <c r="AD2348" s="57">
        <f t="shared" si="906"/>
        <v>0</v>
      </c>
      <c r="AE2348" s="57" t="str">
        <f t="shared" si="907"/>
        <v/>
      </c>
      <c r="AF2348" s="57">
        <f t="shared" si="908"/>
        <v>0</v>
      </c>
      <c r="AG2348" s="59">
        <f t="shared" si="909"/>
        <v>0</v>
      </c>
      <c r="AH2348" s="15"/>
      <c r="AI2348" s="15"/>
      <c r="AJ2348" s="15"/>
      <c r="AK2348" s="15"/>
      <c r="AL2348" s="15"/>
      <c r="AM2348" s="15"/>
      <c r="AN2348" s="15"/>
      <c r="AO2348" s="15"/>
      <c r="AP2348" s="15"/>
      <c r="AQ2348" s="15"/>
      <c r="AR2348" s="15"/>
      <c r="AS2348" s="15"/>
      <c r="AT2348" s="15"/>
      <c r="AU2348" s="15"/>
    </row>
    <row r="2349" ht="24.0" customHeight="1">
      <c r="A2349" s="45">
        <v>3773.0</v>
      </c>
      <c r="B2349" s="57"/>
      <c r="C2349" s="57"/>
      <c r="D2349" s="88" t="str">
        <f t="array" ref="D2349">IFERROR(
  LOOKUP(2, 1/((TRIM(IMS!$E$8:$E$2574)=TRIM(IMS!$E2349))*(IMS!$C$8:$C$2574&lt;IMS!$C2349)),
         IMS!$C$8:$C$2574),
"")</f>
        <v/>
      </c>
      <c r="E2349" s="57"/>
      <c r="F2349" s="57"/>
      <c r="G2349" s="77" t="str">
        <f t="shared" si="901"/>
        <v/>
      </c>
      <c r="H2349" s="78" t="str">
        <f t="shared" si="902"/>
        <v/>
      </c>
      <c r="I2349" s="79"/>
      <c r="J2349" s="80" t="str">
        <f t="shared" si="903"/>
        <v>#NAME?</v>
      </c>
      <c r="K2349" s="58"/>
      <c r="L2349" s="58"/>
      <c r="M2349" s="57"/>
      <c r="N2349" s="57"/>
      <c r="O2349" s="58"/>
      <c r="P2349" s="82"/>
      <c r="Q2349" s="81"/>
      <c r="R2349" s="81"/>
      <c r="S2349" s="57"/>
      <c r="T2349" s="82"/>
      <c r="U2349" s="82"/>
      <c r="V2349" s="57"/>
      <c r="W2349" s="57"/>
      <c r="X2349" s="57" t="str">
        <f t="shared" si="917"/>
        <v/>
      </c>
      <c r="Y2349" s="58" t="str">
        <f t="shared" ref="Y2349:AC2349" si="2189">TRIM(SUBSTITUTE(SUBSTITUTE(OFFSET($Q2349,0,COLUMN()-COLUMN($AL$1)),CHAR(160)," "),_xludf.UNICHAR(8239)," "))</f>
        <v>#NAME?</v>
      </c>
      <c r="Z2349" s="58" t="str">
        <f t="shared" si="2189"/>
        <v>#NAME?</v>
      </c>
      <c r="AA2349" s="58" t="str">
        <f t="shared" si="2189"/>
        <v>#NAME?</v>
      </c>
      <c r="AB2349" s="58" t="str">
        <f t="shared" si="2189"/>
        <v>#NAME?</v>
      </c>
      <c r="AC2349" s="58" t="str">
        <f t="shared" si="2189"/>
        <v>#NAME?</v>
      </c>
      <c r="AD2349" s="57">
        <f t="shared" si="906"/>
        <v>0</v>
      </c>
      <c r="AE2349" s="57" t="str">
        <f t="shared" si="907"/>
        <v/>
      </c>
      <c r="AF2349" s="57">
        <f t="shared" si="908"/>
        <v>0</v>
      </c>
      <c r="AG2349" s="59">
        <f t="shared" si="909"/>
        <v>0</v>
      </c>
      <c r="AH2349" s="15"/>
      <c r="AI2349" s="15"/>
      <c r="AJ2349" s="15"/>
      <c r="AK2349" s="15"/>
      <c r="AL2349" s="15"/>
      <c r="AM2349" s="15"/>
      <c r="AN2349" s="15"/>
      <c r="AO2349" s="15"/>
      <c r="AP2349" s="15"/>
      <c r="AQ2349" s="15"/>
      <c r="AR2349" s="15"/>
      <c r="AS2349" s="15"/>
      <c r="AT2349" s="15"/>
      <c r="AU2349" s="15"/>
    </row>
    <row r="2350" ht="24.0" customHeight="1">
      <c r="A2350" s="45">
        <v>3774.0</v>
      </c>
      <c r="B2350" s="57"/>
      <c r="C2350" s="57"/>
      <c r="D2350" s="88" t="str">
        <f t="array" ref="D2350">IFERROR(
  LOOKUP(2, 1/((TRIM(IMS!$E$8:$E$2574)=TRIM(IMS!$E2350))*(IMS!$C$8:$C$2574&lt;IMS!$C2350)),
         IMS!$C$8:$C$2574),
"")</f>
        <v/>
      </c>
      <c r="E2350" s="57"/>
      <c r="F2350" s="57"/>
      <c r="G2350" s="77" t="str">
        <f t="shared" si="901"/>
        <v/>
      </c>
      <c r="H2350" s="78" t="str">
        <f t="shared" si="902"/>
        <v/>
      </c>
      <c r="I2350" s="79"/>
      <c r="J2350" s="80" t="str">
        <f t="shared" si="903"/>
        <v>#NAME?</v>
      </c>
      <c r="K2350" s="58"/>
      <c r="L2350" s="58"/>
      <c r="M2350" s="57"/>
      <c r="N2350" s="57"/>
      <c r="O2350" s="58"/>
      <c r="P2350" s="82"/>
      <c r="Q2350" s="81"/>
      <c r="R2350" s="81"/>
      <c r="S2350" s="57"/>
      <c r="T2350" s="82"/>
      <c r="U2350" s="82"/>
      <c r="V2350" s="57"/>
      <c r="W2350" s="57"/>
      <c r="X2350" s="57" t="str">
        <f t="shared" si="917"/>
        <v/>
      </c>
      <c r="Y2350" s="58" t="str">
        <f t="shared" ref="Y2350:AC2350" si="2190">TRIM(SUBSTITUTE(SUBSTITUTE(OFFSET($Q2350,0,COLUMN()-COLUMN($AL$1)),CHAR(160)," "),_xludf.UNICHAR(8239)," "))</f>
        <v>#NAME?</v>
      </c>
      <c r="Z2350" s="58" t="str">
        <f t="shared" si="2190"/>
        <v>#NAME?</v>
      </c>
      <c r="AA2350" s="58" t="str">
        <f t="shared" si="2190"/>
        <v>#NAME?</v>
      </c>
      <c r="AB2350" s="58" t="str">
        <f t="shared" si="2190"/>
        <v>#NAME?</v>
      </c>
      <c r="AC2350" s="58" t="str">
        <f t="shared" si="2190"/>
        <v>#NAME?</v>
      </c>
      <c r="AD2350" s="57">
        <f t="shared" si="906"/>
        <v>0</v>
      </c>
      <c r="AE2350" s="57" t="str">
        <f t="shared" si="907"/>
        <v/>
      </c>
      <c r="AF2350" s="57">
        <f t="shared" si="908"/>
        <v>0</v>
      </c>
      <c r="AG2350" s="59">
        <f t="shared" si="909"/>
        <v>0</v>
      </c>
      <c r="AH2350" s="15"/>
      <c r="AI2350" s="15"/>
      <c r="AJ2350" s="15"/>
      <c r="AK2350" s="15"/>
      <c r="AL2350" s="15"/>
      <c r="AM2350" s="15"/>
      <c r="AN2350" s="15"/>
      <c r="AO2350" s="15"/>
      <c r="AP2350" s="15"/>
      <c r="AQ2350" s="15"/>
      <c r="AR2350" s="15"/>
      <c r="AS2350" s="15"/>
      <c r="AT2350" s="15"/>
      <c r="AU2350" s="15"/>
    </row>
    <row r="2351" ht="24.0" customHeight="1">
      <c r="A2351" s="45">
        <v>3775.0</v>
      </c>
      <c r="B2351" s="57"/>
      <c r="C2351" s="57"/>
      <c r="D2351" s="88" t="str">
        <f t="array" ref="D2351">IFERROR(
  LOOKUP(2, 1/((TRIM(IMS!$E$8:$E$2574)=TRIM(IMS!$E2351))*(IMS!$C$8:$C$2574&lt;IMS!$C2351)),
         IMS!$C$8:$C$2574),
"")</f>
        <v/>
      </c>
      <c r="E2351" s="57"/>
      <c r="F2351" s="57"/>
      <c r="G2351" s="77" t="str">
        <f t="shared" si="901"/>
        <v/>
      </c>
      <c r="H2351" s="78" t="str">
        <f t="shared" si="902"/>
        <v/>
      </c>
      <c r="I2351" s="79"/>
      <c r="J2351" s="80" t="str">
        <f t="shared" si="903"/>
        <v>#NAME?</v>
      </c>
      <c r="K2351" s="58"/>
      <c r="L2351" s="58"/>
      <c r="M2351" s="57"/>
      <c r="N2351" s="57"/>
      <c r="O2351" s="58"/>
      <c r="P2351" s="82"/>
      <c r="Q2351" s="81"/>
      <c r="R2351" s="81"/>
      <c r="S2351" s="57"/>
      <c r="T2351" s="82"/>
      <c r="U2351" s="82"/>
      <c r="V2351" s="57"/>
      <c r="W2351" s="57"/>
      <c r="X2351" s="57" t="str">
        <f t="shared" si="917"/>
        <v/>
      </c>
      <c r="Y2351" s="58" t="str">
        <f t="shared" ref="Y2351:AC2351" si="2191">TRIM(SUBSTITUTE(SUBSTITUTE(OFFSET($Q2351,0,COLUMN()-COLUMN($AL$1)),CHAR(160)," "),_xludf.UNICHAR(8239)," "))</f>
        <v>#NAME?</v>
      </c>
      <c r="Z2351" s="58" t="str">
        <f t="shared" si="2191"/>
        <v>#NAME?</v>
      </c>
      <c r="AA2351" s="58" t="str">
        <f t="shared" si="2191"/>
        <v>#NAME?</v>
      </c>
      <c r="AB2351" s="58" t="str">
        <f t="shared" si="2191"/>
        <v>#NAME?</v>
      </c>
      <c r="AC2351" s="58" t="str">
        <f t="shared" si="2191"/>
        <v>#NAME?</v>
      </c>
      <c r="AD2351" s="57">
        <f t="shared" si="906"/>
        <v>0</v>
      </c>
      <c r="AE2351" s="57" t="str">
        <f t="shared" si="907"/>
        <v/>
      </c>
      <c r="AF2351" s="57">
        <f t="shared" si="908"/>
        <v>0</v>
      </c>
      <c r="AG2351" s="59">
        <f t="shared" si="909"/>
        <v>0</v>
      </c>
      <c r="AH2351" s="15"/>
      <c r="AI2351" s="15"/>
      <c r="AJ2351" s="15"/>
      <c r="AK2351" s="15"/>
      <c r="AL2351" s="15"/>
      <c r="AM2351" s="15"/>
      <c r="AN2351" s="15"/>
      <c r="AO2351" s="15"/>
      <c r="AP2351" s="15"/>
      <c r="AQ2351" s="15"/>
      <c r="AR2351" s="15"/>
      <c r="AS2351" s="15"/>
      <c r="AT2351" s="15"/>
      <c r="AU2351" s="15"/>
    </row>
    <row r="2352" ht="24.0" customHeight="1">
      <c r="A2352" s="45">
        <v>3776.0</v>
      </c>
      <c r="B2352" s="57"/>
      <c r="C2352" s="57"/>
      <c r="D2352" s="88" t="str">
        <f t="array" ref="D2352">IFERROR(
  LOOKUP(2, 1/((TRIM(IMS!$E$8:$E$2574)=TRIM(IMS!$E2352))*(IMS!$C$8:$C$2574&lt;IMS!$C2352)),
         IMS!$C$8:$C$2574),
"")</f>
        <v/>
      </c>
      <c r="E2352" s="57"/>
      <c r="F2352" s="57"/>
      <c r="G2352" s="77" t="str">
        <f t="shared" si="901"/>
        <v/>
      </c>
      <c r="H2352" s="78" t="str">
        <f t="shared" si="902"/>
        <v/>
      </c>
      <c r="I2352" s="79"/>
      <c r="J2352" s="80" t="str">
        <f t="shared" si="903"/>
        <v>#NAME?</v>
      </c>
      <c r="K2352" s="58"/>
      <c r="L2352" s="58"/>
      <c r="M2352" s="57"/>
      <c r="N2352" s="57"/>
      <c r="O2352" s="58"/>
      <c r="P2352" s="82"/>
      <c r="Q2352" s="81"/>
      <c r="R2352" s="81"/>
      <c r="S2352" s="57"/>
      <c r="T2352" s="82"/>
      <c r="U2352" s="82"/>
      <c r="V2352" s="57"/>
      <c r="W2352" s="57"/>
      <c r="X2352" s="57" t="str">
        <f t="shared" si="917"/>
        <v/>
      </c>
      <c r="Y2352" s="58" t="str">
        <f t="shared" ref="Y2352:AC2352" si="2192">TRIM(SUBSTITUTE(SUBSTITUTE(OFFSET($Q2352,0,COLUMN()-COLUMN($AL$1)),CHAR(160)," "),_xludf.UNICHAR(8239)," "))</f>
        <v>#NAME?</v>
      </c>
      <c r="Z2352" s="58" t="str">
        <f t="shared" si="2192"/>
        <v>#NAME?</v>
      </c>
      <c r="AA2352" s="58" t="str">
        <f t="shared" si="2192"/>
        <v>#NAME?</v>
      </c>
      <c r="AB2352" s="58" t="str">
        <f t="shared" si="2192"/>
        <v>#NAME?</v>
      </c>
      <c r="AC2352" s="58" t="str">
        <f t="shared" si="2192"/>
        <v>#NAME?</v>
      </c>
      <c r="AD2352" s="57">
        <f t="shared" si="906"/>
        <v>0</v>
      </c>
      <c r="AE2352" s="57" t="str">
        <f t="shared" si="907"/>
        <v/>
      </c>
      <c r="AF2352" s="57">
        <f t="shared" si="908"/>
        <v>0</v>
      </c>
      <c r="AG2352" s="59">
        <f t="shared" si="909"/>
        <v>0</v>
      </c>
      <c r="AH2352" s="15"/>
      <c r="AI2352" s="15"/>
      <c r="AJ2352" s="15"/>
      <c r="AK2352" s="15"/>
      <c r="AL2352" s="15"/>
      <c r="AM2352" s="15"/>
      <c r="AN2352" s="15"/>
      <c r="AO2352" s="15"/>
      <c r="AP2352" s="15"/>
      <c r="AQ2352" s="15"/>
      <c r="AR2352" s="15"/>
      <c r="AS2352" s="15"/>
      <c r="AT2352" s="15"/>
      <c r="AU2352" s="15"/>
    </row>
    <row r="2353" ht="24.0" customHeight="1">
      <c r="A2353" s="45">
        <v>3777.0</v>
      </c>
      <c r="B2353" s="57"/>
      <c r="C2353" s="57"/>
      <c r="D2353" s="88" t="str">
        <f t="array" ref="D2353">IFERROR(
  LOOKUP(2, 1/((TRIM(IMS!$E$8:$E$2574)=TRIM(IMS!$E2353))*(IMS!$C$8:$C$2574&lt;IMS!$C2353)),
         IMS!$C$8:$C$2574),
"")</f>
        <v/>
      </c>
      <c r="E2353" s="57"/>
      <c r="F2353" s="57"/>
      <c r="G2353" s="77" t="str">
        <f t="shared" si="901"/>
        <v/>
      </c>
      <c r="H2353" s="78" t="str">
        <f t="shared" si="902"/>
        <v/>
      </c>
      <c r="I2353" s="79"/>
      <c r="J2353" s="80" t="str">
        <f t="shared" si="903"/>
        <v>#NAME?</v>
      </c>
      <c r="K2353" s="58"/>
      <c r="L2353" s="58"/>
      <c r="M2353" s="57"/>
      <c r="N2353" s="57"/>
      <c r="O2353" s="58"/>
      <c r="P2353" s="82"/>
      <c r="Q2353" s="81"/>
      <c r="R2353" s="81"/>
      <c r="S2353" s="57"/>
      <c r="T2353" s="82"/>
      <c r="U2353" s="82"/>
      <c r="V2353" s="57"/>
      <c r="W2353" s="57"/>
      <c r="X2353" s="57" t="str">
        <f t="shared" si="917"/>
        <v/>
      </c>
      <c r="Y2353" s="58" t="str">
        <f t="shared" ref="Y2353:AC2353" si="2193">TRIM(SUBSTITUTE(SUBSTITUTE(OFFSET($Q2353,0,COLUMN()-COLUMN($AL$1)),CHAR(160)," "),_xludf.UNICHAR(8239)," "))</f>
        <v>#NAME?</v>
      </c>
      <c r="Z2353" s="58" t="str">
        <f t="shared" si="2193"/>
        <v>#NAME?</v>
      </c>
      <c r="AA2353" s="58" t="str">
        <f t="shared" si="2193"/>
        <v>#NAME?</v>
      </c>
      <c r="AB2353" s="58" t="str">
        <f t="shared" si="2193"/>
        <v>#NAME?</v>
      </c>
      <c r="AC2353" s="58" t="str">
        <f t="shared" si="2193"/>
        <v>#NAME?</v>
      </c>
      <c r="AD2353" s="57">
        <f t="shared" si="906"/>
        <v>0</v>
      </c>
      <c r="AE2353" s="57" t="str">
        <f t="shared" si="907"/>
        <v/>
      </c>
      <c r="AF2353" s="57">
        <f t="shared" si="908"/>
        <v>0</v>
      </c>
      <c r="AG2353" s="59">
        <f t="shared" si="909"/>
        <v>0</v>
      </c>
      <c r="AH2353" s="15"/>
      <c r="AI2353" s="15"/>
      <c r="AJ2353" s="15"/>
      <c r="AK2353" s="15"/>
      <c r="AL2353" s="15"/>
      <c r="AM2353" s="15"/>
      <c r="AN2353" s="15"/>
      <c r="AO2353" s="15"/>
      <c r="AP2353" s="15"/>
      <c r="AQ2353" s="15"/>
      <c r="AR2353" s="15"/>
      <c r="AS2353" s="15"/>
      <c r="AT2353" s="15"/>
      <c r="AU2353" s="15"/>
    </row>
    <row r="2354" ht="24.0" customHeight="1">
      <c r="A2354" s="45">
        <v>3778.0</v>
      </c>
      <c r="B2354" s="57"/>
      <c r="C2354" s="57"/>
      <c r="D2354" s="88" t="str">
        <f t="array" ref="D2354">IFERROR(
  LOOKUP(2, 1/((TRIM(IMS!$E$8:$E$2574)=TRIM(IMS!$E2354))*(IMS!$C$8:$C$2574&lt;IMS!$C2354)),
         IMS!$C$8:$C$2574),
"")</f>
        <v/>
      </c>
      <c r="E2354" s="57"/>
      <c r="F2354" s="57"/>
      <c r="G2354" s="77" t="str">
        <f t="shared" si="901"/>
        <v/>
      </c>
      <c r="H2354" s="78" t="str">
        <f t="shared" si="902"/>
        <v/>
      </c>
      <c r="I2354" s="79"/>
      <c r="J2354" s="80" t="str">
        <f t="shared" si="903"/>
        <v>#NAME?</v>
      </c>
      <c r="K2354" s="58"/>
      <c r="L2354" s="58"/>
      <c r="M2354" s="57"/>
      <c r="N2354" s="57"/>
      <c r="O2354" s="58"/>
      <c r="P2354" s="82"/>
      <c r="Q2354" s="81"/>
      <c r="R2354" s="81"/>
      <c r="S2354" s="57"/>
      <c r="T2354" s="82"/>
      <c r="U2354" s="82"/>
      <c r="V2354" s="57"/>
      <c r="W2354" s="57"/>
      <c r="X2354" s="57" t="str">
        <f t="shared" si="917"/>
        <v/>
      </c>
      <c r="Y2354" s="58" t="str">
        <f t="shared" ref="Y2354:AC2354" si="2194">TRIM(SUBSTITUTE(SUBSTITUTE(OFFSET($Q2354,0,COLUMN()-COLUMN($AL$1)),CHAR(160)," "),_xludf.UNICHAR(8239)," "))</f>
        <v>#NAME?</v>
      </c>
      <c r="Z2354" s="58" t="str">
        <f t="shared" si="2194"/>
        <v>#NAME?</v>
      </c>
      <c r="AA2354" s="58" t="str">
        <f t="shared" si="2194"/>
        <v>#NAME?</v>
      </c>
      <c r="AB2354" s="58" t="str">
        <f t="shared" si="2194"/>
        <v>#NAME?</v>
      </c>
      <c r="AC2354" s="58" t="str">
        <f t="shared" si="2194"/>
        <v>#NAME?</v>
      </c>
      <c r="AD2354" s="57">
        <f t="shared" si="906"/>
        <v>0</v>
      </c>
      <c r="AE2354" s="57" t="str">
        <f t="shared" si="907"/>
        <v/>
      </c>
      <c r="AF2354" s="57">
        <f t="shared" si="908"/>
        <v>0</v>
      </c>
      <c r="AG2354" s="59">
        <f t="shared" si="909"/>
        <v>0</v>
      </c>
      <c r="AH2354" s="15"/>
      <c r="AI2354" s="15"/>
      <c r="AJ2354" s="15"/>
      <c r="AK2354" s="15"/>
      <c r="AL2354" s="15"/>
      <c r="AM2354" s="15"/>
      <c r="AN2354" s="15"/>
      <c r="AO2354" s="15"/>
      <c r="AP2354" s="15"/>
      <c r="AQ2354" s="15"/>
      <c r="AR2354" s="15"/>
      <c r="AS2354" s="15"/>
      <c r="AT2354" s="15"/>
      <c r="AU2354" s="15"/>
    </row>
    <row r="2355" ht="24.0" customHeight="1">
      <c r="A2355" s="45">
        <v>3779.0</v>
      </c>
      <c r="B2355" s="57"/>
      <c r="C2355" s="57"/>
      <c r="D2355" s="88" t="str">
        <f t="array" ref="D2355">IFERROR(
  LOOKUP(2, 1/((TRIM(IMS!$E$8:$E$2574)=TRIM(IMS!$E2355))*(IMS!$C$8:$C$2574&lt;IMS!$C2355)),
         IMS!$C$8:$C$2574),
"")</f>
        <v/>
      </c>
      <c r="E2355" s="57"/>
      <c r="F2355" s="57"/>
      <c r="G2355" s="77" t="str">
        <f t="shared" si="901"/>
        <v/>
      </c>
      <c r="H2355" s="78" t="str">
        <f t="shared" si="902"/>
        <v/>
      </c>
      <c r="I2355" s="79"/>
      <c r="J2355" s="80" t="str">
        <f t="shared" si="903"/>
        <v>#NAME?</v>
      </c>
      <c r="K2355" s="58"/>
      <c r="L2355" s="58"/>
      <c r="M2355" s="57"/>
      <c r="N2355" s="57"/>
      <c r="O2355" s="58"/>
      <c r="P2355" s="82"/>
      <c r="Q2355" s="81"/>
      <c r="R2355" s="81"/>
      <c r="S2355" s="57"/>
      <c r="T2355" s="82"/>
      <c r="U2355" s="82"/>
      <c r="V2355" s="57"/>
      <c r="W2355" s="57"/>
      <c r="X2355" s="57" t="str">
        <f t="shared" si="917"/>
        <v/>
      </c>
      <c r="Y2355" s="58" t="str">
        <f t="shared" ref="Y2355:AC2355" si="2195">TRIM(SUBSTITUTE(SUBSTITUTE(OFFSET($Q2355,0,COLUMN()-COLUMN($AL$1)),CHAR(160)," "),_xludf.UNICHAR(8239)," "))</f>
        <v>#NAME?</v>
      </c>
      <c r="Z2355" s="58" t="str">
        <f t="shared" si="2195"/>
        <v>#NAME?</v>
      </c>
      <c r="AA2355" s="58" t="str">
        <f t="shared" si="2195"/>
        <v>#NAME?</v>
      </c>
      <c r="AB2355" s="58" t="str">
        <f t="shared" si="2195"/>
        <v>#NAME?</v>
      </c>
      <c r="AC2355" s="58" t="str">
        <f t="shared" si="2195"/>
        <v>#NAME?</v>
      </c>
      <c r="AD2355" s="57">
        <f t="shared" si="906"/>
        <v>0</v>
      </c>
      <c r="AE2355" s="57" t="str">
        <f t="shared" si="907"/>
        <v/>
      </c>
      <c r="AF2355" s="57">
        <f t="shared" si="908"/>
        <v>0</v>
      </c>
      <c r="AG2355" s="59">
        <f t="shared" si="909"/>
        <v>0</v>
      </c>
      <c r="AH2355" s="15"/>
      <c r="AI2355" s="15"/>
      <c r="AJ2355" s="15"/>
      <c r="AK2355" s="15"/>
      <c r="AL2355" s="15"/>
      <c r="AM2355" s="15"/>
      <c r="AN2355" s="15"/>
      <c r="AO2355" s="15"/>
      <c r="AP2355" s="15"/>
      <c r="AQ2355" s="15"/>
      <c r="AR2355" s="15"/>
      <c r="AS2355" s="15"/>
      <c r="AT2355" s="15"/>
      <c r="AU2355" s="15"/>
    </row>
    <row r="2356" ht="24.0" customHeight="1">
      <c r="A2356" s="45">
        <v>3780.0</v>
      </c>
      <c r="B2356" s="57"/>
      <c r="C2356" s="57"/>
      <c r="D2356" s="88" t="str">
        <f t="array" ref="D2356">IFERROR(
  LOOKUP(2, 1/((TRIM(IMS!$E$8:$E$2574)=TRIM(IMS!$E2356))*(IMS!$C$8:$C$2574&lt;IMS!$C2356)),
         IMS!$C$8:$C$2574),
"")</f>
        <v/>
      </c>
      <c r="E2356" s="57"/>
      <c r="F2356" s="57"/>
      <c r="G2356" s="77" t="str">
        <f t="shared" si="901"/>
        <v/>
      </c>
      <c r="H2356" s="78" t="str">
        <f t="shared" si="902"/>
        <v/>
      </c>
      <c r="I2356" s="79"/>
      <c r="J2356" s="80" t="str">
        <f t="shared" si="903"/>
        <v>#NAME?</v>
      </c>
      <c r="K2356" s="58"/>
      <c r="L2356" s="58"/>
      <c r="M2356" s="57"/>
      <c r="N2356" s="57"/>
      <c r="O2356" s="58"/>
      <c r="P2356" s="82"/>
      <c r="Q2356" s="81"/>
      <c r="R2356" s="81"/>
      <c r="S2356" s="57"/>
      <c r="T2356" s="82"/>
      <c r="U2356" s="82"/>
      <c r="V2356" s="57"/>
      <c r="W2356" s="57"/>
      <c r="X2356" s="57" t="str">
        <f t="shared" si="917"/>
        <v/>
      </c>
      <c r="Y2356" s="58" t="str">
        <f t="shared" ref="Y2356:AC2356" si="2196">TRIM(SUBSTITUTE(SUBSTITUTE(OFFSET($Q2356,0,COLUMN()-COLUMN($AL$1)),CHAR(160)," "),_xludf.UNICHAR(8239)," "))</f>
        <v>#NAME?</v>
      </c>
      <c r="Z2356" s="58" t="str">
        <f t="shared" si="2196"/>
        <v>#NAME?</v>
      </c>
      <c r="AA2356" s="58" t="str">
        <f t="shared" si="2196"/>
        <v>#NAME?</v>
      </c>
      <c r="AB2356" s="58" t="str">
        <f t="shared" si="2196"/>
        <v>#NAME?</v>
      </c>
      <c r="AC2356" s="58" t="str">
        <f t="shared" si="2196"/>
        <v>#NAME?</v>
      </c>
      <c r="AD2356" s="57">
        <f t="shared" si="906"/>
        <v>0</v>
      </c>
      <c r="AE2356" s="57" t="str">
        <f t="shared" si="907"/>
        <v/>
      </c>
      <c r="AF2356" s="57">
        <f t="shared" si="908"/>
        <v>0</v>
      </c>
      <c r="AG2356" s="59">
        <f t="shared" si="909"/>
        <v>0</v>
      </c>
      <c r="AH2356" s="15"/>
      <c r="AI2356" s="15"/>
      <c r="AJ2356" s="15"/>
      <c r="AK2356" s="15"/>
      <c r="AL2356" s="15"/>
      <c r="AM2356" s="15"/>
      <c r="AN2356" s="15"/>
      <c r="AO2356" s="15"/>
      <c r="AP2356" s="15"/>
      <c r="AQ2356" s="15"/>
      <c r="AR2356" s="15"/>
      <c r="AS2356" s="15"/>
      <c r="AT2356" s="15"/>
      <c r="AU2356" s="15"/>
    </row>
    <row r="2357" ht="24.0" customHeight="1">
      <c r="A2357" s="45">
        <v>3781.0</v>
      </c>
      <c r="B2357" s="57"/>
      <c r="C2357" s="57"/>
      <c r="D2357" s="88" t="str">
        <f t="array" ref="D2357">IFERROR(
  LOOKUP(2, 1/((TRIM(IMS!$E$8:$E$2574)=TRIM(IMS!$E2357))*(IMS!$C$8:$C$2574&lt;IMS!$C2357)),
         IMS!$C$8:$C$2574),
"")</f>
        <v/>
      </c>
      <c r="E2357" s="57"/>
      <c r="F2357" s="57"/>
      <c r="G2357" s="77" t="str">
        <f t="shared" si="901"/>
        <v/>
      </c>
      <c r="H2357" s="78" t="str">
        <f t="shared" si="902"/>
        <v/>
      </c>
      <c r="I2357" s="79"/>
      <c r="J2357" s="80" t="str">
        <f t="shared" si="903"/>
        <v>#NAME?</v>
      </c>
      <c r="K2357" s="58"/>
      <c r="L2357" s="58"/>
      <c r="M2357" s="57"/>
      <c r="N2357" s="57"/>
      <c r="O2357" s="58"/>
      <c r="P2357" s="82"/>
      <c r="Q2357" s="81"/>
      <c r="R2357" s="81"/>
      <c r="S2357" s="57"/>
      <c r="T2357" s="82"/>
      <c r="U2357" s="82"/>
      <c r="V2357" s="57"/>
      <c r="W2357" s="57"/>
      <c r="X2357" s="57" t="str">
        <f t="shared" si="917"/>
        <v/>
      </c>
      <c r="Y2357" s="58" t="str">
        <f t="shared" ref="Y2357:AC2357" si="2197">TRIM(SUBSTITUTE(SUBSTITUTE(OFFSET($Q2357,0,COLUMN()-COLUMN($AL$1)),CHAR(160)," "),_xludf.UNICHAR(8239)," "))</f>
        <v>#NAME?</v>
      </c>
      <c r="Z2357" s="58" t="str">
        <f t="shared" si="2197"/>
        <v>#NAME?</v>
      </c>
      <c r="AA2357" s="58" t="str">
        <f t="shared" si="2197"/>
        <v>#NAME?</v>
      </c>
      <c r="AB2357" s="58" t="str">
        <f t="shared" si="2197"/>
        <v>#NAME?</v>
      </c>
      <c r="AC2357" s="58" t="str">
        <f t="shared" si="2197"/>
        <v>#NAME?</v>
      </c>
      <c r="AD2357" s="57">
        <f t="shared" si="906"/>
        <v>0</v>
      </c>
      <c r="AE2357" s="57" t="str">
        <f t="shared" si="907"/>
        <v/>
      </c>
      <c r="AF2357" s="57">
        <f t="shared" si="908"/>
        <v>0</v>
      </c>
      <c r="AG2357" s="59">
        <f t="shared" si="909"/>
        <v>0</v>
      </c>
      <c r="AH2357" s="15"/>
      <c r="AI2357" s="15"/>
      <c r="AJ2357" s="15"/>
      <c r="AK2357" s="15"/>
      <c r="AL2357" s="15"/>
      <c r="AM2357" s="15"/>
      <c r="AN2357" s="15"/>
      <c r="AO2357" s="15"/>
      <c r="AP2357" s="15"/>
      <c r="AQ2357" s="15"/>
      <c r="AR2357" s="15"/>
      <c r="AS2357" s="15"/>
      <c r="AT2357" s="15"/>
      <c r="AU2357" s="15"/>
    </row>
    <row r="2358" ht="24.0" customHeight="1">
      <c r="A2358" s="45">
        <v>3782.0</v>
      </c>
      <c r="B2358" s="57"/>
      <c r="C2358" s="57"/>
      <c r="D2358" s="88" t="str">
        <f t="array" ref="D2358">IFERROR(
  LOOKUP(2, 1/((TRIM(IMS!$E$8:$E$2574)=TRIM(IMS!$E2358))*(IMS!$C$8:$C$2574&lt;IMS!$C2358)),
         IMS!$C$8:$C$2574),
"")</f>
        <v/>
      </c>
      <c r="E2358" s="57"/>
      <c r="F2358" s="57"/>
      <c r="G2358" s="77" t="str">
        <f t="shared" si="901"/>
        <v/>
      </c>
      <c r="H2358" s="78" t="str">
        <f t="shared" si="902"/>
        <v/>
      </c>
      <c r="I2358" s="79"/>
      <c r="J2358" s="80" t="str">
        <f t="shared" si="903"/>
        <v>#NAME?</v>
      </c>
      <c r="K2358" s="58"/>
      <c r="L2358" s="58"/>
      <c r="M2358" s="57"/>
      <c r="N2358" s="57"/>
      <c r="O2358" s="58"/>
      <c r="P2358" s="82"/>
      <c r="Q2358" s="81"/>
      <c r="R2358" s="81"/>
      <c r="S2358" s="57"/>
      <c r="T2358" s="82"/>
      <c r="U2358" s="82"/>
      <c r="V2358" s="57"/>
      <c r="W2358" s="57"/>
      <c r="X2358" s="57" t="str">
        <f t="shared" si="917"/>
        <v/>
      </c>
      <c r="Y2358" s="58" t="str">
        <f t="shared" ref="Y2358:AC2358" si="2198">TRIM(SUBSTITUTE(SUBSTITUTE(OFFSET($Q2358,0,COLUMN()-COLUMN($AL$1)),CHAR(160)," "),_xludf.UNICHAR(8239)," "))</f>
        <v>#NAME?</v>
      </c>
      <c r="Z2358" s="58" t="str">
        <f t="shared" si="2198"/>
        <v>#NAME?</v>
      </c>
      <c r="AA2358" s="58" t="str">
        <f t="shared" si="2198"/>
        <v>#NAME?</v>
      </c>
      <c r="AB2358" s="58" t="str">
        <f t="shared" si="2198"/>
        <v>#NAME?</v>
      </c>
      <c r="AC2358" s="58" t="str">
        <f t="shared" si="2198"/>
        <v>#NAME?</v>
      </c>
      <c r="AD2358" s="57">
        <f t="shared" si="906"/>
        <v>0</v>
      </c>
      <c r="AE2358" s="57" t="str">
        <f t="shared" si="907"/>
        <v/>
      </c>
      <c r="AF2358" s="57">
        <f t="shared" si="908"/>
        <v>0</v>
      </c>
      <c r="AG2358" s="59">
        <f t="shared" si="909"/>
        <v>0</v>
      </c>
      <c r="AH2358" s="15"/>
      <c r="AI2358" s="15"/>
      <c r="AJ2358" s="15"/>
      <c r="AK2358" s="15"/>
      <c r="AL2358" s="15"/>
      <c r="AM2358" s="15"/>
      <c r="AN2358" s="15"/>
      <c r="AO2358" s="15"/>
      <c r="AP2358" s="15"/>
      <c r="AQ2358" s="15"/>
      <c r="AR2358" s="15"/>
      <c r="AS2358" s="15"/>
      <c r="AT2358" s="15"/>
      <c r="AU2358" s="15"/>
    </row>
    <row r="2359" ht="24.0" customHeight="1">
      <c r="A2359" s="45">
        <v>3783.0</v>
      </c>
      <c r="B2359" s="57"/>
      <c r="C2359" s="57"/>
      <c r="D2359" s="88" t="str">
        <f t="array" ref="D2359">IFERROR(
  LOOKUP(2, 1/((TRIM(IMS!$E$8:$E$2574)=TRIM(IMS!$E2359))*(IMS!$C$8:$C$2574&lt;IMS!$C2359)),
         IMS!$C$8:$C$2574),
"")</f>
        <v/>
      </c>
      <c r="E2359" s="57"/>
      <c r="F2359" s="57"/>
      <c r="G2359" s="77" t="str">
        <f t="shared" si="901"/>
        <v/>
      </c>
      <c r="H2359" s="78" t="str">
        <f t="shared" si="902"/>
        <v/>
      </c>
      <c r="I2359" s="79"/>
      <c r="J2359" s="80" t="str">
        <f t="shared" si="903"/>
        <v>#NAME?</v>
      </c>
      <c r="K2359" s="58"/>
      <c r="L2359" s="58"/>
      <c r="M2359" s="57"/>
      <c r="N2359" s="57"/>
      <c r="O2359" s="58"/>
      <c r="P2359" s="82"/>
      <c r="Q2359" s="81"/>
      <c r="R2359" s="81"/>
      <c r="S2359" s="57"/>
      <c r="T2359" s="82"/>
      <c r="U2359" s="82"/>
      <c r="V2359" s="57"/>
      <c r="W2359" s="57"/>
      <c r="X2359" s="57" t="str">
        <f t="shared" si="917"/>
        <v/>
      </c>
      <c r="Y2359" s="58" t="str">
        <f t="shared" ref="Y2359:AC2359" si="2199">TRIM(SUBSTITUTE(SUBSTITUTE(OFFSET($Q2359,0,COLUMN()-COLUMN($AL$1)),CHAR(160)," "),_xludf.UNICHAR(8239)," "))</f>
        <v>#NAME?</v>
      </c>
      <c r="Z2359" s="58" t="str">
        <f t="shared" si="2199"/>
        <v>#NAME?</v>
      </c>
      <c r="AA2359" s="58" t="str">
        <f t="shared" si="2199"/>
        <v>#NAME?</v>
      </c>
      <c r="AB2359" s="58" t="str">
        <f t="shared" si="2199"/>
        <v>#NAME?</v>
      </c>
      <c r="AC2359" s="58" t="str">
        <f t="shared" si="2199"/>
        <v>#NAME?</v>
      </c>
      <c r="AD2359" s="57">
        <f t="shared" si="906"/>
        <v>0</v>
      </c>
      <c r="AE2359" s="57" t="str">
        <f t="shared" si="907"/>
        <v/>
      </c>
      <c r="AF2359" s="57">
        <f t="shared" si="908"/>
        <v>0</v>
      </c>
      <c r="AG2359" s="59">
        <f t="shared" si="909"/>
        <v>0</v>
      </c>
      <c r="AH2359" s="15"/>
      <c r="AI2359" s="15"/>
      <c r="AJ2359" s="15"/>
      <c r="AK2359" s="15"/>
      <c r="AL2359" s="15"/>
      <c r="AM2359" s="15"/>
      <c r="AN2359" s="15"/>
      <c r="AO2359" s="15"/>
      <c r="AP2359" s="15"/>
      <c r="AQ2359" s="15"/>
      <c r="AR2359" s="15"/>
      <c r="AS2359" s="15"/>
      <c r="AT2359" s="15"/>
      <c r="AU2359" s="15"/>
    </row>
    <row r="2360" ht="24.0" customHeight="1">
      <c r="A2360" s="45">
        <v>3784.0</v>
      </c>
      <c r="B2360" s="57"/>
      <c r="C2360" s="57"/>
      <c r="D2360" s="88" t="str">
        <f t="array" ref="D2360">IFERROR(
  LOOKUP(2, 1/((TRIM(IMS!$E$8:$E$2574)=TRIM(IMS!$E2360))*(IMS!$C$8:$C$2574&lt;IMS!$C2360)),
         IMS!$C$8:$C$2574),
"")</f>
        <v/>
      </c>
      <c r="E2360" s="57"/>
      <c r="F2360" s="57"/>
      <c r="G2360" s="77" t="str">
        <f t="shared" si="901"/>
        <v/>
      </c>
      <c r="H2360" s="78" t="str">
        <f t="shared" si="902"/>
        <v/>
      </c>
      <c r="I2360" s="79"/>
      <c r="J2360" s="80" t="str">
        <f t="shared" si="903"/>
        <v>#NAME?</v>
      </c>
      <c r="K2360" s="58"/>
      <c r="L2360" s="58"/>
      <c r="M2360" s="57"/>
      <c r="N2360" s="57"/>
      <c r="O2360" s="58"/>
      <c r="P2360" s="82"/>
      <c r="Q2360" s="81"/>
      <c r="R2360" s="81"/>
      <c r="S2360" s="57"/>
      <c r="T2360" s="82"/>
      <c r="U2360" s="82"/>
      <c r="V2360" s="57"/>
      <c r="W2360" s="57"/>
      <c r="X2360" s="57" t="str">
        <f t="shared" si="917"/>
        <v/>
      </c>
      <c r="Y2360" s="58" t="str">
        <f t="shared" ref="Y2360:AC2360" si="2200">TRIM(SUBSTITUTE(SUBSTITUTE(OFFSET($Q2360,0,COLUMN()-COLUMN($AL$1)),CHAR(160)," "),_xludf.UNICHAR(8239)," "))</f>
        <v>#NAME?</v>
      </c>
      <c r="Z2360" s="58" t="str">
        <f t="shared" si="2200"/>
        <v>#NAME?</v>
      </c>
      <c r="AA2360" s="58" t="str">
        <f t="shared" si="2200"/>
        <v>#NAME?</v>
      </c>
      <c r="AB2360" s="58" t="str">
        <f t="shared" si="2200"/>
        <v>#NAME?</v>
      </c>
      <c r="AC2360" s="58" t="str">
        <f t="shared" si="2200"/>
        <v>#NAME?</v>
      </c>
      <c r="AD2360" s="57">
        <f t="shared" si="906"/>
        <v>0</v>
      </c>
      <c r="AE2360" s="57" t="str">
        <f t="shared" si="907"/>
        <v/>
      </c>
      <c r="AF2360" s="57">
        <f t="shared" si="908"/>
        <v>0</v>
      </c>
      <c r="AG2360" s="59">
        <f t="shared" si="909"/>
        <v>0</v>
      </c>
      <c r="AH2360" s="15"/>
      <c r="AI2360" s="15"/>
      <c r="AJ2360" s="15"/>
      <c r="AK2360" s="15"/>
      <c r="AL2360" s="15"/>
      <c r="AM2360" s="15"/>
      <c r="AN2360" s="15"/>
      <c r="AO2360" s="15"/>
      <c r="AP2360" s="15"/>
      <c r="AQ2360" s="15"/>
      <c r="AR2360" s="15"/>
      <c r="AS2360" s="15"/>
      <c r="AT2360" s="15"/>
      <c r="AU2360" s="15"/>
    </row>
    <row r="2361" ht="24.0" customHeight="1">
      <c r="A2361" s="45">
        <v>3785.0</v>
      </c>
      <c r="B2361" s="57"/>
      <c r="C2361" s="57"/>
      <c r="D2361" s="88" t="str">
        <f t="array" ref="D2361">IFERROR(
  LOOKUP(2, 1/((TRIM(IMS!$E$8:$E$2574)=TRIM(IMS!$E2361))*(IMS!$C$8:$C$2574&lt;IMS!$C2361)),
         IMS!$C$8:$C$2574),
"")</f>
        <v/>
      </c>
      <c r="E2361" s="57"/>
      <c r="F2361" s="57"/>
      <c r="G2361" s="77" t="str">
        <f t="shared" si="901"/>
        <v/>
      </c>
      <c r="H2361" s="78" t="str">
        <f t="shared" si="902"/>
        <v/>
      </c>
      <c r="I2361" s="79"/>
      <c r="J2361" s="80" t="str">
        <f t="shared" si="903"/>
        <v>#NAME?</v>
      </c>
      <c r="K2361" s="58"/>
      <c r="L2361" s="58"/>
      <c r="M2361" s="57"/>
      <c r="N2361" s="57"/>
      <c r="O2361" s="58"/>
      <c r="P2361" s="82"/>
      <c r="Q2361" s="81"/>
      <c r="R2361" s="81"/>
      <c r="S2361" s="57"/>
      <c r="T2361" s="82"/>
      <c r="U2361" s="82"/>
      <c r="V2361" s="57"/>
      <c r="W2361" s="57"/>
      <c r="X2361" s="57" t="str">
        <f t="shared" si="917"/>
        <v/>
      </c>
      <c r="Y2361" s="58" t="str">
        <f t="shared" ref="Y2361:AC2361" si="2201">TRIM(SUBSTITUTE(SUBSTITUTE(OFFSET($Q2361,0,COLUMN()-COLUMN($AL$1)),CHAR(160)," "),_xludf.UNICHAR(8239)," "))</f>
        <v>#NAME?</v>
      </c>
      <c r="Z2361" s="58" t="str">
        <f t="shared" si="2201"/>
        <v>#NAME?</v>
      </c>
      <c r="AA2361" s="58" t="str">
        <f t="shared" si="2201"/>
        <v>#NAME?</v>
      </c>
      <c r="AB2361" s="58" t="str">
        <f t="shared" si="2201"/>
        <v>#NAME?</v>
      </c>
      <c r="AC2361" s="58" t="str">
        <f t="shared" si="2201"/>
        <v>#NAME?</v>
      </c>
      <c r="AD2361" s="57">
        <f t="shared" si="906"/>
        <v>0</v>
      </c>
      <c r="AE2361" s="57" t="str">
        <f t="shared" si="907"/>
        <v/>
      </c>
      <c r="AF2361" s="57">
        <f t="shared" si="908"/>
        <v>0</v>
      </c>
      <c r="AG2361" s="59">
        <f t="shared" si="909"/>
        <v>0</v>
      </c>
      <c r="AH2361" s="15"/>
      <c r="AI2361" s="15"/>
      <c r="AJ2361" s="15"/>
      <c r="AK2361" s="15"/>
      <c r="AL2361" s="15"/>
      <c r="AM2361" s="15"/>
      <c r="AN2361" s="15"/>
      <c r="AO2361" s="15"/>
      <c r="AP2361" s="15"/>
      <c r="AQ2361" s="15"/>
      <c r="AR2361" s="15"/>
      <c r="AS2361" s="15"/>
      <c r="AT2361" s="15"/>
      <c r="AU2361" s="15"/>
    </row>
    <row r="2362" ht="24.0" customHeight="1">
      <c r="A2362" s="45">
        <v>3786.0</v>
      </c>
      <c r="B2362" s="57"/>
      <c r="C2362" s="57"/>
      <c r="D2362" s="88" t="str">
        <f t="array" ref="D2362">IFERROR(
  LOOKUP(2, 1/((TRIM(IMS!$E$8:$E$2574)=TRIM(IMS!$E2362))*(IMS!$C$8:$C$2574&lt;IMS!$C2362)),
         IMS!$C$8:$C$2574),
"")</f>
        <v/>
      </c>
      <c r="E2362" s="57"/>
      <c r="F2362" s="57"/>
      <c r="G2362" s="77" t="str">
        <f t="shared" si="901"/>
        <v/>
      </c>
      <c r="H2362" s="78" t="str">
        <f t="shared" si="902"/>
        <v/>
      </c>
      <c r="I2362" s="79"/>
      <c r="J2362" s="80" t="str">
        <f t="shared" si="903"/>
        <v>#NAME?</v>
      </c>
      <c r="K2362" s="58"/>
      <c r="L2362" s="58"/>
      <c r="M2362" s="57"/>
      <c r="N2362" s="57"/>
      <c r="O2362" s="58"/>
      <c r="P2362" s="82"/>
      <c r="Q2362" s="81"/>
      <c r="R2362" s="81"/>
      <c r="S2362" s="57"/>
      <c r="T2362" s="82"/>
      <c r="U2362" s="82"/>
      <c r="V2362" s="57"/>
      <c r="W2362" s="57"/>
      <c r="X2362" s="57" t="str">
        <f t="shared" si="917"/>
        <v/>
      </c>
      <c r="Y2362" s="58" t="str">
        <f t="shared" ref="Y2362:AC2362" si="2202">TRIM(SUBSTITUTE(SUBSTITUTE(OFFSET($Q2362,0,COLUMN()-COLUMN($AL$1)),CHAR(160)," "),_xludf.UNICHAR(8239)," "))</f>
        <v>#NAME?</v>
      </c>
      <c r="Z2362" s="58" t="str">
        <f t="shared" si="2202"/>
        <v>#NAME?</v>
      </c>
      <c r="AA2362" s="58" t="str">
        <f t="shared" si="2202"/>
        <v>#NAME?</v>
      </c>
      <c r="AB2362" s="58" t="str">
        <f t="shared" si="2202"/>
        <v>#NAME?</v>
      </c>
      <c r="AC2362" s="58" t="str">
        <f t="shared" si="2202"/>
        <v>#NAME?</v>
      </c>
      <c r="AD2362" s="57">
        <f t="shared" si="906"/>
        <v>0</v>
      </c>
      <c r="AE2362" s="57" t="str">
        <f t="shared" si="907"/>
        <v/>
      </c>
      <c r="AF2362" s="57">
        <f t="shared" si="908"/>
        <v>0</v>
      </c>
      <c r="AG2362" s="59">
        <f t="shared" si="909"/>
        <v>0</v>
      </c>
      <c r="AH2362" s="15"/>
      <c r="AI2362" s="15"/>
      <c r="AJ2362" s="15"/>
      <c r="AK2362" s="15"/>
      <c r="AL2362" s="15"/>
      <c r="AM2362" s="15"/>
      <c r="AN2362" s="15"/>
      <c r="AO2362" s="15"/>
      <c r="AP2362" s="15"/>
      <c r="AQ2362" s="15"/>
      <c r="AR2362" s="15"/>
      <c r="AS2362" s="15"/>
      <c r="AT2362" s="15"/>
      <c r="AU2362" s="15"/>
    </row>
    <row r="2363" ht="24.0" customHeight="1">
      <c r="A2363" s="45">
        <v>3787.0</v>
      </c>
      <c r="B2363" s="57"/>
      <c r="C2363" s="57"/>
      <c r="D2363" s="88" t="str">
        <f t="array" ref="D2363">IFERROR(
  LOOKUP(2, 1/((TRIM(IMS!$E$8:$E$2574)=TRIM(IMS!$E2363))*(IMS!$C$8:$C$2574&lt;IMS!$C2363)),
         IMS!$C$8:$C$2574),
"")</f>
        <v/>
      </c>
      <c r="E2363" s="57"/>
      <c r="F2363" s="57"/>
      <c r="G2363" s="77" t="str">
        <f t="shared" si="901"/>
        <v/>
      </c>
      <c r="H2363" s="78" t="str">
        <f t="shared" si="902"/>
        <v/>
      </c>
      <c r="I2363" s="79"/>
      <c r="J2363" s="80" t="str">
        <f t="shared" si="903"/>
        <v>#NAME?</v>
      </c>
      <c r="K2363" s="58"/>
      <c r="L2363" s="58"/>
      <c r="M2363" s="57"/>
      <c r="N2363" s="57"/>
      <c r="O2363" s="58"/>
      <c r="P2363" s="82"/>
      <c r="Q2363" s="81"/>
      <c r="R2363" s="81"/>
      <c r="S2363" s="57"/>
      <c r="T2363" s="82"/>
      <c r="U2363" s="82"/>
      <c r="V2363" s="57"/>
      <c r="W2363" s="57"/>
      <c r="X2363" s="57" t="str">
        <f t="shared" si="917"/>
        <v/>
      </c>
      <c r="Y2363" s="58" t="str">
        <f t="shared" ref="Y2363:AC2363" si="2203">TRIM(SUBSTITUTE(SUBSTITUTE(OFFSET($Q2363,0,COLUMN()-COLUMN($AL$1)),CHAR(160)," "),_xludf.UNICHAR(8239)," "))</f>
        <v>#NAME?</v>
      </c>
      <c r="Z2363" s="58" t="str">
        <f t="shared" si="2203"/>
        <v>#NAME?</v>
      </c>
      <c r="AA2363" s="58" t="str">
        <f t="shared" si="2203"/>
        <v>#NAME?</v>
      </c>
      <c r="AB2363" s="58" t="str">
        <f t="shared" si="2203"/>
        <v>#NAME?</v>
      </c>
      <c r="AC2363" s="58" t="str">
        <f t="shared" si="2203"/>
        <v>#NAME?</v>
      </c>
      <c r="AD2363" s="57">
        <f t="shared" si="906"/>
        <v>0</v>
      </c>
      <c r="AE2363" s="57" t="str">
        <f t="shared" si="907"/>
        <v/>
      </c>
      <c r="AF2363" s="57">
        <f t="shared" si="908"/>
        <v>0</v>
      </c>
      <c r="AG2363" s="59">
        <f t="shared" si="909"/>
        <v>0</v>
      </c>
      <c r="AH2363" s="15"/>
      <c r="AI2363" s="15"/>
      <c r="AJ2363" s="15"/>
      <c r="AK2363" s="15"/>
      <c r="AL2363" s="15"/>
      <c r="AM2363" s="15"/>
      <c r="AN2363" s="15"/>
      <c r="AO2363" s="15"/>
      <c r="AP2363" s="15"/>
      <c r="AQ2363" s="15"/>
      <c r="AR2363" s="15"/>
      <c r="AS2363" s="15"/>
      <c r="AT2363" s="15"/>
      <c r="AU2363" s="15"/>
    </row>
    <row r="2364" ht="24.0" customHeight="1">
      <c r="A2364" s="45">
        <v>3788.0</v>
      </c>
      <c r="B2364" s="57"/>
      <c r="C2364" s="57"/>
      <c r="D2364" s="88" t="str">
        <f t="array" ref="D2364">IFERROR(
  LOOKUP(2, 1/((TRIM(IMS!$E$8:$E$2574)=TRIM(IMS!$E2364))*(IMS!$C$8:$C$2574&lt;IMS!$C2364)),
         IMS!$C$8:$C$2574),
"")</f>
        <v/>
      </c>
      <c r="E2364" s="57"/>
      <c r="F2364" s="57"/>
      <c r="G2364" s="77" t="str">
        <f t="shared" si="901"/>
        <v/>
      </c>
      <c r="H2364" s="78" t="str">
        <f t="shared" si="902"/>
        <v/>
      </c>
      <c r="I2364" s="79"/>
      <c r="J2364" s="80" t="str">
        <f t="shared" si="903"/>
        <v>#NAME?</v>
      </c>
      <c r="K2364" s="58"/>
      <c r="L2364" s="58"/>
      <c r="M2364" s="57"/>
      <c r="N2364" s="57"/>
      <c r="O2364" s="58"/>
      <c r="P2364" s="82"/>
      <c r="Q2364" s="81"/>
      <c r="R2364" s="81"/>
      <c r="S2364" s="57"/>
      <c r="T2364" s="82"/>
      <c r="U2364" s="82"/>
      <c r="V2364" s="57"/>
      <c r="W2364" s="57"/>
      <c r="X2364" s="57" t="str">
        <f t="shared" si="917"/>
        <v/>
      </c>
      <c r="Y2364" s="58" t="str">
        <f t="shared" ref="Y2364:AC2364" si="2204">TRIM(SUBSTITUTE(SUBSTITUTE(OFFSET($Q2364,0,COLUMN()-COLUMN($AL$1)),CHAR(160)," "),_xludf.UNICHAR(8239)," "))</f>
        <v>#NAME?</v>
      </c>
      <c r="Z2364" s="58" t="str">
        <f t="shared" si="2204"/>
        <v>#NAME?</v>
      </c>
      <c r="AA2364" s="58" t="str">
        <f t="shared" si="2204"/>
        <v>#NAME?</v>
      </c>
      <c r="AB2364" s="58" t="str">
        <f t="shared" si="2204"/>
        <v>#NAME?</v>
      </c>
      <c r="AC2364" s="58" t="str">
        <f t="shared" si="2204"/>
        <v>#NAME?</v>
      </c>
      <c r="AD2364" s="57">
        <f t="shared" si="906"/>
        <v>0</v>
      </c>
      <c r="AE2364" s="57" t="str">
        <f t="shared" si="907"/>
        <v/>
      </c>
      <c r="AF2364" s="57">
        <f t="shared" si="908"/>
        <v>0</v>
      </c>
      <c r="AG2364" s="59">
        <f t="shared" si="909"/>
        <v>0</v>
      </c>
      <c r="AH2364" s="15"/>
      <c r="AI2364" s="15"/>
      <c r="AJ2364" s="15"/>
      <c r="AK2364" s="15"/>
      <c r="AL2364" s="15"/>
      <c r="AM2364" s="15"/>
      <c r="AN2364" s="15"/>
      <c r="AO2364" s="15"/>
      <c r="AP2364" s="15"/>
      <c r="AQ2364" s="15"/>
      <c r="AR2364" s="15"/>
      <c r="AS2364" s="15"/>
      <c r="AT2364" s="15"/>
      <c r="AU2364" s="15"/>
    </row>
    <row r="2365" ht="24.0" customHeight="1">
      <c r="A2365" s="45">
        <v>3789.0</v>
      </c>
      <c r="B2365" s="57"/>
      <c r="C2365" s="57"/>
      <c r="D2365" s="88" t="str">
        <f t="array" ref="D2365">IFERROR(
  LOOKUP(2, 1/((TRIM(IMS!$E$8:$E$2574)=TRIM(IMS!$E2365))*(IMS!$C$8:$C$2574&lt;IMS!$C2365)),
         IMS!$C$8:$C$2574),
"")</f>
        <v/>
      </c>
      <c r="E2365" s="57"/>
      <c r="F2365" s="57"/>
      <c r="G2365" s="77" t="str">
        <f t="shared" si="901"/>
        <v/>
      </c>
      <c r="H2365" s="78" t="str">
        <f t="shared" si="902"/>
        <v/>
      </c>
      <c r="I2365" s="79"/>
      <c r="J2365" s="80" t="str">
        <f t="shared" si="903"/>
        <v>#NAME?</v>
      </c>
      <c r="K2365" s="58"/>
      <c r="L2365" s="58"/>
      <c r="M2365" s="57"/>
      <c r="N2365" s="57"/>
      <c r="O2365" s="58"/>
      <c r="P2365" s="82"/>
      <c r="Q2365" s="81"/>
      <c r="R2365" s="81"/>
      <c r="S2365" s="57"/>
      <c r="T2365" s="82"/>
      <c r="U2365" s="82"/>
      <c r="V2365" s="57"/>
      <c r="W2365" s="57"/>
      <c r="X2365" s="57" t="str">
        <f t="shared" si="917"/>
        <v/>
      </c>
      <c r="Y2365" s="58" t="str">
        <f t="shared" ref="Y2365:AC2365" si="2205">TRIM(SUBSTITUTE(SUBSTITUTE(OFFSET($Q2365,0,COLUMN()-COLUMN($AL$1)),CHAR(160)," "),_xludf.UNICHAR(8239)," "))</f>
        <v>#NAME?</v>
      </c>
      <c r="Z2365" s="58" t="str">
        <f t="shared" si="2205"/>
        <v>#NAME?</v>
      </c>
      <c r="AA2365" s="58" t="str">
        <f t="shared" si="2205"/>
        <v>#NAME?</v>
      </c>
      <c r="AB2365" s="58" t="str">
        <f t="shared" si="2205"/>
        <v>#NAME?</v>
      </c>
      <c r="AC2365" s="58" t="str">
        <f t="shared" si="2205"/>
        <v>#NAME?</v>
      </c>
      <c r="AD2365" s="57">
        <f t="shared" si="906"/>
        <v>0</v>
      </c>
      <c r="AE2365" s="57" t="str">
        <f t="shared" si="907"/>
        <v/>
      </c>
      <c r="AF2365" s="57">
        <f t="shared" si="908"/>
        <v>0</v>
      </c>
      <c r="AG2365" s="59">
        <f t="shared" si="909"/>
        <v>0</v>
      </c>
      <c r="AH2365" s="15"/>
      <c r="AI2365" s="15"/>
      <c r="AJ2365" s="15"/>
      <c r="AK2365" s="15"/>
      <c r="AL2365" s="15"/>
      <c r="AM2365" s="15"/>
      <c r="AN2365" s="15"/>
      <c r="AO2365" s="15"/>
      <c r="AP2365" s="15"/>
      <c r="AQ2365" s="15"/>
      <c r="AR2365" s="15"/>
      <c r="AS2365" s="15"/>
      <c r="AT2365" s="15"/>
      <c r="AU2365" s="15"/>
    </row>
    <row r="2366" ht="24.0" customHeight="1">
      <c r="A2366" s="45">
        <v>3790.0</v>
      </c>
      <c r="B2366" s="57"/>
      <c r="C2366" s="57"/>
      <c r="D2366" s="88" t="str">
        <f t="array" ref="D2366">IFERROR(
  LOOKUP(2, 1/((TRIM(IMS!$E$8:$E$2574)=TRIM(IMS!$E2366))*(IMS!$C$8:$C$2574&lt;IMS!$C2366)),
         IMS!$C$8:$C$2574),
"")</f>
        <v/>
      </c>
      <c r="E2366" s="57"/>
      <c r="F2366" s="57"/>
      <c r="G2366" s="77" t="str">
        <f t="shared" si="901"/>
        <v/>
      </c>
      <c r="H2366" s="78" t="str">
        <f t="shared" si="902"/>
        <v/>
      </c>
      <c r="I2366" s="79"/>
      <c r="J2366" s="80" t="str">
        <f t="shared" si="903"/>
        <v>#NAME?</v>
      </c>
      <c r="K2366" s="58"/>
      <c r="L2366" s="58"/>
      <c r="M2366" s="57"/>
      <c r="N2366" s="57"/>
      <c r="O2366" s="58"/>
      <c r="P2366" s="82"/>
      <c r="Q2366" s="81"/>
      <c r="R2366" s="81"/>
      <c r="S2366" s="57"/>
      <c r="T2366" s="82"/>
      <c r="U2366" s="82"/>
      <c r="V2366" s="57"/>
      <c r="W2366" s="57"/>
      <c r="X2366" s="57" t="str">
        <f t="shared" si="917"/>
        <v/>
      </c>
      <c r="Y2366" s="58" t="str">
        <f t="shared" ref="Y2366:AC2366" si="2206">TRIM(SUBSTITUTE(SUBSTITUTE(OFFSET($Q2366,0,COLUMN()-COLUMN($AL$1)),CHAR(160)," "),_xludf.UNICHAR(8239)," "))</f>
        <v>#NAME?</v>
      </c>
      <c r="Z2366" s="58" t="str">
        <f t="shared" si="2206"/>
        <v>#NAME?</v>
      </c>
      <c r="AA2366" s="58" t="str">
        <f t="shared" si="2206"/>
        <v>#NAME?</v>
      </c>
      <c r="AB2366" s="58" t="str">
        <f t="shared" si="2206"/>
        <v>#NAME?</v>
      </c>
      <c r="AC2366" s="58" t="str">
        <f t="shared" si="2206"/>
        <v>#NAME?</v>
      </c>
      <c r="AD2366" s="57">
        <f t="shared" si="906"/>
        <v>0</v>
      </c>
      <c r="AE2366" s="57" t="str">
        <f t="shared" si="907"/>
        <v/>
      </c>
      <c r="AF2366" s="57">
        <f t="shared" si="908"/>
        <v>0</v>
      </c>
      <c r="AG2366" s="59">
        <f t="shared" si="909"/>
        <v>0</v>
      </c>
      <c r="AH2366" s="15"/>
      <c r="AI2366" s="15"/>
      <c r="AJ2366" s="15"/>
      <c r="AK2366" s="15"/>
      <c r="AL2366" s="15"/>
      <c r="AM2366" s="15"/>
      <c r="AN2366" s="15"/>
      <c r="AO2366" s="15"/>
      <c r="AP2366" s="15"/>
      <c r="AQ2366" s="15"/>
      <c r="AR2366" s="15"/>
      <c r="AS2366" s="15"/>
      <c r="AT2366" s="15"/>
      <c r="AU2366" s="15"/>
    </row>
    <row r="2367" ht="24.0" customHeight="1">
      <c r="A2367" s="45">
        <v>3791.0</v>
      </c>
      <c r="B2367" s="57"/>
      <c r="C2367" s="57"/>
      <c r="D2367" s="88" t="str">
        <f t="array" ref="D2367">IFERROR(
  LOOKUP(2, 1/((TRIM(IMS!$E$8:$E$2574)=TRIM(IMS!$E2367))*(IMS!$C$8:$C$2574&lt;IMS!$C2367)),
         IMS!$C$8:$C$2574),
"")</f>
        <v/>
      </c>
      <c r="E2367" s="57"/>
      <c r="F2367" s="57"/>
      <c r="G2367" s="77" t="str">
        <f t="shared" si="901"/>
        <v/>
      </c>
      <c r="H2367" s="78" t="str">
        <f t="shared" si="902"/>
        <v/>
      </c>
      <c r="I2367" s="79"/>
      <c r="J2367" s="80" t="str">
        <f t="shared" si="903"/>
        <v>#NAME?</v>
      </c>
      <c r="K2367" s="58"/>
      <c r="L2367" s="58"/>
      <c r="M2367" s="57"/>
      <c r="N2367" s="57"/>
      <c r="O2367" s="58"/>
      <c r="P2367" s="82"/>
      <c r="Q2367" s="81"/>
      <c r="R2367" s="81"/>
      <c r="S2367" s="57"/>
      <c r="T2367" s="82"/>
      <c r="U2367" s="82"/>
      <c r="V2367" s="57"/>
      <c r="W2367" s="57"/>
      <c r="X2367" s="57" t="str">
        <f t="shared" si="917"/>
        <v/>
      </c>
      <c r="Y2367" s="58" t="str">
        <f t="shared" ref="Y2367:AC2367" si="2207">TRIM(SUBSTITUTE(SUBSTITUTE(OFFSET($Q2367,0,COLUMN()-COLUMN($AL$1)),CHAR(160)," "),_xludf.UNICHAR(8239)," "))</f>
        <v>#NAME?</v>
      </c>
      <c r="Z2367" s="58" t="str">
        <f t="shared" si="2207"/>
        <v>#NAME?</v>
      </c>
      <c r="AA2367" s="58" t="str">
        <f t="shared" si="2207"/>
        <v>#NAME?</v>
      </c>
      <c r="AB2367" s="58" t="str">
        <f t="shared" si="2207"/>
        <v>#NAME?</v>
      </c>
      <c r="AC2367" s="58" t="str">
        <f t="shared" si="2207"/>
        <v>#NAME?</v>
      </c>
      <c r="AD2367" s="57">
        <f t="shared" si="906"/>
        <v>0</v>
      </c>
      <c r="AE2367" s="57" t="str">
        <f t="shared" si="907"/>
        <v/>
      </c>
      <c r="AF2367" s="57">
        <f t="shared" si="908"/>
        <v>0</v>
      </c>
      <c r="AG2367" s="59">
        <f t="shared" si="909"/>
        <v>0</v>
      </c>
      <c r="AH2367" s="15"/>
      <c r="AI2367" s="15"/>
      <c r="AJ2367" s="15"/>
      <c r="AK2367" s="15"/>
      <c r="AL2367" s="15"/>
      <c r="AM2367" s="15"/>
      <c r="AN2367" s="15"/>
      <c r="AO2367" s="15"/>
      <c r="AP2367" s="15"/>
      <c r="AQ2367" s="15"/>
      <c r="AR2367" s="15"/>
      <c r="AS2367" s="15"/>
      <c r="AT2367" s="15"/>
      <c r="AU2367" s="15"/>
    </row>
    <row r="2368" ht="24.0" customHeight="1">
      <c r="A2368" s="45">
        <v>3792.0</v>
      </c>
      <c r="B2368" s="57"/>
      <c r="C2368" s="57"/>
      <c r="D2368" s="88" t="str">
        <f t="array" ref="D2368">IFERROR(
  LOOKUP(2, 1/((TRIM(IMS!$E$8:$E$2574)=TRIM(IMS!$E2368))*(IMS!$C$8:$C$2574&lt;IMS!$C2368)),
         IMS!$C$8:$C$2574),
"")</f>
        <v/>
      </c>
      <c r="E2368" s="57"/>
      <c r="F2368" s="57"/>
      <c r="G2368" s="77" t="str">
        <f t="shared" si="901"/>
        <v/>
      </c>
      <c r="H2368" s="78" t="str">
        <f t="shared" si="902"/>
        <v/>
      </c>
      <c r="I2368" s="79"/>
      <c r="J2368" s="80" t="str">
        <f t="shared" si="903"/>
        <v>#NAME?</v>
      </c>
      <c r="K2368" s="58"/>
      <c r="L2368" s="58"/>
      <c r="M2368" s="57"/>
      <c r="N2368" s="57"/>
      <c r="O2368" s="58"/>
      <c r="P2368" s="82"/>
      <c r="Q2368" s="81"/>
      <c r="R2368" s="81"/>
      <c r="S2368" s="57"/>
      <c r="T2368" s="82"/>
      <c r="U2368" s="82"/>
      <c r="V2368" s="57"/>
      <c r="W2368" s="57"/>
      <c r="X2368" s="57" t="str">
        <f t="shared" si="917"/>
        <v/>
      </c>
      <c r="Y2368" s="58" t="str">
        <f t="shared" ref="Y2368:AC2368" si="2208">TRIM(SUBSTITUTE(SUBSTITUTE(OFFSET($Q2368,0,COLUMN()-COLUMN($AL$1)),CHAR(160)," "),_xludf.UNICHAR(8239)," "))</f>
        <v>#NAME?</v>
      </c>
      <c r="Z2368" s="58" t="str">
        <f t="shared" si="2208"/>
        <v>#NAME?</v>
      </c>
      <c r="AA2368" s="58" t="str">
        <f t="shared" si="2208"/>
        <v>#NAME?</v>
      </c>
      <c r="AB2368" s="58" t="str">
        <f t="shared" si="2208"/>
        <v>#NAME?</v>
      </c>
      <c r="AC2368" s="58" t="str">
        <f t="shared" si="2208"/>
        <v>#NAME?</v>
      </c>
      <c r="AD2368" s="57">
        <f t="shared" si="906"/>
        <v>0</v>
      </c>
      <c r="AE2368" s="57" t="str">
        <f t="shared" si="907"/>
        <v/>
      </c>
      <c r="AF2368" s="57">
        <f t="shared" si="908"/>
        <v>0</v>
      </c>
      <c r="AG2368" s="59">
        <f t="shared" si="909"/>
        <v>0</v>
      </c>
      <c r="AH2368" s="15"/>
      <c r="AI2368" s="15"/>
      <c r="AJ2368" s="15"/>
      <c r="AK2368" s="15"/>
      <c r="AL2368" s="15"/>
      <c r="AM2368" s="15"/>
      <c r="AN2368" s="15"/>
      <c r="AO2368" s="15"/>
      <c r="AP2368" s="15"/>
      <c r="AQ2368" s="15"/>
      <c r="AR2368" s="15"/>
      <c r="AS2368" s="15"/>
      <c r="AT2368" s="15"/>
      <c r="AU2368" s="15"/>
    </row>
    <row r="2369" ht="24.0" customHeight="1">
      <c r="A2369" s="45">
        <v>3793.0</v>
      </c>
      <c r="B2369" s="57"/>
      <c r="C2369" s="57"/>
      <c r="D2369" s="88" t="str">
        <f t="array" ref="D2369">IFERROR(
  LOOKUP(2, 1/((TRIM(IMS!$E$8:$E$2574)=TRIM(IMS!$E2369))*(IMS!$C$8:$C$2574&lt;IMS!$C2369)),
         IMS!$C$8:$C$2574),
"")</f>
        <v/>
      </c>
      <c r="E2369" s="57"/>
      <c r="F2369" s="57"/>
      <c r="G2369" s="77" t="str">
        <f t="shared" si="901"/>
        <v/>
      </c>
      <c r="H2369" s="78" t="str">
        <f t="shared" si="902"/>
        <v/>
      </c>
      <c r="I2369" s="79"/>
      <c r="J2369" s="80" t="str">
        <f t="shared" si="903"/>
        <v>#NAME?</v>
      </c>
      <c r="K2369" s="58"/>
      <c r="L2369" s="58"/>
      <c r="M2369" s="57"/>
      <c r="N2369" s="57"/>
      <c r="O2369" s="58"/>
      <c r="P2369" s="82"/>
      <c r="Q2369" s="81"/>
      <c r="R2369" s="81"/>
      <c r="S2369" s="57"/>
      <c r="T2369" s="82"/>
      <c r="U2369" s="82"/>
      <c r="V2369" s="57"/>
      <c r="W2369" s="57"/>
      <c r="X2369" s="57" t="str">
        <f t="shared" si="917"/>
        <v/>
      </c>
      <c r="Y2369" s="58" t="str">
        <f t="shared" ref="Y2369:AC2369" si="2209">TRIM(SUBSTITUTE(SUBSTITUTE(OFFSET($Q2369,0,COLUMN()-COLUMN($AL$1)),CHAR(160)," "),_xludf.UNICHAR(8239)," "))</f>
        <v>#NAME?</v>
      </c>
      <c r="Z2369" s="58" t="str">
        <f t="shared" si="2209"/>
        <v>#NAME?</v>
      </c>
      <c r="AA2369" s="58" t="str">
        <f t="shared" si="2209"/>
        <v>#NAME?</v>
      </c>
      <c r="AB2369" s="58" t="str">
        <f t="shared" si="2209"/>
        <v>#NAME?</v>
      </c>
      <c r="AC2369" s="58" t="str">
        <f t="shared" si="2209"/>
        <v>#NAME?</v>
      </c>
      <c r="AD2369" s="57">
        <f t="shared" si="906"/>
        <v>0</v>
      </c>
      <c r="AE2369" s="57" t="str">
        <f t="shared" si="907"/>
        <v/>
      </c>
      <c r="AF2369" s="57">
        <f t="shared" si="908"/>
        <v>0</v>
      </c>
      <c r="AG2369" s="59">
        <f t="shared" si="909"/>
        <v>0</v>
      </c>
      <c r="AH2369" s="15"/>
      <c r="AI2369" s="15"/>
      <c r="AJ2369" s="15"/>
      <c r="AK2369" s="15"/>
      <c r="AL2369" s="15"/>
      <c r="AM2369" s="15"/>
      <c r="AN2369" s="15"/>
      <c r="AO2369" s="15"/>
      <c r="AP2369" s="15"/>
      <c r="AQ2369" s="15"/>
      <c r="AR2369" s="15"/>
      <c r="AS2369" s="15"/>
      <c r="AT2369" s="15"/>
      <c r="AU2369" s="15"/>
    </row>
    <row r="2370" ht="24.0" customHeight="1">
      <c r="A2370" s="45">
        <v>3794.0</v>
      </c>
      <c r="B2370" s="57"/>
      <c r="C2370" s="57"/>
      <c r="D2370" s="88" t="str">
        <f t="array" ref="D2370">IFERROR(
  LOOKUP(2, 1/((TRIM(IMS!$E$8:$E$2574)=TRIM(IMS!$E2370))*(IMS!$C$8:$C$2574&lt;IMS!$C2370)),
         IMS!$C$8:$C$2574),
"")</f>
        <v/>
      </c>
      <c r="E2370" s="57"/>
      <c r="F2370" s="57"/>
      <c r="G2370" s="77" t="str">
        <f t="shared" si="901"/>
        <v/>
      </c>
      <c r="H2370" s="78" t="str">
        <f t="shared" si="902"/>
        <v/>
      </c>
      <c r="I2370" s="79"/>
      <c r="J2370" s="80" t="str">
        <f t="shared" si="903"/>
        <v>#NAME?</v>
      </c>
      <c r="K2370" s="58"/>
      <c r="L2370" s="58"/>
      <c r="M2370" s="57"/>
      <c r="N2370" s="57"/>
      <c r="O2370" s="58"/>
      <c r="P2370" s="82"/>
      <c r="Q2370" s="81"/>
      <c r="R2370" s="81"/>
      <c r="S2370" s="57"/>
      <c r="T2370" s="82"/>
      <c r="U2370" s="82"/>
      <c r="V2370" s="57"/>
      <c r="W2370" s="57"/>
      <c r="X2370" s="57" t="str">
        <f t="shared" si="917"/>
        <v/>
      </c>
      <c r="Y2370" s="58" t="str">
        <f t="shared" ref="Y2370:AC2370" si="2210">TRIM(SUBSTITUTE(SUBSTITUTE(OFFSET($Q2370,0,COLUMN()-COLUMN($AL$1)),CHAR(160)," "),_xludf.UNICHAR(8239)," "))</f>
        <v>#NAME?</v>
      </c>
      <c r="Z2370" s="58" t="str">
        <f t="shared" si="2210"/>
        <v>#NAME?</v>
      </c>
      <c r="AA2370" s="58" t="str">
        <f t="shared" si="2210"/>
        <v>#NAME?</v>
      </c>
      <c r="AB2370" s="58" t="str">
        <f t="shared" si="2210"/>
        <v>#NAME?</v>
      </c>
      <c r="AC2370" s="58" t="str">
        <f t="shared" si="2210"/>
        <v>#NAME?</v>
      </c>
      <c r="AD2370" s="57">
        <f t="shared" si="906"/>
        <v>0</v>
      </c>
      <c r="AE2370" s="57" t="str">
        <f t="shared" si="907"/>
        <v/>
      </c>
      <c r="AF2370" s="57">
        <f t="shared" si="908"/>
        <v>0</v>
      </c>
      <c r="AG2370" s="59">
        <f t="shared" si="909"/>
        <v>0</v>
      </c>
      <c r="AH2370" s="15"/>
      <c r="AI2370" s="15"/>
      <c r="AJ2370" s="15"/>
      <c r="AK2370" s="15"/>
      <c r="AL2370" s="15"/>
      <c r="AM2370" s="15"/>
      <c r="AN2370" s="15"/>
      <c r="AO2370" s="15"/>
      <c r="AP2370" s="15"/>
      <c r="AQ2370" s="15"/>
      <c r="AR2370" s="15"/>
      <c r="AS2370" s="15"/>
      <c r="AT2370" s="15"/>
      <c r="AU2370" s="15"/>
    </row>
    <row r="2371" ht="24.0" customHeight="1">
      <c r="A2371" s="45">
        <v>3795.0</v>
      </c>
      <c r="B2371" s="57"/>
      <c r="C2371" s="57"/>
      <c r="D2371" s="88" t="str">
        <f t="array" ref="D2371">IFERROR(
  LOOKUP(2, 1/((TRIM(IMS!$E$8:$E$2574)=TRIM(IMS!$E2371))*(IMS!$C$8:$C$2574&lt;IMS!$C2371)),
         IMS!$C$8:$C$2574),
"")</f>
        <v/>
      </c>
      <c r="E2371" s="57"/>
      <c r="F2371" s="57"/>
      <c r="G2371" s="77" t="str">
        <f t="shared" si="901"/>
        <v/>
      </c>
      <c r="H2371" s="78" t="str">
        <f t="shared" si="902"/>
        <v/>
      </c>
      <c r="I2371" s="79"/>
      <c r="J2371" s="80" t="str">
        <f t="shared" si="903"/>
        <v>#NAME?</v>
      </c>
      <c r="K2371" s="58"/>
      <c r="L2371" s="58"/>
      <c r="M2371" s="57"/>
      <c r="N2371" s="57"/>
      <c r="O2371" s="58"/>
      <c r="P2371" s="82"/>
      <c r="Q2371" s="81"/>
      <c r="R2371" s="81"/>
      <c r="S2371" s="57"/>
      <c r="T2371" s="82"/>
      <c r="U2371" s="82"/>
      <c r="V2371" s="57"/>
      <c r="W2371" s="57"/>
      <c r="X2371" s="57" t="str">
        <f t="shared" si="917"/>
        <v/>
      </c>
      <c r="Y2371" s="58" t="str">
        <f t="shared" ref="Y2371:AC2371" si="2211">TRIM(SUBSTITUTE(SUBSTITUTE(OFFSET($Q2371,0,COLUMN()-COLUMN($AL$1)),CHAR(160)," "),_xludf.UNICHAR(8239)," "))</f>
        <v>#NAME?</v>
      </c>
      <c r="Z2371" s="58" t="str">
        <f t="shared" si="2211"/>
        <v>#NAME?</v>
      </c>
      <c r="AA2371" s="58" t="str">
        <f t="shared" si="2211"/>
        <v>#NAME?</v>
      </c>
      <c r="AB2371" s="58" t="str">
        <f t="shared" si="2211"/>
        <v>#NAME?</v>
      </c>
      <c r="AC2371" s="58" t="str">
        <f t="shared" si="2211"/>
        <v>#NAME?</v>
      </c>
      <c r="AD2371" s="57">
        <f t="shared" si="906"/>
        <v>0</v>
      </c>
      <c r="AE2371" s="57" t="str">
        <f t="shared" si="907"/>
        <v/>
      </c>
      <c r="AF2371" s="57">
        <f t="shared" si="908"/>
        <v>0</v>
      </c>
      <c r="AG2371" s="59">
        <f t="shared" si="909"/>
        <v>0</v>
      </c>
      <c r="AH2371" s="15"/>
      <c r="AI2371" s="15"/>
      <c r="AJ2371" s="15"/>
      <c r="AK2371" s="15"/>
      <c r="AL2371" s="15"/>
      <c r="AM2371" s="15"/>
      <c r="AN2371" s="15"/>
      <c r="AO2371" s="15"/>
      <c r="AP2371" s="15"/>
      <c r="AQ2371" s="15"/>
      <c r="AR2371" s="15"/>
      <c r="AS2371" s="15"/>
      <c r="AT2371" s="15"/>
      <c r="AU2371" s="15"/>
    </row>
    <row r="2372" ht="24.0" customHeight="1">
      <c r="A2372" s="45">
        <v>3796.0</v>
      </c>
      <c r="B2372" s="57"/>
      <c r="C2372" s="57"/>
      <c r="D2372" s="88" t="str">
        <f t="array" ref="D2372">IFERROR(
  LOOKUP(2, 1/((TRIM(IMS!$E$8:$E$2574)=TRIM(IMS!$E2372))*(IMS!$C$8:$C$2574&lt;IMS!$C2372)),
         IMS!$C$8:$C$2574),
"")</f>
        <v/>
      </c>
      <c r="E2372" s="57"/>
      <c r="F2372" s="57"/>
      <c r="G2372" s="77" t="str">
        <f t="shared" si="901"/>
        <v/>
      </c>
      <c r="H2372" s="78" t="str">
        <f t="shared" si="902"/>
        <v/>
      </c>
      <c r="I2372" s="79"/>
      <c r="J2372" s="80" t="str">
        <f t="shared" si="903"/>
        <v>#NAME?</v>
      </c>
      <c r="K2372" s="58"/>
      <c r="L2372" s="58"/>
      <c r="M2372" s="57"/>
      <c r="N2372" s="57"/>
      <c r="O2372" s="58"/>
      <c r="P2372" s="82"/>
      <c r="Q2372" s="81"/>
      <c r="R2372" s="81"/>
      <c r="S2372" s="57"/>
      <c r="T2372" s="82"/>
      <c r="U2372" s="82"/>
      <c r="V2372" s="57"/>
      <c r="W2372" s="57"/>
      <c r="X2372" s="57" t="str">
        <f t="shared" si="917"/>
        <v/>
      </c>
      <c r="Y2372" s="58" t="str">
        <f t="shared" ref="Y2372:AC2372" si="2212">TRIM(SUBSTITUTE(SUBSTITUTE(OFFSET($Q2372,0,COLUMN()-COLUMN($AL$1)),CHAR(160)," "),_xludf.UNICHAR(8239)," "))</f>
        <v>#NAME?</v>
      </c>
      <c r="Z2372" s="58" t="str">
        <f t="shared" si="2212"/>
        <v>#NAME?</v>
      </c>
      <c r="AA2372" s="58" t="str">
        <f t="shared" si="2212"/>
        <v>#NAME?</v>
      </c>
      <c r="AB2372" s="58" t="str">
        <f t="shared" si="2212"/>
        <v>#NAME?</v>
      </c>
      <c r="AC2372" s="58" t="str">
        <f t="shared" si="2212"/>
        <v>#NAME?</v>
      </c>
      <c r="AD2372" s="57">
        <f t="shared" si="906"/>
        <v>0</v>
      </c>
      <c r="AE2372" s="57" t="str">
        <f t="shared" si="907"/>
        <v/>
      </c>
      <c r="AF2372" s="57">
        <f t="shared" si="908"/>
        <v>0</v>
      </c>
      <c r="AG2372" s="59">
        <f t="shared" si="909"/>
        <v>0</v>
      </c>
      <c r="AH2372" s="15"/>
      <c r="AI2372" s="15"/>
      <c r="AJ2372" s="15"/>
      <c r="AK2372" s="15"/>
      <c r="AL2372" s="15"/>
      <c r="AM2372" s="15"/>
      <c r="AN2372" s="15"/>
      <c r="AO2372" s="15"/>
      <c r="AP2372" s="15"/>
      <c r="AQ2372" s="15"/>
      <c r="AR2372" s="15"/>
      <c r="AS2372" s="15"/>
      <c r="AT2372" s="15"/>
      <c r="AU2372" s="15"/>
    </row>
    <row r="2373" ht="24.0" customHeight="1">
      <c r="A2373" s="45">
        <v>3797.0</v>
      </c>
      <c r="B2373" s="57"/>
      <c r="C2373" s="57"/>
      <c r="D2373" s="88" t="str">
        <f t="array" ref="D2373">IFERROR(
  LOOKUP(2, 1/((TRIM(IMS!$E$8:$E$2574)=TRIM(IMS!$E2373))*(IMS!$C$8:$C$2574&lt;IMS!$C2373)),
         IMS!$C$8:$C$2574),
"")</f>
        <v/>
      </c>
      <c r="E2373" s="57"/>
      <c r="F2373" s="57"/>
      <c r="G2373" s="77" t="str">
        <f t="shared" si="901"/>
        <v/>
      </c>
      <c r="H2373" s="78" t="str">
        <f t="shared" si="902"/>
        <v/>
      </c>
      <c r="I2373" s="79"/>
      <c r="J2373" s="80" t="str">
        <f t="shared" si="903"/>
        <v>#NAME?</v>
      </c>
      <c r="K2373" s="58"/>
      <c r="L2373" s="58"/>
      <c r="M2373" s="57"/>
      <c r="N2373" s="57"/>
      <c r="O2373" s="58"/>
      <c r="P2373" s="82"/>
      <c r="Q2373" s="81"/>
      <c r="R2373" s="81"/>
      <c r="S2373" s="57"/>
      <c r="T2373" s="82"/>
      <c r="U2373" s="82"/>
      <c r="V2373" s="57"/>
      <c r="W2373" s="57"/>
      <c r="X2373" s="57" t="str">
        <f t="shared" si="917"/>
        <v/>
      </c>
      <c r="Y2373" s="58" t="str">
        <f t="shared" ref="Y2373:AC2373" si="2213">TRIM(SUBSTITUTE(SUBSTITUTE(OFFSET($Q2373,0,COLUMN()-COLUMN($AL$1)),CHAR(160)," "),_xludf.UNICHAR(8239)," "))</f>
        <v>#NAME?</v>
      </c>
      <c r="Z2373" s="58" t="str">
        <f t="shared" si="2213"/>
        <v>#NAME?</v>
      </c>
      <c r="AA2373" s="58" t="str">
        <f t="shared" si="2213"/>
        <v>#NAME?</v>
      </c>
      <c r="AB2373" s="58" t="str">
        <f t="shared" si="2213"/>
        <v>#NAME?</v>
      </c>
      <c r="AC2373" s="58" t="str">
        <f t="shared" si="2213"/>
        <v>#NAME?</v>
      </c>
      <c r="AD2373" s="57">
        <f t="shared" si="906"/>
        <v>0</v>
      </c>
      <c r="AE2373" s="57" t="str">
        <f t="shared" si="907"/>
        <v/>
      </c>
      <c r="AF2373" s="57">
        <f t="shared" si="908"/>
        <v>0</v>
      </c>
      <c r="AG2373" s="59">
        <f t="shared" si="909"/>
        <v>0</v>
      </c>
      <c r="AH2373" s="15"/>
      <c r="AI2373" s="15"/>
      <c r="AJ2373" s="15"/>
      <c r="AK2373" s="15"/>
      <c r="AL2373" s="15"/>
      <c r="AM2373" s="15"/>
      <c r="AN2373" s="15"/>
      <c r="AO2373" s="15"/>
      <c r="AP2373" s="15"/>
      <c r="AQ2373" s="15"/>
      <c r="AR2373" s="15"/>
      <c r="AS2373" s="15"/>
      <c r="AT2373" s="15"/>
      <c r="AU2373" s="15"/>
    </row>
    <row r="2374" ht="24.0" customHeight="1">
      <c r="A2374" s="45">
        <v>3798.0</v>
      </c>
      <c r="B2374" s="57"/>
      <c r="C2374" s="57"/>
      <c r="D2374" s="88" t="str">
        <f t="array" ref="D2374">IFERROR(
  LOOKUP(2, 1/((TRIM(IMS!$E$8:$E$2574)=TRIM(IMS!$E2374))*(IMS!$C$8:$C$2574&lt;IMS!$C2374)),
         IMS!$C$8:$C$2574),
"")</f>
        <v/>
      </c>
      <c r="E2374" s="57"/>
      <c r="F2374" s="57"/>
      <c r="G2374" s="77" t="str">
        <f t="shared" si="901"/>
        <v/>
      </c>
      <c r="H2374" s="78" t="str">
        <f t="shared" si="902"/>
        <v/>
      </c>
      <c r="I2374" s="79"/>
      <c r="J2374" s="80" t="str">
        <f t="shared" si="903"/>
        <v>#NAME?</v>
      </c>
      <c r="K2374" s="58"/>
      <c r="L2374" s="58"/>
      <c r="M2374" s="57"/>
      <c r="N2374" s="57"/>
      <c r="O2374" s="58"/>
      <c r="P2374" s="82"/>
      <c r="Q2374" s="81"/>
      <c r="R2374" s="81"/>
      <c r="S2374" s="57"/>
      <c r="T2374" s="82"/>
      <c r="U2374" s="82"/>
      <c r="V2374" s="57"/>
      <c r="W2374" s="57"/>
      <c r="X2374" s="57" t="str">
        <f t="shared" si="917"/>
        <v/>
      </c>
      <c r="Y2374" s="58" t="str">
        <f t="shared" ref="Y2374:AC2374" si="2214">TRIM(SUBSTITUTE(SUBSTITUTE(OFFSET($Q2374,0,COLUMN()-COLUMN($AL$1)),CHAR(160)," "),_xludf.UNICHAR(8239)," "))</f>
        <v>#NAME?</v>
      </c>
      <c r="Z2374" s="58" t="str">
        <f t="shared" si="2214"/>
        <v>#NAME?</v>
      </c>
      <c r="AA2374" s="58" t="str">
        <f t="shared" si="2214"/>
        <v>#NAME?</v>
      </c>
      <c r="AB2374" s="58" t="str">
        <f t="shared" si="2214"/>
        <v>#NAME?</v>
      </c>
      <c r="AC2374" s="58" t="str">
        <f t="shared" si="2214"/>
        <v>#NAME?</v>
      </c>
      <c r="AD2374" s="57">
        <f t="shared" si="906"/>
        <v>0</v>
      </c>
      <c r="AE2374" s="57" t="str">
        <f t="shared" si="907"/>
        <v/>
      </c>
      <c r="AF2374" s="57">
        <f t="shared" si="908"/>
        <v>0</v>
      </c>
      <c r="AG2374" s="59">
        <f t="shared" si="909"/>
        <v>0</v>
      </c>
      <c r="AH2374" s="15"/>
      <c r="AI2374" s="15"/>
      <c r="AJ2374" s="15"/>
      <c r="AK2374" s="15"/>
      <c r="AL2374" s="15"/>
      <c r="AM2374" s="15"/>
      <c r="AN2374" s="15"/>
      <c r="AO2374" s="15"/>
      <c r="AP2374" s="15"/>
      <c r="AQ2374" s="15"/>
      <c r="AR2374" s="15"/>
      <c r="AS2374" s="15"/>
      <c r="AT2374" s="15"/>
      <c r="AU2374" s="15"/>
    </row>
    <row r="2375" ht="24.0" customHeight="1">
      <c r="A2375" s="45">
        <v>3799.0</v>
      </c>
      <c r="B2375" s="57"/>
      <c r="C2375" s="57"/>
      <c r="D2375" s="88" t="str">
        <f t="array" ref="D2375">IFERROR(
  LOOKUP(2, 1/((TRIM(IMS!$E$8:$E$2574)=TRIM(IMS!$E2375))*(IMS!$C$8:$C$2574&lt;IMS!$C2375)),
         IMS!$C$8:$C$2574),
"")</f>
        <v/>
      </c>
      <c r="E2375" s="57"/>
      <c r="F2375" s="57"/>
      <c r="G2375" s="77" t="str">
        <f t="shared" si="901"/>
        <v/>
      </c>
      <c r="H2375" s="78" t="str">
        <f t="shared" si="902"/>
        <v/>
      </c>
      <c r="I2375" s="79"/>
      <c r="J2375" s="80" t="str">
        <f t="shared" si="903"/>
        <v>#NAME?</v>
      </c>
      <c r="K2375" s="58"/>
      <c r="L2375" s="58"/>
      <c r="M2375" s="57"/>
      <c r="N2375" s="57"/>
      <c r="O2375" s="58"/>
      <c r="P2375" s="82"/>
      <c r="Q2375" s="81"/>
      <c r="R2375" s="81"/>
      <c r="S2375" s="57"/>
      <c r="T2375" s="82"/>
      <c r="U2375" s="82"/>
      <c r="V2375" s="57"/>
      <c r="W2375" s="57"/>
      <c r="X2375" s="57" t="str">
        <f t="shared" si="917"/>
        <v/>
      </c>
      <c r="Y2375" s="58" t="str">
        <f t="shared" ref="Y2375:AC2375" si="2215">TRIM(SUBSTITUTE(SUBSTITUTE(OFFSET($Q2375,0,COLUMN()-COLUMN($AL$1)),CHAR(160)," "),_xludf.UNICHAR(8239)," "))</f>
        <v>#NAME?</v>
      </c>
      <c r="Z2375" s="58" t="str">
        <f t="shared" si="2215"/>
        <v>#NAME?</v>
      </c>
      <c r="AA2375" s="58" t="str">
        <f t="shared" si="2215"/>
        <v>#NAME?</v>
      </c>
      <c r="AB2375" s="58" t="str">
        <f t="shared" si="2215"/>
        <v>#NAME?</v>
      </c>
      <c r="AC2375" s="58" t="str">
        <f t="shared" si="2215"/>
        <v>#NAME?</v>
      </c>
      <c r="AD2375" s="57">
        <f t="shared" si="906"/>
        <v>0</v>
      </c>
      <c r="AE2375" s="57" t="str">
        <f t="shared" si="907"/>
        <v/>
      </c>
      <c r="AF2375" s="57">
        <f t="shared" si="908"/>
        <v>0</v>
      </c>
      <c r="AG2375" s="59">
        <f t="shared" si="909"/>
        <v>0</v>
      </c>
      <c r="AH2375" s="15"/>
      <c r="AI2375" s="15"/>
      <c r="AJ2375" s="15"/>
      <c r="AK2375" s="15"/>
      <c r="AL2375" s="15"/>
      <c r="AM2375" s="15"/>
      <c r="AN2375" s="15"/>
      <c r="AO2375" s="15"/>
      <c r="AP2375" s="15"/>
      <c r="AQ2375" s="15"/>
      <c r="AR2375" s="15"/>
      <c r="AS2375" s="15"/>
      <c r="AT2375" s="15"/>
      <c r="AU2375" s="15"/>
    </row>
    <row r="2376" ht="24.0" customHeight="1">
      <c r="A2376" s="45">
        <v>3800.0</v>
      </c>
      <c r="B2376" s="57"/>
      <c r="C2376" s="57"/>
      <c r="D2376" s="88" t="str">
        <f t="array" ref="D2376">IFERROR(
  LOOKUP(2, 1/((TRIM(IMS!$E$8:$E$2574)=TRIM(IMS!$E2376))*(IMS!$C$8:$C$2574&lt;IMS!$C2376)),
         IMS!$C$8:$C$2574),
"")</f>
        <v/>
      </c>
      <c r="E2376" s="57"/>
      <c r="F2376" s="57"/>
      <c r="G2376" s="77" t="str">
        <f t="shared" si="901"/>
        <v/>
      </c>
      <c r="H2376" s="78" t="str">
        <f t="shared" si="902"/>
        <v/>
      </c>
      <c r="I2376" s="79"/>
      <c r="J2376" s="80" t="str">
        <f t="shared" si="903"/>
        <v>#NAME?</v>
      </c>
      <c r="K2376" s="58"/>
      <c r="L2376" s="58"/>
      <c r="M2376" s="57"/>
      <c r="N2376" s="57"/>
      <c r="O2376" s="58"/>
      <c r="P2376" s="82"/>
      <c r="Q2376" s="81"/>
      <c r="R2376" s="81"/>
      <c r="S2376" s="57"/>
      <c r="T2376" s="82"/>
      <c r="U2376" s="82"/>
      <c r="V2376" s="57"/>
      <c r="W2376" s="57"/>
      <c r="X2376" s="57" t="str">
        <f t="shared" si="917"/>
        <v/>
      </c>
      <c r="Y2376" s="58" t="str">
        <f t="shared" ref="Y2376:AC2376" si="2216">TRIM(SUBSTITUTE(SUBSTITUTE(OFFSET($Q2376,0,COLUMN()-COLUMN($AL$1)),CHAR(160)," "),_xludf.UNICHAR(8239)," "))</f>
        <v>#NAME?</v>
      </c>
      <c r="Z2376" s="58" t="str">
        <f t="shared" si="2216"/>
        <v>#NAME?</v>
      </c>
      <c r="AA2376" s="58" t="str">
        <f t="shared" si="2216"/>
        <v>#NAME?</v>
      </c>
      <c r="AB2376" s="58" t="str">
        <f t="shared" si="2216"/>
        <v>#NAME?</v>
      </c>
      <c r="AC2376" s="58" t="str">
        <f t="shared" si="2216"/>
        <v>#NAME?</v>
      </c>
      <c r="AD2376" s="57">
        <f t="shared" si="906"/>
        <v>0</v>
      </c>
      <c r="AE2376" s="57" t="str">
        <f t="shared" si="907"/>
        <v/>
      </c>
      <c r="AF2376" s="57">
        <f t="shared" si="908"/>
        <v>0</v>
      </c>
      <c r="AG2376" s="59">
        <f t="shared" si="909"/>
        <v>0</v>
      </c>
      <c r="AH2376" s="15"/>
      <c r="AI2376" s="15"/>
      <c r="AJ2376" s="15"/>
      <c r="AK2376" s="15"/>
      <c r="AL2376" s="15"/>
      <c r="AM2376" s="15"/>
      <c r="AN2376" s="15"/>
      <c r="AO2376" s="15"/>
      <c r="AP2376" s="15"/>
      <c r="AQ2376" s="15"/>
      <c r="AR2376" s="15"/>
      <c r="AS2376" s="15"/>
      <c r="AT2376" s="15"/>
      <c r="AU2376" s="15"/>
    </row>
    <row r="2377" ht="24.0" customHeight="1">
      <c r="A2377" s="45">
        <v>3801.0</v>
      </c>
      <c r="B2377" s="57"/>
      <c r="C2377" s="57"/>
      <c r="D2377" s="88" t="str">
        <f t="array" ref="D2377">IFERROR(
  LOOKUP(2, 1/((TRIM(IMS!$E$8:$E$2574)=TRIM(IMS!$E2377))*(IMS!$C$8:$C$2574&lt;IMS!$C2377)),
         IMS!$C$8:$C$2574),
"")</f>
        <v/>
      </c>
      <c r="E2377" s="57"/>
      <c r="F2377" s="57"/>
      <c r="G2377" s="77" t="str">
        <f t="shared" si="901"/>
        <v/>
      </c>
      <c r="H2377" s="78" t="str">
        <f t="shared" si="902"/>
        <v/>
      </c>
      <c r="I2377" s="79"/>
      <c r="J2377" s="80" t="str">
        <f t="shared" si="903"/>
        <v>#NAME?</v>
      </c>
      <c r="K2377" s="58"/>
      <c r="L2377" s="58"/>
      <c r="M2377" s="57"/>
      <c r="N2377" s="57"/>
      <c r="O2377" s="58"/>
      <c r="P2377" s="82"/>
      <c r="Q2377" s="81"/>
      <c r="R2377" s="81"/>
      <c r="S2377" s="57"/>
      <c r="T2377" s="82"/>
      <c r="U2377" s="82"/>
      <c r="V2377" s="57"/>
      <c r="W2377" s="57"/>
      <c r="X2377" s="57" t="str">
        <f t="shared" si="917"/>
        <v/>
      </c>
      <c r="Y2377" s="58" t="str">
        <f t="shared" ref="Y2377:AC2377" si="2217">TRIM(SUBSTITUTE(SUBSTITUTE(OFFSET($Q2377,0,COLUMN()-COLUMN($AL$1)),CHAR(160)," "),_xludf.UNICHAR(8239)," "))</f>
        <v>#NAME?</v>
      </c>
      <c r="Z2377" s="58" t="str">
        <f t="shared" si="2217"/>
        <v>#NAME?</v>
      </c>
      <c r="AA2377" s="58" t="str">
        <f t="shared" si="2217"/>
        <v>#NAME?</v>
      </c>
      <c r="AB2377" s="58" t="str">
        <f t="shared" si="2217"/>
        <v>#NAME?</v>
      </c>
      <c r="AC2377" s="58" t="str">
        <f t="shared" si="2217"/>
        <v>#NAME?</v>
      </c>
      <c r="AD2377" s="57">
        <f t="shared" si="906"/>
        <v>0</v>
      </c>
      <c r="AE2377" s="57" t="str">
        <f t="shared" si="907"/>
        <v/>
      </c>
      <c r="AF2377" s="57">
        <f t="shared" si="908"/>
        <v>0</v>
      </c>
      <c r="AG2377" s="59">
        <f t="shared" si="909"/>
        <v>0</v>
      </c>
      <c r="AH2377" s="15"/>
      <c r="AI2377" s="15"/>
      <c r="AJ2377" s="15"/>
      <c r="AK2377" s="15"/>
      <c r="AL2377" s="15"/>
      <c r="AM2377" s="15"/>
      <c r="AN2377" s="15"/>
      <c r="AO2377" s="15"/>
      <c r="AP2377" s="15"/>
      <c r="AQ2377" s="15"/>
      <c r="AR2377" s="15"/>
      <c r="AS2377" s="15"/>
      <c r="AT2377" s="15"/>
      <c r="AU2377" s="15"/>
    </row>
    <row r="2378" ht="24.0" customHeight="1">
      <c r="A2378" s="45">
        <v>3802.0</v>
      </c>
      <c r="B2378" s="57"/>
      <c r="C2378" s="57"/>
      <c r="D2378" s="88" t="str">
        <f t="array" ref="D2378">IFERROR(
  LOOKUP(2, 1/((TRIM(IMS!$E$8:$E$2574)=TRIM(IMS!$E2378))*(IMS!$C$8:$C$2574&lt;IMS!$C2378)),
         IMS!$C$8:$C$2574),
"")</f>
        <v/>
      </c>
      <c r="E2378" s="57"/>
      <c r="F2378" s="57"/>
      <c r="G2378" s="77" t="str">
        <f t="shared" si="901"/>
        <v/>
      </c>
      <c r="H2378" s="78" t="str">
        <f t="shared" si="902"/>
        <v/>
      </c>
      <c r="I2378" s="79"/>
      <c r="J2378" s="80" t="str">
        <f t="shared" si="903"/>
        <v>#NAME?</v>
      </c>
      <c r="K2378" s="58"/>
      <c r="L2378" s="58"/>
      <c r="M2378" s="57"/>
      <c r="N2378" s="57"/>
      <c r="O2378" s="58"/>
      <c r="P2378" s="82"/>
      <c r="Q2378" s="81"/>
      <c r="R2378" s="81"/>
      <c r="S2378" s="57"/>
      <c r="T2378" s="82"/>
      <c r="U2378" s="82"/>
      <c r="V2378" s="57"/>
      <c r="W2378" s="57"/>
      <c r="X2378" s="57" t="str">
        <f t="shared" si="917"/>
        <v/>
      </c>
      <c r="Y2378" s="58" t="str">
        <f t="shared" ref="Y2378:AC2378" si="2218">TRIM(SUBSTITUTE(SUBSTITUTE(OFFSET($Q2378,0,COLUMN()-COLUMN($AL$1)),CHAR(160)," "),_xludf.UNICHAR(8239)," "))</f>
        <v>#NAME?</v>
      </c>
      <c r="Z2378" s="58" t="str">
        <f t="shared" si="2218"/>
        <v>#NAME?</v>
      </c>
      <c r="AA2378" s="58" t="str">
        <f t="shared" si="2218"/>
        <v>#NAME?</v>
      </c>
      <c r="AB2378" s="58" t="str">
        <f t="shared" si="2218"/>
        <v>#NAME?</v>
      </c>
      <c r="AC2378" s="58" t="str">
        <f t="shared" si="2218"/>
        <v>#NAME?</v>
      </c>
      <c r="AD2378" s="57">
        <f t="shared" si="906"/>
        <v>0</v>
      </c>
      <c r="AE2378" s="57" t="str">
        <f t="shared" si="907"/>
        <v/>
      </c>
      <c r="AF2378" s="57">
        <f t="shared" si="908"/>
        <v>0</v>
      </c>
      <c r="AG2378" s="59">
        <f t="shared" si="909"/>
        <v>0</v>
      </c>
      <c r="AH2378" s="15"/>
      <c r="AI2378" s="15"/>
      <c r="AJ2378" s="15"/>
      <c r="AK2378" s="15"/>
      <c r="AL2378" s="15"/>
      <c r="AM2378" s="15"/>
      <c r="AN2378" s="15"/>
      <c r="AO2378" s="15"/>
      <c r="AP2378" s="15"/>
      <c r="AQ2378" s="15"/>
      <c r="AR2378" s="15"/>
      <c r="AS2378" s="15"/>
      <c r="AT2378" s="15"/>
      <c r="AU2378" s="15"/>
    </row>
    <row r="2379" ht="24.0" customHeight="1">
      <c r="A2379" s="45">
        <v>3803.0</v>
      </c>
      <c r="B2379" s="57"/>
      <c r="C2379" s="57"/>
      <c r="D2379" s="88" t="str">
        <f t="array" ref="D2379">IFERROR(
  LOOKUP(2, 1/((TRIM(IMS!$E$8:$E$2574)=TRIM(IMS!$E2379))*(IMS!$C$8:$C$2574&lt;IMS!$C2379)),
         IMS!$C$8:$C$2574),
"")</f>
        <v/>
      </c>
      <c r="E2379" s="57"/>
      <c r="F2379" s="57"/>
      <c r="G2379" s="77" t="str">
        <f t="shared" si="901"/>
        <v/>
      </c>
      <c r="H2379" s="78" t="str">
        <f t="shared" si="902"/>
        <v/>
      </c>
      <c r="I2379" s="79"/>
      <c r="J2379" s="80" t="str">
        <f t="shared" si="903"/>
        <v>#NAME?</v>
      </c>
      <c r="K2379" s="58"/>
      <c r="L2379" s="58"/>
      <c r="M2379" s="57"/>
      <c r="N2379" s="57"/>
      <c r="O2379" s="58"/>
      <c r="P2379" s="82"/>
      <c r="Q2379" s="81"/>
      <c r="R2379" s="81"/>
      <c r="S2379" s="57"/>
      <c r="T2379" s="82"/>
      <c r="U2379" s="82"/>
      <c r="V2379" s="57"/>
      <c r="W2379" s="57"/>
      <c r="X2379" s="57" t="str">
        <f t="shared" si="917"/>
        <v/>
      </c>
      <c r="Y2379" s="58" t="str">
        <f t="shared" ref="Y2379:AC2379" si="2219">TRIM(SUBSTITUTE(SUBSTITUTE(OFFSET($Q2379,0,COLUMN()-COLUMN($AL$1)),CHAR(160)," "),_xludf.UNICHAR(8239)," "))</f>
        <v>#NAME?</v>
      </c>
      <c r="Z2379" s="58" t="str">
        <f t="shared" si="2219"/>
        <v>#NAME?</v>
      </c>
      <c r="AA2379" s="58" t="str">
        <f t="shared" si="2219"/>
        <v>#NAME?</v>
      </c>
      <c r="AB2379" s="58" t="str">
        <f t="shared" si="2219"/>
        <v>#NAME?</v>
      </c>
      <c r="AC2379" s="58" t="str">
        <f t="shared" si="2219"/>
        <v>#NAME?</v>
      </c>
      <c r="AD2379" s="57">
        <f t="shared" si="906"/>
        <v>0</v>
      </c>
      <c r="AE2379" s="57" t="str">
        <f t="shared" si="907"/>
        <v/>
      </c>
      <c r="AF2379" s="57">
        <f t="shared" si="908"/>
        <v>0</v>
      </c>
      <c r="AG2379" s="59">
        <f t="shared" si="909"/>
        <v>0</v>
      </c>
      <c r="AH2379" s="15"/>
      <c r="AI2379" s="15"/>
      <c r="AJ2379" s="15"/>
      <c r="AK2379" s="15"/>
      <c r="AL2379" s="15"/>
      <c r="AM2379" s="15"/>
      <c r="AN2379" s="15"/>
      <c r="AO2379" s="15"/>
      <c r="AP2379" s="15"/>
      <c r="AQ2379" s="15"/>
      <c r="AR2379" s="15"/>
      <c r="AS2379" s="15"/>
      <c r="AT2379" s="15"/>
      <c r="AU2379" s="15"/>
    </row>
    <row r="2380" ht="24.0" customHeight="1">
      <c r="A2380" s="45">
        <v>3804.0</v>
      </c>
      <c r="B2380" s="57"/>
      <c r="C2380" s="57"/>
      <c r="D2380" s="88" t="str">
        <f t="array" ref="D2380">IFERROR(
  LOOKUP(2, 1/((TRIM(IMS!$E$8:$E$2574)=TRIM(IMS!$E2380))*(IMS!$C$8:$C$2574&lt;IMS!$C2380)),
         IMS!$C$8:$C$2574),
"")</f>
        <v/>
      </c>
      <c r="E2380" s="57"/>
      <c r="F2380" s="57"/>
      <c r="G2380" s="77" t="str">
        <f t="shared" si="901"/>
        <v/>
      </c>
      <c r="H2380" s="78" t="str">
        <f t="shared" si="902"/>
        <v/>
      </c>
      <c r="I2380" s="79"/>
      <c r="J2380" s="80" t="str">
        <f t="shared" si="903"/>
        <v>#NAME?</v>
      </c>
      <c r="K2380" s="58"/>
      <c r="L2380" s="58"/>
      <c r="M2380" s="57"/>
      <c r="N2380" s="57"/>
      <c r="O2380" s="58"/>
      <c r="P2380" s="82"/>
      <c r="Q2380" s="81"/>
      <c r="R2380" s="81"/>
      <c r="S2380" s="57"/>
      <c r="T2380" s="82"/>
      <c r="U2380" s="82"/>
      <c r="V2380" s="57"/>
      <c r="W2380" s="57"/>
      <c r="X2380" s="57" t="str">
        <f t="shared" si="917"/>
        <v/>
      </c>
      <c r="Y2380" s="58" t="str">
        <f t="shared" ref="Y2380:AC2380" si="2220">TRIM(SUBSTITUTE(SUBSTITUTE(OFFSET($Q2380,0,COLUMN()-COLUMN($AL$1)),CHAR(160)," "),_xludf.UNICHAR(8239)," "))</f>
        <v>#NAME?</v>
      </c>
      <c r="Z2380" s="58" t="str">
        <f t="shared" si="2220"/>
        <v>#NAME?</v>
      </c>
      <c r="AA2380" s="58" t="str">
        <f t="shared" si="2220"/>
        <v>#NAME?</v>
      </c>
      <c r="AB2380" s="58" t="str">
        <f t="shared" si="2220"/>
        <v>#NAME?</v>
      </c>
      <c r="AC2380" s="58" t="str">
        <f t="shared" si="2220"/>
        <v>#NAME?</v>
      </c>
      <c r="AD2380" s="57">
        <f t="shared" si="906"/>
        <v>0</v>
      </c>
      <c r="AE2380" s="57" t="str">
        <f t="shared" si="907"/>
        <v/>
      </c>
      <c r="AF2380" s="57">
        <f t="shared" si="908"/>
        <v>0</v>
      </c>
      <c r="AG2380" s="59">
        <f t="shared" si="909"/>
        <v>0</v>
      </c>
      <c r="AH2380" s="15"/>
      <c r="AI2380" s="15"/>
      <c r="AJ2380" s="15"/>
      <c r="AK2380" s="15"/>
      <c r="AL2380" s="15"/>
      <c r="AM2380" s="15"/>
      <c r="AN2380" s="15"/>
      <c r="AO2380" s="15"/>
      <c r="AP2380" s="15"/>
      <c r="AQ2380" s="15"/>
      <c r="AR2380" s="15"/>
      <c r="AS2380" s="15"/>
      <c r="AT2380" s="15"/>
      <c r="AU2380" s="15"/>
    </row>
    <row r="2381" ht="24.0" customHeight="1">
      <c r="A2381" s="45">
        <v>3805.0</v>
      </c>
      <c r="B2381" s="57"/>
      <c r="C2381" s="57"/>
      <c r="D2381" s="88" t="str">
        <f t="array" ref="D2381">IFERROR(
  LOOKUP(2, 1/((TRIM(IMS!$E$8:$E$2574)=TRIM(IMS!$E2381))*(IMS!$C$8:$C$2574&lt;IMS!$C2381)),
         IMS!$C$8:$C$2574),
"")</f>
        <v/>
      </c>
      <c r="E2381" s="57"/>
      <c r="F2381" s="57"/>
      <c r="G2381" s="77" t="str">
        <f t="shared" si="901"/>
        <v/>
      </c>
      <c r="H2381" s="78" t="str">
        <f t="shared" si="902"/>
        <v/>
      </c>
      <c r="I2381" s="79"/>
      <c r="J2381" s="80" t="str">
        <f t="shared" si="903"/>
        <v>#NAME?</v>
      </c>
      <c r="K2381" s="58"/>
      <c r="L2381" s="58"/>
      <c r="M2381" s="57"/>
      <c r="N2381" s="57"/>
      <c r="O2381" s="58"/>
      <c r="P2381" s="82"/>
      <c r="Q2381" s="81"/>
      <c r="R2381" s="81"/>
      <c r="S2381" s="57"/>
      <c r="T2381" s="82"/>
      <c r="U2381" s="82"/>
      <c r="V2381" s="57"/>
      <c r="W2381" s="57"/>
      <c r="X2381" s="57" t="str">
        <f t="shared" si="917"/>
        <v/>
      </c>
      <c r="Y2381" s="58" t="str">
        <f t="shared" ref="Y2381:AC2381" si="2221">TRIM(SUBSTITUTE(SUBSTITUTE(OFFSET($Q2381,0,COLUMN()-COLUMN($AL$1)),CHAR(160)," "),_xludf.UNICHAR(8239)," "))</f>
        <v>#NAME?</v>
      </c>
      <c r="Z2381" s="58" t="str">
        <f t="shared" si="2221"/>
        <v>#NAME?</v>
      </c>
      <c r="AA2381" s="58" t="str">
        <f t="shared" si="2221"/>
        <v>#NAME?</v>
      </c>
      <c r="AB2381" s="58" t="str">
        <f t="shared" si="2221"/>
        <v>#NAME?</v>
      </c>
      <c r="AC2381" s="58" t="str">
        <f t="shared" si="2221"/>
        <v>#NAME?</v>
      </c>
      <c r="AD2381" s="57">
        <f t="shared" si="906"/>
        <v>0</v>
      </c>
      <c r="AE2381" s="57" t="str">
        <f t="shared" si="907"/>
        <v/>
      </c>
      <c r="AF2381" s="57">
        <f t="shared" si="908"/>
        <v>0</v>
      </c>
      <c r="AG2381" s="59">
        <f t="shared" si="909"/>
        <v>0</v>
      </c>
      <c r="AH2381" s="15"/>
      <c r="AI2381" s="15"/>
      <c r="AJ2381" s="15"/>
      <c r="AK2381" s="15"/>
      <c r="AL2381" s="15"/>
      <c r="AM2381" s="15"/>
      <c r="AN2381" s="15"/>
      <c r="AO2381" s="15"/>
      <c r="AP2381" s="15"/>
      <c r="AQ2381" s="15"/>
      <c r="AR2381" s="15"/>
      <c r="AS2381" s="15"/>
      <c r="AT2381" s="15"/>
      <c r="AU2381" s="15"/>
    </row>
    <row r="2382" ht="24.0" customHeight="1">
      <c r="A2382" s="45">
        <v>3806.0</v>
      </c>
      <c r="B2382" s="57"/>
      <c r="C2382" s="57"/>
      <c r="D2382" s="88" t="str">
        <f t="array" ref="D2382">IFERROR(
  LOOKUP(2, 1/((TRIM(IMS!$E$8:$E$2574)=TRIM(IMS!$E2382))*(IMS!$C$8:$C$2574&lt;IMS!$C2382)),
         IMS!$C$8:$C$2574),
"")</f>
        <v/>
      </c>
      <c r="E2382" s="57"/>
      <c r="F2382" s="57"/>
      <c r="G2382" s="77" t="str">
        <f t="shared" si="901"/>
        <v/>
      </c>
      <c r="H2382" s="78" t="str">
        <f t="shared" si="902"/>
        <v/>
      </c>
      <c r="I2382" s="79"/>
      <c r="J2382" s="80" t="str">
        <f t="shared" si="903"/>
        <v>#NAME?</v>
      </c>
      <c r="K2382" s="58"/>
      <c r="L2382" s="58"/>
      <c r="M2382" s="57"/>
      <c r="N2382" s="57"/>
      <c r="O2382" s="58"/>
      <c r="P2382" s="82"/>
      <c r="Q2382" s="81"/>
      <c r="R2382" s="81"/>
      <c r="S2382" s="57"/>
      <c r="T2382" s="82"/>
      <c r="U2382" s="82"/>
      <c r="V2382" s="57"/>
      <c r="W2382" s="57"/>
      <c r="X2382" s="57" t="str">
        <f t="shared" si="917"/>
        <v/>
      </c>
      <c r="Y2382" s="58" t="str">
        <f t="shared" ref="Y2382:AC2382" si="2222">TRIM(SUBSTITUTE(SUBSTITUTE(OFFSET($Q2382,0,COLUMN()-COLUMN($AL$1)),CHAR(160)," "),_xludf.UNICHAR(8239)," "))</f>
        <v>#NAME?</v>
      </c>
      <c r="Z2382" s="58" t="str">
        <f t="shared" si="2222"/>
        <v>#NAME?</v>
      </c>
      <c r="AA2382" s="58" t="str">
        <f t="shared" si="2222"/>
        <v>#NAME?</v>
      </c>
      <c r="AB2382" s="58" t="str">
        <f t="shared" si="2222"/>
        <v>#NAME?</v>
      </c>
      <c r="AC2382" s="58" t="str">
        <f t="shared" si="2222"/>
        <v>#NAME?</v>
      </c>
      <c r="AD2382" s="57">
        <f t="shared" si="906"/>
        <v>0</v>
      </c>
      <c r="AE2382" s="57" t="str">
        <f t="shared" si="907"/>
        <v/>
      </c>
      <c r="AF2382" s="57">
        <f t="shared" si="908"/>
        <v>0</v>
      </c>
      <c r="AG2382" s="59">
        <f t="shared" si="909"/>
        <v>0</v>
      </c>
      <c r="AH2382" s="15"/>
      <c r="AI2382" s="15"/>
      <c r="AJ2382" s="15"/>
      <c r="AK2382" s="15"/>
      <c r="AL2382" s="15"/>
      <c r="AM2382" s="15"/>
      <c r="AN2382" s="15"/>
      <c r="AO2382" s="15"/>
      <c r="AP2382" s="15"/>
      <c r="AQ2382" s="15"/>
      <c r="AR2382" s="15"/>
      <c r="AS2382" s="15"/>
      <c r="AT2382" s="15"/>
      <c r="AU2382" s="15"/>
    </row>
    <row r="2383" ht="24.0" customHeight="1">
      <c r="A2383" s="45">
        <v>3807.0</v>
      </c>
      <c r="B2383" s="57"/>
      <c r="C2383" s="57"/>
      <c r="D2383" s="88" t="str">
        <f t="array" ref="D2383">IFERROR(
  LOOKUP(2, 1/((TRIM(IMS!$E$8:$E$2574)=TRIM(IMS!$E2383))*(IMS!$C$8:$C$2574&lt;IMS!$C2383)),
         IMS!$C$8:$C$2574),
"")</f>
        <v/>
      </c>
      <c r="E2383" s="57"/>
      <c r="F2383" s="57"/>
      <c r="G2383" s="77" t="str">
        <f t="shared" si="901"/>
        <v/>
      </c>
      <c r="H2383" s="78" t="str">
        <f t="shared" si="902"/>
        <v/>
      </c>
      <c r="I2383" s="79"/>
      <c r="J2383" s="80" t="str">
        <f t="shared" si="903"/>
        <v>#NAME?</v>
      </c>
      <c r="K2383" s="58"/>
      <c r="L2383" s="58"/>
      <c r="M2383" s="57"/>
      <c r="N2383" s="57"/>
      <c r="O2383" s="58"/>
      <c r="P2383" s="82"/>
      <c r="Q2383" s="81"/>
      <c r="R2383" s="81"/>
      <c r="S2383" s="57"/>
      <c r="T2383" s="82"/>
      <c r="U2383" s="82"/>
      <c r="V2383" s="57"/>
      <c r="W2383" s="57"/>
      <c r="X2383" s="57" t="str">
        <f t="shared" si="917"/>
        <v/>
      </c>
      <c r="Y2383" s="58" t="str">
        <f t="shared" ref="Y2383:AC2383" si="2223">TRIM(SUBSTITUTE(SUBSTITUTE(OFFSET($Q2383,0,COLUMN()-COLUMN($AL$1)),CHAR(160)," "),_xludf.UNICHAR(8239)," "))</f>
        <v>#NAME?</v>
      </c>
      <c r="Z2383" s="58" t="str">
        <f t="shared" si="2223"/>
        <v>#NAME?</v>
      </c>
      <c r="AA2383" s="58" t="str">
        <f t="shared" si="2223"/>
        <v>#NAME?</v>
      </c>
      <c r="AB2383" s="58" t="str">
        <f t="shared" si="2223"/>
        <v>#NAME?</v>
      </c>
      <c r="AC2383" s="58" t="str">
        <f t="shared" si="2223"/>
        <v>#NAME?</v>
      </c>
      <c r="AD2383" s="57">
        <f t="shared" si="906"/>
        <v>0</v>
      </c>
      <c r="AE2383" s="57" t="str">
        <f t="shared" si="907"/>
        <v/>
      </c>
      <c r="AF2383" s="57">
        <f t="shared" si="908"/>
        <v>0</v>
      </c>
      <c r="AG2383" s="59">
        <f t="shared" si="909"/>
        <v>0</v>
      </c>
      <c r="AH2383" s="15"/>
      <c r="AI2383" s="15"/>
      <c r="AJ2383" s="15"/>
      <c r="AK2383" s="15"/>
      <c r="AL2383" s="15"/>
      <c r="AM2383" s="15"/>
      <c r="AN2383" s="15"/>
      <c r="AO2383" s="15"/>
      <c r="AP2383" s="15"/>
      <c r="AQ2383" s="15"/>
      <c r="AR2383" s="15"/>
      <c r="AS2383" s="15"/>
      <c r="AT2383" s="15"/>
      <c r="AU2383" s="15"/>
    </row>
    <row r="2384" ht="24.0" customHeight="1">
      <c r="A2384" s="45">
        <v>3808.0</v>
      </c>
      <c r="B2384" s="57"/>
      <c r="C2384" s="57"/>
      <c r="D2384" s="88" t="str">
        <f t="array" ref="D2384">IFERROR(
  LOOKUP(2, 1/((TRIM(IMS!$E$8:$E$2574)=TRIM(IMS!$E2384))*(IMS!$C$8:$C$2574&lt;IMS!$C2384)),
         IMS!$C$8:$C$2574),
"")</f>
        <v/>
      </c>
      <c r="E2384" s="57"/>
      <c r="F2384" s="57"/>
      <c r="G2384" s="77" t="str">
        <f t="shared" si="901"/>
        <v/>
      </c>
      <c r="H2384" s="78" t="str">
        <f t="shared" si="902"/>
        <v/>
      </c>
      <c r="I2384" s="79"/>
      <c r="J2384" s="80" t="str">
        <f t="shared" si="903"/>
        <v>#NAME?</v>
      </c>
      <c r="K2384" s="58"/>
      <c r="L2384" s="58"/>
      <c r="M2384" s="57"/>
      <c r="N2384" s="57"/>
      <c r="O2384" s="58"/>
      <c r="P2384" s="82"/>
      <c r="Q2384" s="81"/>
      <c r="R2384" s="81"/>
      <c r="S2384" s="57"/>
      <c r="T2384" s="82"/>
      <c r="U2384" s="82"/>
      <c r="V2384" s="57"/>
      <c r="W2384" s="57"/>
      <c r="X2384" s="57" t="str">
        <f t="shared" si="917"/>
        <v/>
      </c>
      <c r="Y2384" s="58" t="str">
        <f t="shared" ref="Y2384:AC2384" si="2224">TRIM(SUBSTITUTE(SUBSTITUTE(OFFSET($Q2384,0,COLUMN()-COLUMN($AL$1)),CHAR(160)," "),_xludf.UNICHAR(8239)," "))</f>
        <v>#NAME?</v>
      </c>
      <c r="Z2384" s="58" t="str">
        <f t="shared" si="2224"/>
        <v>#NAME?</v>
      </c>
      <c r="AA2384" s="58" t="str">
        <f t="shared" si="2224"/>
        <v>#NAME?</v>
      </c>
      <c r="AB2384" s="58" t="str">
        <f t="shared" si="2224"/>
        <v>#NAME?</v>
      </c>
      <c r="AC2384" s="58" t="str">
        <f t="shared" si="2224"/>
        <v>#NAME?</v>
      </c>
      <c r="AD2384" s="57">
        <f t="shared" si="906"/>
        <v>0</v>
      </c>
      <c r="AE2384" s="57" t="str">
        <f t="shared" si="907"/>
        <v/>
      </c>
      <c r="AF2384" s="57">
        <f t="shared" si="908"/>
        <v>0</v>
      </c>
      <c r="AG2384" s="59">
        <f t="shared" si="909"/>
        <v>0</v>
      </c>
      <c r="AH2384" s="15"/>
      <c r="AI2384" s="15"/>
      <c r="AJ2384" s="15"/>
      <c r="AK2384" s="15"/>
      <c r="AL2384" s="15"/>
      <c r="AM2384" s="15"/>
      <c r="AN2384" s="15"/>
      <c r="AO2384" s="15"/>
      <c r="AP2384" s="15"/>
      <c r="AQ2384" s="15"/>
      <c r="AR2384" s="15"/>
      <c r="AS2384" s="15"/>
      <c r="AT2384" s="15"/>
      <c r="AU2384" s="15"/>
    </row>
    <row r="2385" ht="24.0" customHeight="1">
      <c r="A2385" s="45">
        <v>3809.0</v>
      </c>
      <c r="B2385" s="57"/>
      <c r="C2385" s="57"/>
      <c r="D2385" s="88" t="str">
        <f t="array" ref="D2385">IFERROR(
  LOOKUP(2, 1/((TRIM(IMS!$E$8:$E$2574)=TRIM(IMS!$E2385))*(IMS!$C$8:$C$2574&lt;IMS!$C2385)),
         IMS!$C$8:$C$2574),
"")</f>
        <v/>
      </c>
      <c r="E2385" s="57"/>
      <c r="F2385" s="57"/>
      <c r="G2385" s="77" t="str">
        <f t="shared" si="901"/>
        <v/>
      </c>
      <c r="H2385" s="78" t="str">
        <f t="shared" si="902"/>
        <v/>
      </c>
      <c r="I2385" s="79"/>
      <c r="J2385" s="80" t="str">
        <f t="shared" si="903"/>
        <v>#NAME?</v>
      </c>
      <c r="K2385" s="58"/>
      <c r="L2385" s="58"/>
      <c r="M2385" s="57"/>
      <c r="N2385" s="57"/>
      <c r="O2385" s="58"/>
      <c r="P2385" s="82"/>
      <c r="Q2385" s="81"/>
      <c r="R2385" s="81"/>
      <c r="S2385" s="57"/>
      <c r="T2385" s="82"/>
      <c r="U2385" s="82"/>
      <c r="V2385" s="57"/>
      <c r="W2385" s="57"/>
      <c r="X2385" s="57" t="str">
        <f t="shared" si="917"/>
        <v/>
      </c>
      <c r="Y2385" s="58" t="str">
        <f t="shared" ref="Y2385:AC2385" si="2225">TRIM(SUBSTITUTE(SUBSTITUTE(OFFSET($Q2385,0,COLUMN()-COLUMN($AL$1)),CHAR(160)," "),_xludf.UNICHAR(8239)," "))</f>
        <v>#NAME?</v>
      </c>
      <c r="Z2385" s="58" t="str">
        <f t="shared" si="2225"/>
        <v>#NAME?</v>
      </c>
      <c r="AA2385" s="58" t="str">
        <f t="shared" si="2225"/>
        <v>#NAME?</v>
      </c>
      <c r="AB2385" s="58" t="str">
        <f t="shared" si="2225"/>
        <v>#NAME?</v>
      </c>
      <c r="AC2385" s="58" t="str">
        <f t="shared" si="2225"/>
        <v>#NAME?</v>
      </c>
      <c r="AD2385" s="57">
        <f t="shared" si="906"/>
        <v>0</v>
      </c>
      <c r="AE2385" s="57" t="str">
        <f t="shared" si="907"/>
        <v/>
      </c>
      <c r="AF2385" s="57">
        <f t="shared" si="908"/>
        <v>0</v>
      </c>
      <c r="AG2385" s="59">
        <f t="shared" si="909"/>
        <v>0</v>
      </c>
      <c r="AH2385" s="15"/>
      <c r="AI2385" s="15"/>
      <c r="AJ2385" s="15"/>
      <c r="AK2385" s="15"/>
      <c r="AL2385" s="15"/>
      <c r="AM2385" s="15"/>
      <c r="AN2385" s="15"/>
      <c r="AO2385" s="15"/>
      <c r="AP2385" s="15"/>
      <c r="AQ2385" s="15"/>
      <c r="AR2385" s="15"/>
      <c r="AS2385" s="15"/>
      <c r="AT2385" s="15"/>
      <c r="AU2385" s="15"/>
    </row>
    <row r="2386" ht="24.0" customHeight="1">
      <c r="A2386" s="45">
        <v>3810.0</v>
      </c>
      <c r="B2386" s="57"/>
      <c r="C2386" s="57"/>
      <c r="D2386" s="88" t="str">
        <f t="array" ref="D2386">IFERROR(
  LOOKUP(2, 1/((TRIM(IMS!$E$8:$E$2574)=TRIM(IMS!$E2386))*(IMS!$C$8:$C$2574&lt;IMS!$C2386)),
         IMS!$C$8:$C$2574),
"")</f>
        <v/>
      </c>
      <c r="E2386" s="57"/>
      <c r="F2386" s="57"/>
      <c r="G2386" s="77" t="str">
        <f t="shared" si="901"/>
        <v/>
      </c>
      <c r="H2386" s="78" t="str">
        <f t="shared" si="902"/>
        <v/>
      </c>
      <c r="I2386" s="79"/>
      <c r="J2386" s="80" t="str">
        <f t="shared" si="903"/>
        <v>#NAME?</v>
      </c>
      <c r="K2386" s="58"/>
      <c r="L2386" s="58"/>
      <c r="M2386" s="57"/>
      <c r="N2386" s="57"/>
      <c r="O2386" s="58"/>
      <c r="P2386" s="82"/>
      <c r="Q2386" s="81"/>
      <c r="R2386" s="81"/>
      <c r="S2386" s="57"/>
      <c r="T2386" s="82"/>
      <c r="U2386" s="82"/>
      <c r="V2386" s="57"/>
      <c r="W2386" s="57"/>
      <c r="X2386" s="57" t="str">
        <f t="shared" si="917"/>
        <v/>
      </c>
      <c r="Y2386" s="58" t="str">
        <f t="shared" ref="Y2386:AC2386" si="2226">TRIM(SUBSTITUTE(SUBSTITUTE(OFFSET($Q2386,0,COLUMN()-COLUMN($AL$1)),CHAR(160)," "),_xludf.UNICHAR(8239)," "))</f>
        <v>#NAME?</v>
      </c>
      <c r="Z2386" s="58" t="str">
        <f t="shared" si="2226"/>
        <v>#NAME?</v>
      </c>
      <c r="AA2386" s="58" t="str">
        <f t="shared" si="2226"/>
        <v>#NAME?</v>
      </c>
      <c r="AB2386" s="58" t="str">
        <f t="shared" si="2226"/>
        <v>#NAME?</v>
      </c>
      <c r="AC2386" s="58" t="str">
        <f t="shared" si="2226"/>
        <v>#NAME?</v>
      </c>
      <c r="AD2386" s="57">
        <f t="shared" si="906"/>
        <v>0</v>
      </c>
      <c r="AE2386" s="57" t="str">
        <f t="shared" si="907"/>
        <v/>
      </c>
      <c r="AF2386" s="57">
        <f t="shared" si="908"/>
        <v>0</v>
      </c>
      <c r="AG2386" s="59">
        <f t="shared" si="909"/>
        <v>0</v>
      </c>
      <c r="AH2386" s="15"/>
      <c r="AI2386" s="15"/>
      <c r="AJ2386" s="15"/>
      <c r="AK2386" s="15"/>
      <c r="AL2386" s="15"/>
      <c r="AM2386" s="15"/>
      <c r="AN2386" s="15"/>
      <c r="AO2386" s="15"/>
      <c r="AP2386" s="15"/>
      <c r="AQ2386" s="15"/>
      <c r="AR2386" s="15"/>
      <c r="AS2386" s="15"/>
      <c r="AT2386" s="15"/>
      <c r="AU2386" s="15"/>
    </row>
    <row r="2387" ht="24.0" customHeight="1">
      <c r="A2387" s="45">
        <v>3811.0</v>
      </c>
      <c r="B2387" s="57"/>
      <c r="C2387" s="57"/>
      <c r="D2387" s="88" t="str">
        <f t="array" ref="D2387">IFERROR(
  LOOKUP(2, 1/((TRIM(IMS!$E$8:$E$2574)=TRIM(IMS!$E2387))*(IMS!$C$8:$C$2574&lt;IMS!$C2387)),
         IMS!$C$8:$C$2574),
"")</f>
        <v/>
      </c>
      <c r="E2387" s="57"/>
      <c r="F2387" s="57"/>
      <c r="G2387" s="77" t="str">
        <f t="shared" si="901"/>
        <v/>
      </c>
      <c r="H2387" s="78" t="str">
        <f t="shared" si="902"/>
        <v/>
      </c>
      <c r="I2387" s="79"/>
      <c r="J2387" s="80" t="str">
        <f t="shared" si="903"/>
        <v>#NAME?</v>
      </c>
      <c r="K2387" s="58"/>
      <c r="L2387" s="58"/>
      <c r="M2387" s="57"/>
      <c r="N2387" s="57"/>
      <c r="O2387" s="58"/>
      <c r="P2387" s="82"/>
      <c r="Q2387" s="81"/>
      <c r="R2387" s="81"/>
      <c r="S2387" s="57"/>
      <c r="T2387" s="82"/>
      <c r="U2387" s="82"/>
      <c r="V2387" s="57"/>
      <c r="W2387" s="57"/>
      <c r="X2387" s="57" t="str">
        <f t="shared" si="917"/>
        <v/>
      </c>
      <c r="Y2387" s="58" t="str">
        <f t="shared" ref="Y2387:AC2387" si="2227">TRIM(SUBSTITUTE(SUBSTITUTE(OFFSET($Q2387,0,COLUMN()-COLUMN($AL$1)),CHAR(160)," "),_xludf.UNICHAR(8239)," "))</f>
        <v>#NAME?</v>
      </c>
      <c r="Z2387" s="58" t="str">
        <f t="shared" si="2227"/>
        <v>#NAME?</v>
      </c>
      <c r="AA2387" s="58" t="str">
        <f t="shared" si="2227"/>
        <v>#NAME?</v>
      </c>
      <c r="AB2387" s="58" t="str">
        <f t="shared" si="2227"/>
        <v>#NAME?</v>
      </c>
      <c r="AC2387" s="58" t="str">
        <f t="shared" si="2227"/>
        <v>#NAME?</v>
      </c>
      <c r="AD2387" s="57">
        <f t="shared" si="906"/>
        <v>0</v>
      </c>
      <c r="AE2387" s="57" t="str">
        <f t="shared" si="907"/>
        <v/>
      </c>
      <c r="AF2387" s="57">
        <f t="shared" si="908"/>
        <v>0</v>
      </c>
      <c r="AG2387" s="59">
        <f t="shared" si="909"/>
        <v>0</v>
      </c>
      <c r="AH2387" s="15"/>
      <c r="AI2387" s="15"/>
      <c r="AJ2387" s="15"/>
      <c r="AK2387" s="15"/>
      <c r="AL2387" s="15"/>
      <c r="AM2387" s="15"/>
      <c r="AN2387" s="15"/>
      <c r="AO2387" s="15"/>
      <c r="AP2387" s="15"/>
      <c r="AQ2387" s="15"/>
      <c r="AR2387" s="15"/>
      <c r="AS2387" s="15"/>
      <c r="AT2387" s="15"/>
      <c r="AU2387" s="15"/>
    </row>
    <row r="2388" ht="24.0" customHeight="1">
      <c r="A2388" s="45">
        <v>3812.0</v>
      </c>
      <c r="B2388" s="57"/>
      <c r="C2388" s="57"/>
      <c r="D2388" s="88" t="str">
        <f t="array" ref="D2388">IFERROR(
  LOOKUP(2, 1/((TRIM(IMS!$E$8:$E$2574)=TRIM(IMS!$E2388))*(IMS!$C$8:$C$2574&lt;IMS!$C2388)),
         IMS!$C$8:$C$2574),
"")</f>
        <v/>
      </c>
      <c r="E2388" s="57"/>
      <c r="F2388" s="57"/>
      <c r="G2388" s="77" t="str">
        <f t="shared" si="901"/>
        <v/>
      </c>
      <c r="H2388" s="78" t="str">
        <f t="shared" si="902"/>
        <v/>
      </c>
      <c r="I2388" s="79"/>
      <c r="J2388" s="80" t="str">
        <f t="shared" si="903"/>
        <v>#NAME?</v>
      </c>
      <c r="K2388" s="58"/>
      <c r="L2388" s="58"/>
      <c r="M2388" s="57"/>
      <c r="N2388" s="57"/>
      <c r="O2388" s="58"/>
      <c r="P2388" s="82"/>
      <c r="Q2388" s="81"/>
      <c r="R2388" s="81"/>
      <c r="S2388" s="57"/>
      <c r="T2388" s="82"/>
      <c r="U2388" s="82"/>
      <c r="V2388" s="57"/>
      <c r="W2388" s="57"/>
      <c r="X2388" s="57" t="str">
        <f t="shared" si="917"/>
        <v/>
      </c>
      <c r="Y2388" s="58" t="str">
        <f t="shared" ref="Y2388:AC2388" si="2228">TRIM(SUBSTITUTE(SUBSTITUTE(OFFSET($Q2388,0,COLUMN()-COLUMN($AL$1)),CHAR(160)," "),_xludf.UNICHAR(8239)," "))</f>
        <v>#NAME?</v>
      </c>
      <c r="Z2388" s="58" t="str">
        <f t="shared" si="2228"/>
        <v>#NAME?</v>
      </c>
      <c r="AA2388" s="58" t="str">
        <f t="shared" si="2228"/>
        <v>#NAME?</v>
      </c>
      <c r="AB2388" s="58" t="str">
        <f t="shared" si="2228"/>
        <v>#NAME?</v>
      </c>
      <c r="AC2388" s="58" t="str">
        <f t="shared" si="2228"/>
        <v>#NAME?</v>
      </c>
      <c r="AD2388" s="57">
        <f t="shared" si="906"/>
        <v>0</v>
      </c>
      <c r="AE2388" s="57" t="str">
        <f t="shared" si="907"/>
        <v/>
      </c>
      <c r="AF2388" s="57">
        <f t="shared" si="908"/>
        <v>0</v>
      </c>
      <c r="AG2388" s="59">
        <f t="shared" si="909"/>
        <v>0</v>
      </c>
      <c r="AH2388" s="15"/>
      <c r="AI2388" s="15"/>
      <c r="AJ2388" s="15"/>
      <c r="AK2388" s="15"/>
      <c r="AL2388" s="15"/>
      <c r="AM2388" s="15"/>
      <c r="AN2388" s="15"/>
      <c r="AO2388" s="15"/>
      <c r="AP2388" s="15"/>
      <c r="AQ2388" s="15"/>
      <c r="AR2388" s="15"/>
      <c r="AS2388" s="15"/>
      <c r="AT2388" s="15"/>
      <c r="AU2388" s="15"/>
    </row>
    <row r="2389" ht="24.0" customHeight="1">
      <c r="A2389" s="45">
        <v>3813.0</v>
      </c>
      <c r="B2389" s="57"/>
      <c r="C2389" s="57"/>
      <c r="D2389" s="88" t="str">
        <f t="array" ref="D2389">IFERROR(
  LOOKUP(2, 1/((TRIM(IMS!$E$8:$E$2574)=TRIM(IMS!$E2389))*(IMS!$C$8:$C$2574&lt;IMS!$C2389)),
         IMS!$C$8:$C$2574),
"")</f>
        <v/>
      </c>
      <c r="E2389" s="57"/>
      <c r="F2389" s="57"/>
      <c r="G2389" s="77" t="str">
        <f t="shared" si="901"/>
        <v/>
      </c>
      <c r="H2389" s="78" t="str">
        <f t="shared" si="902"/>
        <v/>
      </c>
      <c r="I2389" s="79"/>
      <c r="J2389" s="80" t="str">
        <f t="shared" si="903"/>
        <v>#NAME?</v>
      </c>
      <c r="K2389" s="58"/>
      <c r="L2389" s="58"/>
      <c r="M2389" s="57"/>
      <c r="N2389" s="57"/>
      <c r="O2389" s="58"/>
      <c r="P2389" s="82"/>
      <c r="Q2389" s="81"/>
      <c r="R2389" s="81"/>
      <c r="S2389" s="57"/>
      <c r="T2389" s="82"/>
      <c r="U2389" s="82"/>
      <c r="V2389" s="57"/>
      <c r="W2389" s="57"/>
      <c r="X2389" s="57" t="str">
        <f t="shared" si="917"/>
        <v/>
      </c>
      <c r="Y2389" s="58" t="str">
        <f t="shared" ref="Y2389:AC2389" si="2229">TRIM(SUBSTITUTE(SUBSTITUTE(OFFSET($Q2389,0,COLUMN()-COLUMN($AL$1)),CHAR(160)," "),_xludf.UNICHAR(8239)," "))</f>
        <v>#NAME?</v>
      </c>
      <c r="Z2389" s="58" t="str">
        <f t="shared" si="2229"/>
        <v>#NAME?</v>
      </c>
      <c r="AA2389" s="58" t="str">
        <f t="shared" si="2229"/>
        <v>#NAME?</v>
      </c>
      <c r="AB2389" s="58" t="str">
        <f t="shared" si="2229"/>
        <v>#NAME?</v>
      </c>
      <c r="AC2389" s="58" t="str">
        <f t="shared" si="2229"/>
        <v>#NAME?</v>
      </c>
      <c r="AD2389" s="57">
        <f t="shared" si="906"/>
        <v>0</v>
      </c>
      <c r="AE2389" s="57" t="str">
        <f t="shared" si="907"/>
        <v/>
      </c>
      <c r="AF2389" s="57">
        <f t="shared" si="908"/>
        <v>0</v>
      </c>
      <c r="AG2389" s="59">
        <f t="shared" si="909"/>
        <v>0</v>
      </c>
      <c r="AH2389" s="15"/>
      <c r="AI2389" s="15"/>
      <c r="AJ2389" s="15"/>
      <c r="AK2389" s="15"/>
      <c r="AL2389" s="15"/>
      <c r="AM2389" s="15"/>
      <c r="AN2389" s="15"/>
      <c r="AO2389" s="15"/>
      <c r="AP2389" s="15"/>
      <c r="AQ2389" s="15"/>
      <c r="AR2389" s="15"/>
      <c r="AS2389" s="15"/>
      <c r="AT2389" s="15"/>
      <c r="AU2389" s="15"/>
    </row>
    <row r="2390" ht="24.0" customHeight="1">
      <c r="A2390" s="45">
        <v>3814.0</v>
      </c>
      <c r="B2390" s="57"/>
      <c r="C2390" s="57"/>
      <c r="D2390" s="88" t="str">
        <f t="array" ref="D2390">IFERROR(
  LOOKUP(2, 1/((TRIM(IMS!$E$8:$E$2574)=TRIM(IMS!$E2390))*(IMS!$C$8:$C$2574&lt;IMS!$C2390)),
         IMS!$C$8:$C$2574),
"")</f>
        <v/>
      </c>
      <c r="E2390" s="57"/>
      <c r="F2390" s="57"/>
      <c r="G2390" s="77" t="str">
        <f t="shared" si="901"/>
        <v/>
      </c>
      <c r="H2390" s="78" t="str">
        <f t="shared" si="902"/>
        <v/>
      </c>
      <c r="I2390" s="79"/>
      <c r="J2390" s="80" t="str">
        <f t="shared" si="903"/>
        <v>#NAME?</v>
      </c>
      <c r="K2390" s="58"/>
      <c r="L2390" s="58"/>
      <c r="M2390" s="57"/>
      <c r="N2390" s="57"/>
      <c r="O2390" s="58"/>
      <c r="P2390" s="82"/>
      <c r="Q2390" s="81"/>
      <c r="R2390" s="81"/>
      <c r="S2390" s="57"/>
      <c r="T2390" s="82"/>
      <c r="U2390" s="82"/>
      <c r="V2390" s="57"/>
      <c r="W2390" s="57"/>
      <c r="X2390" s="57" t="str">
        <f t="shared" si="917"/>
        <v/>
      </c>
      <c r="Y2390" s="58" t="str">
        <f t="shared" ref="Y2390:AC2390" si="2230">TRIM(SUBSTITUTE(SUBSTITUTE(OFFSET($Q2390,0,COLUMN()-COLUMN($AL$1)),CHAR(160)," "),_xludf.UNICHAR(8239)," "))</f>
        <v>#NAME?</v>
      </c>
      <c r="Z2390" s="58" t="str">
        <f t="shared" si="2230"/>
        <v>#NAME?</v>
      </c>
      <c r="AA2390" s="58" t="str">
        <f t="shared" si="2230"/>
        <v>#NAME?</v>
      </c>
      <c r="AB2390" s="58" t="str">
        <f t="shared" si="2230"/>
        <v>#NAME?</v>
      </c>
      <c r="AC2390" s="58" t="str">
        <f t="shared" si="2230"/>
        <v>#NAME?</v>
      </c>
      <c r="AD2390" s="57">
        <f t="shared" si="906"/>
        <v>0</v>
      </c>
      <c r="AE2390" s="57" t="str">
        <f t="shared" si="907"/>
        <v/>
      </c>
      <c r="AF2390" s="57">
        <f t="shared" si="908"/>
        <v>0</v>
      </c>
      <c r="AG2390" s="59">
        <f t="shared" si="909"/>
        <v>0</v>
      </c>
      <c r="AH2390" s="15"/>
      <c r="AI2390" s="15"/>
      <c r="AJ2390" s="15"/>
      <c r="AK2390" s="15"/>
      <c r="AL2390" s="15"/>
      <c r="AM2390" s="15"/>
      <c r="AN2390" s="15"/>
      <c r="AO2390" s="15"/>
      <c r="AP2390" s="15"/>
      <c r="AQ2390" s="15"/>
      <c r="AR2390" s="15"/>
      <c r="AS2390" s="15"/>
      <c r="AT2390" s="15"/>
      <c r="AU2390" s="15"/>
    </row>
    <row r="2391" ht="24.0" customHeight="1">
      <c r="A2391" s="45">
        <v>3815.0</v>
      </c>
      <c r="B2391" s="57"/>
      <c r="C2391" s="57"/>
      <c r="D2391" s="88" t="str">
        <f t="array" ref="D2391">IFERROR(
  LOOKUP(2, 1/((TRIM(IMS!$E$8:$E$2574)=TRIM(IMS!$E2391))*(IMS!$C$8:$C$2574&lt;IMS!$C2391)),
         IMS!$C$8:$C$2574),
"")</f>
        <v/>
      </c>
      <c r="E2391" s="57"/>
      <c r="F2391" s="57"/>
      <c r="G2391" s="77" t="str">
        <f t="shared" si="901"/>
        <v/>
      </c>
      <c r="H2391" s="78" t="str">
        <f t="shared" si="902"/>
        <v/>
      </c>
      <c r="I2391" s="79"/>
      <c r="J2391" s="80" t="str">
        <f t="shared" si="903"/>
        <v>#NAME?</v>
      </c>
      <c r="K2391" s="58"/>
      <c r="L2391" s="58"/>
      <c r="M2391" s="57"/>
      <c r="N2391" s="57"/>
      <c r="O2391" s="58"/>
      <c r="P2391" s="82"/>
      <c r="Q2391" s="81"/>
      <c r="R2391" s="81"/>
      <c r="S2391" s="57"/>
      <c r="T2391" s="82"/>
      <c r="U2391" s="82"/>
      <c r="V2391" s="57"/>
      <c r="W2391" s="57"/>
      <c r="X2391" s="57" t="str">
        <f t="shared" si="917"/>
        <v/>
      </c>
      <c r="Y2391" s="58" t="str">
        <f t="shared" ref="Y2391:AC2391" si="2231">TRIM(SUBSTITUTE(SUBSTITUTE(OFFSET($Q2391,0,COLUMN()-COLUMN($AL$1)),CHAR(160)," "),_xludf.UNICHAR(8239)," "))</f>
        <v>#NAME?</v>
      </c>
      <c r="Z2391" s="58" t="str">
        <f t="shared" si="2231"/>
        <v>#NAME?</v>
      </c>
      <c r="AA2391" s="58" t="str">
        <f t="shared" si="2231"/>
        <v>#NAME?</v>
      </c>
      <c r="AB2391" s="58" t="str">
        <f t="shared" si="2231"/>
        <v>#NAME?</v>
      </c>
      <c r="AC2391" s="58" t="str">
        <f t="shared" si="2231"/>
        <v>#NAME?</v>
      </c>
      <c r="AD2391" s="57">
        <f t="shared" si="906"/>
        <v>0</v>
      </c>
      <c r="AE2391" s="57" t="str">
        <f t="shared" si="907"/>
        <v/>
      </c>
      <c r="AF2391" s="57">
        <f t="shared" si="908"/>
        <v>0</v>
      </c>
      <c r="AG2391" s="59">
        <f t="shared" si="909"/>
        <v>0</v>
      </c>
      <c r="AH2391" s="15"/>
      <c r="AI2391" s="15"/>
      <c r="AJ2391" s="15"/>
      <c r="AK2391" s="15"/>
      <c r="AL2391" s="15"/>
      <c r="AM2391" s="15"/>
      <c r="AN2391" s="15"/>
      <c r="AO2391" s="15"/>
      <c r="AP2391" s="15"/>
      <c r="AQ2391" s="15"/>
      <c r="AR2391" s="15"/>
      <c r="AS2391" s="15"/>
      <c r="AT2391" s="15"/>
      <c r="AU2391" s="15"/>
    </row>
    <row r="2392" ht="24.0" customHeight="1">
      <c r="A2392" s="45">
        <v>3816.0</v>
      </c>
      <c r="B2392" s="57"/>
      <c r="C2392" s="57"/>
      <c r="D2392" s="88" t="str">
        <f t="array" ref="D2392">IFERROR(
  LOOKUP(2, 1/((TRIM(IMS!$E$8:$E$2574)=TRIM(IMS!$E2392))*(IMS!$C$8:$C$2574&lt;IMS!$C2392)),
         IMS!$C$8:$C$2574),
"")</f>
        <v/>
      </c>
      <c r="E2392" s="57"/>
      <c r="F2392" s="57"/>
      <c r="G2392" s="77" t="str">
        <f t="shared" si="901"/>
        <v/>
      </c>
      <c r="H2392" s="78" t="str">
        <f t="shared" si="902"/>
        <v/>
      </c>
      <c r="I2392" s="79"/>
      <c r="J2392" s="80" t="str">
        <f t="shared" si="903"/>
        <v>#NAME?</v>
      </c>
      <c r="K2392" s="58"/>
      <c r="L2392" s="58"/>
      <c r="M2392" s="57"/>
      <c r="N2392" s="57"/>
      <c r="O2392" s="58"/>
      <c r="P2392" s="82"/>
      <c r="Q2392" s="81"/>
      <c r="R2392" s="81"/>
      <c r="S2392" s="57"/>
      <c r="T2392" s="82"/>
      <c r="U2392" s="82"/>
      <c r="V2392" s="57"/>
      <c r="W2392" s="57"/>
      <c r="X2392" s="57" t="str">
        <f t="shared" si="917"/>
        <v/>
      </c>
      <c r="Y2392" s="58" t="str">
        <f t="shared" ref="Y2392:AC2392" si="2232">TRIM(SUBSTITUTE(SUBSTITUTE(OFFSET($Q2392,0,COLUMN()-COLUMN($AL$1)),CHAR(160)," "),_xludf.UNICHAR(8239)," "))</f>
        <v>#NAME?</v>
      </c>
      <c r="Z2392" s="58" t="str">
        <f t="shared" si="2232"/>
        <v>#NAME?</v>
      </c>
      <c r="AA2392" s="58" t="str">
        <f t="shared" si="2232"/>
        <v>#NAME?</v>
      </c>
      <c r="AB2392" s="58" t="str">
        <f t="shared" si="2232"/>
        <v>#NAME?</v>
      </c>
      <c r="AC2392" s="58" t="str">
        <f t="shared" si="2232"/>
        <v>#NAME?</v>
      </c>
      <c r="AD2392" s="57">
        <f t="shared" si="906"/>
        <v>0</v>
      </c>
      <c r="AE2392" s="57" t="str">
        <f t="shared" si="907"/>
        <v/>
      </c>
      <c r="AF2392" s="57">
        <f t="shared" si="908"/>
        <v>0</v>
      </c>
      <c r="AG2392" s="59">
        <f t="shared" si="909"/>
        <v>0</v>
      </c>
      <c r="AH2392" s="15"/>
      <c r="AI2392" s="15"/>
      <c r="AJ2392" s="15"/>
      <c r="AK2392" s="15"/>
      <c r="AL2392" s="15"/>
      <c r="AM2392" s="15"/>
      <c r="AN2392" s="15"/>
      <c r="AO2392" s="15"/>
      <c r="AP2392" s="15"/>
      <c r="AQ2392" s="15"/>
      <c r="AR2392" s="15"/>
      <c r="AS2392" s="15"/>
      <c r="AT2392" s="15"/>
      <c r="AU2392" s="15"/>
    </row>
    <row r="2393" ht="24.0" customHeight="1">
      <c r="A2393" s="45">
        <v>3817.0</v>
      </c>
      <c r="B2393" s="57"/>
      <c r="C2393" s="57"/>
      <c r="D2393" s="88" t="str">
        <f t="array" ref="D2393">IFERROR(
  LOOKUP(2, 1/((TRIM(IMS!$E$8:$E$2574)=TRIM(IMS!$E2393))*(IMS!$C$8:$C$2574&lt;IMS!$C2393)),
         IMS!$C$8:$C$2574),
"")</f>
        <v/>
      </c>
      <c r="E2393" s="57"/>
      <c r="F2393" s="57"/>
      <c r="G2393" s="77" t="str">
        <f t="shared" si="901"/>
        <v/>
      </c>
      <c r="H2393" s="78" t="str">
        <f t="shared" si="902"/>
        <v/>
      </c>
      <c r="I2393" s="79"/>
      <c r="J2393" s="80" t="str">
        <f t="shared" si="903"/>
        <v>#NAME?</v>
      </c>
      <c r="K2393" s="58"/>
      <c r="L2393" s="58"/>
      <c r="M2393" s="57"/>
      <c r="N2393" s="57"/>
      <c r="O2393" s="58"/>
      <c r="P2393" s="82"/>
      <c r="Q2393" s="81"/>
      <c r="R2393" s="81"/>
      <c r="S2393" s="57"/>
      <c r="T2393" s="82"/>
      <c r="U2393" s="82"/>
      <c r="V2393" s="57"/>
      <c r="W2393" s="57"/>
      <c r="X2393" s="57" t="str">
        <f t="shared" si="917"/>
        <v/>
      </c>
      <c r="Y2393" s="58" t="str">
        <f t="shared" ref="Y2393:AC2393" si="2233">TRIM(SUBSTITUTE(SUBSTITUTE(OFFSET($Q2393,0,COLUMN()-COLUMN($AL$1)),CHAR(160)," "),_xludf.UNICHAR(8239)," "))</f>
        <v>#NAME?</v>
      </c>
      <c r="Z2393" s="58" t="str">
        <f t="shared" si="2233"/>
        <v>#NAME?</v>
      </c>
      <c r="AA2393" s="58" t="str">
        <f t="shared" si="2233"/>
        <v>#NAME?</v>
      </c>
      <c r="AB2393" s="58" t="str">
        <f t="shared" si="2233"/>
        <v>#NAME?</v>
      </c>
      <c r="AC2393" s="58" t="str">
        <f t="shared" si="2233"/>
        <v>#NAME?</v>
      </c>
      <c r="AD2393" s="57">
        <f t="shared" si="906"/>
        <v>0</v>
      </c>
      <c r="AE2393" s="57" t="str">
        <f t="shared" si="907"/>
        <v/>
      </c>
      <c r="AF2393" s="57">
        <f t="shared" si="908"/>
        <v>0</v>
      </c>
      <c r="AG2393" s="59">
        <f t="shared" si="909"/>
        <v>0</v>
      </c>
      <c r="AH2393" s="15"/>
      <c r="AI2393" s="15"/>
      <c r="AJ2393" s="15"/>
      <c r="AK2393" s="15"/>
      <c r="AL2393" s="15"/>
      <c r="AM2393" s="15"/>
      <c r="AN2393" s="15"/>
      <c r="AO2393" s="15"/>
      <c r="AP2393" s="15"/>
      <c r="AQ2393" s="15"/>
      <c r="AR2393" s="15"/>
      <c r="AS2393" s="15"/>
      <c r="AT2393" s="15"/>
      <c r="AU2393" s="15"/>
    </row>
    <row r="2394" ht="24.0" customHeight="1">
      <c r="A2394" s="45">
        <v>3818.0</v>
      </c>
      <c r="B2394" s="57"/>
      <c r="C2394" s="57"/>
      <c r="D2394" s="88" t="str">
        <f t="array" ref="D2394">IFERROR(
  LOOKUP(2, 1/((TRIM(IMS!$E$8:$E$2574)=TRIM(IMS!$E2394))*(IMS!$C$8:$C$2574&lt;IMS!$C2394)),
         IMS!$C$8:$C$2574),
"")</f>
        <v/>
      </c>
      <c r="E2394" s="57"/>
      <c r="F2394" s="57"/>
      <c r="G2394" s="77" t="str">
        <f t="shared" si="901"/>
        <v/>
      </c>
      <c r="H2394" s="78" t="str">
        <f t="shared" si="902"/>
        <v/>
      </c>
      <c r="I2394" s="79"/>
      <c r="J2394" s="80" t="str">
        <f t="shared" si="903"/>
        <v>#NAME?</v>
      </c>
      <c r="K2394" s="58"/>
      <c r="L2394" s="58"/>
      <c r="M2394" s="57"/>
      <c r="N2394" s="57"/>
      <c r="O2394" s="58"/>
      <c r="P2394" s="82"/>
      <c r="Q2394" s="81"/>
      <c r="R2394" s="81"/>
      <c r="S2394" s="57"/>
      <c r="T2394" s="82"/>
      <c r="U2394" s="82"/>
      <c r="V2394" s="57"/>
      <c r="W2394" s="57"/>
      <c r="X2394" s="57" t="str">
        <f t="shared" si="917"/>
        <v/>
      </c>
      <c r="Y2394" s="58" t="str">
        <f t="shared" ref="Y2394:AC2394" si="2234">TRIM(SUBSTITUTE(SUBSTITUTE(OFFSET($Q2394,0,COLUMN()-COLUMN($AL$1)),CHAR(160)," "),_xludf.UNICHAR(8239)," "))</f>
        <v>#NAME?</v>
      </c>
      <c r="Z2394" s="58" t="str">
        <f t="shared" si="2234"/>
        <v>#NAME?</v>
      </c>
      <c r="AA2394" s="58" t="str">
        <f t="shared" si="2234"/>
        <v>#NAME?</v>
      </c>
      <c r="AB2394" s="58" t="str">
        <f t="shared" si="2234"/>
        <v>#NAME?</v>
      </c>
      <c r="AC2394" s="58" t="str">
        <f t="shared" si="2234"/>
        <v>#NAME?</v>
      </c>
      <c r="AD2394" s="57">
        <f t="shared" si="906"/>
        <v>0</v>
      </c>
      <c r="AE2394" s="57" t="str">
        <f t="shared" si="907"/>
        <v/>
      </c>
      <c r="AF2394" s="57">
        <f t="shared" si="908"/>
        <v>0</v>
      </c>
      <c r="AG2394" s="59">
        <f t="shared" si="909"/>
        <v>0</v>
      </c>
      <c r="AH2394" s="15"/>
      <c r="AI2394" s="15"/>
      <c r="AJ2394" s="15"/>
      <c r="AK2394" s="15"/>
      <c r="AL2394" s="15"/>
      <c r="AM2394" s="15"/>
      <c r="AN2394" s="15"/>
      <c r="AO2394" s="15"/>
      <c r="AP2394" s="15"/>
      <c r="AQ2394" s="15"/>
      <c r="AR2394" s="15"/>
      <c r="AS2394" s="15"/>
      <c r="AT2394" s="15"/>
      <c r="AU2394" s="15"/>
    </row>
    <row r="2395" ht="24.0" customHeight="1">
      <c r="A2395" s="45">
        <v>3819.0</v>
      </c>
      <c r="B2395" s="57"/>
      <c r="C2395" s="57"/>
      <c r="D2395" s="88" t="str">
        <f t="array" ref="D2395">IFERROR(
  LOOKUP(2, 1/((TRIM(IMS!$E$8:$E$2574)=TRIM(IMS!$E2395))*(IMS!$C$8:$C$2574&lt;IMS!$C2395)),
         IMS!$C$8:$C$2574),
"")</f>
        <v/>
      </c>
      <c r="E2395" s="57"/>
      <c r="F2395" s="57"/>
      <c r="G2395" s="77" t="str">
        <f t="shared" si="901"/>
        <v/>
      </c>
      <c r="H2395" s="78" t="str">
        <f t="shared" si="902"/>
        <v/>
      </c>
      <c r="I2395" s="79"/>
      <c r="J2395" s="80" t="str">
        <f t="shared" si="903"/>
        <v>#NAME?</v>
      </c>
      <c r="K2395" s="58"/>
      <c r="L2395" s="58"/>
      <c r="M2395" s="57"/>
      <c r="N2395" s="57"/>
      <c r="O2395" s="58"/>
      <c r="P2395" s="82"/>
      <c r="Q2395" s="81"/>
      <c r="R2395" s="81"/>
      <c r="S2395" s="57"/>
      <c r="T2395" s="82"/>
      <c r="U2395" s="82"/>
      <c r="V2395" s="57"/>
      <c r="W2395" s="57"/>
      <c r="X2395" s="57" t="str">
        <f t="shared" si="917"/>
        <v/>
      </c>
      <c r="Y2395" s="58" t="str">
        <f t="shared" ref="Y2395:AC2395" si="2235">TRIM(SUBSTITUTE(SUBSTITUTE(OFFSET($Q2395,0,COLUMN()-COLUMN($AL$1)),CHAR(160)," "),_xludf.UNICHAR(8239)," "))</f>
        <v>#NAME?</v>
      </c>
      <c r="Z2395" s="58" t="str">
        <f t="shared" si="2235"/>
        <v>#NAME?</v>
      </c>
      <c r="AA2395" s="58" t="str">
        <f t="shared" si="2235"/>
        <v>#NAME?</v>
      </c>
      <c r="AB2395" s="58" t="str">
        <f t="shared" si="2235"/>
        <v>#NAME?</v>
      </c>
      <c r="AC2395" s="58" t="str">
        <f t="shared" si="2235"/>
        <v>#NAME?</v>
      </c>
      <c r="AD2395" s="57">
        <f t="shared" si="906"/>
        <v>0</v>
      </c>
      <c r="AE2395" s="57" t="str">
        <f t="shared" si="907"/>
        <v/>
      </c>
      <c r="AF2395" s="57">
        <f t="shared" si="908"/>
        <v>0</v>
      </c>
      <c r="AG2395" s="59">
        <f t="shared" si="909"/>
        <v>0</v>
      </c>
      <c r="AH2395" s="15"/>
      <c r="AI2395" s="15"/>
      <c r="AJ2395" s="15"/>
      <c r="AK2395" s="15"/>
      <c r="AL2395" s="15"/>
      <c r="AM2395" s="15"/>
      <c r="AN2395" s="15"/>
      <c r="AO2395" s="15"/>
      <c r="AP2395" s="15"/>
      <c r="AQ2395" s="15"/>
      <c r="AR2395" s="15"/>
      <c r="AS2395" s="15"/>
      <c r="AT2395" s="15"/>
      <c r="AU2395" s="15"/>
    </row>
    <row r="2396" ht="24.0" customHeight="1">
      <c r="A2396" s="45">
        <v>3820.0</v>
      </c>
      <c r="B2396" s="57"/>
      <c r="C2396" s="57"/>
      <c r="D2396" s="88" t="str">
        <f t="array" ref="D2396">IFERROR(
  LOOKUP(2, 1/((TRIM(IMS!$E$8:$E$2574)=TRIM(IMS!$E2396))*(IMS!$C$8:$C$2574&lt;IMS!$C2396)),
         IMS!$C$8:$C$2574),
"")</f>
        <v/>
      </c>
      <c r="E2396" s="57"/>
      <c r="F2396" s="57"/>
      <c r="G2396" s="77" t="str">
        <f t="shared" si="901"/>
        <v/>
      </c>
      <c r="H2396" s="78" t="str">
        <f t="shared" si="902"/>
        <v/>
      </c>
      <c r="I2396" s="79"/>
      <c r="J2396" s="80" t="str">
        <f t="shared" si="903"/>
        <v>#NAME?</v>
      </c>
      <c r="K2396" s="58"/>
      <c r="L2396" s="58"/>
      <c r="M2396" s="57"/>
      <c r="N2396" s="57"/>
      <c r="O2396" s="58"/>
      <c r="P2396" s="82"/>
      <c r="Q2396" s="81"/>
      <c r="R2396" s="81"/>
      <c r="S2396" s="57"/>
      <c r="T2396" s="82"/>
      <c r="U2396" s="82"/>
      <c r="V2396" s="57"/>
      <c r="W2396" s="57"/>
      <c r="X2396" s="57" t="str">
        <f t="shared" si="917"/>
        <v/>
      </c>
      <c r="Y2396" s="58" t="str">
        <f t="shared" ref="Y2396:AC2396" si="2236">TRIM(SUBSTITUTE(SUBSTITUTE(OFFSET($Q2396,0,COLUMN()-COLUMN($AL$1)),CHAR(160)," "),_xludf.UNICHAR(8239)," "))</f>
        <v>#NAME?</v>
      </c>
      <c r="Z2396" s="58" t="str">
        <f t="shared" si="2236"/>
        <v>#NAME?</v>
      </c>
      <c r="AA2396" s="58" t="str">
        <f t="shared" si="2236"/>
        <v>#NAME?</v>
      </c>
      <c r="AB2396" s="58" t="str">
        <f t="shared" si="2236"/>
        <v>#NAME?</v>
      </c>
      <c r="AC2396" s="58" t="str">
        <f t="shared" si="2236"/>
        <v>#NAME?</v>
      </c>
      <c r="AD2396" s="57">
        <f t="shared" si="906"/>
        <v>0</v>
      </c>
      <c r="AE2396" s="57" t="str">
        <f t="shared" si="907"/>
        <v/>
      </c>
      <c r="AF2396" s="57">
        <f t="shared" si="908"/>
        <v>0</v>
      </c>
      <c r="AG2396" s="59">
        <f t="shared" si="909"/>
        <v>0</v>
      </c>
      <c r="AH2396" s="15"/>
      <c r="AI2396" s="15"/>
      <c r="AJ2396" s="15"/>
      <c r="AK2396" s="15"/>
      <c r="AL2396" s="15"/>
      <c r="AM2396" s="15"/>
      <c r="AN2396" s="15"/>
      <c r="AO2396" s="15"/>
      <c r="AP2396" s="15"/>
      <c r="AQ2396" s="15"/>
      <c r="AR2396" s="15"/>
      <c r="AS2396" s="15"/>
      <c r="AT2396" s="15"/>
      <c r="AU2396" s="15"/>
    </row>
    <row r="2397" ht="24.0" customHeight="1">
      <c r="A2397" s="45">
        <v>3821.0</v>
      </c>
      <c r="B2397" s="57"/>
      <c r="C2397" s="57"/>
      <c r="D2397" s="88" t="str">
        <f t="array" ref="D2397">IFERROR(
  LOOKUP(2, 1/((TRIM(IMS!$E$8:$E$2574)=TRIM(IMS!$E2397))*(IMS!$C$8:$C$2574&lt;IMS!$C2397)),
         IMS!$C$8:$C$2574),
"")</f>
        <v/>
      </c>
      <c r="E2397" s="57"/>
      <c r="F2397" s="57"/>
      <c r="G2397" s="77" t="str">
        <f t="shared" si="901"/>
        <v/>
      </c>
      <c r="H2397" s="78" t="str">
        <f t="shared" si="902"/>
        <v/>
      </c>
      <c r="I2397" s="79"/>
      <c r="J2397" s="80" t="str">
        <f t="shared" si="903"/>
        <v>#NAME?</v>
      </c>
      <c r="K2397" s="58"/>
      <c r="L2397" s="58"/>
      <c r="M2397" s="57"/>
      <c r="N2397" s="57"/>
      <c r="O2397" s="58"/>
      <c r="P2397" s="82"/>
      <c r="Q2397" s="81"/>
      <c r="R2397" s="81"/>
      <c r="S2397" s="57"/>
      <c r="T2397" s="82"/>
      <c r="U2397" s="82"/>
      <c r="V2397" s="57"/>
      <c r="W2397" s="57"/>
      <c r="X2397" s="57" t="str">
        <f t="shared" si="917"/>
        <v/>
      </c>
      <c r="Y2397" s="58" t="str">
        <f t="shared" ref="Y2397:AC2397" si="2237">TRIM(SUBSTITUTE(SUBSTITUTE(OFFSET($Q2397,0,COLUMN()-COLUMN($AL$1)),CHAR(160)," "),_xludf.UNICHAR(8239)," "))</f>
        <v>#NAME?</v>
      </c>
      <c r="Z2397" s="58" t="str">
        <f t="shared" si="2237"/>
        <v>#NAME?</v>
      </c>
      <c r="AA2397" s="58" t="str">
        <f t="shared" si="2237"/>
        <v>#NAME?</v>
      </c>
      <c r="AB2397" s="58" t="str">
        <f t="shared" si="2237"/>
        <v>#NAME?</v>
      </c>
      <c r="AC2397" s="58" t="str">
        <f t="shared" si="2237"/>
        <v>#NAME?</v>
      </c>
      <c r="AD2397" s="57">
        <f t="shared" si="906"/>
        <v>0</v>
      </c>
      <c r="AE2397" s="57" t="str">
        <f t="shared" si="907"/>
        <v/>
      </c>
      <c r="AF2397" s="57">
        <f t="shared" si="908"/>
        <v>0</v>
      </c>
      <c r="AG2397" s="59">
        <f t="shared" si="909"/>
        <v>0</v>
      </c>
      <c r="AH2397" s="15"/>
      <c r="AI2397" s="15"/>
      <c r="AJ2397" s="15"/>
      <c r="AK2397" s="15"/>
      <c r="AL2397" s="15"/>
      <c r="AM2397" s="15"/>
      <c r="AN2397" s="15"/>
      <c r="AO2397" s="15"/>
      <c r="AP2397" s="15"/>
      <c r="AQ2397" s="15"/>
      <c r="AR2397" s="15"/>
      <c r="AS2397" s="15"/>
      <c r="AT2397" s="15"/>
      <c r="AU2397" s="15"/>
    </row>
    <row r="2398" ht="24.0" customHeight="1">
      <c r="A2398" s="45">
        <v>3822.0</v>
      </c>
      <c r="B2398" s="57"/>
      <c r="C2398" s="57"/>
      <c r="D2398" s="88" t="str">
        <f t="array" ref="D2398">IFERROR(
  LOOKUP(2, 1/((TRIM(IMS!$E$8:$E$2574)=TRIM(IMS!$E2398))*(IMS!$C$8:$C$2574&lt;IMS!$C2398)),
         IMS!$C$8:$C$2574),
"")</f>
        <v/>
      </c>
      <c r="E2398" s="57"/>
      <c r="F2398" s="57"/>
      <c r="G2398" s="77" t="str">
        <f t="shared" si="901"/>
        <v/>
      </c>
      <c r="H2398" s="78" t="str">
        <f t="shared" si="902"/>
        <v/>
      </c>
      <c r="I2398" s="79"/>
      <c r="J2398" s="80" t="str">
        <f t="shared" si="903"/>
        <v>#NAME?</v>
      </c>
      <c r="K2398" s="58"/>
      <c r="L2398" s="58"/>
      <c r="M2398" s="57"/>
      <c r="N2398" s="57"/>
      <c r="O2398" s="58"/>
      <c r="P2398" s="82"/>
      <c r="Q2398" s="81"/>
      <c r="R2398" s="81"/>
      <c r="S2398" s="57"/>
      <c r="T2398" s="82"/>
      <c r="U2398" s="82"/>
      <c r="V2398" s="57"/>
      <c r="W2398" s="57"/>
      <c r="X2398" s="57" t="str">
        <f t="shared" si="917"/>
        <v/>
      </c>
      <c r="Y2398" s="58" t="str">
        <f t="shared" ref="Y2398:AC2398" si="2238">TRIM(SUBSTITUTE(SUBSTITUTE(OFFSET($Q2398,0,COLUMN()-COLUMN($AL$1)),CHAR(160)," "),_xludf.UNICHAR(8239)," "))</f>
        <v>#NAME?</v>
      </c>
      <c r="Z2398" s="58" t="str">
        <f t="shared" si="2238"/>
        <v>#NAME?</v>
      </c>
      <c r="AA2398" s="58" t="str">
        <f t="shared" si="2238"/>
        <v>#NAME?</v>
      </c>
      <c r="AB2398" s="58" t="str">
        <f t="shared" si="2238"/>
        <v>#NAME?</v>
      </c>
      <c r="AC2398" s="58" t="str">
        <f t="shared" si="2238"/>
        <v>#NAME?</v>
      </c>
      <c r="AD2398" s="57">
        <f t="shared" si="906"/>
        <v>0</v>
      </c>
      <c r="AE2398" s="57" t="str">
        <f t="shared" si="907"/>
        <v/>
      </c>
      <c r="AF2398" s="57">
        <f t="shared" si="908"/>
        <v>0</v>
      </c>
      <c r="AG2398" s="59">
        <f t="shared" si="909"/>
        <v>0</v>
      </c>
      <c r="AH2398" s="15"/>
      <c r="AI2398" s="15"/>
      <c r="AJ2398" s="15"/>
      <c r="AK2398" s="15"/>
      <c r="AL2398" s="15"/>
      <c r="AM2398" s="15"/>
      <c r="AN2398" s="15"/>
      <c r="AO2398" s="15"/>
      <c r="AP2398" s="15"/>
      <c r="AQ2398" s="15"/>
      <c r="AR2398" s="15"/>
      <c r="AS2398" s="15"/>
      <c r="AT2398" s="15"/>
      <c r="AU2398" s="15"/>
    </row>
    <row r="2399" ht="24.0" customHeight="1">
      <c r="A2399" s="45">
        <v>3823.0</v>
      </c>
      <c r="B2399" s="57"/>
      <c r="C2399" s="57"/>
      <c r="D2399" s="88" t="str">
        <f t="array" ref="D2399">IFERROR(
  LOOKUP(2, 1/((TRIM(IMS!$E$8:$E$2574)=TRIM(IMS!$E2399))*(IMS!$C$8:$C$2574&lt;IMS!$C2399)),
         IMS!$C$8:$C$2574),
"")</f>
        <v/>
      </c>
      <c r="E2399" s="57"/>
      <c r="F2399" s="57"/>
      <c r="G2399" s="77" t="str">
        <f t="shared" si="901"/>
        <v/>
      </c>
      <c r="H2399" s="78" t="str">
        <f t="shared" si="902"/>
        <v/>
      </c>
      <c r="I2399" s="79"/>
      <c r="J2399" s="80" t="str">
        <f t="shared" si="903"/>
        <v>#NAME?</v>
      </c>
      <c r="K2399" s="58"/>
      <c r="L2399" s="58"/>
      <c r="M2399" s="57"/>
      <c r="N2399" s="57"/>
      <c r="O2399" s="58"/>
      <c r="P2399" s="82"/>
      <c r="Q2399" s="81"/>
      <c r="R2399" s="81"/>
      <c r="S2399" s="57"/>
      <c r="T2399" s="82"/>
      <c r="U2399" s="82"/>
      <c r="V2399" s="57"/>
      <c r="W2399" s="57"/>
      <c r="X2399" s="57" t="str">
        <f t="shared" si="917"/>
        <v/>
      </c>
      <c r="Y2399" s="58" t="str">
        <f t="shared" ref="Y2399:AC2399" si="2239">TRIM(SUBSTITUTE(SUBSTITUTE(OFFSET($Q2399,0,COLUMN()-COLUMN($AL$1)),CHAR(160)," "),_xludf.UNICHAR(8239)," "))</f>
        <v>#NAME?</v>
      </c>
      <c r="Z2399" s="58" t="str">
        <f t="shared" si="2239"/>
        <v>#NAME?</v>
      </c>
      <c r="AA2399" s="58" t="str">
        <f t="shared" si="2239"/>
        <v>#NAME?</v>
      </c>
      <c r="AB2399" s="58" t="str">
        <f t="shared" si="2239"/>
        <v>#NAME?</v>
      </c>
      <c r="AC2399" s="58" t="str">
        <f t="shared" si="2239"/>
        <v>#NAME?</v>
      </c>
      <c r="AD2399" s="57">
        <f t="shared" si="906"/>
        <v>0</v>
      </c>
      <c r="AE2399" s="57" t="str">
        <f t="shared" si="907"/>
        <v/>
      </c>
      <c r="AF2399" s="57">
        <f t="shared" si="908"/>
        <v>0</v>
      </c>
      <c r="AG2399" s="59">
        <f t="shared" si="909"/>
        <v>0</v>
      </c>
      <c r="AH2399" s="15"/>
      <c r="AI2399" s="15"/>
      <c r="AJ2399" s="15"/>
      <c r="AK2399" s="15"/>
      <c r="AL2399" s="15"/>
      <c r="AM2399" s="15"/>
      <c r="AN2399" s="15"/>
      <c r="AO2399" s="15"/>
      <c r="AP2399" s="15"/>
      <c r="AQ2399" s="15"/>
      <c r="AR2399" s="15"/>
      <c r="AS2399" s="15"/>
      <c r="AT2399" s="15"/>
      <c r="AU2399" s="15"/>
    </row>
    <row r="2400" ht="24.0" customHeight="1">
      <c r="A2400" s="45">
        <v>3824.0</v>
      </c>
      <c r="B2400" s="57"/>
      <c r="C2400" s="57"/>
      <c r="D2400" s="88" t="str">
        <f t="array" ref="D2400">IFERROR(
  LOOKUP(2, 1/((TRIM(IMS!$E$8:$E$2574)=TRIM(IMS!$E2400))*(IMS!$C$8:$C$2574&lt;IMS!$C2400)),
         IMS!$C$8:$C$2574),
"")</f>
        <v/>
      </c>
      <c r="E2400" s="57"/>
      <c r="F2400" s="57"/>
      <c r="G2400" s="77" t="str">
        <f t="shared" si="901"/>
        <v/>
      </c>
      <c r="H2400" s="78" t="str">
        <f t="shared" si="902"/>
        <v/>
      </c>
      <c r="I2400" s="79"/>
      <c r="J2400" s="80" t="str">
        <f t="shared" si="903"/>
        <v>#NAME?</v>
      </c>
      <c r="K2400" s="58"/>
      <c r="L2400" s="58"/>
      <c r="M2400" s="57"/>
      <c r="N2400" s="57"/>
      <c r="O2400" s="58"/>
      <c r="P2400" s="82"/>
      <c r="Q2400" s="81"/>
      <c r="R2400" s="81"/>
      <c r="S2400" s="57"/>
      <c r="T2400" s="82"/>
      <c r="U2400" s="82"/>
      <c r="V2400" s="57"/>
      <c r="W2400" s="57"/>
      <c r="X2400" s="57" t="str">
        <f t="shared" si="917"/>
        <v/>
      </c>
      <c r="Y2400" s="58" t="str">
        <f t="shared" ref="Y2400:AC2400" si="2240">TRIM(SUBSTITUTE(SUBSTITUTE(OFFSET($Q2400,0,COLUMN()-COLUMN($AL$1)),CHAR(160)," "),_xludf.UNICHAR(8239)," "))</f>
        <v>#NAME?</v>
      </c>
      <c r="Z2400" s="58" t="str">
        <f t="shared" si="2240"/>
        <v>#NAME?</v>
      </c>
      <c r="AA2400" s="58" t="str">
        <f t="shared" si="2240"/>
        <v>#NAME?</v>
      </c>
      <c r="AB2400" s="58" t="str">
        <f t="shared" si="2240"/>
        <v>#NAME?</v>
      </c>
      <c r="AC2400" s="58" t="str">
        <f t="shared" si="2240"/>
        <v>#NAME?</v>
      </c>
      <c r="AD2400" s="57">
        <f t="shared" si="906"/>
        <v>0</v>
      </c>
      <c r="AE2400" s="57" t="str">
        <f t="shared" si="907"/>
        <v/>
      </c>
      <c r="AF2400" s="57">
        <f t="shared" si="908"/>
        <v>0</v>
      </c>
      <c r="AG2400" s="59">
        <f t="shared" si="909"/>
        <v>0</v>
      </c>
      <c r="AH2400" s="15"/>
      <c r="AI2400" s="15"/>
      <c r="AJ2400" s="15"/>
      <c r="AK2400" s="15"/>
      <c r="AL2400" s="15"/>
      <c r="AM2400" s="15"/>
      <c r="AN2400" s="15"/>
      <c r="AO2400" s="15"/>
      <c r="AP2400" s="15"/>
      <c r="AQ2400" s="15"/>
      <c r="AR2400" s="15"/>
      <c r="AS2400" s="15"/>
      <c r="AT2400" s="15"/>
      <c r="AU2400" s="15"/>
    </row>
    <row r="2401" ht="24.0" customHeight="1">
      <c r="A2401" s="45">
        <v>3825.0</v>
      </c>
      <c r="B2401" s="57"/>
      <c r="C2401" s="57"/>
      <c r="D2401" s="88" t="str">
        <f t="array" ref="D2401">IFERROR(
  LOOKUP(2, 1/((TRIM(IMS!$E$8:$E$2574)=TRIM(IMS!$E2401))*(IMS!$C$8:$C$2574&lt;IMS!$C2401)),
         IMS!$C$8:$C$2574),
"")</f>
        <v/>
      </c>
      <c r="E2401" s="57"/>
      <c r="F2401" s="57"/>
      <c r="G2401" s="77" t="str">
        <f t="shared" si="901"/>
        <v/>
      </c>
      <c r="H2401" s="78" t="str">
        <f t="shared" si="902"/>
        <v/>
      </c>
      <c r="I2401" s="79"/>
      <c r="J2401" s="80" t="str">
        <f t="shared" si="903"/>
        <v>#NAME?</v>
      </c>
      <c r="K2401" s="58"/>
      <c r="L2401" s="58"/>
      <c r="M2401" s="57"/>
      <c r="N2401" s="57"/>
      <c r="O2401" s="58"/>
      <c r="P2401" s="82"/>
      <c r="Q2401" s="81"/>
      <c r="R2401" s="81"/>
      <c r="S2401" s="57"/>
      <c r="T2401" s="82"/>
      <c r="U2401" s="82"/>
      <c r="V2401" s="57"/>
      <c r="W2401" s="57"/>
      <c r="X2401" s="57" t="str">
        <f t="shared" si="917"/>
        <v/>
      </c>
      <c r="Y2401" s="58" t="str">
        <f t="shared" ref="Y2401:AC2401" si="2241">TRIM(SUBSTITUTE(SUBSTITUTE(OFFSET($Q2401,0,COLUMN()-COLUMN($AL$1)),CHAR(160)," "),_xludf.UNICHAR(8239)," "))</f>
        <v>#NAME?</v>
      </c>
      <c r="Z2401" s="58" t="str">
        <f t="shared" si="2241"/>
        <v>#NAME?</v>
      </c>
      <c r="AA2401" s="58" t="str">
        <f t="shared" si="2241"/>
        <v>#NAME?</v>
      </c>
      <c r="AB2401" s="58" t="str">
        <f t="shared" si="2241"/>
        <v>#NAME?</v>
      </c>
      <c r="AC2401" s="58" t="str">
        <f t="shared" si="2241"/>
        <v>#NAME?</v>
      </c>
      <c r="AD2401" s="57">
        <f t="shared" si="906"/>
        <v>0</v>
      </c>
      <c r="AE2401" s="57" t="str">
        <f t="shared" si="907"/>
        <v/>
      </c>
      <c r="AF2401" s="57">
        <f t="shared" si="908"/>
        <v>0</v>
      </c>
      <c r="AG2401" s="59">
        <f t="shared" si="909"/>
        <v>0</v>
      </c>
      <c r="AH2401" s="15"/>
      <c r="AI2401" s="15"/>
      <c r="AJ2401" s="15"/>
      <c r="AK2401" s="15"/>
      <c r="AL2401" s="15"/>
      <c r="AM2401" s="15"/>
      <c r="AN2401" s="15"/>
      <c r="AO2401" s="15"/>
      <c r="AP2401" s="15"/>
      <c r="AQ2401" s="15"/>
      <c r="AR2401" s="15"/>
      <c r="AS2401" s="15"/>
      <c r="AT2401" s="15"/>
      <c r="AU2401" s="15"/>
    </row>
    <row r="2402" ht="24.0" customHeight="1">
      <c r="A2402" s="45">
        <v>3826.0</v>
      </c>
      <c r="B2402" s="57"/>
      <c r="C2402" s="57"/>
      <c r="D2402" s="88" t="str">
        <f t="array" ref="D2402">IFERROR(
  LOOKUP(2, 1/((TRIM(IMS!$E$8:$E$2574)=TRIM(IMS!$E2402))*(IMS!$C$8:$C$2574&lt;IMS!$C2402)),
         IMS!$C$8:$C$2574),
"")</f>
        <v/>
      </c>
      <c r="E2402" s="57"/>
      <c r="F2402" s="57"/>
      <c r="G2402" s="77" t="str">
        <f t="shared" si="901"/>
        <v/>
      </c>
      <c r="H2402" s="78" t="str">
        <f t="shared" si="902"/>
        <v/>
      </c>
      <c r="I2402" s="79"/>
      <c r="J2402" s="80" t="str">
        <f t="shared" si="903"/>
        <v>#NAME?</v>
      </c>
      <c r="K2402" s="58"/>
      <c r="L2402" s="58"/>
      <c r="M2402" s="57"/>
      <c r="N2402" s="57"/>
      <c r="O2402" s="58"/>
      <c r="P2402" s="82"/>
      <c r="Q2402" s="81"/>
      <c r="R2402" s="81"/>
      <c r="S2402" s="57"/>
      <c r="T2402" s="82"/>
      <c r="U2402" s="82"/>
      <c r="V2402" s="57"/>
      <c r="W2402" s="57"/>
      <c r="X2402" s="57" t="str">
        <f t="shared" si="917"/>
        <v/>
      </c>
      <c r="Y2402" s="58" t="str">
        <f t="shared" ref="Y2402:AC2402" si="2242">TRIM(SUBSTITUTE(SUBSTITUTE(OFFSET($Q2402,0,COLUMN()-COLUMN($AL$1)),CHAR(160)," "),_xludf.UNICHAR(8239)," "))</f>
        <v>#NAME?</v>
      </c>
      <c r="Z2402" s="58" t="str">
        <f t="shared" si="2242"/>
        <v>#NAME?</v>
      </c>
      <c r="AA2402" s="58" t="str">
        <f t="shared" si="2242"/>
        <v>#NAME?</v>
      </c>
      <c r="AB2402" s="58" t="str">
        <f t="shared" si="2242"/>
        <v>#NAME?</v>
      </c>
      <c r="AC2402" s="58" t="str">
        <f t="shared" si="2242"/>
        <v>#NAME?</v>
      </c>
      <c r="AD2402" s="57">
        <f t="shared" si="906"/>
        <v>0</v>
      </c>
      <c r="AE2402" s="57" t="str">
        <f t="shared" si="907"/>
        <v/>
      </c>
      <c r="AF2402" s="57">
        <f t="shared" si="908"/>
        <v>0</v>
      </c>
      <c r="AG2402" s="59">
        <f t="shared" si="909"/>
        <v>0</v>
      </c>
      <c r="AH2402" s="15"/>
      <c r="AI2402" s="15"/>
      <c r="AJ2402" s="15"/>
      <c r="AK2402" s="15"/>
      <c r="AL2402" s="15"/>
      <c r="AM2402" s="15"/>
      <c r="AN2402" s="15"/>
      <c r="AO2402" s="15"/>
      <c r="AP2402" s="15"/>
      <c r="AQ2402" s="15"/>
      <c r="AR2402" s="15"/>
      <c r="AS2402" s="15"/>
      <c r="AT2402" s="15"/>
      <c r="AU2402" s="15"/>
    </row>
    <row r="2403" ht="24.0" customHeight="1">
      <c r="A2403" s="45">
        <v>3827.0</v>
      </c>
      <c r="B2403" s="57"/>
      <c r="C2403" s="57"/>
      <c r="D2403" s="88" t="str">
        <f t="array" ref="D2403">IFERROR(
  LOOKUP(2, 1/((TRIM(IMS!$E$8:$E$2574)=TRIM(IMS!$E2403))*(IMS!$C$8:$C$2574&lt;IMS!$C2403)),
         IMS!$C$8:$C$2574),
"")</f>
        <v/>
      </c>
      <c r="E2403" s="57"/>
      <c r="F2403" s="57"/>
      <c r="G2403" s="77" t="str">
        <f t="shared" si="901"/>
        <v/>
      </c>
      <c r="H2403" s="78" t="str">
        <f t="shared" si="902"/>
        <v/>
      </c>
      <c r="I2403" s="79"/>
      <c r="J2403" s="80" t="str">
        <f t="shared" si="903"/>
        <v>#NAME?</v>
      </c>
      <c r="K2403" s="58"/>
      <c r="L2403" s="58"/>
      <c r="M2403" s="57"/>
      <c r="N2403" s="57"/>
      <c r="O2403" s="58"/>
      <c r="P2403" s="82"/>
      <c r="Q2403" s="81"/>
      <c r="R2403" s="81"/>
      <c r="S2403" s="57"/>
      <c r="T2403" s="82"/>
      <c r="U2403" s="82"/>
      <c r="V2403" s="57"/>
      <c r="W2403" s="57"/>
      <c r="X2403" s="57" t="str">
        <f t="shared" si="917"/>
        <v/>
      </c>
      <c r="Y2403" s="58" t="str">
        <f t="shared" ref="Y2403:AC2403" si="2243">TRIM(SUBSTITUTE(SUBSTITUTE(OFFSET($Q2403,0,COLUMN()-COLUMN($AL$1)),CHAR(160)," "),_xludf.UNICHAR(8239)," "))</f>
        <v>#NAME?</v>
      </c>
      <c r="Z2403" s="58" t="str">
        <f t="shared" si="2243"/>
        <v>#NAME?</v>
      </c>
      <c r="AA2403" s="58" t="str">
        <f t="shared" si="2243"/>
        <v>#NAME?</v>
      </c>
      <c r="AB2403" s="58" t="str">
        <f t="shared" si="2243"/>
        <v>#NAME?</v>
      </c>
      <c r="AC2403" s="58" t="str">
        <f t="shared" si="2243"/>
        <v>#NAME?</v>
      </c>
      <c r="AD2403" s="57">
        <f t="shared" si="906"/>
        <v>0</v>
      </c>
      <c r="AE2403" s="57" t="str">
        <f t="shared" si="907"/>
        <v/>
      </c>
      <c r="AF2403" s="57">
        <f t="shared" si="908"/>
        <v>0</v>
      </c>
      <c r="AG2403" s="59">
        <f t="shared" si="909"/>
        <v>0</v>
      </c>
      <c r="AH2403" s="15"/>
      <c r="AI2403" s="15"/>
      <c r="AJ2403" s="15"/>
      <c r="AK2403" s="15"/>
      <c r="AL2403" s="15"/>
      <c r="AM2403" s="15"/>
      <c r="AN2403" s="15"/>
      <c r="AO2403" s="15"/>
      <c r="AP2403" s="15"/>
      <c r="AQ2403" s="15"/>
      <c r="AR2403" s="15"/>
      <c r="AS2403" s="15"/>
      <c r="AT2403" s="15"/>
      <c r="AU2403" s="15"/>
    </row>
    <row r="2404" ht="24.0" customHeight="1">
      <c r="A2404" s="45">
        <v>3828.0</v>
      </c>
      <c r="B2404" s="57"/>
      <c r="C2404" s="57"/>
      <c r="D2404" s="88" t="str">
        <f t="array" ref="D2404">IFERROR(
  LOOKUP(2, 1/((TRIM(IMS!$E$8:$E$2574)=TRIM(IMS!$E2404))*(IMS!$C$8:$C$2574&lt;IMS!$C2404)),
         IMS!$C$8:$C$2574),
"")</f>
        <v/>
      </c>
      <c r="E2404" s="57"/>
      <c r="F2404" s="57"/>
      <c r="G2404" s="77" t="str">
        <f t="shared" si="901"/>
        <v/>
      </c>
      <c r="H2404" s="78" t="str">
        <f t="shared" si="902"/>
        <v/>
      </c>
      <c r="I2404" s="79"/>
      <c r="J2404" s="80" t="str">
        <f t="shared" si="903"/>
        <v>#NAME?</v>
      </c>
      <c r="K2404" s="58"/>
      <c r="L2404" s="58"/>
      <c r="M2404" s="57"/>
      <c r="N2404" s="57"/>
      <c r="O2404" s="58"/>
      <c r="P2404" s="82"/>
      <c r="Q2404" s="81"/>
      <c r="R2404" s="81"/>
      <c r="S2404" s="57"/>
      <c r="T2404" s="82"/>
      <c r="U2404" s="82"/>
      <c r="V2404" s="57"/>
      <c r="W2404" s="57"/>
      <c r="X2404" s="57" t="str">
        <f t="shared" si="917"/>
        <v/>
      </c>
      <c r="Y2404" s="58" t="str">
        <f t="shared" ref="Y2404:AC2404" si="2244">TRIM(SUBSTITUTE(SUBSTITUTE(OFFSET($Q2404,0,COLUMN()-COLUMN($AL$1)),CHAR(160)," "),_xludf.UNICHAR(8239)," "))</f>
        <v>#NAME?</v>
      </c>
      <c r="Z2404" s="58" t="str">
        <f t="shared" si="2244"/>
        <v>#NAME?</v>
      </c>
      <c r="AA2404" s="58" t="str">
        <f t="shared" si="2244"/>
        <v>#NAME?</v>
      </c>
      <c r="AB2404" s="58" t="str">
        <f t="shared" si="2244"/>
        <v>#NAME?</v>
      </c>
      <c r="AC2404" s="58" t="str">
        <f t="shared" si="2244"/>
        <v>#NAME?</v>
      </c>
      <c r="AD2404" s="57">
        <f t="shared" si="906"/>
        <v>0</v>
      </c>
      <c r="AE2404" s="57" t="str">
        <f t="shared" si="907"/>
        <v/>
      </c>
      <c r="AF2404" s="57">
        <f t="shared" si="908"/>
        <v>0</v>
      </c>
      <c r="AG2404" s="59">
        <f t="shared" si="909"/>
        <v>0</v>
      </c>
      <c r="AH2404" s="15"/>
      <c r="AI2404" s="15"/>
      <c r="AJ2404" s="15"/>
      <c r="AK2404" s="15"/>
      <c r="AL2404" s="15"/>
      <c r="AM2404" s="15"/>
      <c r="AN2404" s="15"/>
      <c r="AO2404" s="15"/>
      <c r="AP2404" s="15"/>
      <c r="AQ2404" s="15"/>
      <c r="AR2404" s="15"/>
      <c r="AS2404" s="15"/>
      <c r="AT2404" s="15"/>
      <c r="AU2404" s="15"/>
    </row>
    <row r="2405" ht="24.0" customHeight="1">
      <c r="A2405" s="45">
        <v>3829.0</v>
      </c>
      <c r="B2405" s="57"/>
      <c r="C2405" s="57"/>
      <c r="D2405" s="88" t="str">
        <f t="array" ref="D2405">IFERROR(
  LOOKUP(2, 1/((TRIM(IMS!$E$8:$E$2574)=TRIM(IMS!$E2405))*(IMS!$C$8:$C$2574&lt;IMS!$C2405)),
         IMS!$C$8:$C$2574),
"")</f>
        <v/>
      </c>
      <c r="E2405" s="57"/>
      <c r="F2405" s="57"/>
      <c r="G2405" s="77" t="str">
        <f t="shared" si="901"/>
        <v/>
      </c>
      <c r="H2405" s="78" t="str">
        <f t="shared" si="902"/>
        <v/>
      </c>
      <c r="I2405" s="79"/>
      <c r="J2405" s="80" t="str">
        <f t="shared" si="903"/>
        <v>#NAME?</v>
      </c>
      <c r="K2405" s="58"/>
      <c r="L2405" s="58"/>
      <c r="M2405" s="57"/>
      <c r="N2405" s="57"/>
      <c r="O2405" s="58"/>
      <c r="P2405" s="82"/>
      <c r="Q2405" s="81"/>
      <c r="R2405" s="81"/>
      <c r="S2405" s="57"/>
      <c r="T2405" s="82"/>
      <c r="U2405" s="82"/>
      <c r="V2405" s="57"/>
      <c r="W2405" s="57"/>
      <c r="X2405" s="57" t="str">
        <f t="shared" si="917"/>
        <v/>
      </c>
      <c r="Y2405" s="58" t="str">
        <f t="shared" ref="Y2405:AC2405" si="2245">TRIM(SUBSTITUTE(SUBSTITUTE(OFFSET($Q2405,0,COLUMN()-COLUMN($AL$1)),CHAR(160)," "),_xludf.UNICHAR(8239)," "))</f>
        <v>#NAME?</v>
      </c>
      <c r="Z2405" s="58" t="str">
        <f t="shared" si="2245"/>
        <v>#NAME?</v>
      </c>
      <c r="AA2405" s="58" t="str">
        <f t="shared" si="2245"/>
        <v>#NAME?</v>
      </c>
      <c r="AB2405" s="58" t="str">
        <f t="shared" si="2245"/>
        <v>#NAME?</v>
      </c>
      <c r="AC2405" s="58" t="str">
        <f t="shared" si="2245"/>
        <v>#NAME?</v>
      </c>
      <c r="AD2405" s="57">
        <f t="shared" si="906"/>
        <v>0</v>
      </c>
      <c r="AE2405" s="57" t="str">
        <f t="shared" si="907"/>
        <v/>
      </c>
      <c r="AF2405" s="57">
        <f t="shared" si="908"/>
        <v>0</v>
      </c>
      <c r="AG2405" s="59">
        <f t="shared" si="909"/>
        <v>0</v>
      </c>
      <c r="AH2405" s="15"/>
      <c r="AI2405" s="15"/>
      <c r="AJ2405" s="15"/>
      <c r="AK2405" s="15"/>
      <c r="AL2405" s="15"/>
      <c r="AM2405" s="15"/>
      <c r="AN2405" s="15"/>
      <c r="AO2405" s="15"/>
      <c r="AP2405" s="15"/>
      <c r="AQ2405" s="15"/>
      <c r="AR2405" s="15"/>
      <c r="AS2405" s="15"/>
      <c r="AT2405" s="15"/>
      <c r="AU2405" s="15"/>
    </row>
    <row r="2406" ht="24.0" customHeight="1">
      <c r="A2406" s="45">
        <v>3830.0</v>
      </c>
      <c r="B2406" s="57"/>
      <c r="C2406" s="57"/>
      <c r="D2406" s="88" t="str">
        <f t="array" ref="D2406">IFERROR(
  LOOKUP(2, 1/((TRIM(IMS!$E$8:$E$2574)=TRIM(IMS!$E2406))*(IMS!$C$8:$C$2574&lt;IMS!$C2406)),
         IMS!$C$8:$C$2574),
"")</f>
        <v/>
      </c>
      <c r="E2406" s="57"/>
      <c r="F2406" s="57"/>
      <c r="G2406" s="77" t="str">
        <f t="shared" si="901"/>
        <v/>
      </c>
      <c r="H2406" s="78" t="str">
        <f t="shared" si="902"/>
        <v/>
      </c>
      <c r="I2406" s="79"/>
      <c r="J2406" s="80" t="str">
        <f t="shared" si="903"/>
        <v>#NAME?</v>
      </c>
      <c r="K2406" s="58"/>
      <c r="L2406" s="58"/>
      <c r="M2406" s="57"/>
      <c r="N2406" s="57"/>
      <c r="O2406" s="58"/>
      <c r="P2406" s="82"/>
      <c r="Q2406" s="81"/>
      <c r="R2406" s="81"/>
      <c r="S2406" s="57"/>
      <c r="T2406" s="82"/>
      <c r="U2406" s="82"/>
      <c r="V2406" s="57"/>
      <c r="W2406" s="57"/>
      <c r="X2406" s="57" t="str">
        <f t="shared" si="917"/>
        <v/>
      </c>
      <c r="Y2406" s="58" t="str">
        <f t="shared" ref="Y2406:AC2406" si="2246">TRIM(SUBSTITUTE(SUBSTITUTE(OFFSET($Q2406,0,COLUMN()-COLUMN($AL$1)),CHAR(160)," "),_xludf.UNICHAR(8239)," "))</f>
        <v>#NAME?</v>
      </c>
      <c r="Z2406" s="58" t="str">
        <f t="shared" si="2246"/>
        <v>#NAME?</v>
      </c>
      <c r="AA2406" s="58" t="str">
        <f t="shared" si="2246"/>
        <v>#NAME?</v>
      </c>
      <c r="AB2406" s="58" t="str">
        <f t="shared" si="2246"/>
        <v>#NAME?</v>
      </c>
      <c r="AC2406" s="58" t="str">
        <f t="shared" si="2246"/>
        <v>#NAME?</v>
      </c>
      <c r="AD2406" s="57">
        <f t="shared" si="906"/>
        <v>0</v>
      </c>
      <c r="AE2406" s="57" t="str">
        <f t="shared" si="907"/>
        <v/>
      </c>
      <c r="AF2406" s="57">
        <f t="shared" si="908"/>
        <v>0</v>
      </c>
      <c r="AG2406" s="59">
        <f t="shared" si="909"/>
        <v>0</v>
      </c>
      <c r="AH2406" s="15"/>
      <c r="AI2406" s="15"/>
      <c r="AJ2406" s="15"/>
      <c r="AK2406" s="15"/>
      <c r="AL2406" s="15"/>
      <c r="AM2406" s="15"/>
      <c r="AN2406" s="15"/>
      <c r="AO2406" s="15"/>
      <c r="AP2406" s="15"/>
      <c r="AQ2406" s="15"/>
      <c r="AR2406" s="15"/>
      <c r="AS2406" s="15"/>
      <c r="AT2406" s="15"/>
      <c r="AU2406" s="15"/>
    </row>
    <row r="2407" ht="24.0" customHeight="1">
      <c r="A2407" s="45">
        <v>3831.0</v>
      </c>
      <c r="B2407" s="57"/>
      <c r="C2407" s="57"/>
      <c r="D2407" s="88" t="str">
        <f t="array" ref="D2407">IFERROR(
  LOOKUP(2, 1/((TRIM(IMS!$E$8:$E$2574)=TRIM(IMS!$E2407))*(IMS!$C$8:$C$2574&lt;IMS!$C2407)),
         IMS!$C$8:$C$2574),
"")</f>
        <v/>
      </c>
      <c r="E2407" s="57"/>
      <c r="F2407" s="57"/>
      <c r="G2407" s="77" t="str">
        <f t="shared" si="901"/>
        <v/>
      </c>
      <c r="H2407" s="78" t="str">
        <f t="shared" si="902"/>
        <v/>
      </c>
      <c r="I2407" s="79"/>
      <c r="J2407" s="80" t="str">
        <f t="shared" si="903"/>
        <v>#NAME?</v>
      </c>
      <c r="K2407" s="58"/>
      <c r="L2407" s="58"/>
      <c r="M2407" s="57"/>
      <c r="N2407" s="57"/>
      <c r="O2407" s="58"/>
      <c r="P2407" s="82"/>
      <c r="Q2407" s="81"/>
      <c r="R2407" s="81"/>
      <c r="S2407" s="57"/>
      <c r="T2407" s="82"/>
      <c r="U2407" s="82"/>
      <c r="V2407" s="57"/>
      <c r="W2407" s="57"/>
      <c r="X2407" s="57" t="str">
        <f t="shared" si="917"/>
        <v/>
      </c>
      <c r="Y2407" s="58" t="str">
        <f t="shared" ref="Y2407:AC2407" si="2247">TRIM(SUBSTITUTE(SUBSTITUTE(OFFSET($Q2407,0,COLUMN()-COLUMN($AL$1)),CHAR(160)," "),_xludf.UNICHAR(8239)," "))</f>
        <v>#NAME?</v>
      </c>
      <c r="Z2407" s="58" t="str">
        <f t="shared" si="2247"/>
        <v>#NAME?</v>
      </c>
      <c r="AA2407" s="58" t="str">
        <f t="shared" si="2247"/>
        <v>#NAME?</v>
      </c>
      <c r="AB2407" s="58" t="str">
        <f t="shared" si="2247"/>
        <v>#NAME?</v>
      </c>
      <c r="AC2407" s="58" t="str">
        <f t="shared" si="2247"/>
        <v>#NAME?</v>
      </c>
      <c r="AD2407" s="57">
        <f t="shared" si="906"/>
        <v>0</v>
      </c>
      <c r="AE2407" s="57" t="str">
        <f t="shared" si="907"/>
        <v/>
      </c>
      <c r="AF2407" s="57">
        <f t="shared" si="908"/>
        <v>0</v>
      </c>
      <c r="AG2407" s="59">
        <f t="shared" si="909"/>
        <v>0</v>
      </c>
      <c r="AH2407" s="15"/>
      <c r="AI2407" s="15"/>
      <c r="AJ2407" s="15"/>
      <c r="AK2407" s="15"/>
      <c r="AL2407" s="15"/>
      <c r="AM2407" s="15"/>
      <c r="AN2407" s="15"/>
      <c r="AO2407" s="15"/>
      <c r="AP2407" s="15"/>
      <c r="AQ2407" s="15"/>
      <c r="AR2407" s="15"/>
      <c r="AS2407" s="15"/>
      <c r="AT2407" s="15"/>
      <c r="AU2407" s="15"/>
    </row>
    <row r="2408" ht="24.0" customHeight="1">
      <c r="A2408" s="45">
        <v>3832.0</v>
      </c>
      <c r="B2408" s="57"/>
      <c r="C2408" s="57"/>
      <c r="D2408" s="88" t="str">
        <f t="array" ref="D2408">IFERROR(
  LOOKUP(2, 1/((TRIM(IMS!$E$8:$E$2574)=TRIM(IMS!$E2408))*(IMS!$C$8:$C$2574&lt;IMS!$C2408)),
         IMS!$C$8:$C$2574),
"")</f>
        <v/>
      </c>
      <c r="E2408" s="57"/>
      <c r="F2408" s="57"/>
      <c r="G2408" s="77" t="str">
        <f t="shared" si="901"/>
        <v/>
      </c>
      <c r="H2408" s="78" t="str">
        <f t="shared" si="902"/>
        <v/>
      </c>
      <c r="I2408" s="79"/>
      <c r="J2408" s="80" t="str">
        <f t="shared" si="903"/>
        <v>#NAME?</v>
      </c>
      <c r="K2408" s="58"/>
      <c r="L2408" s="58"/>
      <c r="M2408" s="57"/>
      <c r="N2408" s="57"/>
      <c r="O2408" s="58"/>
      <c r="P2408" s="82"/>
      <c r="Q2408" s="81"/>
      <c r="R2408" s="81"/>
      <c r="S2408" s="57"/>
      <c r="T2408" s="82"/>
      <c r="U2408" s="82"/>
      <c r="V2408" s="57"/>
      <c r="W2408" s="57"/>
      <c r="X2408" s="57" t="str">
        <f t="shared" si="917"/>
        <v/>
      </c>
      <c r="Y2408" s="58" t="str">
        <f t="shared" ref="Y2408:AC2408" si="2248">TRIM(SUBSTITUTE(SUBSTITUTE(OFFSET($Q2408,0,COLUMN()-COLUMN($AL$1)),CHAR(160)," "),_xludf.UNICHAR(8239)," "))</f>
        <v>#NAME?</v>
      </c>
      <c r="Z2408" s="58" t="str">
        <f t="shared" si="2248"/>
        <v>#NAME?</v>
      </c>
      <c r="AA2408" s="58" t="str">
        <f t="shared" si="2248"/>
        <v>#NAME?</v>
      </c>
      <c r="AB2408" s="58" t="str">
        <f t="shared" si="2248"/>
        <v>#NAME?</v>
      </c>
      <c r="AC2408" s="58" t="str">
        <f t="shared" si="2248"/>
        <v>#NAME?</v>
      </c>
      <c r="AD2408" s="57">
        <f t="shared" si="906"/>
        <v>0</v>
      </c>
      <c r="AE2408" s="57" t="str">
        <f t="shared" si="907"/>
        <v/>
      </c>
      <c r="AF2408" s="57">
        <f t="shared" si="908"/>
        <v>0</v>
      </c>
      <c r="AG2408" s="59">
        <f t="shared" si="909"/>
        <v>0</v>
      </c>
      <c r="AH2408" s="15"/>
      <c r="AI2408" s="15"/>
      <c r="AJ2408" s="15"/>
      <c r="AK2408" s="15"/>
      <c r="AL2408" s="15"/>
      <c r="AM2408" s="15"/>
      <c r="AN2408" s="15"/>
      <c r="AO2408" s="15"/>
      <c r="AP2408" s="15"/>
      <c r="AQ2408" s="15"/>
      <c r="AR2408" s="15"/>
      <c r="AS2408" s="15"/>
      <c r="AT2408" s="15"/>
      <c r="AU2408" s="15"/>
    </row>
    <row r="2409" ht="24.0" customHeight="1">
      <c r="A2409" s="45">
        <v>3833.0</v>
      </c>
      <c r="B2409" s="57"/>
      <c r="C2409" s="57"/>
      <c r="D2409" s="88" t="str">
        <f t="array" ref="D2409">IFERROR(
  LOOKUP(2, 1/((TRIM(IMS!$E$8:$E$2574)=TRIM(IMS!$E2409))*(IMS!$C$8:$C$2574&lt;IMS!$C2409)),
         IMS!$C$8:$C$2574),
"")</f>
        <v/>
      </c>
      <c r="E2409" s="57"/>
      <c r="F2409" s="57"/>
      <c r="G2409" s="77" t="str">
        <f t="shared" si="901"/>
        <v/>
      </c>
      <c r="H2409" s="78" t="str">
        <f t="shared" si="902"/>
        <v/>
      </c>
      <c r="I2409" s="79"/>
      <c r="J2409" s="80" t="str">
        <f t="shared" si="903"/>
        <v>#NAME?</v>
      </c>
      <c r="K2409" s="58"/>
      <c r="L2409" s="58"/>
      <c r="M2409" s="57"/>
      <c r="N2409" s="57"/>
      <c r="O2409" s="58"/>
      <c r="P2409" s="82"/>
      <c r="Q2409" s="81"/>
      <c r="R2409" s="81"/>
      <c r="S2409" s="57"/>
      <c r="T2409" s="82"/>
      <c r="U2409" s="82"/>
      <c r="V2409" s="57"/>
      <c r="W2409" s="57"/>
      <c r="X2409" s="57" t="str">
        <f t="shared" si="917"/>
        <v/>
      </c>
      <c r="Y2409" s="58" t="str">
        <f t="shared" ref="Y2409:AC2409" si="2249">TRIM(SUBSTITUTE(SUBSTITUTE(OFFSET($Q2409,0,COLUMN()-COLUMN($AL$1)),CHAR(160)," "),_xludf.UNICHAR(8239)," "))</f>
        <v>#NAME?</v>
      </c>
      <c r="Z2409" s="58" t="str">
        <f t="shared" si="2249"/>
        <v>#NAME?</v>
      </c>
      <c r="AA2409" s="58" t="str">
        <f t="shared" si="2249"/>
        <v>#NAME?</v>
      </c>
      <c r="AB2409" s="58" t="str">
        <f t="shared" si="2249"/>
        <v>#NAME?</v>
      </c>
      <c r="AC2409" s="58" t="str">
        <f t="shared" si="2249"/>
        <v>#NAME?</v>
      </c>
      <c r="AD2409" s="57">
        <f t="shared" si="906"/>
        <v>0</v>
      </c>
      <c r="AE2409" s="57" t="str">
        <f t="shared" si="907"/>
        <v/>
      </c>
      <c r="AF2409" s="57">
        <f t="shared" si="908"/>
        <v>0</v>
      </c>
      <c r="AG2409" s="59">
        <f t="shared" si="909"/>
        <v>0</v>
      </c>
      <c r="AH2409" s="15"/>
      <c r="AI2409" s="15"/>
      <c r="AJ2409" s="15"/>
      <c r="AK2409" s="15"/>
      <c r="AL2409" s="15"/>
      <c r="AM2409" s="15"/>
      <c r="AN2409" s="15"/>
      <c r="AO2409" s="15"/>
      <c r="AP2409" s="15"/>
      <c r="AQ2409" s="15"/>
      <c r="AR2409" s="15"/>
      <c r="AS2409" s="15"/>
      <c r="AT2409" s="15"/>
      <c r="AU2409" s="15"/>
    </row>
    <row r="2410" ht="24.0" customHeight="1">
      <c r="A2410" s="45">
        <v>3834.0</v>
      </c>
      <c r="B2410" s="57"/>
      <c r="C2410" s="57"/>
      <c r="D2410" s="88" t="str">
        <f t="array" ref="D2410">IFERROR(
  LOOKUP(2, 1/((TRIM(IMS!$E$8:$E$2574)=TRIM(IMS!$E2410))*(IMS!$C$8:$C$2574&lt;IMS!$C2410)),
         IMS!$C$8:$C$2574),
"")</f>
        <v/>
      </c>
      <c r="E2410" s="57"/>
      <c r="F2410" s="57"/>
      <c r="G2410" s="77" t="str">
        <f t="shared" si="901"/>
        <v/>
      </c>
      <c r="H2410" s="78" t="str">
        <f t="shared" si="902"/>
        <v/>
      </c>
      <c r="I2410" s="79"/>
      <c r="J2410" s="80" t="str">
        <f t="shared" si="903"/>
        <v>#NAME?</v>
      </c>
      <c r="K2410" s="58"/>
      <c r="L2410" s="58"/>
      <c r="M2410" s="57"/>
      <c r="N2410" s="57"/>
      <c r="O2410" s="58"/>
      <c r="P2410" s="82"/>
      <c r="Q2410" s="81"/>
      <c r="R2410" s="81"/>
      <c r="S2410" s="57"/>
      <c r="T2410" s="82"/>
      <c r="U2410" s="82"/>
      <c r="V2410" s="57"/>
      <c r="W2410" s="57"/>
      <c r="X2410" s="57" t="str">
        <f t="shared" si="917"/>
        <v/>
      </c>
      <c r="Y2410" s="58" t="str">
        <f t="shared" ref="Y2410:AC2410" si="2250">TRIM(SUBSTITUTE(SUBSTITUTE(OFFSET($Q2410,0,COLUMN()-COLUMN($AL$1)),CHAR(160)," "),_xludf.UNICHAR(8239)," "))</f>
        <v>#NAME?</v>
      </c>
      <c r="Z2410" s="58" t="str">
        <f t="shared" si="2250"/>
        <v>#NAME?</v>
      </c>
      <c r="AA2410" s="58" t="str">
        <f t="shared" si="2250"/>
        <v>#NAME?</v>
      </c>
      <c r="AB2410" s="58" t="str">
        <f t="shared" si="2250"/>
        <v>#NAME?</v>
      </c>
      <c r="AC2410" s="58" t="str">
        <f t="shared" si="2250"/>
        <v>#NAME?</v>
      </c>
      <c r="AD2410" s="57">
        <f t="shared" si="906"/>
        <v>0</v>
      </c>
      <c r="AE2410" s="57" t="str">
        <f t="shared" si="907"/>
        <v/>
      </c>
      <c r="AF2410" s="57">
        <f t="shared" si="908"/>
        <v>0</v>
      </c>
      <c r="AG2410" s="59">
        <f t="shared" si="909"/>
        <v>0</v>
      </c>
      <c r="AH2410" s="15"/>
      <c r="AI2410" s="15"/>
      <c r="AJ2410" s="15"/>
      <c r="AK2410" s="15"/>
      <c r="AL2410" s="15"/>
      <c r="AM2410" s="15"/>
      <c r="AN2410" s="15"/>
      <c r="AO2410" s="15"/>
      <c r="AP2410" s="15"/>
      <c r="AQ2410" s="15"/>
      <c r="AR2410" s="15"/>
      <c r="AS2410" s="15"/>
      <c r="AT2410" s="15"/>
      <c r="AU2410" s="15"/>
    </row>
    <row r="2411" ht="24.0" customHeight="1">
      <c r="A2411" s="45">
        <v>3835.0</v>
      </c>
      <c r="B2411" s="57"/>
      <c r="C2411" s="57"/>
      <c r="D2411" s="88" t="str">
        <f t="array" ref="D2411">IFERROR(
  LOOKUP(2, 1/((TRIM(IMS!$E$8:$E$2574)=TRIM(IMS!$E2411))*(IMS!$C$8:$C$2574&lt;IMS!$C2411)),
         IMS!$C$8:$C$2574),
"")</f>
        <v/>
      </c>
      <c r="E2411" s="57"/>
      <c r="F2411" s="57"/>
      <c r="G2411" s="77" t="str">
        <f t="shared" si="901"/>
        <v/>
      </c>
      <c r="H2411" s="78" t="str">
        <f t="shared" si="902"/>
        <v/>
      </c>
      <c r="I2411" s="79"/>
      <c r="J2411" s="80" t="str">
        <f t="shared" si="903"/>
        <v>#NAME?</v>
      </c>
      <c r="K2411" s="58"/>
      <c r="L2411" s="58"/>
      <c r="M2411" s="57"/>
      <c r="N2411" s="57"/>
      <c r="O2411" s="58"/>
      <c r="P2411" s="82"/>
      <c r="Q2411" s="81"/>
      <c r="R2411" s="81"/>
      <c r="S2411" s="57"/>
      <c r="T2411" s="82"/>
      <c r="U2411" s="82"/>
      <c r="V2411" s="57"/>
      <c r="W2411" s="57"/>
      <c r="X2411" s="57" t="str">
        <f t="shared" si="917"/>
        <v/>
      </c>
      <c r="Y2411" s="58" t="str">
        <f t="shared" ref="Y2411:AC2411" si="2251">TRIM(SUBSTITUTE(SUBSTITUTE(OFFSET($Q2411,0,COLUMN()-COLUMN($AL$1)),CHAR(160)," "),_xludf.UNICHAR(8239)," "))</f>
        <v>#NAME?</v>
      </c>
      <c r="Z2411" s="58" t="str">
        <f t="shared" si="2251"/>
        <v>#NAME?</v>
      </c>
      <c r="AA2411" s="58" t="str">
        <f t="shared" si="2251"/>
        <v>#NAME?</v>
      </c>
      <c r="AB2411" s="58" t="str">
        <f t="shared" si="2251"/>
        <v>#NAME?</v>
      </c>
      <c r="AC2411" s="58" t="str">
        <f t="shared" si="2251"/>
        <v>#NAME?</v>
      </c>
      <c r="AD2411" s="57">
        <f t="shared" si="906"/>
        <v>0</v>
      </c>
      <c r="AE2411" s="57" t="str">
        <f t="shared" si="907"/>
        <v/>
      </c>
      <c r="AF2411" s="57">
        <f t="shared" si="908"/>
        <v>0</v>
      </c>
      <c r="AG2411" s="59">
        <f t="shared" si="909"/>
        <v>0</v>
      </c>
      <c r="AH2411" s="15"/>
      <c r="AI2411" s="15"/>
      <c r="AJ2411" s="15"/>
      <c r="AK2411" s="15"/>
      <c r="AL2411" s="15"/>
      <c r="AM2411" s="15"/>
      <c r="AN2411" s="15"/>
      <c r="AO2411" s="15"/>
      <c r="AP2411" s="15"/>
      <c r="AQ2411" s="15"/>
      <c r="AR2411" s="15"/>
      <c r="AS2411" s="15"/>
      <c r="AT2411" s="15"/>
      <c r="AU2411" s="15"/>
    </row>
    <row r="2412" ht="24.0" customHeight="1">
      <c r="A2412" s="45">
        <v>3836.0</v>
      </c>
      <c r="B2412" s="57"/>
      <c r="C2412" s="57"/>
      <c r="D2412" s="88" t="str">
        <f t="array" ref="D2412">IFERROR(
  LOOKUP(2, 1/((TRIM(IMS!$E$8:$E$2574)=TRIM(IMS!$E2412))*(IMS!$C$8:$C$2574&lt;IMS!$C2412)),
         IMS!$C$8:$C$2574),
"")</f>
        <v/>
      </c>
      <c r="E2412" s="57"/>
      <c r="F2412" s="57"/>
      <c r="G2412" s="77" t="str">
        <f t="shared" si="901"/>
        <v/>
      </c>
      <c r="H2412" s="78" t="str">
        <f t="shared" si="902"/>
        <v/>
      </c>
      <c r="I2412" s="79"/>
      <c r="J2412" s="80" t="str">
        <f t="shared" si="903"/>
        <v>#NAME?</v>
      </c>
      <c r="K2412" s="58"/>
      <c r="L2412" s="58"/>
      <c r="M2412" s="57"/>
      <c r="N2412" s="57"/>
      <c r="O2412" s="58"/>
      <c r="P2412" s="82"/>
      <c r="Q2412" s="81"/>
      <c r="R2412" s="81"/>
      <c r="S2412" s="57"/>
      <c r="T2412" s="82"/>
      <c r="U2412" s="82"/>
      <c r="V2412" s="57"/>
      <c r="W2412" s="57"/>
      <c r="X2412" s="57" t="str">
        <f t="shared" si="917"/>
        <v/>
      </c>
      <c r="Y2412" s="58" t="str">
        <f t="shared" ref="Y2412:AC2412" si="2252">TRIM(SUBSTITUTE(SUBSTITUTE(OFFSET($Q2412,0,COLUMN()-COLUMN($AL$1)),CHAR(160)," "),_xludf.UNICHAR(8239)," "))</f>
        <v>#NAME?</v>
      </c>
      <c r="Z2412" s="58" t="str">
        <f t="shared" si="2252"/>
        <v>#NAME?</v>
      </c>
      <c r="AA2412" s="58" t="str">
        <f t="shared" si="2252"/>
        <v>#NAME?</v>
      </c>
      <c r="AB2412" s="58" t="str">
        <f t="shared" si="2252"/>
        <v>#NAME?</v>
      </c>
      <c r="AC2412" s="58" t="str">
        <f t="shared" si="2252"/>
        <v>#NAME?</v>
      </c>
      <c r="AD2412" s="57">
        <f t="shared" si="906"/>
        <v>0</v>
      </c>
      <c r="AE2412" s="57" t="str">
        <f t="shared" si="907"/>
        <v/>
      </c>
      <c r="AF2412" s="57">
        <f t="shared" si="908"/>
        <v>0</v>
      </c>
      <c r="AG2412" s="59">
        <f t="shared" si="909"/>
        <v>0</v>
      </c>
      <c r="AH2412" s="15"/>
      <c r="AI2412" s="15"/>
      <c r="AJ2412" s="15"/>
      <c r="AK2412" s="15"/>
      <c r="AL2412" s="15"/>
      <c r="AM2412" s="15"/>
      <c r="AN2412" s="15"/>
      <c r="AO2412" s="15"/>
      <c r="AP2412" s="15"/>
      <c r="AQ2412" s="15"/>
      <c r="AR2412" s="15"/>
      <c r="AS2412" s="15"/>
      <c r="AT2412" s="15"/>
      <c r="AU2412" s="15"/>
    </row>
    <row r="2413" ht="24.0" customHeight="1">
      <c r="A2413" s="45">
        <v>3837.0</v>
      </c>
      <c r="B2413" s="57"/>
      <c r="C2413" s="57"/>
      <c r="D2413" s="88" t="str">
        <f t="array" ref="D2413">IFERROR(
  LOOKUP(2, 1/((TRIM(IMS!$E$8:$E$2574)=TRIM(IMS!$E2413))*(IMS!$C$8:$C$2574&lt;IMS!$C2413)),
         IMS!$C$8:$C$2574),
"")</f>
        <v/>
      </c>
      <c r="E2413" s="57"/>
      <c r="F2413" s="57"/>
      <c r="G2413" s="77" t="str">
        <f t="shared" si="901"/>
        <v/>
      </c>
      <c r="H2413" s="78" t="str">
        <f t="shared" si="902"/>
        <v/>
      </c>
      <c r="I2413" s="79"/>
      <c r="J2413" s="80" t="str">
        <f t="shared" si="903"/>
        <v>#NAME?</v>
      </c>
      <c r="K2413" s="58"/>
      <c r="L2413" s="58"/>
      <c r="M2413" s="57"/>
      <c r="N2413" s="57"/>
      <c r="O2413" s="58"/>
      <c r="P2413" s="82"/>
      <c r="Q2413" s="81"/>
      <c r="R2413" s="81"/>
      <c r="S2413" s="57"/>
      <c r="T2413" s="82"/>
      <c r="U2413" s="82"/>
      <c r="V2413" s="57"/>
      <c r="W2413" s="57"/>
      <c r="X2413" s="57" t="str">
        <f t="shared" si="917"/>
        <v/>
      </c>
      <c r="Y2413" s="58" t="str">
        <f t="shared" ref="Y2413:AC2413" si="2253">TRIM(SUBSTITUTE(SUBSTITUTE(OFFSET($Q2413,0,COLUMN()-COLUMN($AL$1)),CHAR(160)," "),_xludf.UNICHAR(8239)," "))</f>
        <v>#NAME?</v>
      </c>
      <c r="Z2413" s="58" t="str">
        <f t="shared" si="2253"/>
        <v>#NAME?</v>
      </c>
      <c r="AA2413" s="58" t="str">
        <f t="shared" si="2253"/>
        <v>#NAME?</v>
      </c>
      <c r="AB2413" s="58" t="str">
        <f t="shared" si="2253"/>
        <v>#NAME?</v>
      </c>
      <c r="AC2413" s="58" t="str">
        <f t="shared" si="2253"/>
        <v>#NAME?</v>
      </c>
      <c r="AD2413" s="57">
        <f t="shared" si="906"/>
        <v>0</v>
      </c>
      <c r="AE2413" s="57" t="str">
        <f t="shared" si="907"/>
        <v/>
      </c>
      <c r="AF2413" s="57">
        <f t="shared" si="908"/>
        <v>0</v>
      </c>
      <c r="AG2413" s="59">
        <f t="shared" si="909"/>
        <v>0</v>
      </c>
      <c r="AH2413" s="15"/>
      <c r="AI2413" s="15"/>
      <c r="AJ2413" s="15"/>
      <c r="AK2413" s="15"/>
      <c r="AL2413" s="15"/>
      <c r="AM2413" s="15"/>
      <c r="AN2413" s="15"/>
      <c r="AO2413" s="15"/>
      <c r="AP2413" s="15"/>
      <c r="AQ2413" s="15"/>
      <c r="AR2413" s="15"/>
      <c r="AS2413" s="15"/>
      <c r="AT2413" s="15"/>
      <c r="AU2413" s="15"/>
    </row>
    <row r="2414" ht="24.0" customHeight="1">
      <c r="A2414" s="45">
        <v>3838.0</v>
      </c>
      <c r="B2414" s="57"/>
      <c r="C2414" s="57"/>
      <c r="D2414" s="88" t="str">
        <f t="array" ref="D2414">IFERROR(
  LOOKUP(2, 1/((TRIM(IMS!$E$8:$E$2574)=TRIM(IMS!$E2414))*(IMS!$C$8:$C$2574&lt;IMS!$C2414)),
         IMS!$C$8:$C$2574),
"")</f>
        <v/>
      </c>
      <c r="E2414" s="57"/>
      <c r="F2414" s="57"/>
      <c r="G2414" s="77" t="str">
        <f t="shared" si="901"/>
        <v/>
      </c>
      <c r="H2414" s="78" t="str">
        <f t="shared" si="902"/>
        <v/>
      </c>
      <c r="I2414" s="79"/>
      <c r="J2414" s="80" t="str">
        <f t="shared" si="903"/>
        <v>#NAME?</v>
      </c>
      <c r="K2414" s="58"/>
      <c r="L2414" s="58"/>
      <c r="M2414" s="57"/>
      <c r="N2414" s="57"/>
      <c r="O2414" s="58"/>
      <c r="P2414" s="82"/>
      <c r="Q2414" s="81"/>
      <c r="R2414" s="81"/>
      <c r="S2414" s="57"/>
      <c r="T2414" s="82"/>
      <c r="U2414" s="82"/>
      <c r="V2414" s="57"/>
      <c r="W2414" s="57"/>
      <c r="X2414" s="57" t="str">
        <f t="shared" si="917"/>
        <v/>
      </c>
      <c r="Y2414" s="58" t="str">
        <f t="shared" ref="Y2414:AC2414" si="2254">TRIM(SUBSTITUTE(SUBSTITUTE(OFFSET($Q2414,0,COLUMN()-COLUMN($AL$1)),CHAR(160)," "),_xludf.UNICHAR(8239)," "))</f>
        <v>#NAME?</v>
      </c>
      <c r="Z2414" s="58" t="str">
        <f t="shared" si="2254"/>
        <v>#NAME?</v>
      </c>
      <c r="AA2414" s="58" t="str">
        <f t="shared" si="2254"/>
        <v>#NAME?</v>
      </c>
      <c r="AB2414" s="58" t="str">
        <f t="shared" si="2254"/>
        <v>#NAME?</v>
      </c>
      <c r="AC2414" s="58" t="str">
        <f t="shared" si="2254"/>
        <v>#NAME?</v>
      </c>
      <c r="AD2414" s="57">
        <f t="shared" si="906"/>
        <v>0</v>
      </c>
      <c r="AE2414" s="57" t="str">
        <f t="shared" si="907"/>
        <v/>
      </c>
      <c r="AF2414" s="57">
        <f t="shared" si="908"/>
        <v>0</v>
      </c>
      <c r="AG2414" s="59">
        <f t="shared" si="909"/>
        <v>0</v>
      </c>
      <c r="AH2414" s="15"/>
      <c r="AI2414" s="15"/>
      <c r="AJ2414" s="15"/>
      <c r="AK2414" s="15"/>
      <c r="AL2414" s="15"/>
      <c r="AM2414" s="15"/>
      <c r="AN2414" s="15"/>
      <c r="AO2414" s="15"/>
      <c r="AP2414" s="15"/>
      <c r="AQ2414" s="15"/>
      <c r="AR2414" s="15"/>
      <c r="AS2414" s="15"/>
      <c r="AT2414" s="15"/>
      <c r="AU2414" s="15"/>
    </row>
    <row r="2415" ht="24.0" customHeight="1">
      <c r="A2415" s="45">
        <v>3839.0</v>
      </c>
      <c r="B2415" s="57"/>
      <c r="C2415" s="57"/>
      <c r="D2415" s="88" t="str">
        <f t="array" ref="D2415">IFERROR(
  LOOKUP(2, 1/((TRIM(IMS!$E$8:$E$2574)=TRIM(IMS!$E2415))*(IMS!$C$8:$C$2574&lt;IMS!$C2415)),
         IMS!$C$8:$C$2574),
"")</f>
        <v/>
      </c>
      <c r="E2415" s="57"/>
      <c r="F2415" s="57"/>
      <c r="G2415" s="77" t="str">
        <f t="shared" si="901"/>
        <v/>
      </c>
      <c r="H2415" s="78" t="str">
        <f t="shared" si="902"/>
        <v/>
      </c>
      <c r="I2415" s="79"/>
      <c r="J2415" s="80" t="str">
        <f t="shared" si="903"/>
        <v>#NAME?</v>
      </c>
      <c r="K2415" s="58"/>
      <c r="L2415" s="58"/>
      <c r="M2415" s="57"/>
      <c r="N2415" s="57"/>
      <c r="O2415" s="58"/>
      <c r="P2415" s="82"/>
      <c r="Q2415" s="81"/>
      <c r="R2415" s="81"/>
      <c r="S2415" s="57"/>
      <c r="T2415" s="82"/>
      <c r="U2415" s="82"/>
      <c r="V2415" s="57"/>
      <c r="W2415" s="57"/>
      <c r="X2415" s="57" t="str">
        <f t="shared" si="917"/>
        <v/>
      </c>
      <c r="Y2415" s="58" t="str">
        <f t="shared" ref="Y2415:AC2415" si="2255">TRIM(SUBSTITUTE(SUBSTITUTE(OFFSET($Q2415,0,COLUMN()-COLUMN($AL$1)),CHAR(160)," "),_xludf.UNICHAR(8239)," "))</f>
        <v>#NAME?</v>
      </c>
      <c r="Z2415" s="58" t="str">
        <f t="shared" si="2255"/>
        <v>#NAME?</v>
      </c>
      <c r="AA2415" s="58" t="str">
        <f t="shared" si="2255"/>
        <v>#NAME?</v>
      </c>
      <c r="AB2415" s="58" t="str">
        <f t="shared" si="2255"/>
        <v>#NAME?</v>
      </c>
      <c r="AC2415" s="58" t="str">
        <f t="shared" si="2255"/>
        <v>#NAME?</v>
      </c>
      <c r="AD2415" s="57">
        <f t="shared" si="906"/>
        <v>0</v>
      </c>
      <c r="AE2415" s="57" t="str">
        <f t="shared" si="907"/>
        <v/>
      </c>
      <c r="AF2415" s="57">
        <f t="shared" si="908"/>
        <v>0</v>
      </c>
      <c r="AG2415" s="59">
        <f t="shared" si="909"/>
        <v>0</v>
      </c>
      <c r="AH2415" s="15"/>
      <c r="AI2415" s="15"/>
      <c r="AJ2415" s="15"/>
      <c r="AK2415" s="15"/>
      <c r="AL2415" s="15"/>
      <c r="AM2415" s="15"/>
      <c r="AN2415" s="15"/>
      <c r="AO2415" s="15"/>
      <c r="AP2415" s="15"/>
      <c r="AQ2415" s="15"/>
      <c r="AR2415" s="15"/>
      <c r="AS2415" s="15"/>
      <c r="AT2415" s="15"/>
      <c r="AU2415" s="15"/>
    </row>
    <row r="2416" ht="24.0" customHeight="1">
      <c r="A2416" s="45">
        <v>3840.0</v>
      </c>
      <c r="B2416" s="57"/>
      <c r="C2416" s="57"/>
      <c r="D2416" s="88" t="str">
        <f t="array" ref="D2416">IFERROR(
  LOOKUP(2, 1/((TRIM(IMS!$E$8:$E$2574)=TRIM(IMS!$E2416))*(IMS!$C$8:$C$2574&lt;IMS!$C2416)),
         IMS!$C$8:$C$2574),
"")</f>
        <v/>
      </c>
      <c r="E2416" s="57"/>
      <c r="F2416" s="57"/>
      <c r="G2416" s="77" t="str">
        <f t="shared" si="901"/>
        <v/>
      </c>
      <c r="H2416" s="78" t="str">
        <f t="shared" si="902"/>
        <v/>
      </c>
      <c r="I2416" s="79"/>
      <c r="J2416" s="80" t="str">
        <f t="shared" si="903"/>
        <v>#NAME?</v>
      </c>
      <c r="K2416" s="58"/>
      <c r="L2416" s="58"/>
      <c r="M2416" s="57"/>
      <c r="N2416" s="57"/>
      <c r="O2416" s="58"/>
      <c r="P2416" s="82"/>
      <c r="Q2416" s="81"/>
      <c r="R2416" s="81"/>
      <c r="S2416" s="57"/>
      <c r="T2416" s="82"/>
      <c r="U2416" s="82"/>
      <c r="V2416" s="57"/>
      <c r="W2416" s="57"/>
      <c r="X2416" s="57" t="str">
        <f t="shared" si="917"/>
        <v/>
      </c>
      <c r="Y2416" s="58" t="str">
        <f t="shared" ref="Y2416:AC2416" si="2256">TRIM(SUBSTITUTE(SUBSTITUTE(OFFSET($Q2416,0,COLUMN()-COLUMN($AL$1)),CHAR(160)," "),_xludf.UNICHAR(8239)," "))</f>
        <v>#NAME?</v>
      </c>
      <c r="Z2416" s="58" t="str">
        <f t="shared" si="2256"/>
        <v>#NAME?</v>
      </c>
      <c r="AA2416" s="58" t="str">
        <f t="shared" si="2256"/>
        <v>#NAME?</v>
      </c>
      <c r="AB2416" s="58" t="str">
        <f t="shared" si="2256"/>
        <v>#NAME?</v>
      </c>
      <c r="AC2416" s="58" t="str">
        <f t="shared" si="2256"/>
        <v>#NAME?</v>
      </c>
      <c r="AD2416" s="57">
        <f t="shared" si="906"/>
        <v>0</v>
      </c>
      <c r="AE2416" s="57" t="str">
        <f t="shared" si="907"/>
        <v/>
      </c>
      <c r="AF2416" s="57">
        <f t="shared" si="908"/>
        <v>0</v>
      </c>
      <c r="AG2416" s="59">
        <f t="shared" si="909"/>
        <v>0</v>
      </c>
      <c r="AH2416" s="15"/>
      <c r="AI2416" s="15"/>
      <c r="AJ2416" s="15"/>
      <c r="AK2416" s="15"/>
      <c r="AL2416" s="15"/>
      <c r="AM2416" s="15"/>
      <c r="AN2416" s="15"/>
      <c r="AO2416" s="15"/>
      <c r="AP2416" s="15"/>
      <c r="AQ2416" s="15"/>
      <c r="AR2416" s="15"/>
      <c r="AS2416" s="15"/>
      <c r="AT2416" s="15"/>
      <c r="AU2416" s="15"/>
    </row>
    <row r="2417" ht="24.0" customHeight="1">
      <c r="A2417" s="45">
        <v>3841.0</v>
      </c>
      <c r="B2417" s="57"/>
      <c r="C2417" s="57"/>
      <c r="D2417" s="88" t="str">
        <f t="array" ref="D2417">IFERROR(
  LOOKUP(2, 1/((TRIM(IMS!$E$8:$E$2574)=TRIM(IMS!$E2417))*(IMS!$C$8:$C$2574&lt;IMS!$C2417)),
         IMS!$C$8:$C$2574),
"")</f>
        <v/>
      </c>
      <c r="E2417" s="57"/>
      <c r="F2417" s="57"/>
      <c r="G2417" s="77" t="str">
        <f t="shared" si="901"/>
        <v/>
      </c>
      <c r="H2417" s="78" t="str">
        <f t="shared" si="902"/>
        <v/>
      </c>
      <c r="I2417" s="79"/>
      <c r="J2417" s="80" t="str">
        <f t="shared" si="903"/>
        <v>#NAME?</v>
      </c>
      <c r="K2417" s="58"/>
      <c r="L2417" s="58"/>
      <c r="M2417" s="57"/>
      <c r="N2417" s="57"/>
      <c r="O2417" s="58"/>
      <c r="P2417" s="82"/>
      <c r="Q2417" s="81"/>
      <c r="R2417" s="81"/>
      <c r="S2417" s="57"/>
      <c r="T2417" s="82"/>
      <c r="U2417" s="82"/>
      <c r="V2417" s="57"/>
      <c r="W2417" s="57"/>
      <c r="X2417" s="57" t="str">
        <f t="shared" si="917"/>
        <v/>
      </c>
      <c r="Y2417" s="58" t="str">
        <f t="shared" ref="Y2417:AC2417" si="2257">TRIM(SUBSTITUTE(SUBSTITUTE(OFFSET($Q2417,0,COLUMN()-COLUMN($AL$1)),CHAR(160)," "),_xludf.UNICHAR(8239)," "))</f>
        <v>#NAME?</v>
      </c>
      <c r="Z2417" s="58" t="str">
        <f t="shared" si="2257"/>
        <v>#NAME?</v>
      </c>
      <c r="AA2417" s="58" t="str">
        <f t="shared" si="2257"/>
        <v>#NAME?</v>
      </c>
      <c r="AB2417" s="58" t="str">
        <f t="shared" si="2257"/>
        <v>#NAME?</v>
      </c>
      <c r="AC2417" s="58" t="str">
        <f t="shared" si="2257"/>
        <v>#NAME?</v>
      </c>
      <c r="AD2417" s="57">
        <f t="shared" si="906"/>
        <v>0</v>
      </c>
      <c r="AE2417" s="57" t="str">
        <f t="shared" si="907"/>
        <v/>
      </c>
      <c r="AF2417" s="57">
        <f t="shared" si="908"/>
        <v>0</v>
      </c>
      <c r="AG2417" s="59">
        <f t="shared" si="909"/>
        <v>0</v>
      </c>
      <c r="AH2417" s="15"/>
      <c r="AI2417" s="15"/>
      <c r="AJ2417" s="15"/>
      <c r="AK2417" s="15"/>
      <c r="AL2417" s="15"/>
      <c r="AM2417" s="15"/>
      <c r="AN2417" s="15"/>
      <c r="AO2417" s="15"/>
      <c r="AP2417" s="15"/>
      <c r="AQ2417" s="15"/>
      <c r="AR2417" s="15"/>
      <c r="AS2417" s="15"/>
      <c r="AT2417" s="15"/>
      <c r="AU2417" s="15"/>
    </row>
    <row r="2418" ht="24.0" customHeight="1">
      <c r="A2418" s="45">
        <v>3842.0</v>
      </c>
      <c r="B2418" s="57"/>
      <c r="C2418" s="57"/>
      <c r="D2418" s="88" t="str">
        <f t="array" ref="D2418">IFERROR(
  LOOKUP(2, 1/((TRIM(IMS!$E$8:$E$2574)=TRIM(IMS!$E2418))*(IMS!$C$8:$C$2574&lt;IMS!$C2418)),
         IMS!$C$8:$C$2574),
"")</f>
        <v/>
      </c>
      <c r="E2418" s="57"/>
      <c r="F2418" s="57"/>
      <c r="G2418" s="77" t="str">
        <f t="shared" si="901"/>
        <v/>
      </c>
      <c r="H2418" s="78" t="str">
        <f t="shared" si="902"/>
        <v/>
      </c>
      <c r="I2418" s="79"/>
      <c r="J2418" s="80" t="str">
        <f t="shared" si="903"/>
        <v>#NAME?</v>
      </c>
      <c r="K2418" s="58"/>
      <c r="L2418" s="58"/>
      <c r="M2418" s="57"/>
      <c r="N2418" s="57"/>
      <c r="O2418" s="58"/>
      <c r="P2418" s="82"/>
      <c r="Q2418" s="81"/>
      <c r="R2418" s="81"/>
      <c r="S2418" s="57"/>
      <c r="T2418" s="82"/>
      <c r="U2418" s="82"/>
      <c r="V2418" s="57"/>
      <c r="W2418" s="57"/>
      <c r="X2418" s="57" t="str">
        <f t="shared" si="917"/>
        <v/>
      </c>
      <c r="Y2418" s="58" t="str">
        <f t="shared" ref="Y2418:AC2418" si="2258">TRIM(SUBSTITUTE(SUBSTITUTE(OFFSET($Q2418,0,COLUMN()-COLUMN($AL$1)),CHAR(160)," "),_xludf.UNICHAR(8239)," "))</f>
        <v>#NAME?</v>
      </c>
      <c r="Z2418" s="58" t="str">
        <f t="shared" si="2258"/>
        <v>#NAME?</v>
      </c>
      <c r="AA2418" s="58" t="str">
        <f t="shared" si="2258"/>
        <v>#NAME?</v>
      </c>
      <c r="AB2418" s="58" t="str">
        <f t="shared" si="2258"/>
        <v>#NAME?</v>
      </c>
      <c r="AC2418" s="58" t="str">
        <f t="shared" si="2258"/>
        <v>#NAME?</v>
      </c>
      <c r="AD2418" s="57">
        <f t="shared" si="906"/>
        <v>0</v>
      </c>
      <c r="AE2418" s="57" t="str">
        <f t="shared" si="907"/>
        <v/>
      </c>
      <c r="AF2418" s="57">
        <f t="shared" si="908"/>
        <v>0</v>
      </c>
      <c r="AG2418" s="59">
        <f t="shared" si="909"/>
        <v>0</v>
      </c>
      <c r="AH2418" s="15"/>
      <c r="AI2418" s="15"/>
      <c r="AJ2418" s="15"/>
      <c r="AK2418" s="15"/>
      <c r="AL2418" s="15"/>
      <c r="AM2418" s="15"/>
      <c r="AN2418" s="15"/>
      <c r="AO2418" s="15"/>
      <c r="AP2418" s="15"/>
      <c r="AQ2418" s="15"/>
      <c r="AR2418" s="15"/>
      <c r="AS2418" s="15"/>
      <c r="AT2418" s="15"/>
      <c r="AU2418" s="15"/>
    </row>
    <row r="2419" ht="24.0" customHeight="1">
      <c r="A2419" s="45">
        <v>3843.0</v>
      </c>
      <c r="B2419" s="57"/>
      <c r="C2419" s="57"/>
      <c r="D2419" s="88" t="str">
        <f t="array" ref="D2419">IFERROR(
  LOOKUP(2, 1/((TRIM(IMS!$E$8:$E$2574)=TRIM(IMS!$E2419))*(IMS!$C$8:$C$2574&lt;IMS!$C2419)),
         IMS!$C$8:$C$2574),
"")</f>
        <v/>
      </c>
      <c r="E2419" s="57"/>
      <c r="F2419" s="57"/>
      <c r="G2419" s="77" t="str">
        <f t="shared" si="901"/>
        <v/>
      </c>
      <c r="H2419" s="78" t="str">
        <f t="shared" si="902"/>
        <v/>
      </c>
      <c r="I2419" s="79"/>
      <c r="J2419" s="80" t="str">
        <f t="shared" si="903"/>
        <v>#NAME?</v>
      </c>
      <c r="K2419" s="58"/>
      <c r="L2419" s="58"/>
      <c r="M2419" s="57"/>
      <c r="N2419" s="57"/>
      <c r="O2419" s="58"/>
      <c r="P2419" s="82"/>
      <c r="Q2419" s="81"/>
      <c r="R2419" s="81"/>
      <c r="S2419" s="57"/>
      <c r="T2419" s="82"/>
      <c r="U2419" s="82"/>
      <c r="V2419" s="57"/>
      <c r="W2419" s="57"/>
      <c r="X2419" s="57" t="str">
        <f t="shared" si="917"/>
        <v/>
      </c>
      <c r="Y2419" s="58" t="str">
        <f t="shared" ref="Y2419:AC2419" si="2259">TRIM(SUBSTITUTE(SUBSTITUTE(OFFSET($Q2419,0,COLUMN()-COLUMN($AL$1)),CHAR(160)," "),_xludf.UNICHAR(8239)," "))</f>
        <v>#NAME?</v>
      </c>
      <c r="Z2419" s="58" t="str">
        <f t="shared" si="2259"/>
        <v>#NAME?</v>
      </c>
      <c r="AA2419" s="58" t="str">
        <f t="shared" si="2259"/>
        <v>#NAME?</v>
      </c>
      <c r="AB2419" s="58" t="str">
        <f t="shared" si="2259"/>
        <v>#NAME?</v>
      </c>
      <c r="AC2419" s="58" t="str">
        <f t="shared" si="2259"/>
        <v>#NAME?</v>
      </c>
      <c r="AD2419" s="57">
        <f t="shared" si="906"/>
        <v>0</v>
      </c>
      <c r="AE2419" s="57" t="str">
        <f t="shared" si="907"/>
        <v/>
      </c>
      <c r="AF2419" s="57">
        <f t="shared" si="908"/>
        <v>0</v>
      </c>
      <c r="AG2419" s="59">
        <f t="shared" si="909"/>
        <v>0</v>
      </c>
      <c r="AH2419" s="15"/>
      <c r="AI2419" s="15"/>
      <c r="AJ2419" s="15"/>
      <c r="AK2419" s="15"/>
      <c r="AL2419" s="15"/>
      <c r="AM2419" s="15"/>
      <c r="AN2419" s="15"/>
      <c r="AO2419" s="15"/>
      <c r="AP2419" s="15"/>
      <c r="AQ2419" s="15"/>
      <c r="AR2419" s="15"/>
      <c r="AS2419" s="15"/>
      <c r="AT2419" s="15"/>
      <c r="AU2419" s="15"/>
    </row>
    <row r="2420" ht="24.0" customHeight="1">
      <c r="A2420" s="45">
        <v>3844.0</v>
      </c>
      <c r="B2420" s="57"/>
      <c r="C2420" s="57"/>
      <c r="D2420" s="88" t="str">
        <f t="array" ref="D2420">IFERROR(
  LOOKUP(2, 1/((TRIM(IMS!$E$8:$E$2574)=TRIM(IMS!$E2420))*(IMS!$C$8:$C$2574&lt;IMS!$C2420)),
         IMS!$C$8:$C$2574),
"")</f>
        <v/>
      </c>
      <c r="E2420" s="57"/>
      <c r="F2420" s="57"/>
      <c r="G2420" s="77" t="str">
        <f t="shared" si="901"/>
        <v/>
      </c>
      <c r="H2420" s="78" t="str">
        <f t="shared" si="902"/>
        <v/>
      </c>
      <c r="I2420" s="79"/>
      <c r="J2420" s="80" t="str">
        <f t="shared" si="903"/>
        <v>#NAME?</v>
      </c>
      <c r="K2420" s="58"/>
      <c r="L2420" s="58"/>
      <c r="M2420" s="57"/>
      <c r="N2420" s="57"/>
      <c r="O2420" s="58"/>
      <c r="P2420" s="82"/>
      <c r="Q2420" s="81"/>
      <c r="R2420" s="81"/>
      <c r="S2420" s="57"/>
      <c r="T2420" s="82"/>
      <c r="U2420" s="82"/>
      <c r="V2420" s="57"/>
      <c r="W2420" s="57"/>
      <c r="X2420" s="57" t="str">
        <f t="shared" si="917"/>
        <v/>
      </c>
      <c r="Y2420" s="58" t="str">
        <f t="shared" ref="Y2420:AC2420" si="2260">TRIM(SUBSTITUTE(SUBSTITUTE(OFFSET($Q2420,0,COLUMN()-COLUMN($AL$1)),CHAR(160)," "),_xludf.UNICHAR(8239)," "))</f>
        <v>#NAME?</v>
      </c>
      <c r="Z2420" s="58" t="str">
        <f t="shared" si="2260"/>
        <v>#NAME?</v>
      </c>
      <c r="AA2420" s="58" t="str">
        <f t="shared" si="2260"/>
        <v>#NAME?</v>
      </c>
      <c r="AB2420" s="58" t="str">
        <f t="shared" si="2260"/>
        <v>#NAME?</v>
      </c>
      <c r="AC2420" s="58" t="str">
        <f t="shared" si="2260"/>
        <v>#NAME?</v>
      </c>
      <c r="AD2420" s="57">
        <f t="shared" si="906"/>
        <v>0</v>
      </c>
      <c r="AE2420" s="57" t="str">
        <f t="shared" si="907"/>
        <v/>
      </c>
      <c r="AF2420" s="57">
        <f t="shared" si="908"/>
        <v>0</v>
      </c>
      <c r="AG2420" s="59">
        <f t="shared" si="909"/>
        <v>0</v>
      </c>
      <c r="AH2420" s="15"/>
      <c r="AI2420" s="15"/>
      <c r="AJ2420" s="15"/>
      <c r="AK2420" s="15"/>
      <c r="AL2420" s="15"/>
      <c r="AM2420" s="15"/>
      <c r="AN2420" s="15"/>
      <c r="AO2420" s="15"/>
      <c r="AP2420" s="15"/>
      <c r="AQ2420" s="15"/>
      <c r="AR2420" s="15"/>
      <c r="AS2420" s="15"/>
      <c r="AT2420" s="15"/>
      <c r="AU2420" s="15"/>
    </row>
    <row r="2421" ht="24.0" customHeight="1">
      <c r="A2421" s="45">
        <v>3845.0</v>
      </c>
      <c r="B2421" s="57"/>
      <c r="C2421" s="57"/>
      <c r="D2421" s="88" t="str">
        <f t="array" ref="D2421">IFERROR(
  LOOKUP(2, 1/((TRIM(IMS!$E$8:$E$2574)=TRIM(IMS!$E2421))*(IMS!$C$8:$C$2574&lt;IMS!$C2421)),
         IMS!$C$8:$C$2574),
"")</f>
        <v/>
      </c>
      <c r="E2421" s="57"/>
      <c r="F2421" s="57"/>
      <c r="G2421" s="77" t="str">
        <f t="shared" si="901"/>
        <v/>
      </c>
      <c r="H2421" s="78" t="str">
        <f t="shared" si="902"/>
        <v/>
      </c>
      <c r="I2421" s="79"/>
      <c r="J2421" s="80" t="str">
        <f t="shared" si="903"/>
        <v>#NAME?</v>
      </c>
      <c r="K2421" s="58"/>
      <c r="L2421" s="58"/>
      <c r="M2421" s="57"/>
      <c r="N2421" s="57"/>
      <c r="O2421" s="58"/>
      <c r="P2421" s="82"/>
      <c r="Q2421" s="81"/>
      <c r="R2421" s="81"/>
      <c r="S2421" s="57"/>
      <c r="T2421" s="82"/>
      <c r="U2421" s="82"/>
      <c r="V2421" s="57"/>
      <c r="W2421" s="57"/>
      <c r="X2421" s="57" t="str">
        <f t="shared" si="917"/>
        <v/>
      </c>
      <c r="Y2421" s="58" t="str">
        <f t="shared" ref="Y2421:AC2421" si="2261">TRIM(SUBSTITUTE(SUBSTITUTE(OFFSET($Q2421,0,COLUMN()-COLUMN($AL$1)),CHAR(160)," "),_xludf.UNICHAR(8239)," "))</f>
        <v>#NAME?</v>
      </c>
      <c r="Z2421" s="58" t="str">
        <f t="shared" si="2261"/>
        <v>#NAME?</v>
      </c>
      <c r="AA2421" s="58" t="str">
        <f t="shared" si="2261"/>
        <v>#NAME?</v>
      </c>
      <c r="AB2421" s="58" t="str">
        <f t="shared" si="2261"/>
        <v>#NAME?</v>
      </c>
      <c r="AC2421" s="58" t="str">
        <f t="shared" si="2261"/>
        <v>#NAME?</v>
      </c>
      <c r="AD2421" s="57">
        <f t="shared" si="906"/>
        <v>0</v>
      </c>
      <c r="AE2421" s="57" t="str">
        <f t="shared" si="907"/>
        <v/>
      </c>
      <c r="AF2421" s="57">
        <f t="shared" si="908"/>
        <v>0</v>
      </c>
      <c r="AG2421" s="59">
        <f t="shared" si="909"/>
        <v>0</v>
      </c>
      <c r="AH2421" s="15"/>
      <c r="AI2421" s="15"/>
      <c r="AJ2421" s="15"/>
      <c r="AK2421" s="15"/>
      <c r="AL2421" s="15"/>
      <c r="AM2421" s="15"/>
      <c r="AN2421" s="15"/>
      <c r="AO2421" s="15"/>
      <c r="AP2421" s="15"/>
      <c r="AQ2421" s="15"/>
      <c r="AR2421" s="15"/>
      <c r="AS2421" s="15"/>
      <c r="AT2421" s="15"/>
      <c r="AU2421" s="15"/>
    </row>
    <row r="2422" ht="24.0" customHeight="1">
      <c r="A2422" s="45">
        <v>3846.0</v>
      </c>
      <c r="B2422" s="57"/>
      <c r="C2422" s="57"/>
      <c r="D2422" s="88" t="str">
        <f t="array" ref="D2422">IFERROR(
  LOOKUP(2, 1/((TRIM(IMS!$E$8:$E$2574)=TRIM(IMS!$E2422))*(IMS!$C$8:$C$2574&lt;IMS!$C2422)),
         IMS!$C$8:$C$2574),
"")</f>
        <v/>
      </c>
      <c r="E2422" s="57"/>
      <c r="F2422" s="57"/>
      <c r="G2422" s="77" t="str">
        <f t="shared" si="901"/>
        <v/>
      </c>
      <c r="H2422" s="78" t="str">
        <f t="shared" si="902"/>
        <v/>
      </c>
      <c r="I2422" s="79"/>
      <c r="J2422" s="80" t="str">
        <f t="shared" si="903"/>
        <v>#NAME?</v>
      </c>
      <c r="K2422" s="58"/>
      <c r="L2422" s="58"/>
      <c r="M2422" s="57"/>
      <c r="N2422" s="57"/>
      <c r="O2422" s="58"/>
      <c r="P2422" s="82"/>
      <c r="Q2422" s="81"/>
      <c r="R2422" s="81"/>
      <c r="S2422" s="57"/>
      <c r="T2422" s="82"/>
      <c r="U2422" s="82"/>
      <c r="V2422" s="57"/>
      <c r="W2422" s="57"/>
      <c r="X2422" s="57" t="str">
        <f t="shared" si="917"/>
        <v/>
      </c>
      <c r="Y2422" s="58" t="str">
        <f t="shared" ref="Y2422:AC2422" si="2262">TRIM(SUBSTITUTE(SUBSTITUTE(OFFSET($Q2422,0,COLUMN()-COLUMN($AL$1)),CHAR(160)," "),_xludf.UNICHAR(8239)," "))</f>
        <v>#NAME?</v>
      </c>
      <c r="Z2422" s="58" t="str">
        <f t="shared" si="2262"/>
        <v>#NAME?</v>
      </c>
      <c r="AA2422" s="58" t="str">
        <f t="shared" si="2262"/>
        <v>#NAME?</v>
      </c>
      <c r="AB2422" s="58" t="str">
        <f t="shared" si="2262"/>
        <v>#NAME?</v>
      </c>
      <c r="AC2422" s="58" t="str">
        <f t="shared" si="2262"/>
        <v>#NAME?</v>
      </c>
      <c r="AD2422" s="57">
        <f t="shared" si="906"/>
        <v>0</v>
      </c>
      <c r="AE2422" s="57" t="str">
        <f t="shared" si="907"/>
        <v/>
      </c>
      <c r="AF2422" s="57">
        <f t="shared" si="908"/>
        <v>0</v>
      </c>
      <c r="AG2422" s="59">
        <f t="shared" si="909"/>
        <v>0</v>
      </c>
      <c r="AH2422" s="15"/>
      <c r="AI2422" s="15"/>
      <c r="AJ2422" s="15"/>
      <c r="AK2422" s="15"/>
      <c r="AL2422" s="15"/>
      <c r="AM2422" s="15"/>
      <c r="AN2422" s="15"/>
      <c r="AO2422" s="15"/>
      <c r="AP2422" s="15"/>
      <c r="AQ2422" s="15"/>
      <c r="AR2422" s="15"/>
      <c r="AS2422" s="15"/>
      <c r="AT2422" s="15"/>
      <c r="AU2422" s="15"/>
    </row>
    <row r="2423" ht="24.0" customHeight="1">
      <c r="A2423" s="45">
        <v>3847.0</v>
      </c>
      <c r="B2423" s="57"/>
      <c r="C2423" s="57"/>
      <c r="D2423" s="88" t="str">
        <f t="array" ref="D2423">IFERROR(
  LOOKUP(2, 1/((TRIM(IMS!$E$8:$E$2574)=TRIM(IMS!$E2423))*(IMS!$C$8:$C$2574&lt;IMS!$C2423)),
         IMS!$C$8:$C$2574),
"")</f>
        <v/>
      </c>
      <c r="E2423" s="57"/>
      <c r="F2423" s="57"/>
      <c r="G2423" s="77" t="str">
        <f t="shared" si="901"/>
        <v/>
      </c>
      <c r="H2423" s="78" t="str">
        <f t="shared" si="902"/>
        <v/>
      </c>
      <c r="I2423" s="79"/>
      <c r="J2423" s="80" t="str">
        <f t="shared" si="903"/>
        <v>#NAME?</v>
      </c>
      <c r="K2423" s="58"/>
      <c r="L2423" s="58"/>
      <c r="M2423" s="57"/>
      <c r="N2423" s="57"/>
      <c r="O2423" s="58"/>
      <c r="P2423" s="82"/>
      <c r="Q2423" s="81"/>
      <c r="R2423" s="81"/>
      <c r="S2423" s="57"/>
      <c r="T2423" s="82"/>
      <c r="U2423" s="82"/>
      <c r="V2423" s="57"/>
      <c r="W2423" s="57"/>
      <c r="X2423" s="57" t="str">
        <f t="shared" si="917"/>
        <v/>
      </c>
      <c r="Y2423" s="58" t="str">
        <f t="shared" ref="Y2423:AC2423" si="2263">TRIM(SUBSTITUTE(SUBSTITUTE(OFFSET($Q2423,0,COLUMN()-COLUMN($AL$1)),CHAR(160)," "),_xludf.UNICHAR(8239)," "))</f>
        <v>#NAME?</v>
      </c>
      <c r="Z2423" s="58" t="str">
        <f t="shared" si="2263"/>
        <v>#NAME?</v>
      </c>
      <c r="AA2423" s="58" t="str">
        <f t="shared" si="2263"/>
        <v>#NAME?</v>
      </c>
      <c r="AB2423" s="58" t="str">
        <f t="shared" si="2263"/>
        <v>#NAME?</v>
      </c>
      <c r="AC2423" s="58" t="str">
        <f t="shared" si="2263"/>
        <v>#NAME?</v>
      </c>
      <c r="AD2423" s="57">
        <f t="shared" si="906"/>
        <v>0</v>
      </c>
      <c r="AE2423" s="57" t="str">
        <f t="shared" si="907"/>
        <v/>
      </c>
      <c r="AF2423" s="57">
        <f t="shared" si="908"/>
        <v>0</v>
      </c>
      <c r="AG2423" s="59">
        <f t="shared" si="909"/>
        <v>0</v>
      </c>
      <c r="AH2423" s="15"/>
      <c r="AI2423" s="15"/>
      <c r="AJ2423" s="15"/>
      <c r="AK2423" s="15"/>
      <c r="AL2423" s="15"/>
      <c r="AM2423" s="15"/>
      <c r="AN2423" s="15"/>
      <c r="AO2423" s="15"/>
      <c r="AP2423" s="15"/>
      <c r="AQ2423" s="15"/>
      <c r="AR2423" s="15"/>
      <c r="AS2423" s="15"/>
      <c r="AT2423" s="15"/>
      <c r="AU2423" s="15"/>
    </row>
    <row r="2424" ht="24.0" customHeight="1">
      <c r="A2424" s="45">
        <v>3848.0</v>
      </c>
      <c r="B2424" s="57"/>
      <c r="C2424" s="57"/>
      <c r="D2424" s="88" t="str">
        <f t="array" ref="D2424">IFERROR(
  LOOKUP(2, 1/((TRIM(IMS!$E$8:$E$2574)=TRIM(IMS!$E2424))*(IMS!$C$8:$C$2574&lt;IMS!$C2424)),
         IMS!$C$8:$C$2574),
"")</f>
        <v/>
      </c>
      <c r="E2424" s="57"/>
      <c r="F2424" s="57"/>
      <c r="G2424" s="77" t="str">
        <f t="shared" si="901"/>
        <v/>
      </c>
      <c r="H2424" s="78" t="str">
        <f t="shared" si="902"/>
        <v/>
      </c>
      <c r="I2424" s="79"/>
      <c r="J2424" s="80" t="str">
        <f t="shared" si="903"/>
        <v>#NAME?</v>
      </c>
      <c r="K2424" s="58"/>
      <c r="L2424" s="58"/>
      <c r="M2424" s="57"/>
      <c r="N2424" s="57"/>
      <c r="O2424" s="58"/>
      <c r="P2424" s="82"/>
      <c r="Q2424" s="81"/>
      <c r="R2424" s="81"/>
      <c r="S2424" s="57"/>
      <c r="T2424" s="82"/>
      <c r="U2424" s="82"/>
      <c r="V2424" s="57"/>
      <c r="W2424" s="57"/>
      <c r="X2424" s="57" t="str">
        <f t="shared" si="917"/>
        <v/>
      </c>
      <c r="Y2424" s="58" t="str">
        <f t="shared" ref="Y2424:AC2424" si="2264">TRIM(SUBSTITUTE(SUBSTITUTE(OFFSET($Q2424,0,COLUMN()-COLUMN($AL$1)),CHAR(160)," "),_xludf.UNICHAR(8239)," "))</f>
        <v>#NAME?</v>
      </c>
      <c r="Z2424" s="58" t="str">
        <f t="shared" si="2264"/>
        <v>#NAME?</v>
      </c>
      <c r="AA2424" s="58" t="str">
        <f t="shared" si="2264"/>
        <v>#NAME?</v>
      </c>
      <c r="AB2424" s="58" t="str">
        <f t="shared" si="2264"/>
        <v>#NAME?</v>
      </c>
      <c r="AC2424" s="58" t="str">
        <f t="shared" si="2264"/>
        <v>#NAME?</v>
      </c>
      <c r="AD2424" s="57">
        <f t="shared" si="906"/>
        <v>0</v>
      </c>
      <c r="AE2424" s="57" t="str">
        <f t="shared" si="907"/>
        <v/>
      </c>
      <c r="AF2424" s="57">
        <f t="shared" si="908"/>
        <v>0</v>
      </c>
      <c r="AG2424" s="59">
        <f t="shared" si="909"/>
        <v>0</v>
      </c>
      <c r="AH2424" s="15"/>
      <c r="AI2424" s="15"/>
      <c r="AJ2424" s="15"/>
      <c r="AK2424" s="15"/>
      <c r="AL2424" s="15"/>
      <c r="AM2424" s="15"/>
      <c r="AN2424" s="15"/>
      <c r="AO2424" s="15"/>
      <c r="AP2424" s="15"/>
      <c r="AQ2424" s="15"/>
      <c r="AR2424" s="15"/>
      <c r="AS2424" s="15"/>
      <c r="AT2424" s="15"/>
      <c r="AU2424" s="15"/>
    </row>
    <row r="2425" ht="24.0" customHeight="1">
      <c r="A2425" s="45">
        <v>3849.0</v>
      </c>
      <c r="B2425" s="57"/>
      <c r="C2425" s="57"/>
      <c r="D2425" s="88" t="str">
        <f t="array" ref="D2425">IFERROR(
  LOOKUP(2, 1/((TRIM(IMS!$E$8:$E$2574)=TRIM(IMS!$E2425))*(IMS!$C$8:$C$2574&lt;IMS!$C2425)),
         IMS!$C$8:$C$2574),
"")</f>
        <v/>
      </c>
      <c r="E2425" s="57"/>
      <c r="F2425" s="57"/>
      <c r="G2425" s="77" t="str">
        <f t="shared" si="901"/>
        <v/>
      </c>
      <c r="H2425" s="78" t="str">
        <f t="shared" si="902"/>
        <v/>
      </c>
      <c r="I2425" s="79"/>
      <c r="J2425" s="80" t="str">
        <f t="shared" si="903"/>
        <v>#NAME?</v>
      </c>
      <c r="K2425" s="58"/>
      <c r="L2425" s="58"/>
      <c r="M2425" s="57"/>
      <c r="N2425" s="57"/>
      <c r="O2425" s="58"/>
      <c r="P2425" s="82"/>
      <c r="Q2425" s="81"/>
      <c r="R2425" s="81"/>
      <c r="S2425" s="57"/>
      <c r="T2425" s="82"/>
      <c r="U2425" s="82"/>
      <c r="V2425" s="57"/>
      <c r="W2425" s="57"/>
      <c r="X2425" s="57" t="str">
        <f t="shared" si="917"/>
        <v/>
      </c>
      <c r="Y2425" s="58" t="str">
        <f t="shared" ref="Y2425:AC2425" si="2265">TRIM(SUBSTITUTE(SUBSTITUTE(OFFSET($Q2425,0,COLUMN()-COLUMN($AL$1)),CHAR(160)," "),_xludf.UNICHAR(8239)," "))</f>
        <v>#NAME?</v>
      </c>
      <c r="Z2425" s="58" t="str">
        <f t="shared" si="2265"/>
        <v>#NAME?</v>
      </c>
      <c r="AA2425" s="58" t="str">
        <f t="shared" si="2265"/>
        <v>#NAME?</v>
      </c>
      <c r="AB2425" s="58" t="str">
        <f t="shared" si="2265"/>
        <v>#NAME?</v>
      </c>
      <c r="AC2425" s="58" t="str">
        <f t="shared" si="2265"/>
        <v>#NAME?</v>
      </c>
      <c r="AD2425" s="57">
        <f t="shared" si="906"/>
        <v>0</v>
      </c>
      <c r="AE2425" s="57" t="str">
        <f t="shared" si="907"/>
        <v/>
      </c>
      <c r="AF2425" s="57">
        <f t="shared" si="908"/>
        <v>0</v>
      </c>
      <c r="AG2425" s="59">
        <f t="shared" si="909"/>
        <v>0</v>
      </c>
      <c r="AH2425" s="15"/>
      <c r="AI2425" s="15"/>
      <c r="AJ2425" s="15"/>
      <c r="AK2425" s="15"/>
      <c r="AL2425" s="15"/>
      <c r="AM2425" s="15"/>
      <c r="AN2425" s="15"/>
      <c r="AO2425" s="15"/>
      <c r="AP2425" s="15"/>
      <c r="AQ2425" s="15"/>
      <c r="AR2425" s="15"/>
      <c r="AS2425" s="15"/>
      <c r="AT2425" s="15"/>
      <c r="AU2425" s="15"/>
    </row>
    <row r="2426" ht="24.0" customHeight="1">
      <c r="A2426" s="45">
        <v>3850.0</v>
      </c>
      <c r="B2426" s="57"/>
      <c r="C2426" s="57"/>
      <c r="D2426" s="88" t="str">
        <f t="array" ref="D2426">IFERROR(
  LOOKUP(2, 1/((TRIM(IMS!$E$8:$E$2574)=TRIM(IMS!$E2426))*(IMS!$C$8:$C$2574&lt;IMS!$C2426)),
         IMS!$C$8:$C$2574),
"")</f>
        <v/>
      </c>
      <c r="E2426" s="57"/>
      <c r="F2426" s="57"/>
      <c r="G2426" s="77" t="str">
        <f t="shared" si="901"/>
        <v/>
      </c>
      <c r="H2426" s="78" t="str">
        <f t="shared" si="902"/>
        <v/>
      </c>
      <c r="I2426" s="79"/>
      <c r="J2426" s="80" t="str">
        <f t="shared" si="903"/>
        <v>#NAME?</v>
      </c>
      <c r="K2426" s="58"/>
      <c r="L2426" s="58"/>
      <c r="M2426" s="57"/>
      <c r="N2426" s="57"/>
      <c r="O2426" s="58"/>
      <c r="P2426" s="82"/>
      <c r="Q2426" s="81"/>
      <c r="R2426" s="81"/>
      <c r="S2426" s="57"/>
      <c r="T2426" s="82"/>
      <c r="U2426" s="82"/>
      <c r="V2426" s="57"/>
      <c r="W2426" s="57"/>
      <c r="X2426" s="57" t="str">
        <f t="shared" si="917"/>
        <v/>
      </c>
      <c r="Y2426" s="58" t="str">
        <f t="shared" ref="Y2426:AC2426" si="2266">TRIM(SUBSTITUTE(SUBSTITUTE(OFFSET($Q2426,0,COLUMN()-COLUMN($AL$1)),CHAR(160)," "),_xludf.UNICHAR(8239)," "))</f>
        <v>#NAME?</v>
      </c>
      <c r="Z2426" s="58" t="str">
        <f t="shared" si="2266"/>
        <v>#NAME?</v>
      </c>
      <c r="AA2426" s="58" t="str">
        <f t="shared" si="2266"/>
        <v>#NAME?</v>
      </c>
      <c r="AB2426" s="58" t="str">
        <f t="shared" si="2266"/>
        <v>#NAME?</v>
      </c>
      <c r="AC2426" s="58" t="str">
        <f t="shared" si="2266"/>
        <v>#NAME?</v>
      </c>
      <c r="AD2426" s="57">
        <f t="shared" si="906"/>
        <v>0</v>
      </c>
      <c r="AE2426" s="57" t="str">
        <f t="shared" si="907"/>
        <v/>
      </c>
      <c r="AF2426" s="57">
        <f t="shared" si="908"/>
        <v>0</v>
      </c>
      <c r="AG2426" s="59">
        <f t="shared" si="909"/>
        <v>0</v>
      </c>
      <c r="AH2426" s="15"/>
      <c r="AI2426" s="15"/>
      <c r="AJ2426" s="15"/>
      <c r="AK2426" s="15"/>
      <c r="AL2426" s="15"/>
      <c r="AM2426" s="15"/>
      <c r="AN2426" s="15"/>
      <c r="AO2426" s="15"/>
      <c r="AP2426" s="15"/>
      <c r="AQ2426" s="15"/>
      <c r="AR2426" s="15"/>
      <c r="AS2426" s="15"/>
      <c r="AT2426" s="15"/>
      <c r="AU2426" s="15"/>
    </row>
    <row r="2427" ht="24.0" customHeight="1">
      <c r="A2427" s="45">
        <v>3851.0</v>
      </c>
      <c r="B2427" s="57"/>
      <c r="C2427" s="57"/>
      <c r="D2427" s="88" t="str">
        <f t="array" ref="D2427">IFERROR(
  LOOKUP(2, 1/((TRIM(IMS!$E$8:$E$2574)=TRIM(IMS!$E2427))*(IMS!$C$8:$C$2574&lt;IMS!$C2427)),
         IMS!$C$8:$C$2574),
"")</f>
        <v/>
      </c>
      <c r="E2427" s="57"/>
      <c r="F2427" s="57"/>
      <c r="G2427" s="77" t="str">
        <f t="shared" si="901"/>
        <v/>
      </c>
      <c r="H2427" s="78" t="str">
        <f t="shared" si="902"/>
        <v/>
      </c>
      <c r="I2427" s="79"/>
      <c r="J2427" s="80" t="str">
        <f t="shared" si="903"/>
        <v>#NAME?</v>
      </c>
      <c r="K2427" s="58"/>
      <c r="L2427" s="58"/>
      <c r="M2427" s="57"/>
      <c r="N2427" s="57"/>
      <c r="O2427" s="58"/>
      <c r="P2427" s="82"/>
      <c r="Q2427" s="81"/>
      <c r="R2427" s="81"/>
      <c r="S2427" s="57"/>
      <c r="T2427" s="82"/>
      <c r="U2427" s="82"/>
      <c r="V2427" s="57"/>
      <c r="W2427" s="57"/>
      <c r="X2427" s="57" t="str">
        <f t="shared" si="917"/>
        <v/>
      </c>
      <c r="Y2427" s="58" t="str">
        <f t="shared" ref="Y2427:AC2427" si="2267">TRIM(SUBSTITUTE(SUBSTITUTE(OFFSET($Q2427,0,COLUMN()-COLUMN($AL$1)),CHAR(160)," "),_xludf.UNICHAR(8239)," "))</f>
        <v>#NAME?</v>
      </c>
      <c r="Z2427" s="58" t="str">
        <f t="shared" si="2267"/>
        <v>#NAME?</v>
      </c>
      <c r="AA2427" s="58" t="str">
        <f t="shared" si="2267"/>
        <v>#NAME?</v>
      </c>
      <c r="AB2427" s="58" t="str">
        <f t="shared" si="2267"/>
        <v>#NAME?</v>
      </c>
      <c r="AC2427" s="58" t="str">
        <f t="shared" si="2267"/>
        <v>#NAME?</v>
      </c>
      <c r="AD2427" s="57">
        <f t="shared" si="906"/>
        <v>0</v>
      </c>
      <c r="AE2427" s="57" t="str">
        <f t="shared" si="907"/>
        <v/>
      </c>
      <c r="AF2427" s="57">
        <f t="shared" si="908"/>
        <v>0</v>
      </c>
      <c r="AG2427" s="59">
        <f t="shared" si="909"/>
        <v>0</v>
      </c>
      <c r="AH2427" s="15"/>
      <c r="AI2427" s="15"/>
      <c r="AJ2427" s="15"/>
      <c r="AK2427" s="15"/>
      <c r="AL2427" s="15"/>
      <c r="AM2427" s="15"/>
      <c r="AN2427" s="15"/>
      <c r="AO2427" s="15"/>
      <c r="AP2427" s="15"/>
      <c r="AQ2427" s="15"/>
      <c r="AR2427" s="15"/>
      <c r="AS2427" s="15"/>
      <c r="AT2427" s="15"/>
      <c r="AU2427" s="15"/>
    </row>
    <row r="2428" ht="24.0" customHeight="1">
      <c r="A2428" s="45">
        <v>3852.0</v>
      </c>
      <c r="B2428" s="57"/>
      <c r="C2428" s="57"/>
      <c r="D2428" s="88" t="str">
        <f t="array" ref="D2428">IFERROR(
  LOOKUP(2, 1/((TRIM(IMS!$E$8:$E$2574)=TRIM(IMS!$E2428))*(IMS!$C$8:$C$2574&lt;IMS!$C2428)),
         IMS!$C$8:$C$2574),
"")</f>
        <v/>
      </c>
      <c r="E2428" s="57"/>
      <c r="F2428" s="57"/>
      <c r="G2428" s="77" t="str">
        <f t="shared" si="901"/>
        <v/>
      </c>
      <c r="H2428" s="78" t="str">
        <f t="shared" si="902"/>
        <v/>
      </c>
      <c r="I2428" s="79"/>
      <c r="J2428" s="80" t="str">
        <f t="shared" si="903"/>
        <v>#NAME?</v>
      </c>
      <c r="K2428" s="58"/>
      <c r="L2428" s="58"/>
      <c r="M2428" s="57"/>
      <c r="N2428" s="57"/>
      <c r="O2428" s="58"/>
      <c r="P2428" s="82"/>
      <c r="Q2428" s="81"/>
      <c r="R2428" s="81"/>
      <c r="S2428" s="57"/>
      <c r="T2428" s="82"/>
      <c r="U2428" s="82"/>
      <c r="V2428" s="57"/>
      <c r="W2428" s="57"/>
      <c r="X2428" s="57" t="str">
        <f t="shared" si="917"/>
        <v/>
      </c>
      <c r="Y2428" s="58" t="str">
        <f t="shared" ref="Y2428:AC2428" si="2268">TRIM(SUBSTITUTE(SUBSTITUTE(OFFSET($Q2428,0,COLUMN()-COLUMN($AL$1)),CHAR(160)," "),_xludf.UNICHAR(8239)," "))</f>
        <v>#NAME?</v>
      </c>
      <c r="Z2428" s="58" t="str">
        <f t="shared" si="2268"/>
        <v>#NAME?</v>
      </c>
      <c r="AA2428" s="58" t="str">
        <f t="shared" si="2268"/>
        <v>#NAME?</v>
      </c>
      <c r="AB2428" s="58" t="str">
        <f t="shared" si="2268"/>
        <v>#NAME?</v>
      </c>
      <c r="AC2428" s="58" t="str">
        <f t="shared" si="2268"/>
        <v>#NAME?</v>
      </c>
      <c r="AD2428" s="57">
        <f t="shared" si="906"/>
        <v>0</v>
      </c>
      <c r="AE2428" s="57" t="str">
        <f t="shared" si="907"/>
        <v/>
      </c>
      <c r="AF2428" s="57">
        <f t="shared" si="908"/>
        <v>0</v>
      </c>
      <c r="AG2428" s="59">
        <f t="shared" si="909"/>
        <v>0</v>
      </c>
      <c r="AH2428" s="15"/>
      <c r="AI2428" s="15"/>
      <c r="AJ2428" s="15"/>
      <c r="AK2428" s="15"/>
      <c r="AL2428" s="15"/>
      <c r="AM2428" s="15"/>
      <c r="AN2428" s="15"/>
      <c r="AO2428" s="15"/>
      <c r="AP2428" s="15"/>
      <c r="AQ2428" s="15"/>
      <c r="AR2428" s="15"/>
      <c r="AS2428" s="15"/>
      <c r="AT2428" s="15"/>
      <c r="AU2428" s="15"/>
    </row>
    <row r="2429" ht="24.0" customHeight="1">
      <c r="A2429" s="45">
        <v>3853.0</v>
      </c>
      <c r="B2429" s="57"/>
      <c r="C2429" s="57"/>
      <c r="D2429" s="88" t="str">
        <f t="array" ref="D2429">IFERROR(
  LOOKUP(2, 1/((TRIM(IMS!$E$8:$E$2574)=TRIM(IMS!$E2429))*(IMS!$C$8:$C$2574&lt;IMS!$C2429)),
         IMS!$C$8:$C$2574),
"")</f>
        <v/>
      </c>
      <c r="E2429" s="57"/>
      <c r="F2429" s="57"/>
      <c r="G2429" s="77" t="str">
        <f t="shared" si="901"/>
        <v/>
      </c>
      <c r="H2429" s="78" t="str">
        <f t="shared" si="902"/>
        <v/>
      </c>
      <c r="I2429" s="79"/>
      <c r="J2429" s="80" t="str">
        <f t="shared" si="903"/>
        <v>#NAME?</v>
      </c>
      <c r="K2429" s="58"/>
      <c r="L2429" s="58"/>
      <c r="M2429" s="57"/>
      <c r="N2429" s="57"/>
      <c r="O2429" s="58"/>
      <c r="P2429" s="82"/>
      <c r="Q2429" s="81"/>
      <c r="R2429" s="81"/>
      <c r="S2429" s="57"/>
      <c r="T2429" s="82"/>
      <c r="U2429" s="82"/>
      <c r="V2429" s="57"/>
      <c r="W2429" s="57"/>
      <c r="X2429" s="57" t="str">
        <f t="shared" si="917"/>
        <v/>
      </c>
      <c r="Y2429" s="58" t="str">
        <f t="shared" ref="Y2429:AC2429" si="2269">TRIM(SUBSTITUTE(SUBSTITUTE(OFFSET($Q2429,0,COLUMN()-COLUMN($AL$1)),CHAR(160)," "),_xludf.UNICHAR(8239)," "))</f>
        <v>#NAME?</v>
      </c>
      <c r="Z2429" s="58" t="str">
        <f t="shared" si="2269"/>
        <v>#NAME?</v>
      </c>
      <c r="AA2429" s="58" t="str">
        <f t="shared" si="2269"/>
        <v>#NAME?</v>
      </c>
      <c r="AB2429" s="58" t="str">
        <f t="shared" si="2269"/>
        <v>#NAME?</v>
      </c>
      <c r="AC2429" s="58" t="str">
        <f t="shared" si="2269"/>
        <v>#NAME?</v>
      </c>
      <c r="AD2429" s="57">
        <f t="shared" si="906"/>
        <v>0</v>
      </c>
      <c r="AE2429" s="57" t="str">
        <f t="shared" si="907"/>
        <v/>
      </c>
      <c r="AF2429" s="57">
        <f t="shared" si="908"/>
        <v>0</v>
      </c>
      <c r="AG2429" s="59">
        <f t="shared" si="909"/>
        <v>0</v>
      </c>
      <c r="AH2429" s="15"/>
      <c r="AI2429" s="15"/>
      <c r="AJ2429" s="15"/>
      <c r="AK2429" s="15"/>
      <c r="AL2429" s="15"/>
      <c r="AM2429" s="15"/>
      <c r="AN2429" s="15"/>
      <c r="AO2429" s="15"/>
      <c r="AP2429" s="15"/>
      <c r="AQ2429" s="15"/>
      <c r="AR2429" s="15"/>
      <c r="AS2429" s="15"/>
      <c r="AT2429" s="15"/>
      <c r="AU2429" s="15"/>
    </row>
    <row r="2430" ht="24.0" customHeight="1">
      <c r="A2430" s="45">
        <v>3854.0</v>
      </c>
      <c r="B2430" s="57"/>
      <c r="C2430" s="57"/>
      <c r="D2430" s="88" t="str">
        <f t="array" ref="D2430">IFERROR(
  LOOKUP(2, 1/((TRIM(IMS!$E$8:$E$2574)=TRIM(IMS!$E2430))*(IMS!$C$8:$C$2574&lt;IMS!$C2430)),
         IMS!$C$8:$C$2574),
"")</f>
        <v/>
      </c>
      <c r="E2430" s="57"/>
      <c r="F2430" s="57"/>
      <c r="G2430" s="77" t="str">
        <f t="shared" si="901"/>
        <v/>
      </c>
      <c r="H2430" s="78" t="str">
        <f t="shared" si="902"/>
        <v/>
      </c>
      <c r="I2430" s="79"/>
      <c r="J2430" s="80" t="str">
        <f t="shared" si="903"/>
        <v>#NAME?</v>
      </c>
      <c r="K2430" s="58"/>
      <c r="L2430" s="58"/>
      <c r="M2430" s="57"/>
      <c r="N2430" s="57"/>
      <c r="O2430" s="58"/>
      <c r="P2430" s="82"/>
      <c r="Q2430" s="81"/>
      <c r="R2430" s="81"/>
      <c r="S2430" s="57"/>
      <c r="T2430" s="82"/>
      <c r="U2430" s="82"/>
      <c r="V2430" s="57"/>
      <c r="W2430" s="57"/>
      <c r="X2430" s="57" t="str">
        <f t="shared" si="917"/>
        <v/>
      </c>
      <c r="Y2430" s="58" t="str">
        <f t="shared" ref="Y2430:AC2430" si="2270">TRIM(SUBSTITUTE(SUBSTITUTE(OFFSET($Q2430,0,COLUMN()-COLUMN($AL$1)),CHAR(160)," "),_xludf.UNICHAR(8239)," "))</f>
        <v>#NAME?</v>
      </c>
      <c r="Z2430" s="58" t="str">
        <f t="shared" si="2270"/>
        <v>#NAME?</v>
      </c>
      <c r="AA2430" s="58" t="str">
        <f t="shared" si="2270"/>
        <v>#NAME?</v>
      </c>
      <c r="AB2430" s="58" t="str">
        <f t="shared" si="2270"/>
        <v>#NAME?</v>
      </c>
      <c r="AC2430" s="58" t="str">
        <f t="shared" si="2270"/>
        <v>#NAME?</v>
      </c>
      <c r="AD2430" s="57">
        <f t="shared" si="906"/>
        <v>0</v>
      </c>
      <c r="AE2430" s="57" t="str">
        <f t="shared" si="907"/>
        <v/>
      </c>
      <c r="AF2430" s="57">
        <f t="shared" si="908"/>
        <v>0</v>
      </c>
      <c r="AG2430" s="59">
        <f t="shared" si="909"/>
        <v>0</v>
      </c>
      <c r="AH2430" s="15"/>
      <c r="AI2430" s="15"/>
      <c r="AJ2430" s="15"/>
      <c r="AK2430" s="15"/>
      <c r="AL2430" s="15"/>
      <c r="AM2430" s="15"/>
      <c r="AN2430" s="15"/>
      <c r="AO2430" s="15"/>
      <c r="AP2430" s="15"/>
      <c r="AQ2430" s="15"/>
      <c r="AR2430" s="15"/>
      <c r="AS2430" s="15"/>
      <c r="AT2430" s="15"/>
      <c r="AU2430" s="15"/>
    </row>
    <row r="2431" ht="24.0" customHeight="1">
      <c r="A2431" s="45">
        <v>3855.0</v>
      </c>
      <c r="B2431" s="57"/>
      <c r="C2431" s="57"/>
      <c r="D2431" s="88" t="str">
        <f t="array" ref="D2431">IFERROR(
  LOOKUP(2, 1/((TRIM(IMS!$E$8:$E$2574)=TRIM(IMS!$E2431))*(IMS!$C$8:$C$2574&lt;IMS!$C2431)),
         IMS!$C$8:$C$2574),
"")</f>
        <v/>
      </c>
      <c r="E2431" s="57"/>
      <c r="F2431" s="57"/>
      <c r="G2431" s="77" t="str">
        <f t="shared" si="901"/>
        <v/>
      </c>
      <c r="H2431" s="78" t="str">
        <f t="shared" si="902"/>
        <v/>
      </c>
      <c r="I2431" s="79"/>
      <c r="J2431" s="80" t="str">
        <f t="shared" si="903"/>
        <v>#NAME?</v>
      </c>
      <c r="K2431" s="58"/>
      <c r="L2431" s="58"/>
      <c r="M2431" s="57"/>
      <c r="N2431" s="57"/>
      <c r="O2431" s="58"/>
      <c r="P2431" s="82"/>
      <c r="Q2431" s="81"/>
      <c r="R2431" s="81"/>
      <c r="S2431" s="57"/>
      <c r="T2431" s="82"/>
      <c r="U2431" s="82"/>
      <c r="V2431" s="57"/>
      <c r="W2431" s="57"/>
      <c r="X2431" s="57" t="str">
        <f t="shared" si="917"/>
        <v/>
      </c>
      <c r="Y2431" s="58" t="str">
        <f t="shared" ref="Y2431:AC2431" si="2271">TRIM(SUBSTITUTE(SUBSTITUTE(OFFSET($Q2431,0,COLUMN()-COLUMN($AL$1)),CHAR(160)," "),_xludf.UNICHAR(8239)," "))</f>
        <v>#NAME?</v>
      </c>
      <c r="Z2431" s="58" t="str">
        <f t="shared" si="2271"/>
        <v>#NAME?</v>
      </c>
      <c r="AA2431" s="58" t="str">
        <f t="shared" si="2271"/>
        <v>#NAME?</v>
      </c>
      <c r="AB2431" s="58" t="str">
        <f t="shared" si="2271"/>
        <v>#NAME?</v>
      </c>
      <c r="AC2431" s="58" t="str">
        <f t="shared" si="2271"/>
        <v>#NAME?</v>
      </c>
      <c r="AD2431" s="57">
        <f t="shared" si="906"/>
        <v>0</v>
      </c>
      <c r="AE2431" s="57" t="str">
        <f t="shared" si="907"/>
        <v/>
      </c>
      <c r="AF2431" s="57">
        <f t="shared" si="908"/>
        <v>0</v>
      </c>
      <c r="AG2431" s="59">
        <f t="shared" si="909"/>
        <v>0</v>
      </c>
      <c r="AH2431" s="15"/>
      <c r="AI2431" s="15"/>
      <c r="AJ2431" s="15"/>
      <c r="AK2431" s="15"/>
      <c r="AL2431" s="15"/>
      <c r="AM2431" s="15"/>
      <c r="AN2431" s="15"/>
      <c r="AO2431" s="15"/>
      <c r="AP2431" s="15"/>
      <c r="AQ2431" s="15"/>
      <c r="AR2431" s="15"/>
      <c r="AS2431" s="15"/>
      <c r="AT2431" s="15"/>
      <c r="AU2431" s="15"/>
    </row>
    <row r="2432" ht="24.0" customHeight="1">
      <c r="A2432" s="45">
        <v>3856.0</v>
      </c>
      <c r="B2432" s="57"/>
      <c r="C2432" s="57"/>
      <c r="D2432" s="88" t="str">
        <f t="array" ref="D2432">IFERROR(
  LOOKUP(2, 1/((TRIM(IMS!$E$8:$E$2574)=TRIM(IMS!$E2432))*(IMS!$C$8:$C$2574&lt;IMS!$C2432)),
         IMS!$C$8:$C$2574),
"")</f>
        <v/>
      </c>
      <c r="E2432" s="57"/>
      <c r="F2432" s="57"/>
      <c r="G2432" s="77" t="str">
        <f t="shared" si="901"/>
        <v/>
      </c>
      <c r="H2432" s="78" t="str">
        <f t="shared" si="902"/>
        <v/>
      </c>
      <c r="I2432" s="79"/>
      <c r="J2432" s="80" t="str">
        <f t="shared" si="903"/>
        <v>#NAME?</v>
      </c>
      <c r="K2432" s="58"/>
      <c r="L2432" s="58"/>
      <c r="M2432" s="57"/>
      <c r="N2432" s="57"/>
      <c r="O2432" s="58"/>
      <c r="P2432" s="82"/>
      <c r="Q2432" s="81"/>
      <c r="R2432" s="81"/>
      <c r="S2432" s="57"/>
      <c r="T2432" s="82"/>
      <c r="U2432" s="82"/>
      <c r="V2432" s="57"/>
      <c r="W2432" s="57"/>
      <c r="X2432" s="57" t="str">
        <f t="shared" si="917"/>
        <v/>
      </c>
      <c r="Y2432" s="58" t="str">
        <f t="shared" ref="Y2432:AC2432" si="2272">TRIM(SUBSTITUTE(SUBSTITUTE(OFFSET($Q2432,0,COLUMN()-COLUMN($AL$1)),CHAR(160)," "),_xludf.UNICHAR(8239)," "))</f>
        <v>#NAME?</v>
      </c>
      <c r="Z2432" s="58" t="str">
        <f t="shared" si="2272"/>
        <v>#NAME?</v>
      </c>
      <c r="AA2432" s="58" t="str">
        <f t="shared" si="2272"/>
        <v>#NAME?</v>
      </c>
      <c r="AB2432" s="58" t="str">
        <f t="shared" si="2272"/>
        <v>#NAME?</v>
      </c>
      <c r="AC2432" s="58" t="str">
        <f t="shared" si="2272"/>
        <v>#NAME?</v>
      </c>
      <c r="AD2432" s="57">
        <f t="shared" si="906"/>
        <v>0</v>
      </c>
      <c r="AE2432" s="57" t="str">
        <f t="shared" si="907"/>
        <v/>
      </c>
      <c r="AF2432" s="57">
        <f t="shared" si="908"/>
        <v>0</v>
      </c>
      <c r="AG2432" s="59">
        <f t="shared" si="909"/>
        <v>0</v>
      </c>
      <c r="AH2432" s="15"/>
      <c r="AI2432" s="15"/>
      <c r="AJ2432" s="15"/>
      <c r="AK2432" s="15"/>
      <c r="AL2432" s="15"/>
      <c r="AM2432" s="15"/>
      <c r="AN2432" s="15"/>
      <c r="AO2432" s="15"/>
      <c r="AP2432" s="15"/>
      <c r="AQ2432" s="15"/>
      <c r="AR2432" s="15"/>
      <c r="AS2432" s="15"/>
      <c r="AT2432" s="15"/>
      <c r="AU2432" s="15"/>
    </row>
    <row r="2433" ht="24.0" customHeight="1">
      <c r="A2433" s="45">
        <v>3857.0</v>
      </c>
      <c r="B2433" s="57"/>
      <c r="C2433" s="57"/>
      <c r="D2433" s="88" t="str">
        <f t="array" ref="D2433">IFERROR(
  LOOKUP(2, 1/((TRIM(IMS!$E$8:$E$2574)=TRIM(IMS!$E2433))*(IMS!$C$8:$C$2574&lt;IMS!$C2433)),
         IMS!$C$8:$C$2574),
"")</f>
        <v/>
      </c>
      <c r="E2433" s="57"/>
      <c r="F2433" s="57"/>
      <c r="G2433" s="77" t="str">
        <f t="shared" si="901"/>
        <v/>
      </c>
      <c r="H2433" s="78" t="str">
        <f t="shared" si="902"/>
        <v/>
      </c>
      <c r="I2433" s="79"/>
      <c r="J2433" s="80" t="str">
        <f t="shared" si="903"/>
        <v>#NAME?</v>
      </c>
      <c r="K2433" s="58"/>
      <c r="L2433" s="58"/>
      <c r="M2433" s="57"/>
      <c r="N2433" s="57"/>
      <c r="O2433" s="58"/>
      <c r="P2433" s="82"/>
      <c r="Q2433" s="81"/>
      <c r="R2433" s="81"/>
      <c r="S2433" s="57"/>
      <c r="T2433" s="82"/>
      <c r="U2433" s="82"/>
      <c r="V2433" s="57"/>
      <c r="W2433" s="57"/>
      <c r="X2433" s="57" t="str">
        <f t="shared" si="917"/>
        <v/>
      </c>
      <c r="Y2433" s="58" t="str">
        <f t="shared" ref="Y2433:AC2433" si="2273">TRIM(SUBSTITUTE(SUBSTITUTE(OFFSET($Q2433,0,COLUMN()-COLUMN($AL$1)),CHAR(160)," "),_xludf.UNICHAR(8239)," "))</f>
        <v>#NAME?</v>
      </c>
      <c r="Z2433" s="58" t="str">
        <f t="shared" si="2273"/>
        <v>#NAME?</v>
      </c>
      <c r="AA2433" s="58" t="str">
        <f t="shared" si="2273"/>
        <v>#NAME?</v>
      </c>
      <c r="AB2433" s="58" t="str">
        <f t="shared" si="2273"/>
        <v>#NAME?</v>
      </c>
      <c r="AC2433" s="58" t="str">
        <f t="shared" si="2273"/>
        <v>#NAME?</v>
      </c>
      <c r="AD2433" s="57">
        <f t="shared" si="906"/>
        <v>0</v>
      </c>
      <c r="AE2433" s="57" t="str">
        <f t="shared" si="907"/>
        <v/>
      </c>
      <c r="AF2433" s="57">
        <f t="shared" si="908"/>
        <v>0</v>
      </c>
      <c r="AG2433" s="59">
        <f t="shared" si="909"/>
        <v>0</v>
      </c>
      <c r="AH2433" s="15"/>
      <c r="AI2433" s="15"/>
      <c r="AJ2433" s="15"/>
      <c r="AK2433" s="15"/>
      <c r="AL2433" s="15"/>
      <c r="AM2433" s="15"/>
      <c r="AN2433" s="15"/>
      <c r="AO2433" s="15"/>
      <c r="AP2433" s="15"/>
      <c r="AQ2433" s="15"/>
      <c r="AR2433" s="15"/>
      <c r="AS2433" s="15"/>
      <c r="AT2433" s="15"/>
      <c r="AU2433" s="15"/>
    </row>
    <row r="2434" ht="24.0" customHeight="1">
      <c r="A2434" s="45">
        <v>3858.0</v>
      </c>
      <c r="B2434" s="57"/>
      <c r="C2434" s="57"/>
      <c r="D2434" s="88" t="str">
        <f t="array" ref="D2434">IFERROR(
  LOOKUP(2, 1/((TRIM(IMS!$E$8:$E$2574)=TRIM(IMS!$E2434))*(IMS!$C$8:$C$2574&lt;IMS!$C2434)),
         IMS!$C$8:$C$2574),
"")</f>
        <v/>
      </c>
      <c r="E2434" s="57"/>
      <c r="F2434" s="57"/>
      <c r="G2434" s="77" t="str">
        <f t="shared" si="901"/>
        <v/>
      </c>
      <c r="H2434" s="78" t="str">
        <f t="shared" si="902"/>
        <v/>
      </c>
      <c r="I2434" s="79"/>
      <c r="J2434" s="80" t="str">
        <f t="shared" si="903"/>
        <v>#NAME?</v>
      </c>
      <c r="K2434" s="58"/>
      <c r="L2434" s="58"/>
      <c r="M2434" s="57"/>
      <c r="N2434" s="57"/>
      <c r="O2434" s="58"/>
      <c r="P2434" s="82"/>
      <c r="Q2434" s="81"/>
      <c r="R2434" s="81"/>
      <c r="S2434" s="57"/>
      <c r="T2434" s="82"/>
      <c r="U2434" s="82"/>
      <c r="V2434" s="57"/>
      <c r="W2434" s="57"/>
      <c r="X2434" s="57" t="str">
        <f t="shared" si="917"/>
        <v/>
      </c>
      <c r="Y2434" s="58" t="str">
        <f t="shared" ref="Y2434:AC2434" si="2274">TRIM(SUBSTITUTE(SUBSTITUTE(OFFSET($Q2434,0,COLUMN()-COLUMN($AL$1)),CHAR(160)," "),_xludf.UNICHAR(8239)," "))</f>
        <v>#NAME?</v>
      </c>
      <c r="Z2434" s="58" t="str">
        <f t="shared" si="2274"/>
        <v>#NAME?</v>
      </c>
      <c r="AA2434" s="58" t="str">
        <f t="shared" si="2274"/>
        <v>#NAME?</v>
      </c>
      <c r="AB2434" s="58" t="str">
        <f t="shared" si="2274"/>
        <v>#NAME?</v>
      </c>
      <c r="AC2434" s="58" t="str">
        <f t="shared" si="2274"/>
        <v>#NAME?</v>
      </c>
      <c r="AD2434" s="57">
        <f t="shared" si="906"/>
        <v>0</v>
      </c>
      <c r="AE2434" s="57" t="str">
        <f t="shared" si="907"/>
        <v/>
      </c>
      <c r="AF2434" s="57">
        <f t="shared" si="908"/>
        <v>0</v>
      </c>
      <c r="AG2434" s="59">
        <f t="shared" si="909"/>
        <v>0</v>
      </c>
      <c r="AH2434" s="15"/>
      <c r="AI2434" s="15"/>
      <c r="AJ2434" s="15"/>
      <c r="AK2434" s="15"/>
      <c r="AL2434" s="15"/>
      <c r="AM2434" s="15"/>
      <c r="AN2434" s="15"/>
      <c r="AO2434" s="15"/>
      <c r="AP2434" s="15"/>
      <c r="AQ2434" s="15"/>
      <c r="AR2434" s="15"/>
      <c r="AS2434" s="15"/>
      <c r="AT2434" s="15"/>
      <c r="AU2434" s="15"/>
    </row>
    <row r="2435" ht="24.0" customHeight="1">
      <c r="A2435" s="45">
        <v>3859.0</v>
      </c>
      <c r="B2435" s="57"/>
      <c r="C2435" s="57"/>
      <c r="D2435" s="88" t="str">
        <f t="array" ref="D2435">IFERROR(
  LOOKUP(2, 1/((TRIM(IMS!$E$8:$E$2574)=TRIM(IMS!$E2435))*(IMS!$C$8:$C$2574&lt;IMS!$C2435)),
         IMS!$C$8:$C$2574),
"")</f>
        <v/>
      </c>
      <c r="E2435" s="57"/>
      <c r="F2435" s="57"/>
      <c r="G2435" s="77" t="str">
        <f t="shared" si="901"/>
        <v/>
      </c>
      <c r="H2435" s="78" t="str">
        <f t="shared" si="902"/>
        <v/>
      </c>
      <c r="I2435" s="79"/>
      <c r="J2435" s="80" t="str">
        <f t="shared" si="903"/>
        <v>#NAME?</v>
      </c>
      <c r="K2435" s="58"/>
      <c r="L2435" s="58"/>
      <c r="M2435" s="57"/>
      <c r="N2435" s="57"/>
      <c r="O2435" s="58"/>
      <c r="P2435" s="82"/>
      <c r="Q2435" s="81"/>
      <c r="R2435" s="81"/>
      <c r="S2435" s="57"/>
      <c r="T2435" s="82"/>
      <c r="U2435" s="82"/>
      <c r="V2435" s="57"/>
      <c r="W2435" s="57"/>
      <c r="X2435" s="57" t="str">
        <f t="shared" si="917"/>
        <v/>
      </c>
      <c r="Y2435" s="58" t="str">
        <f t="shared" ref="Y2435:AC2435" si="2275">TRIM(SUBSTITUTE(SUBSTITUTE(OFFSET($Q2435,0,COLUMN()-COLUMN($AL$1)),CHAR(160)," "),_xludf.UNICHAR(8239)," "))</f>
        <v>#NAME?</v>
      </c>
      <c r="Z2435" s="58" t="str">
        <f t="shared" si="2275"/>
        <v>#NAME?</v>
      </c>
      <c r="AA2435" s="58" t="str">
        <f t="shared" si="2275"/>
        <v>#NAME?</v>
      </c>
      <c r="AB2435" s="58" t="str">
        <f t="shared" si="2275"/>
        <v>#NAME?</v>
      </c>
      <c r="AC2435" s="58" t="str">
        <f t="shared" si="2275"/>
        <v>#NAME?</v>
      </c>
      <c r="AD2435" s="57">
        <f t="shared" si="906"/>
        <v>0</v>
      </c>
      <c r="AE2435" s="57" t="str">
        <f t="shared" si="907"/>
        <v/>
      </c>
      <c r="AF2435" s="57">
        <f t="shared" si="908"/>
        <v>0</v>
      </c>
      <c r="AG2435" s="59">
        <f t="shared" si="909"/>
        <v>0</v>
      </c>
      <c r="AH2435" s="15"/>
      <c r="AI2435" s="15"/>
      <c r="AJ2435" s="15"/>
      <c r="AK2435" s="15"/>
      <c r="AL2435" s="15"/>
      <c r="AM2435" s="15"/>
      <c r="AN2435" s="15"/>
      <c r="AO2435" s="15"/>
      <c r="AP2435" s="15"/>
      <c r="AQ2435" s="15"/>
      <c r="AR2435" s="15"/>
      <c r="AS2435" s="15"/>
      <c r="AT2435" s="15"/>
      <c r="AU2435" s="15"/>
    </row>
    <row r="2436" ht="24.0" customHeight="1">
      <c r="A2436" s="45">
        <v>3860.0</v>
      </c>
      <c r="B2436" s="57"/>
      <c r="C2436" s="57"/>
      <c r="D2436" s="88" t="str">
        <f t="array" ref="D2436">IFERROR(
  LOOKUP(2, 1/((TRIM(IMS!$E$8:$E$2574)=TRIM(IMS!$E2436))*(IMS!$C$8:$C$2574&lt;IMS!$C2436)),
         IMS!$C$8:$C$2574),
"")</f>
        <v/>
      </c>
      <c r="E2436" s="57"/>
      <c r="F2436" s="57"/>
      <c r="G2436" s="77" t="str">
        <f t="shared" si="901"/>
        <v/>
      </c>
      <c r="H2436" s="78" t="str">
        <f t="shared" si="902"/>
        <v/>
      </c>
      <c r="I2436" s="79"/>
      <c r="J2436" s="80" t="str">
        <f t="shared" si="903"/>
        <v>#NAME?</v>
      </c>
      <c r="K2436" s="58"/>
      <c r="L2436" s="58"/>
      <c r="M2436" s="57"/>
      <c r="N2436" s="57"/>
      <c r="O2436" s="58"/>
      <c r="P2436" s="82"/>
      <c r="Q2436" s="81"/>
      <c r="R2436" s="81"/>
      <c r="S2436" s="57"/>
      <c r="T2436" s="82"/>
      <c r="U2436" s="82"/>
      <c r="V2436" s="57"/>
      <c r="W2436" s="57"/>
      <c r="X2436" s="57" t="str">
        <f t="shared" si="917"/>
        <v/>
      </c>
      <c r="Y2436" s="58" t="str">
        <f t="shared" ref="Y2436:AC2436" si="2276">TRIM(SUBSTITUTE(SUBSTITUTE(OFFSET($Q2436,0,COLUMN()-COLUMN($AL$1)),CHAR(160)," "),_xludf.UNICHAR(8239)," "))</f>
        <v>#NAME?</v>
      </c>
      <c r="Z2436" s="58" t="str">
        <f t="shared" si="2276"/>
        <v>#NAME?</v>
      </c>
      <c r="AA2436" s="58" t="str">
        <f t="shared" si="2276"/>
        <v>#NAME?</v>
      </c>
      <c r="AB2436" s="58" t="str">
        <f t="shared" si="2276"/>
        <v>#NAME?</v>
      </c>
      <c r="AC2436" s="58" t="str">
        <f t="shared" si="2276"/>
        <v>#NAME?</v>
      </c>
      <c r="AD2436" s="57">
        <f t="shared" si="906"/>
        <v>0</v>
      </c>
      <c r="AE2436" s="57" t="str">
        <f t="shared" si="907"/>
        <v/>
      </c>
      <c r="AF2436" s="57">
        <f t="shared" si="908"/>
        <v>0</v>
      </c>
      <c r="AG2436" s="59">
        <f t="shared" si="909"/>
        <v>0</v>
      </c>
      <c r="AH2436" s="15"/>
      <c r="AI2436" s="15"/>
      <c r="AJ2436" s="15"/>
      <c r="AK2436" s="15"/>
      <c r="AL2436" s="15"/>
      <c r="AM2436" s="15"/>
      <c r="AN2436" s="15"/>
      <c r="AO2436" s="15"/>
      <c r="AP2436" s="15"/>
      <c r="AQ2436" s="15"/>
      <c r="AR2436" s="15"/>
      <c r="AS2436" s="15"/>
      <c r="AT2436" s="15"/>
      <c r="AU2436" s="15"/>
    </row>
    <row r="2437" ht="24.0" customHeight="1">
      <c r="A2437" s="45">
        <v>3861.0</v>
      </c>
      <c r="B2437" s="57"/>
      <c r="C2437" s="57"/>
      <c r="D2437" s="88" t="str">
        <f t="array" ref="D2437">IFERROR(
  LOOKUP(2, 1/((TRIM(IMS!$E$8:$E$2574)=TRIM(IMS!$E2437))*(IMS!$C$8:$C$2574&lt;IMS!$C2437)),
         IMS!$C$8:$C$2574),
"")</f>
        <v/>
      </c>
      <c r="E2437" s="57"/>
      <c r="F2437" s="57"/>
      <c r="G2437" s="77" t="str">
        <f t="shared" si="901"/>
        <v/>
      </c>
      <c r="H2437" s="78" t="str">
        <f t="shared" si="902"/>
        <v/>
      </c>
      <c r="I2437" s="79"/>
      <c r="J2437" s="80" t="str">
        <f t="shared" si="903"/>
        <v>#NAME?</v>
      </c>
      <c r="K2437" s="58"/>
      <c r="L2437" s="58"/>
      <c r="M2437" s="57"/>
      <c r="N2437" s="57"/>
      <c r="O2437" s="58"/>
      <c r="P2437" s="82"/>
      <c r="Q2437" s="81"/>
      <c r="R2437" s="81"/>
      <c r="S2437" s="57"/>
      <c r="T2437" s="82"/>
      <c r="U2437" s="82"/>
      <c r="V2437" s="57"/>
      <c r="W2437" s="57"/>
      <c r="X2437" s="57" t="str">
        <f t="shared" si="917"/>
        <v/>
      </c>
      <c r="Y2437" s="58" t="str">
        <f t="shared" ref="Y2437:AC2437" si="2277">TRIM(SUBSTITUTE(SUBSTITUTE(OFFSET($Q2437,0,COLUMN()-COLUMN($AL$1)),CHAR(160)," "),_xludf.UNICHAR(8239)," "))</f>
        <v>#NAME?</v>
      </c>
      <c r="Z2437" s="58" t="str">
        <f t="shared" si="2277"/>
        <v>#NAME?</v>
      </c>
      <c r="AA2437" s="58" t="str">
        <f t="shared" si="2277"/>
        <v>#NAME?</v>
      </c>
      <c r="AB2437" s="58" t="str">
        <f t="shared" si="2277"/>
        <v>#NAME?</v>
      </c>
      <c r="AC2437" s="58" t="str">
        <f t="shared" si="2277"/>
        <v>#NAME?</v>
      </c>
      <c r="AD2437" s="57">
        <f t="shared" si="906"/>
        <v>0</v>
      </c>
      <c r="AE2437" s="57" t="str">
        <f t="shared" si="907"/>
        <v/>
      </c>
      <c r="AF2437" s="57">
        <f t="shared" si="908"/>
        <v>0</v>
      </c>
      <c r="AG2437" s="59">
        <f t="shared" si="909"/>
        <v>0</v>
      </c>
      <c r="AH2437" s="15"/>
      <c r="AI2437" s="15"/>
      <c r="AJ2437" s="15"/>
      <c r="AK2437" s="15"/>
      <c r="AL2437" s="15"/>
      <c r="AM2437" s="15"/>
      <c r="AN2437" s="15"/>
      <c r="AO2437" s="15"/>
      <c r="AP2437" s="15"/>
      <c r="AQ2437" s="15"/>
      <c r="AR2437" s="15"/>
      <c r="AS2437" s="15"/>
      <c r="AT2437" s="15"/>
      <c r="AU2437" s="15"/>
    </row>
    <row r="2438" ht="24.0" customHeight="1">
      <c r="A2438" s="45">
        <v>3862.0</v>
      </c>
      <c r="B2438" s="57"/>
      <c r="C2438" s="57"/>
      <c r="D2438" s="88" t="str">
        <f t="array" ref="D2438">IFERROR(
  LOOKUP(2, 1/((TRIM(IMS!$E$8:$E$2574)=TRIM(IMS!$E2438))*(IMS!$C$8:$C$2574&lt;IMS!$C2438)),
         IMS!$C$8:$C$2574),
"")</f>
        <v/>
      </c>
      <c r="E2438" s="57"/>
      <c r="F2438" s="57"/>
      <c r="G2438" s="77" t="str">
        <f t="shared" si="901"/>
        <v/>
      </c>
      <c r="H2438" s="78" t="str">
        <f t="shared" si="902"/>
        <v/>
      </c>
      <c r="I2438" s="79"/>
      <c r="J2438" s="80" t="str">
        <f t="shared" si="903"/>
        <v>#NAME?</v>
      </c>
      <c r="K2438" s="58"/>
      <c r="L2438" s="58"/>
      <c r="M2438" s="57"/>
      <c r="N2438" s="57"/>
      <c r="O2438" s="58"/>
      <c r="P2438" s="82"/>
      <c r="Q2438" s="81"/>
      <c r="R2438" s="81"/>
      <c r="S2438" s="57"/>
      <c r="T2438" s="82"/>
      <c r="U2438" s="82"/>
      <c r="V2438" s="57"/>
      <c r="W2438" s="57"/>
      <c r="X2438" s="57" t="str">
        <f t="shared" si="917"/>
        <v/>
      </c>
      <c r="Y2438" s="58" t="str">
        <f t="shared" ref="Y2438:AC2438" si="2278">TRIM(SUBSTITUTE(SUBSTITUTE(OFFSET($Q2438,0,COLUMN()-COLUMN($AL$1)),CHAR(160)," "),_xludf.UNICHAR(8239)," "))</f>
        <v>#NAME?</v>
      </c>
      <c r="Z2438" s="58" t="str">
        <f t="shared" si="2278"/>
        <v>#NAME?</v>
      </c>
      <c r="AA2438" s="58" t="str">
        <f t="shared" si="2278"/>
        <v>#NAME?</v>
      </c>
      <c r="AB2438" s="58" t="str">
        <f t="shared" si="2278"/>
        <v>#NAME?</v>
      </c>
      <c r="AC2438" s="58" t="str">
        <f t="shared" si="2278"/>
        <v>#NAME?</v>
      </c>
      <c r="AD2438" s="57">
        <f t="shared" si="906"/>
        <v>0</v>
      </c>
      <c r="AE2438" s="57" t="str">
        <f t="shared" si="907"/>
        <v/>
      </c>
      <c r="AF2438" s="57">
        <f t="shared" si="908"/>
        <v>0</v>
      </c>
      <c r="AG2438" s="59">
        <f t="shared" si="909"/>
        <v>0</v>
      </c>
      <c r="AH2438" s="15"/>
      <c r="AI2438" s="15"/>
      <c r="AJ2438" s="15"/>
      <c r="AK2438" s="15"/>
      <c r="AL2438" s="15"/>
      <c r="AM2438" s="15"/>
      <c r="AN2438" s="15"/>
      <c r="AO2438" s="15"/>
      <c r="AP2438" s="15"/>
      <c r="AQ2438" s="15"/>
      <c r="AR2438" s="15"/>
      <c r="AS2438" s="15"/>
      <c r="AT2438" s="15"/>
      <c r="AU2438" s="15"/>
    </row>
    <row r="2439" ht="24.0" customHeight="1">
      <c r="A2439" s="45">
        <v>3863.0</v>
      </c>
      <c r="B2439" s="57"/>
      <c r="C2439" s="57"/>
      <c r="D2439" s="88" t="str">
        <f t="array" ref="D2439">IFERROR(
  LOOKUP(2, 1/((TRIM(IMS!$E$8:$E$2574)=TRIM(IMS!$E2439))*(IMS!$C$8:$C$2574&lt;IMS!$C2439)),
         IMS!$C$8:$C$2574),
"")</f>
        <v/>
      </c>
      <c r="E2439" s="57"/>
      <c r="F2439" s="57"/>
      <c r="G2439" s="77" t="str">
        <f t="shared" si="901"/>
        <v/>
      </c>
      <c r="H2439" s="78" t="str">
        <f t="shared" si="902"/>
        <v/>
      </c>
      <c r="I2439" s="79"/>
      <c r="J2439" s="80" t="str">
        <f t="shared" si="903"/>
        <v>#NAME?</v>
      </c>
      <c r="K2439" s="58"/>
      <c r="L2439" s="58"/>
      <c r="M2439" s="57"/>
      <c r="N2439" s="57"/>
      <c r="O2439" s="58"/>
      <c r="P2439" s="82"/>
      <c r="Q2439" s="81"/>
      <c r="R2439" s="81"/>
      <c r="S2439" s="57"/>
      <c r="T2439" s="82"/>
      <c r="U2439" s="82"/>
      <c r="V2439" s="57"/>
      <c r="W2439" s="57"/>
      <c r="X2439" s="57" t="str">
        <f t="shared" si="917"/>
        <v/>
      </c>
      <c r="Y2439" s="58" t="str">
        <f t="shared" ref="Y2439:AC2439" si="2279">TRIM(SUBSTITUTE(SUBSTITUTE(OFFSET($Q2439,0,COLUMN()-COLUMN($AL$1)),CHAR(160)," "),_xludf.UNICHAR(8239)," "))</f>
        <v>#NAME?</v>
      </c>
      <c r="Z2439" s="58" t="str">
        <f t="shared" si="2279"/>
        <v>#NAME?</v>
      </c>
      <c r="AA2439" s="58" t="str">
        <f t="shared" si="2279"/>
        <v>#NAME?</v>
      </c>
      <c r="AB2439" s="58" t="str">
        <f t="shared" si="2279"/>
        <v>#NAME?</v>
      </c>
      <c r="AC2439" s="58" t="str">
        <f t="shared" si="2279"/>
        <v>#NAME?</v>
      </c>
      <c r="AD2439" s="57">
        <f t="shared" si="906"/>
        <v>0</v>
      </c>
      <c r="AE2439" s="57" t="str">
        <f t="shared" si="907"/>
        <v/>
      </c>
      <c r="AF2439" s="57">
        <f t="shared" si="908"/>
        <v>0</v>
      </c>
      <c r="AG2439" s="59">
        <f t="shared" si="909"/>
        <v>0</v>
      </c>
      <c r="AH2439" s="15"/>
      <c r="AI2439" s="15"/>
      <c r="AJ2439" s="15"/>
      <c r="AK2439" s="15"/>
      <c r="AL2439" s="15"/>
      <c r="AM2439" s="15"/>
      <c r="AN2439" s="15"/>
      <c r="AO2439" s="15"/>
      <c r="AP2439" s="15"/>
      <c r="AQ2439" s="15"/>
      <c r="AR2439" s="15"/>
      <c r="AS2439" s="15"/>
      <c r="AT2439" s="15"/>
      <c r="AU2439" s="15"/>
    </row>
    <row r="2440" ht="24.0" customHeight="1">
      <c r="A2440" s="45">
        <v>3864.0</v>
      </c>
      <c r="B2440" s="57"/>
      <c r="C2440" s="57"/>
      <c r="D2440" s="88" t="str">
        <f t="array" ref="D2440">IFERROR(
  LOOKUP(2, 1/((TRIM(IMS!$E$8:$E$2574)=TRIM(IMS!$E2440))*(IMS!$C$8:$C$2574&lt;IMS!$C2440)),
         IMS!$C$8:$C$2574),
"")</f>
        <v/>
      </c>
      <c r="E2440" s="57"/>
      <c r="F2440" s="57"/>
      <c r="G2440" s="77" t="str">
        <f t="shared" si="901"/>
        <v/>
      </c>
      <c r="H2440" s="78" t="str">
        <f t="shared" si="902"/>
        <v/>
      </c>
      <c r="I2440" s="79"/>
      <c r="J2440" s="80" t="str">
        <f t="shared" si="903"/>
        <v>#NAME?</v>
      </c>
      <c r="K2440" s="58"/>
      <c r="L2440" s="58"/>
      <c r="M2440" s="57"/>
      <c r="N2440" s="57"/>
      <c r="O2440" s="58"/>
      <c r="P2440" s="82"/>
      <c r="Q2440" s="81"/>
      <c r="R2440" s="81"/>
      <c r="S2440" s="57"/>
      <c r="T2440" s="82"/>
      <c r="U2440" s="82"/>
      <c r="V2440" s="57"/>
      <c r="W2440" s="57"/>
      <c r="X2440" s="57" t="str">
        <f t="shared" si="917"/>
        <v/>
      </c>
      <c r="Y2440" s="58" t="str">
        <f t="shared" ref="Y2440:AC2440" si="2280">TRIM(SUBSTITUTE(SUBSTITUTE(OFFSET($Q2440,0,COLUMN()-COLUMN($AL$1)),CHAR(160)," "),_xludf.UNICHAR(8239)," "))</f>
        <v>#NAME?</v>
      </c>
      <c r="Z2440" s="58" t="str">
        <f t="shared" si="2280"/>
        <v>#NAME?</v>
      </c>
      <c r="AA2440" s="58" t="str">
        <f t="shared" si="2280"/>
        <v>#NAME?</v>
      </c>
      <c r="AB2440" s="58" t="str">
        <f t="shared" si="2280"/>
        <v>#NAME?</v>
      </c>
      <c r="AC2440" s="58" t="str">
        <f t="shared" si="2280"/>
        <v>#NAME?</v>
      </c>
      <c r="AD2440" s="57">
        <f t="shared" si="906"/>
        <v>0</v>
      </c>
      <c r="AE2440" s="57" t="str">
        <f t="shared" si="907"/>
        <v/>
      </c>
      <c r="AF2440" s="57">
        <f t="shared" si="908"/>
        <v>0</v>
      </c>
      <c r="AG2440" s="59">
        <f t="shared" si="909"/>
        <v>0</v>
      </c>
      <c r="AH2440" s="15"/>
      <c r="AI2440" s="15"/>
      <c r="AJ2440" s="15"/>
      <c r="AK2440" s="15"/>
      <c r="AL2440" s="15"/>
      <c r="AM2440" s="15"/>
      <c r="AN2440" s="15"/>
      <c r="AO2440" s="15"/>
      <c r="AP2440" s="15"/>
      <c r="AQ2440" s="15"/>
      <c r="AR2440" s="15"/>
      <c r="AS2440" s="15"/>
      <c r="AT2440" s="15"/>
      <c r="AU2440" s="15"/>
    </row>
    <row r="2441" ht="24.0" customHeight="1">
      <c r="A2441" s="45">
        <v>3865.0</v>
      </c>
      <c r="B2441" s="57"/>
      <c r="C2441" s="57"/>
      <c r="D2441" s="88" t="str">
        <f t="array" ref="D2441">IFERROR(
  LOOKUP(2, 1/((TRIM(IMS!$E$8:$E$2574)=TRIM(IMS!$E2441))*(IMS!$C$8:$C$2574&lt;IMS!$C2441)),
         IMS!$C$8:$C$2574),
"")</f>
        <v/>
      </c>
      <c r="E2441" s="57"/>
      <c r="F2441" s="57"/>
      <c r="G2441" s="77" t="str">
        <f t="shared" si="901"/>
        <v/>
      </c>
      <c r="H2441" s="78" t="str">
        <f t="shared" si="902"/>
        <v/>
      </c>
      <c r="I2441" s="79"/>
      <c r="J2441" s="80" t="str">
        <f t="shared" si="903"/>
        <v>#NAME?</v>
      </c>
      <c r="K2441" s="58"/>
      <c r="L2441" s="58"/>
      <c r="M2441" s="57"/>
      <c r="N2441" s="57"/>
      <c r="O2441" s="58"/>
      <c r="P2441" s="82"/>
      <c r="Q2441" s="81"/>
      <c r="R2441" s="81"/>
      <c r="S2441" s="57"/>
      <c r="T2441" s="82"/>
      <c r="U2441" s="82"/>
      <c r="V2441" s="57"/>
      <c r="W2441" s="57"/>
      <c r="X2441" s="57" t="str">
        <f t="shared" si="917"/>
        <v/>
      </c>
      <c r="Y2441" s="58" t="str">
        <f t="shared" ref="Y2441:AC2441" si="2281">TRIM(SUBSTITUTE(SUBSTITUTE(OFFSET($Q2441,0,COLUMN()-COLUMN($AL$1)),CHAR(160)," "),_xludf.UNICHAR(8239)," "))</f>
        <v>#NAME?</v>
      </c>
      <c r="Z2441" s="58" t="str">
        <f t="shared" si="2281"/>
        <v>#NAME?</v>
      </c>
      <c r="AA2441" s="58" t="str">
        <f t="shared" si="2281"/>
        <v>#NAME?</v>
      </c>
      <c r="AB2441" s="58" t="str">
        <f t="shared" si="2281"/>
        <v>#NAME?</v>
      </c>
      <c r="AC2441" s="58" t="str">
        <f t="shared" si="2281"/>
        <v>#NAME?</v>
      </c>
      <c r="AD2441" s="57">
        <f t="shared" si="906"/>
        <v>0</v>
      </c>
      <c r="AE2441" s="57" t="str">
        <f t="shared" si="907"/>
        <v/>
      </c>
      <c r="AF2441" s="57">
        <f t="shared" si="908"/>
        <v>0</v>
      </c>
      <c r="AG2441" s="59">
        <f t="shared" si="909"/>
        <v>0</v>
      </c>
      <c r="AH2441" s="15"/>
      <c r="AI2441" s="15"/>
      <c r="AJ2441" s="15"/>
      <c r="AK2441" s="15"/>
      <c r="AL2441" s="15"/>
      <c r="AM2441" s="15"/>
      <c r="AN2441" s="15"/>
      <c r="AO2441" s="15"/>
      <c r="AP2441" s="15"/>
      <c r="AQ2441" s="15"/>
      <c r="AR2441" s="15"/>
      <c r="AS2441" s="15"/>
      <c r="AT2441" s="15"/>
      <c r="AU2441" s="15"/>
    </row>
    <row r="2442" ht="24.0" customHeight="1">
      <c r="A2442" s="45">
        <v>3866.0</v>
      </c>
      <c r="B2442" s="57"/>
      <c r="C2442" s="57"/>
      <c r="D2442" s="88" t="str">
        <f t="array" ref="D2442">IFERROR(
  LOOKUP(2, 1/((TRIM(IMS!$E$8:$E$2574)=TRIM(IMS!$E2442))*(IMS!$C$8:$C$2574&lt;IMS!$C2442)),
         IMS!$C$8:$C$2574),
"")</f>
        <v/>
      </c>
      <c r="E2442" s="57"/>
      <c r="F2442" s="57"/>
      <c r="G2442" s="77" t="str">
        <f t="shared" si="901"/>
        <v/>
      </c>
      <c r="H2442" s="78" t="str">
        <f t="shared" si="902"/>
        <v/>
      </c>
      <c r="I2442" s="79"/>
      <c r="J2442" s="80" t="str">
        <f t="shared" si="903"/>
        <v>#NAME?</v>
      </c>
      <c r="K2442" s="58"/>
      <c r="L2442" s="58"/>
      <c r="M2442" s="57"/>
      <c r="N2442" s="57"/>
      <c r="O2442" s="58"/>
      <c r="P2442" s="82"/>
      <c r="Q2442" s="81"/>
      <c r="R2442" s="81"/>
      <c r="S2442" s="57"/>
      <c r="T2442" s="82"/>
      <c r="U2442" s="82"/>
      <c r="V2442" s="57"/>
      <c r="W2442" s="57"/>
      <c r="X2442" s="57" t="str">
        <f t="shared" si="917"/>
        <v/>
      </c>
      <c r="Y2442" s="58" t="str">
        <f t="shared" ref="Y2442:AC2442" si="2282">TRIM(SUBSTITUTE(SUBSTITUTE(OFFSET($Q2442,0,COLUMN()-COLUMN($AL$1)),CHAR(160)," "),_xludf.UNICHAR(8239)," "))</f>
        <v>#NAME?</v>
      </c>
      <c r="Z2442" s="58" t="str">
        <f t="shared" si="2282"/>
        <v>#NAME?</v>
      </c>
      <c r="AA2442" s="58" t="str">
        <f t="shared" si="2282"/>
        <v>#NAME?</v>
      </c>
      <c r="AB2442" s="58" t="str">
        <f t="shared" si="2282"/>
        <v>#NAME?</v>
      </c>
      <c r="AC2442" s="58" t="str">
        <f t="shared" si="2282"/>
        <v>#NAME?</v>
      </c>
      <c r="AD2442" s="57">
        <f t="shared" si="906"/>
        <v>0</v>
      </c>
      <c r="AE2442" s="57" t="str">
        <f t="shared" si="907"/>
        <v/>
      </c>
      <c r="AF2442" s="57">
        <f t="shared" si="908"/>
        <v>0</v>
      </c>
      <c r="AG2442" s="59">
        <f t="shared" si="909"/>
        <v>0</v>
      </c>
      <c r="AH2442" s="15"/>
      <c r="AI2442" s="15"/>
      <c r="AJ2442" s="15"/>
      <c r="AK2442" s="15"/>
      <c r="AL2442" s="15"/>
      <c r="AM2442" s="15"/>
      <c r="AN2442" s="15"/>
      <c r="AO2442" s="15"/>
      <c r="AP2442" s="15"/>
      <c r="AQ2442" s="15"/>
      <c r="AR2442" s="15"/>
      <c r="AS2442" s="15"/>
      <c r="AT2442" s="15"/>
      <c r="AU2442" s="15"/>
    </row>
    <row r="2443" ht="24.0" customHeight="1">
      <c r="A2443" s="45">
        <v>3867.0</v>
      </c>
      <c r="B2443" s="57"/>
      <c r="C2443" s="57"/>
      <c r="D2443" s="88" t="str">
        <f t="array" ref="D2443">IFERROR(
  LOOKUP(2, 1/((TRIM(IMS!$E$8:$E$2574)=TRIM(IMS!$E2443))*(IMS!$C$8:$C$2574&lt;IMS!$C2443)),
         IMS!$C$8:$C$2574),
"")</f>
        <v/>
      </c>
      <c r="E2443" s="57"/>
      <c r="F2443" s="57"/>
      <c r="G2443" s="77" t="str">
        <f t="shared" si="901"/>
        <v/>
      </c>
      <c r="H2443" s="78" t="str">
        <f t="shared" si="902"/>
        <v/>
      </c>
      <c r="I2443" s="79"/>
      <c r="J2443" s="80" t="str">
        <f t="shared" si="903"/>
        <v>#NAME?</v>
      </c>
      <c r="K2443" s="58"/>
      <c r="L2443" s="58"/>
      <c r="M2443" s="57"/>
      <c r="N2443" s="57"/>
      <c r="O2443" s="58"/>
      <c r="P2443" s="82"/>
      <c r="Q2443" s="81"/>
      <c r="R2443" s="81"/>
      <c r="S2443" s="57"/>
      <c r="T2443" s="82"/>
      <c r="U2443" s="82"/>
      <c r="V2443" s="57"/>
      <c r="W2443" s="57"/>
      <c r="X2443" s="57" t="str">
        <f t="shared" si="917"/>
        <v/>
      </c>
      <c r="Y2443" s="58" t="str">
        <f t="shared" ref="Y2443:AC2443" si="2283">TRIM(SUBSTITUTE(SUBSTITUTE(OFFSET($Q2443,0,COLUMN()-COLUMN($AL$1)),CHAR(160)," "),_xludf.UNICHAR(8239)," "))</f>
        <v>#NAME?</v>
      </c>
      <c r="Z2443" s="58" t="str">
        <f t="shared" si="2283"/>
        <v>#NAME?</v>
      </c>
      <c r="AA2443" s="58" t="str">
        <f t="shared" si="2283"/>
        <v>#NAME?</v>
      </c>
      <c r="AB2443" s="58" t="str">
        <f t="shared" si="2283"/>
        <v>#NAME?</v>
      </c>
      <c r="AC2443" s="58" t="str">
        <f t="shared" si="2283"/>
        <v>#NAME?</v>
      </c>
      <c r="AD2443" s="57">
        <f t="shared" si="906"/>
        <v>0</v>
      </c>
      <c r="AE2443" s="57" t="str">
        <f t="shared" si="907"/>
        <v/>
      </c>
      <c r="AF2443" s="57">
        <f t="shared" si="908"/>
        <v>0</v>
      </c>
      <c r="AG2443" s="59">
        <f t="shared" si="909"/>
        <v>0</v>
      </c>
      <c r="AH2443" s="15"/>
      <c r="AI2443" s="15"/>
      <c r="AJ2443" s="15"/>
      <c r="AK2443" s="15"/>
      <c r="AL2443" s="15"/>
      <c r="AM2443" s="15"/>
      <c r="AN2443" s="15"/>
      <c r="AO2443" s="15"/>
      <c r="AP2443" s="15"/>
      <c r="AQ2443" s="15"/>
      <c r="AR2443" s="15"/>
      <c r="AS2443" s="15"/>
      <c r="AT2443" s="15"/>
      <c r="AU2443" s="15"/>
    </row>
    <row r="2444" ht="24.0" customHeight="1">
      <c r="A2444" s="45">
        <v>3868.0</v>
      </c>
      <c r="B2444" s="57"/>
      <c r="C2444" s="57"/>
      <c r="D2444" s="88" t="str">
        <f t="array" ref="D2444">IFERROR(
  LOOKUP(2, 1/((TRIM(IMS!$E$8:$E$2574)=TRIM(IMS!$E2444))*(IMS!$C$8:$C$2574&lt;IMS!$C2444)),
         IMS!$C$8:$C$2574),
"")</f>
        <v/>
      </c>
      <c r="E2444" s="57"/>
      <c r="F2444" s="57"/>
      <c r="G2444" s="77" t="str">
        <f t="shared" si="901"/>
        <v/>
      </c>
      <c r="H2444" s="78" t="str">
        <f t="shared" si="902"/>
        <v/>
      </c>
      <c r="I2444" s="79"/>
      <c r="J2444" s="80" t="str">
        <f t="shared" si="903"/>
        <v>#NAME?</v>
      </c>
      <c r="K2444" s="58"/>
      <c r="L2444" s="58"/>
      <c r="M2444" s="57"/>
      <c r="N2444" s="57"/>
      <c r="O2444" s="58"/>
      <c r="P2444" s="82"/>
      <c r="Q2444" s="81"/>
      <c r="R2444" s="81"/>
      <c r="S2444" s="57"/>
      <c r="T2444" s="82"/>
      <c r="U2444" s="82"/>
      <c r="V2444" s="57"/>
      <c r="W2444" s="57"/>
      <c r="X2444" s="57" t="str">
        <f t="shared" si="917"/>
        <v/>
      </c>
      <c r="Y2444" s="58" t="str">
        <f t="shared" ref="Y2444:AC2444" si="2284">TRIM(SUBSTITUTE(SUBSTITUTE(OFFSET($Q2444,0,COLUMN()-COLUMN($AL$1)),CHAR(160)," "),_xludf.UNICHAR(8239)," "))</f>
        <v>#NAME?</v>
      </c>
      <c r="Z2444" s="58" t="str">
        <f t="shared" si="2284"/>
        <v>#NAME?</v>
      </c>
      <c r="AA2444" s="58" t="str">
        <f t="shared" si="2284"/>
        <v>#NAME?</v>
      </c>
      <c r="AB2444" s="58" t="str">
        <f t="shared" si="2284"/>
        <v>#NAME?</v>
      </c>
      <c r="AC2444" s="58" t="str">
        <f t="shared" si="2284"/>
        <v>#NAME?</v>
      </c>
      <c r="AD2444" s="57">
        <f t="shared" si="906"/>
        <v>0</v>
      </c>
      <c r="AE2444" s="57" t="str">
        <f t="shared" si="907"/>
        <v/>
      </c>
      <c r="AF2444" s="57">
        <f t="shared" si="908"/>
        <v>0</v>
      </c>
      <c r="AG2444" s="59">
        <f t="shared" si="909"/>
        <v>0</v>
      </c>
      <c r="AH2444" s="15"/>
      <c r="AI2444" s="15"/>
      <c r="AJ2444" s="15"/>
      <c r="AK2444" s="15"/>
      <c r="AL2444" s="15"/>
      <c r="AM2444" s="15"/>
      <c r="AN2444" s="15"/>
      <c r="AO2444" s="15"/>
      <c r="AP2444" s="15"/>
      <c r="AQ2444" s="15"/>
      <c r="AR2444" s="15"/>
      <c r="AS2444" s="15"/>
      <c r="AT2444" s="15"/>
      <c r="AU2444" s="15"/>
    </row>
    <row r="2445" ht="24.0" customHeight="1">
      <c r="A2445" s="45">
        <v>3869.0</v>
      </c>
      <c r="B2445" s="57"/>
      <c r="C2445" s="57"/>
      <c r="D2445" s="88" t="str">
        <f t="array" ref="D2445">IFERROR(
  LOOKUP(2, 1/((TRIM(IMS!$E$8:$E$2574)=TRIM(IMS!$E2445))*(IMS!$C$8:$C$2574&lt;IMS!$C2445)),
         IMS!$C$8:$C$2574),
"")</f>
        <v/>
      </c>
      <c r="E2445" s="57"/>
      <c r="F2445" s="57"/>
      <c r="G2445" s="77" t="str">
        <f t="shared" si="901"/>
        <v/>
      </c>
      <c r="H2445" s="78" t="str">
        <f t="shared" si="902"/>
        <v/>
      </c>
      <c r="I2445" s="79"/>
      <c r="J2445" s="80" t="str">
        <f t="shared" si="903"/>
        <v>#NAME?</v>
      </c>
      <c r="K2445" s="58"/>
      <c r="L2445" s="58"/>
      <c r="M2445" s="57"/>
      <c r="N2445" s="57"/>
      <c r="O2445" s="58"/>
      <c r="P2445" s="82"/>
      <c r="Q2445" s="81"/>
      <c r="R2445" s="81"/>
      <c r="S2445" s="57"/>
      <c r="T2445" s="82"/>
      <c r="U2445" s="82"/>
      <c r="V2445" s="57"/>
      <c r="W2445" s="57"/>
      <c r="X2445" s="57" t="str">
        <f t="shared" si="917"/>
        <v/>
      </c>
      <c r="Y2445" s="58" t="str">
        <f t="shared" ref="Y2445:AC2445" si="2285">TRIM(SUBSTITUTE(SUBSTITUTE(OFFSET($Q2445,0,COLUMN()-COLUMN($AL$1)),CHAR(160)," "),_xludf.UNICHAR(8239)," "))</f>
        <v>#NAME?</v>
      </c>
      <c r="Z2445" s="58" t="str">
        <f t="shared" si="2285"/>
        <v>#NAME?</v>
      </c>
      <c r="AA2445" s="58" t="str">
        <f t="shared" si="2285"/>
        <v>#NAME?</v>
      </c>
      <c r="AB2445" s="58" t="str">
        <f t="shared" si="2285"/>
        <v>#NAME?</v>
      </c>
      <c r="AC2445" s="58" t="str">
        <f t="shared" si="2285"/>
        <v>#NAME?</v>
      </c>
      <c r="AD2445" s="57">
        <f t="shared" si="906"/>
        <v>0</v>
      </c>
      <c r="AE2445" s="57" t="str">
        <f t="shared" si="907"/>
        <v/>
      </c>
      <c r="AF2445" s="57">
        <f t="shared" si="908"/>
        <v>0</v>
      </c>
      <c r="AG2445" s="59">
        <f t="shared" si="909"/>
        <v>0</v>
      </c>
      <c r="AH2445" s="15"/>
      <c r="AI2445" s="15"/>
      <c r="AJ2445" s="15"/>
      <c r="AK2445" s="15"/>
      <c r="AL2445" s="15"/>
      <c r="AM2445" s="15"/>
      <c r="AN2445" s="15"/>
      <c r="AO2445" s="15"/>
      <c r="AP2445" s="15"/>
      <c r="AQ2445" s="15"/>
      <c r="AR2445" s="15"/>
      <c r="AS2445" s="15"/>
      <c r="AT2445" s="15"/>
      <c r="AU2445" s="15"/>
    </row>
    <row r="2446" ht="24.0" customHeight="1">
      <c r="A2446" s="45">
        <v>3870.0</v>
      </c>
      <c r="B2446" s="57"/>
      <c r="C2446" s="57"/>
      <c r="D2446" s="88" t="str">
        <f t="array" ref="D2446">IFERROR(
  LOOKUP(2, 1/((TRIM(IMS!$E$8:$E$2574)=TRIM(IMS!$E2446))*(IMS!$C$8:$C$2574&lt;IMS!$C2446)),
         IMS!$C$8:$C$2574),
"")</f>
        <v/>
      </c>
      <c r="E2446" s="57"/>
      <c r="F2446" s="57"/>
      <c r="G2446" s="77" t="str">
        <f t="shared" si="901"/>
        <v/>
      </c>
      <c r="H2446" s="78" t="str">
        <f t="shared" si="902"/>
        <v/>
      </c>
      <c r="I2446" s="79"/>
      <c r="J2446" s="80" t="str">
        <f t="shared" si="903"/>
        <v>#NAME?</v>
      </c>
      <c r="K2446" s="58"/>
      <c r="L2446" s="58"/>
      <c r="M2446" s="57"/>
      <c r="N2446" s="57"/>
      <c r="O2446" s="58"/>
      <c r="P2446" s="82"/>
      <c r="Q2446" s="81"/>
      <c r="R2446" s="81"/>
      <c r="S2446" s="57"/>
      <c r="T2446" s="82"/>
      <c r="U2446" s="82"/>
      <c r="V2446" s="57"/>
      <c r="W2446" s="57"/>
      <c r="X2446" s="57" t="str">
        <f t="shared" si="917"/>
        <v/>
      </c>
      <c r="Y2446" s="58" t="str">
        <f t="shared" ref="Y2446:AC2446" si="2286">TRIM(SUBSTITUTE(SUBSTITUTE(OFFSET($Q2446,0,COLUMN()-COLUMN($AL$1)),CHAR(160)," "),_xludf.UNICHAR(8239)," "))</f>
        <v>#NAME?</v>
      </c>
      <c r="Z2446" s="58" t="str">
        <f t="shared" si="2286"/>
        <v>#NAME?</v>
      </c>
      <c r="AA2446" s="58" t="str">
        <f t="shared" si="2286"/>
        <v>#NAME?</v>
      </c>
      <c r="AB2446" s="58" t="str">
        <f t="shared" si="2286"/>
        <v>#NAME?</v>
      </c>
      <c r="AC2446" s="58" t="str">
        <f t="shared" si="2286"/>
        <v>#NAME?</v>
      </c>
      <c r="AD2446" s="57">
        <f t="shared" si="906"/>
        <v>0</v>
      </c>
      <c r="AE2446" s="57" t="str">
        <f t="shared" si="907"/>
        <v/>
      </c>
      <c r="AF2446" s="57">
        <f t="shared" si="908"/>
        <v>0</v>
      </c>
      <c r="AG2446" s="59">
        <f t="shared" si="909"/>
        <v>0</v>
      </c>
      <c r="AH2446" s="15"/>
      <c r="AI2446" s="15"/>
      <c r="AJ2446" s="15"/>
      <c r="AK2446" s="15"/>
      <c r="AL2446" s="15"/>
      <c r="AM2446" s="15"/>
      <c r="AN2446" s="15"/>
      <c r="AO2446" s="15"/>
      <c r="AP2446" s="15"/>
      <c r="AQ2446" s="15"/>
      <c r="AR2446" s="15"/>
      <c r="AS2446" s="15"/>
      <c r="AT2446" s="15"/>
      <c r="AU2446" s="15"/>
    </row>
    <row r="2447" ht="24.0" customHeight="1">
      <c r="A2447" s="45">
        <v>3871.0</v>
      </c>
      <c r="B2447" s="57"/>
      <c r="C2447" s="57"/>
      <c r="D2447" s="88" t="str">
        <f t="array" ref="D2447">IFERROR(
  LOOKUP(2, 1/((TRIM(IMS!$E$8:$E$2574)=TRIM(IMS!$E2447))*(IMS!$C$8:$C$2574&lt;IMS!$C2447)),
         IMS!$C$8:$C$2574),
"")</f>
        <v/>
      </c>
      <c r="E2447" s="57"/>
      <c r="F2447" s="57"/>
      <c r="G2447" s="77" t="str">
        <f t="shared" si="901"/>
        <v/>
      </c>
      <c r="H2447" s="78" t="str">
        <f t="shared" si="902"/>
        <v/>
      </c>
      <c r="I2447" s="79"/>
      <c r="J2447" s="80" t="str">
        <f t="shared" si="903"/>
        <v>#NAME?</v>
      </c>
      <c r="K2447" s="58"/>
      <c r="L2447" s="58"/>
      <c r="M2447" s="57"/>
      <c r="N2447" s="57"/>
      <c r="O2447" s="58"/>
      <c r="P2447" s="82"/>
      <c r="Q2447" s="81"/>
      <c r="R2447" s="81"/>
      <c r="S2447" s="57"/>
      <c r="T2447" s="82"/>
      <c r="U2447" s="82"/>
      <c r="V2447" s="57"/>
      <c r="W2447" s="57"/>
      <c r="X2447" s="57" t="str">
        <f t="shared" si="917"/>
        <v/>
      </c>
      <c r="Y2447" s="58" t="str">
        <f t="shared" ref="Y2447:AC2447" si="2287">TRIM(SUBSTITUTE(SUBSTITUTE(OFFSET($Q2447,0,COLUMN()-COLUMN($AL$1)),CHAR(160)," "),_xludf.UNICHAR(8239)," "))</f>
        <v>#NAME?</v>
      </c>
      <c r="Z2447" s="58" t="str">
        <f t="shared" si="2287"/>
        <v>#NAME?</v>
      </c>
      <c r="AA2447" s="58" t="str">
        <f t="shared" si="2287"/>
        <v>#NAME?</v>
      </c>
      <c r="AB2447" s="58" t="str">
        <f t="shared" si="2287"/>
        <v>#NAME?</v>
      </c>
      <c r="AC2447" s="58" t="str">
        <f t="shared" si="2287"/>
        <v>#NAME?</v>
      </c>
      <c r="AD2447" s="57">
        <f t="shared" si="906"/>
        <v>0</v>
      </c>
      <c r="AE2447" s="57" t="str">
        <f t="shared" si="907"/>
        <v/>
      </c>
      <c r="AF2447" s="57">
        <f t="shared" si="908"/>
        <v>0</v>
      </c>
      <c r="AG2447" s="59">
        <f t="shared" si="909"/>
        <v>0</v>
      </c>
      <c r="AH2447" s="15"/>
      <c r="AI2447" s="15"/>
      <c r="AJ2447" s="15"/>
      <c r="AK2447" s="15"/>
      <c r="AL2447" s="15"/>
      <c r="AM2447" s="15"/>
      <c r="AN2447" s="15"/>
      <c r="AO2447" s="15"/>
      <c r="AP2447" s="15"/>
      <c r="AQ2447" s="15"/>
      <c r="AR2447" s="15"/>
      <c r="AS2447" s="15"/>
      <c r="AT2447" s="15"/>
      <c r="AU2447" s="15"/>
    </row>
    <row r="2448" ht="24.0" customHeight="1">
      <c r="A2448" s="45">
        <v>3872.0</v>
      </c>
      <c r="B2448" s="57"/>
      <c r="C2448" s="57"/>
      <c r="D2448" s="88" t="str">
        <f t="array" ref="D2448">IFERROR(
  LOOKUP(2, 1/((TRIM(IMS!$E$8:$E$2574)=TRIM(IMS!$E2448))*(IMS!$C$8:$C$2574&lt;IMS!$C2448)),
         IMS!$C$8:$C$2574),
"")</f>
        <v/>
      </c>
      <c r="E2448" s="57"/>
      <c r="F2448" s="57"/>
      <c r="G2448" s="77" t="str">
        <f t="shared" si="901"/>
        <v/>
      </c>
      <c r="H2448" s="78" t="str">
        <f t="shared" si="902"/>
        <v/>
      </c>
      <c r="I2448" s="79"/>
      <c r="J2448" s="80" t="str">
        <f t="shared" si="903"/>
        <v>#NAME?</v>
      </c>
      <c r="K2448" s="58"/>
      <c r="L2448" s="58"/>
      <c r="M2448" s="57"/>
      <c r="N2448" s="57"/>
      <c r="O2448" s="58"/>
      <c r="P2448" s="82"/>
      <c r="Q2448" s="81"/>
      <c r="R2448" s="81"/>
      <c r="S2448" s="57"/>
      <c r="T2448" s="82"/>
      <c r="U2448" s="82"/>
      <c r="V2448" s="57"/>
      <c r="W2448" s="57"/>
      <c r="X2448" s="57" t="str">
        <f t="shared" si="917"/>
        <v/>
      </c>
      <c r="Y2448" s="58" t="str">
        <f t="shared" ref="Y2448:AC2448" si="2288">TRIM(SUBSTITUTE(SUBSTITUTE(OFFSET($Q2448,0,COLUMN()-COLUMN($AL$1)),CHAR(160)," "),_xludf.UNICHAR(8239)," "))</f>
        <v>#NAME?</v>
      </c>
      <c r="Z2448" s="58" t="str">
        <f t="shared" si="2288"/>
        <v>#NAME?</v>
      </c>
      <c r="AA2448" s="58" t="str">
        <f t="shared" si="2288"/>
        <v>#NAME?</v>
      </c>
      <c r="AB2448" s="58" t="str">
        <f t="shared" si="2288"/>
        <v>#NAME?</v>
      </c>
      <c r="AC2448" s="58" t="str">
        <f t="shared" si="2288"/>
        <v>#NAME?</v>
      </c>
      <c r="AD2448" s="57">
        <f t="shared" si="906"/>
        <v>0</v>
      </c>
      <c r="AE2448" s="57" t="str">
        <f t="shared" si="907"/>
        <v/>
      </c>
      <c r="AF2448" s="57">
        <f t="shared" si="908"/>
        <v>0</v>
      </c>
      <c r="AG2448" s="59">
        <f t="shared" si="909"/>
        <v>0</v>
      </c>
      <c r="AH2448" s="15"/>
      <c r="AI2448" s="15"/>
      <c r="AJ2448" s="15"/>
      <c r="AK2448" s="15"/>
      <c r="AL2448" s="15"/>
      <c r="AM2448" s="15"/>
      <c r="AN2448" s="15"/>
      <c r="AO2448" s="15"/>
      <c r="AP2448" s="15"/>
      <c r="AQ2448" s="15"/>
      <c r="AR2448" s="15"/>
      <c r="AS2448" s="15"/>
      <c r="AT2448" s="15"/>
      <c r="AU2448" s="15"/>
    </row>
    <row r="2449" ht="24.0" customHeight="1">
      <c r="A2449" s="45">
        <v>3873.0</v>
      </c>
      <c r="B2449" s="57"/>
      <c r="C2449" s="57"/>
      <c r="D2449" s="88" t="str">
        <f t="array" ref="D2449">IFERROR(
  LOOKUP(2, 1/((TRIM(IMS!$E$8:$E$2574)=TRIM(IMS!$E2449))*(IMS!$C$8:$C$2574&lt;IMS!$C2449)),
         IMS!$C$8:$C$2574),
"")</f>
        <v/>
      </c>
      <c r="E2449" s="57"/>
      <c r="F2449" s="57"/>
      <c r="G2449" s="77" t="str">
        <f t="shared" si="901"/>
        <v/>
      </c>
      <c r="H2449" s="78" t="str">
        <f t="shared" si="902"/>
        <v/>
      </c>
      <c r="I2449" s="79"/>
      <c r="J2449" s="80" t="str">
        <f t="shared" si="903"/>
        <v>#NAME?</v>
      </c>
      <c r="K2449" s="58"/>
      <c r="L2449" s="58"/>
      <c r="M2449" s="57"/>
      <c r="N2449" s="57"/>
      <c r="O2449" s="58"/>
      <c r="P2449" s="82"/>
      <c r="Q2449" s="81"/>
      <c r="R2449" s="81"/>
      <c r="S2449" s="57"/>
      <c r="T2449" s="82"/>
      <c r="U2449" s="82"/>
      <c r="V2449" s="57"/>
      <c r="W2449" s="57"/>
      <c r="X2449" s="57" t="str">
        <f t="shared" si="917"/>
        <v/>
      </c>
      <c r="Y2449" s="58" t="str">
        <f t="shared" ref="Y2449:AC2449" si="2289">TRIM(SUBSTITUTE(SUBSTITUTE(OFFSET($Q2449,0,COLUMN()-COLUMN($AL$1)),CHAR(160)," "),_xludf.UNICHAR(8239)," "))</f>
        <v>#NAME?</v>
      </c>
      <c r="Z2449" s="58" t="str">
        <f t="shared" si="2289"/>
        <v>#NAME?</v>
      </c>
      <c r="AA2449" s="58" t="str">
        <f t="shared" si="2289"/>
        <v>#NAME?</v>
      </c>
      <c r="AB2449" s="58" t="str">
        <f t="shared" si="2289"/>
        <v>#NAME?</v>
      </c>
      <c r="AC2449" s="58" t="str">
        <f t="shared" si="2289"/>
        <v>#NAME?</v>
      </c>
      <c r="AD2449" s="57">
        <f t="shared" si="906"/>
        <v>0</v>
      </c>
      <c r="AE2449" s="57" t="str">
        <f t="shared" si="907"/>
        <v/>
      </c>
      <c r="AF2449" s="57">
        <f t="shared" si="908"/>
        <v>0</v>
      </c>
      <c r="AG2449" s="59">
        <f t="shared" si="909"/>
        <v>0</v>
      </c>
      <c r="AH2449" s="15"/>
      <c r="AI2449" s="15"/>
      <c r="AJ2449" s="15"/>
      <c r="AK2449" s="15"/>
      <c r="AL2449" s="15"/>
      <c r="AM2449" s="15"/>
      <c r="AN2449" s="15"/>
      <c r="AO2449" s="15"/>
      <c r="AP2449" s="15"/>
      <c r="AQ2449" s="15"/>
      <c r="AR2449" s="15"/>
      <c r="AS2449" s="15"/>
      <c r="AT2449" s="15"/>
      <c r="AU2449" s="15"/>
    </row>
    <row r="2450" ht="24.0" customHeight="1">
      <c r="A2450" s="45">
        <v>3874.0</v>
      </c>
      <c r="B2450" s="57"/>
      <c r="C2450" s="57"/>
      <c r="D2450" s="88" t="str">
        <f t="array" ref="D2450">IFERROR(
  LOOKUP(2, 1/((TRIM(IMS!$E$8:$E$2574)=TRIM(IMS!$E2450))*(IMS!$C$8:$C$2574&lt;IMS!$C2450)),
         IMS!$C$8:$C$2574),
"")</f>
        <v/>
      </c>
      <c r="E2450" s="57"/>
      <c r="F2450" s="57"/>
      <c r="G2450" s="77" t="str">
        <f t="shared" si="901"/>
        <v/>
      </c>
      <c r="H2450" s="78" t="str">
        <f t="shared" si="902"/>
        <v/>
      </c>
      <c r="I2450" s="79"/>
      <c r="J2450" s="80" t="str">
        <f t="shared" si="903"/>
        <v>#NAME?</v>
      </c>
      <c r="K2450" s="58"/>
      <c r="L2450" s="58"/>
      <c r="M2450" s="57"/>
      <c r="N2450" s="57"/>
      <c r="O2450" s="58"/>
      <c r="P2450" s="82"/>
      <c r="Q2450" s="81"/>
      <c r="R2450" s="81"/>
      <c r="S2450" s="57"/>
      <c r="T2450" s="82"/>
      <c r="U2450" s="82"/>
      <c r="V2450" s="57"/>
      <c r="W2450" s="57"/>
      <c r="X2450" s="57" t="str">
        <f t="shared" si="917"/>
        <v/>
      </c>
      <c r="Y2450" s="58" t="str">
        <f t="shared" ref="Y2450:AC2450" si="2290">TRIM(SUBSTITUTE(SUBSTITUTE(OFFSET($Q2450,0,COLUMN()-COLUMN($AL$1)),CHAR(160)," "),_xludf.UNICHAR(8239)," "))</f>
        <v>#NAME?</v>
      </c>
      <c r="Z2450" s="58" t="str">
        <f t="shared" si="2290"/>
        <v>#NAME?</v>
      </c>
      <c r="AA2450" s="58" t="str">
        <f t="shared" si="2290"/>
        <v>#NAME?</v>
      </c>
      <c r="AB2450" s="58" t="str">
        <f t="shared" si="2290"/>
        <v>#NAME?</v>
      </c>
      <c r="AC2450" s="58" t="str">
        <f t="shared" si="2290"/>
        <v>#NAME?</v>
      </c>
      <c r="AD2450" s="57">
        <f t="shared" si="906"/>
        <v>0</v>
      </c>
      <c r="AE2450" s="57" t="str">
        <f t="shared" si="907"/>
        <v/>
      </c>
      <c r="AF2450" s="57">
        <f t="shared" si="908"/>
        <v>0</v>
      </c>
      <c r="AG2450" s="59">
        <f t="shared" si="909"/>
        <v>0</v>
      </c>
      <c r="AH2450" s="15"/>
      <c r="AI2450" s="15"/>
      <c r="AJ2450" s="15"/>
      <c r="AK2450" s="15"/>
      <c r="AL2450" s="15"/>
      <c r="AM2450" s="15"/>
      <c r="AN2450" s="15"/>
      <c r="AO2450" s="15"/>
      <c r="AP2450" s="15"/>
      <c r="AQ2450" s="15"/>
      <c r="AR2450" s="15"/>
      <c r="AS2450" s="15"/>
      <c r="AT2450" s="15"/>
      <c r="AU2450" s="15"/>
    </row>
    <row r="2451" ht="24.0" customHeight="1">
      <c r="A2451" s="45">
        <v>3875.0</v>
      </c>
      <c r="B2451" s="57"/>
      <c r="C2451" s="57"/>
      <c r="D2451" s="88" t="str">
        <f t="array" ref="D2451">IFERROR(
  LOOKUP(2, 1/((TRIM(IMS!$E$8:$E$2574)=TRIM(IMS!$E2451))*(IMS!$C$8:$C$2574&lt;IMS!$C2451)),
         IMS!$C$8:$C$2574),
"")</f>
        <v/>
      </c>
      <c r="E2451" s="57"/>
      <c r="F2451" s="57"/>
      <c r="G2451" s="77" t="str">
        <f t="shared" si="901"/>
        <v/>
      </c>
      <c r="H2451" s="78" t="str">
        <f t="shared" si="902"/>
        <v/>
      </c>
      <c r="I2451" s="79"/>
      <c r="J2451" s="80" t="str">
        <f t="shared" si="903"/>
        <v>#NAME?</v>
      </c>
      <c r="K2451" s="58"/>
      <c r="L2451" s="58"/>
      <c r="M2451" s="57"/>
      <c r="N2451" s="57"/>
      <c r="O2451" s="58"/>
      <c r="P2451" s="82"/>
      <c r="Q2451" s="81"/>
      <c r="R2451" s="81"/>
      <c r="S2451" s="57"/>
      <c r="T2451" s="82"/>
      <c r="U2451" s="82"/>
      <c r="V2451" s="57"/>
      <c r="W2451" s="57"/>
      <c r="X2451" s="57" t="str">
        <f t="shared" si="917"/>
        <v/>
      </c>
      <c r="Y2451" s="58" t="str">
        <f t="shared" ref="Y2451:AC2451" si="2291">TRIM(SUBSTITUTE(SUBSTITUTE(OFFSET($Q2451,0,COLUMN()-COLUMN($AL$1)),CHAR(160)," "),_xludf.UNICHAR(8239)," "))</f>
        <v>#NAME?</v>
      </c>
      <c r="Z2451" s="58" t="str">
        <f t="shared" si="2291"/>
        <v>#NAME?</v>
      </c>
      <c r="AA2451" s="58" t="str">
        <f t="shared" si="2291"/>
        <v>#NAME?</v>
      </c>
      <c r="AB2451" s="58" t="str">
        <f t="shared" si="2291"/>
        <v>#NAME?</v>
      </c>
      <c r="AC2451" s="58" t="str">
        <f t="shared" si="2291"/>
        <v>#NAME?</v>
      </c>
      <c r="AD2451" s="57">
        <f t="shared" si="906"/>
        <v>0</v>
      </c>
      <c r="AE2451" s="57" t="str">
        <f t="shared" si="907"/>
        <v/>
      </c>
      <c r="AF2451" s="57">
        <f t="shared" si="908"/>
        <v>0</v>
      </c>
      <c r="AG2451" s="59">
        <f t="shared" si="909"/>
        <v>0</v>
      </c>
      <c r="AH2451" s="15"/>
      <c r="AI2451" s="15"/>
      <c r="AJ2451" s="15"/>
      <c r="AK2451" s="15"/>
      <c r="AL2451" s="15"/>
      <c r="AM2451" s="15"/>
      <c r="AN2451" s="15"/>
      <c r="AO2451" s="15"/>
      <c r="AP2451" s="15"/>
      <c r="AQ2451" s="15"/>
      <c r="AR2451" s="15"/>
      <c r="AS2451" s="15"/>
      <c r="AT2451" s="15"/>
      <c r="AU2451" s="15"/>
    </row>
    <row r="2452" ht="24.0" customHeight="1">
      <c r="A2452" s="45">
        <v>3876.0</v>
      </c>
      <c r="B2452" s="57"/>
      <c r="C2452" s="57"/>
      <c r="D2452" s="88" t="str">
        <f t="array" ref="D2452">IFERROR(
  LOOKUP(2, 1/((TRIM(IMS!$E$8:$E$2574)=TRIM(IMS!$E2452))*(IMS!$C$8:$C$2574&lt;IMS!$C2452)),
         IMS!$C$8:$C$2574),
"")</f>
        <v/>
      </c>
      <c r="E2452" s="57"/>
      <c r="F2452" s="57"/>
      <c r="G2452" s="77" t="str">
        <f t="shared" si="901"/>
        <v/>
      </c>
      <c r="H2452" s="78" t="str">
        <f t="shared" si="902"/>
        <v/>
      </c>
      <c r="I2452" s="79"/>
      <c r="J2452" s="80" t="str">
        <f t="shared" si="903"/>
        <v>#NAME?</v>
      </c>
      <c r="K2452" s="58"/>
      <c r="L2452" s="58"/>
      <c r="M2452" s="57"/>
      <c r="N2452" s="57"/>
      <c r="O2452" s="58"/>
      <c r="P2452" s="82"/>
      <c r="Q2452" s="81"/>
      <c r="R2452" s="81"/>
      <c r="S2452" s="57"/>
      <c r="T2452" s="82"/>
      <c r="U2452" s="82"/>
      <c r="V2452" s="57"/>
      <c r="W2452" s="57"/>
      <c r="X2452" s="57" t="str">
        <f t="shared" si="917"/>
        <v/>
      </c>
      <c r="Y2452" s="58" t="str">
        <f t="shared" ref="Y2452:AC2452" si="2292">TRIM(SUBSTITUTE(SUBSTITUTE(OFFSET($Q2452,0,COLUMN()-COLUMN($AL$1)),CHAR(160)," "),_xludf.UNICHAR(8239)," "))</f>
        <v>#NAME?</v>
      </c>
      <c r="Z2452" s="58" t="str">
        <f t="shared" si="2292"/>
        <v>#NAME?</v>
      </c>
      <c r="AA2452" s="58" t="str">
        <f t="shared" si="2292"/>
        <v>#NAME?</v>
      </c>
      <c r="AB2452" s="58" t="str">
        <f t="shared" si="2292"/>
        <v>#NAME?</v>
      </c>
      <c r="AC2452" s="58" t="str">
        <f t="shared" si="2292"/>
        <v>#NAME?</v>
      </c>
      <c r="AD2452" s="57">
        <f t="shared" si="906"/>
        <v>0</v>
      </c>
      <c r="AE2452" s="57" t="str">
        <f t="shared" si="907"/>
        <v/>
      </c>
      <c r="AF2452" s="57">
        <f t="shared" si="908"/>
        <v>0</v>
      </c>
      <c r="AG2452" s="59">
        <f t="shared" si="909"/>
        <v>0</v>
      </c>
      <c r="AH2452" s="15"/>
      <c r="AI2452" s="15"/>
      <c r="AJ2452" s="15"/>
      <c r="AK2452" s="15"/>
      <c r="AL2452" s="15"/>
      <c r="AM2452" s="15"/>
      <c r="AN2452" s="15"/>
      <c r="AO2452" s="15"/>
      <c r="AP2452" s="15"/>
      <c r="AQ2452" s="15"/>
      <c r="AR2452" s="15"/>
      <c r="AS2452" s="15"/>
      <c r="AT2452" s="15"/>
      <c r="AU2452" s="15"/>
    </row>
    <row r="2453" ht="24.0" customHeight="1">
      <c r="A2453" s="45">
        <v>3877.0</v>
      </c>
      <c r="B2453" s="57"/>
      <c r="C2453" s="57"/>
      <c r="D2453" s="88" t="str">
        <f t="array" ref="D2453">IFERROR(
  LOOKUP(2, 1/((TRIM(IMS!$E$8:$E$2574)=TRIM(IMS!$E2453))*(IMS!$C$8:$C$2574&lt;IMS!$C2453)),
         IMS!$C$8:$C$2574),
"")</f>
        <v/>
      </c>
      <c r="E2453" s="57"/>
      <c r="F2453" s="57"/>
      <c r="G2453" s="77" t="str">
        <f t="shared" si="901"/>
        <v/>
      </c>
      <c r="H2453" s="78" t="str">
        <f t="shared" si="902"/>
        <v/>
      </c>
      <c r="I2453" s="79"/>
      <c r="J2453" s="80" t="str">
        <f t="shared" si="903"/>
        <v>#NAME?</v>
      </c>
      <c r="K2453" s="58"/>
      <c r="L2453" s="58"/>
      <c r="M2453" s="57"/>
      <c r="N2453" s="57"/>
      <c r="O2453" s="58"/>
      <c r="P2453" s="82"/>
      <c r="Q2453" s="81"/>
      <c r="R2453" s="81"/>
      <c r="S2453" s="57"/>
      <c r="T2453" s="82"/>
      <c r="U2453" s="82"/>
      <c r="V2453" s="57"/>
      <c r="W2453" s="57"/>
      <c r="X2453" s="57" t="str">
        <f t="shared" si="917"/>
        <v/>
      </c>
      <c r="Y2453" s="58" t="str">
        <f t="shared" ref="Y2453:AC2453" si="2293">TRIM(SUBSTITUTE(SUBSTITUTE(OFFSET($Q2453,0,COLUMN()-COLUMN($AL$1)),CHAR(160)," "),_xludf.UNICHAR(8239)," "))</f>
        <v>#NAME?</v>
      </c>
      <c r="Z2453" s="58" t="str">
        <f t="shared" si="2293"/>
        <v>#NAME?</v>
      </c>
      <c r="AA2453" s="58" t="str">
        <f t="shared" si="2293"/>
        <v>#NAME?</v>
      </c>
      <c r="AB2453" s="58" t="str">
        <f t="shared" si="2293"/>
        <v>#NAME?</v>
      </c>
      <c r="AC2453" s="58" t="str">
        <f t="shared" si="2293"/>
        <v>#NAME?</v>
      </c>
      <c r="AD2453" s="57">
        <f t="shared" si="906"/>
        <v>0</v>
      </c>
      <c r="AE2453" s="57" t="str">
        <f t="shared" si="907"/>
        <v/>
      </c>
      <c r="AF2453" s="57">
        <f t="shared" si="908"/>
        <v>0</v>
      </c>
      <c r="AG2453" s="59">
        <f t="shared" si="909"/>
        <v>0</v>
      </c>
      <c r="AH2453" s="15"/>
      <c r="AI2453" s="15"/>
      <c r="AJ2453" s="15"/>
      <c r="AK2453" s="15"/>
      <c r="AL2453" s="15"/>
      <c r="AM2453" s="15"/>
      <c r="AN2453" s="15"/>
      <c r="AO2453" s="15"/>
      <c r="AP2453" s="15"/>
      <c r="AQ2453" s="15"/>
      <c r="AR2453" s="15"/>
      <c r="AS2453" s="15"/>
      <c r="AT2453" s="15"/>
      <c r="AU2453" s="15"/>
    </row>
    <row r="2454" ht="24.0" customHeight="1">
      <c r="A2454" s="45">
        <v>3878.0</v>
      </c>
      <c r="B2454" s="57"/>
      <c r="C2454" s="57"/>
      <c r="D2454" s="88" t="str">
        <f t="array" ref="D2454">IFERROR(
  LOOKUP(2, 1/((TRIM(IMS!$E$8:$E$2574)=TRIM(IMS!$E2454))*(IMS!$C$8:$C$2574&lt;IMS!$C2454)),
         IMS!$C$8:$C$2574),
"")</f>
        <v/>
      </c>
      <c r="E2454" s="57"/>
      <c r="F2454" s="57"/>
      <c r="G2454" s="77" t="str">
        <f t="shared" si="901"/>
        <v/>
      </c>
      <c r="H2454" s="78" t="str">
        <f t="shared" si="902"/>
        <v/>
      </c>
      <c r="I2454" s="79"/>
      <c r="J2454" s="80" t="str">
        <f t="shared" si="903"/>
        <v>#NAME?</v>
      </c>
      <c r="K2454" s="58"/>
      <c r="L2454" s="58"/>
      <c r="M2454" s="57"/>
      <c r="N2454" s="57"/>
      <c r="O2454" s="58"/>
      <c r="P2454" s="82"/>
      <c r="Q2454" s="81"/>
      <c r="R2454" s="81"/>
      <c r="S2454" s="57"/>
      <c r="T2454" s="82"/>
      <c r="U2454" s="82"/>
      <c r="V2454" s="57"/>
      <c r="W2454" s="57"/>
      <c r="X2454" s="57" t="str">
        <f t="shared" si="917"/>
        <v/>
      </c>
      <c r="Y2454" s="58" t="str">
        <f t="shared" ref="Y2454:AC2454" si="2294">TRIM(SUBSTITUTE(SUBSTITUTE(OFFSET($Q2454,0,COLUMN()-COLUMN($AL$1)),CHAR(160)," "),_xludf.UNICHAR(8239)," "))</f>
        <v>#NAME?</v>
      </c>
      <c r="Z2454" s="58" t="str">
        <f t="shared" si="2294"/>
        <v>#NAME?</v>
      </c>
      <c r="AA2454" s="58" t="str">
        <f t="shared" si="2294"/>
        <v>#NAME?</v>
      </c>
      <c r="AB2454" s="58" t="str">
        <f t="shared" si="2294"/>
        <v>#NAME?</v>
      </c>
      <c r="AC2454" s="58" t="str">
        <f t="shared" si="2294"/>
        <v>#NAME?</v>
      </c>
      <c r="AD2454" s="57">
        <f t="shared" si="906"/>
        <v>0</v>
      </c>
      <c r="AE2454" s="57" t="str">
        <f t="shared" si="907"/>
        <v/>
      </c>
      <c r="AF2454" s="57">
        <f t="shared" si="908"/>
        <v>0</v>
      </c>
      <c r="AG2454" s="59">
        <f t="shared" si="909"/>
        <v>0</v>
      </c>
      <c r="AH2454" s="15"/>
      <c r="AI2454" s="15"/>
      <c r="AJ2454" s="15"/>
      <c r="AK2454" s="15"/>
      <c r="AL2454" s="15"/>
      <c r="AM2454" s="15"/>
      <c r="AN2454" s="15"/>
      <c r="AO2454" s="15"/>
      <c r="AP2454" s="15"/>
      <c r="AQ2454" s="15"/>
      <c r="AR2454" s="15"/>
      <c r="AS2454" s="15"/>
      <c r="AT2454" s="15"/>
      <c r="AU2454" s="15"/>
    </row>
    <row r="2455" ht="24.0" customHeight="1">
      <c r="A2455" s="45">
        <v>3879.0</v>
      </c>
      <c r="B2455" s="57"/>
      <c r="C2455" s="57"/>
      <c r="D2455" s="88" t="str">
        <f t="array" ref="D2455">IFERROR(
  LOOKUP(2, 1/((TRIM(IMS!$E$8:$E$2574)=TRIM(IMS!$E2455))*(IMS!$C$8:$C$2574&lt;IMS!$C2455)),
         IMS!$C$8:$C$2574),
"")</f>
        <v/>
      </c>
      <c r="E2455" s="57"/>
      <c r="F2455" s="57"/>
      <c r="G2455" s="77" t="str">
        <f t="shared" si="901"/>
        <v/>
      </c>
      <c r="H2455" s="78" t="str">
        <f t="shared" si="902"/>
        <v/>
      </c>
      <c r="I2455" s="79"/>
      <c r="J2455" s="80" t="str">
        <f t="shared" si="903"/>
        <v>#NAME?</v>
      </c>
      <c r="K2455" s="58"/>
      <c r="L2455" s="58"/>
      <c r="M2455" s="57"/>
      <c r="N2455" s="57"/>
      <c r="O2455" s="58"/>
      <c r="P2455" s="82"/>
      <c r="Q2455" s="81"/>
      <c r="R2455" s="81"/>
      <c r="S2455" s="57"/>
      <c r="T2455" s="82"/>
      <c r="U2455" s="82"/>
      <c r="V2455" s="57"/>
      <c r="W2455" s="57"/>
      <c r="X2455" s="57" t="str">
        <f t="shared" si="917"/>
        <v/>
      </c>
      <c r="Y2455" s="58" t="str">
        <f t="shared" ref="Y2455:AC2455" si="2295">TRIM(SUBSTITUTE(SUBSTITUTE(OFFSET($Q2455,0,COLUMN()-COLUMN($AL$1)),CHAR(160)," "),_xludf.UNICHAR(8239)," "))</f>
        <v>#NAME?</v>
      </c>
      <c r="Z2455" s="58" t="str">
        <f t="shared" si="2295"/>
        <v>#NAME?</v>
      </c>
      <c r="AA2455" s="58" t="str">
        <f t="shared" si="2295"/>
        <v>#NAME?</v>
      </c>
      <c r="AB2455" s="58" t="str">
        <f t="shared" si="2295"/>
        <v>#NAME?</v>
      </c>
      <c r="AC2455" s="58" t="str">
        <f t="shared" si="2295"/>
        <v>#NAME?</v>
      </c>
      <c r="AD2455" s="57">
        <f t="shared" si="906"/>
        <v>0</v>
      </c>
      <c r="AE2455" s="57" t="str">
        <f t="shared" si="907"/>
        <v/>
      </c>
      <c r="AF2455" s="57">
        <f t="shared" si="908"/>
        <v>0</v>
      </c>
      <c r="AG2455" s="59">
        <f t="shared" si="909"/>
        <v>0</v>
      </c>
      <c r="AH2455" s="15"/>
      <c r="AI2455" s="15"/>
      <c r="AJ2455" s="15"/>
      <c r="AK2455" s="15"/>
      <c r="AL2455" s="15"/>
      <c r="AM2455" s="15"/>
      <c r="AN2455" s="15"/>
      <c r="AO2455" s="15"/>
      <c r="AP2455" s="15"/>
      <c r="AQ2455" s="15"/>
      <c r="AR2455" s="15"/>
      <c r="AS2455" s="15"/>
      <c r="AT2455" s="15"/>
      <c r="AU2455" s="15"/>
    </row>
    <row r="2456" ht="24.0" customHeight="1">
      <c r="A2456" s="45">
        <v>3880.0</v>
      </c>
      <c r="B2456" s="57"/>
      <c r="C2456" s="57"/>
      <c r="D2456" s="88" t="str">
        <f t="array" ref="D2456">IFERROR(
  LOOKUP(2, 1/((TRIM(IMS!$E$8:$E$2574)=TRIM(IMS!$E2456))*(IMS!$C$8:$C$2574&lt;IMS!$C2456)),
         IMS!$C$8:$C$2574),
"")</f>
        <v/>
      </c>
      <c r="E2456" s="57"/>
      <c r="F2456" s="57"/>
      <c r="G2456" s="77" t="str">
        <f t="shared" si="901"/>
        <v/>
      </c>
      <c r="H2456" s="78" t="str">
        <f t="shared" si="902"/>
        <v/>
      </c>
      <c r="I2456" s="79"/>
      <c r="J2456" s="80" t="str">
        <f t="shared" si="903"/>
        <v>#NAME?</v>
      </c>
      <c r="K2456" s="58"/>
      <c r="L2456" s="58"/>
      <c r="M2456" s="57"/>
      <c r="N2456" s="57"/>
      <c r="O2456" s="58"/>
      <c r="P2456" s="82"/>
      <c r="Q2456" s="81"/>
      <c r="R2456" s="81"/>
      <c r="S2456" s="57"/>
      <c r="T2456" s="82"/>
      <c r="U2456" s="82"/>
      <c r="V2456" s="57"/>
      <c r="W2456" s="57"/>
      <c r="X2456" s="57" t="str">
        <f t="shared" si="917"/>
        <v/>
      </c>
      <c r="Y2456" s="58" t="str">
        <f t="shared" ref="Y2456:AC2456" si="2296">TRIM(SUBSTITUTE(SUBSTITUTE(OFFSET($Q2456,0,COLUMN()-COLUMN($AL$1)),CHAR(160)," "),_xludf.UNICHAR(8239)," "))</f>
        <v>#NAME?</v>
      </c>
      <c r="Z2456" s="58" t="str">
        <f t="shared" si="2296"/>
        <v>#NAME?</v>
      </c>
      <c r="AA2456" s="58" t="str">
        <f t="shared" si="2296"/>
        <v>#NAME?</v>
      </c>
      <c r="AB2456" s="58" t="str">
        <f t="shared" si="2296"/>
        <v>#NAME?</v>
      </c>
      <c r="AC2456" s="58" t="str">
        <f t="shared" si="2296"/>
        <v>#NAME?</v>
      </c>
      <c r="AD2456" s="57">
        <f t="shared" si="906"/>
        <v>0</v>
      </c>
      <c r="AE2456" s="57" t="str">
        <f t="shared" si="907"/>
        <v/>
      </c>
      <c r="AF2456" s="57">
        <f t="shared" si="908"/>
        <v>0</v>
      </c>
      <c r="AG2456" s="59">
        <f t="shared" si="909"/>
        <v>0</v>
      </c>
      <c r="AH2456" s="15"/>
      <c r="AI2456" s="15"/>
      <c r="AJ2456" s="15"/>
      <c r="AK2456" s="15"/>
      <c r="AL2456" s="15"/>
      <c r="AM2456" s="15"/>
      <c r="AN2456" s="15"/>
      <c r="AO2456" s="15"/>
      <c r="AP2456" s="15"/>
      <c r="AQ2456" s="15"/>
      <c r="AR2456" s="15"/>
      <c r="AS2456" s="15"/>
      <c r="AT2456" s="15"/>
      <c r="AU2456" s="15"/>
    </row>
    <row r="2457" ht="24.0" customHeight="1">
      <c r="A2457" s="45">
        <v>3881.0</v>
      </c>
      <c r="B2457" s="57"/>
      <c r="C2457" s="57"/>
      <c r="D2457" s="88" t="str">
        <f t="array" ref="D2457">IFERROR(
  LOOKUP(2, 1/((TRIM(IMS!$E$8:$E$2574)=TRIM(IMS!$E2457))*(IMS!$C$8:$C$2574&lt;IMS!$C2457)),
         IMS!$C$8:$C$2574),
"")</f>
        <v/>
      </c>
      <c r="E2457" s="57"/>
      <c r="F2457" s="57"/>
      <c r="G2457" s="77" t="str">
        <f t="shared" si="901"/>
        <v/>
      </c>
      <c r="H2457" s="78" t="str">
        <f t="shared" si="902"/>
        <v/>
      </c>
      <c r="I2457" s="79"/>
      <c r="J2457" s="80" t="str">
        <f t="shared" si="903"/>
        <v>#NAME?</v>
      </c>
      <c r="K2457" s="58"/>
      <c r="L2457" s="58"/>
      <c r="M2457" s="57"/>
      <c r="N2457" s="57"/>
      <c r="O2457" s="58"/>
      <c r="P2457" s="82"/>
      <c r="Q2457" s="81"/>
      <c r="R2457" s="81"/>
      <c r="S2457" s="57"/>
      <c r="T2457" s="82"/>
      <c r="U2457" s="82"/>
      <c r="V2457" s="57"/>
      <c r="W2457" s="57"/>
      <c r="X2457" s="57" t="str">
        <f t="shared" si="917"/>
        <v/>
      </c>
      <c r="Y2457" s="58" t="str">
        <f t="shared" ref="Y2457:AC2457" si="2297">TRIM(SUBSTITUTE(SUBSTITUTE(OFFSET($Q2457,0,COLUMN()-COLUMN($AL$1)),CHAR(160)," "),_xludf.UNICHAR(8239)," "))</f>
        <v>#NAME?</v>
      </c>
      <c r="Z2457" s="58" t="str">
        <f t="shared" si="2297"/>
        <v>#NAME?</v>
      </c>
      <c r="AA2457" s="58" t="str">
        <f t="shared" si="2297"/>
        <v>#NAME?</v>
      </c>
      <c r="AB2457" s="58" t="str">
        <f t="shared" si="2297"/>
        <v>#NAME?</v>
      </c>
      <c r="AC2457" s="58" t="str">
        <f t="shared" si="2297"/>
        <v>#NAME?</v>
      </c>
      <c r="AD2457" s="57">
        <f t="shared" si="906"/>
        <v>0</v>
      </c>
      <c r="AE2457" s="57" t="str">
        <f t="shared" si="907"/>
        <v/>
      </c>
      <c r="AF2457" s="57">
        <f t="shared" si="908"/>
        <v>0</v>
      </c>
      <c r="AG2457" s="59">
        <f t="shared" si="909"/>
        <v>0</v>
      </c>
      <c r="AH2457" s="15"/>
      <c r="AI2457" s="15"/>
      <c r="AJ2457" s="15"/>
      <c r="AK2457" s="15"/>
      <c r="AL2457" s="15"/>
      <c r="AM2457" s="15"/>
      <c r="AN2457" s="15"/>
      <c r="AO2457" s="15"/>
      <c r="AP2457" s="15"/>
      <c r="AQ2457" s="15"/>
      <c r="AR2457" s="15"/>
      <c r="AS2457" s="15"/>
      <c r="AT2457" s="15"/>
      <c r="AU2457" s="15"/>
    </row>
    <row r="2458" ht="24.0" customHeight="1">
      <c r="A2458" s="45">
        <v>3882.0</v>
      </c>
      <c r="B2458" s="57"/>
      <c r="C2458" s="57"/>
      <c r="D2458" s="88" t="str">
        <f t="array" ref="D2458">IFERROR(
  LOOKUP(2, 1/((TRIM(IMS!$E$8:$E$2574)=TRIM(IMS!$E2458))*(IMS!$C$8:$C$2574&lt;IMS!$C2458)),
         IMS!$C$8:$C$2574),
"")</f>
        <v/>
      </c>
      <c r="E2458" s="57"/>
      <c r="F2458" s="57"/>
      <c r="G2458" s="77" t="str">
        <f t="shared" si="901"/>
        <v/>
      </c>
      <c r="H2458" s="78" t="str">
        <f t="shared" si="902"/>
        <v/>
      </c>
      <c r="I2458" s="79"/>
      <c r="J2458" s="80" t="str">
        <f t="shared" si="903"/>
        <v>#NAME?</v>
      </c>
      <c r="K2458" s="58"/>
      <c r="L2458" s="58"/>
      <c r="M2458" s="57"/>
      <c r="N2458" s="57"/>
      <c r="O2458" s="58"/>
      <c r="P2458" s="82"/>
      <c r="Q2458" s="81"/>
      <c r="R2458" s="81"/>
      <c r="S2458" s="57"/>
      <c r="T2458" s="82"/>
      <c r="U2458" s="82"/>
      <c r="V2458" s="57"/>
      <c r="W2458" s="57"/>
      <c r="X2458" s="57" t="str">
        <f t="shared" si="917"/>
        <v/>
      </c>
      <c r="Y2458" s="58" t="str">
        <f t="shared" ref="Y2458:AC2458" si="2298">TRIM(SUBSTITUTE(SUBSTITUTE(OFFSET($Q2458,0,COLUMN()-COLUMN($AL$1)),CHAR(160)," "),_xludf.UNICHAR(8239)," "))</f>
        <v>#NAME?</v>
      </c>
      <c r="Z2458" s="58" t="str">
        <f t="shared" si="2298"/>
        <v>#NAME?</v>
      </c>
      <c r="AA2458" s="58" t="str">
        <f t="shared" si="2298"/>
        <v>#NAME?</v>
      </c>
      <c r="AB2458" s="58" t="str">
        <f t="shared" si="2298"/>
        <v>#NAME?</v>
      </c>
      <c r="AC2458" s="58" t="str">
        <f t="shared" si="2298"/>
        <v>#NAME?</v>
      </c>
      <c r="AD2458" s="57">
        <f t="shared" si="906"/>
        <v>0</v>
      </c>
      <c r="AE2458" s="57" t="str">
        <f t="shared" si="907"/>
        <v/>
      </c>
      <c r="AF2458" s="57">
        <f t="shared" si="908"/>
        <v>0</v>
      </c>
      <c r="AG2458" s="59">
        <f t="shared" si="909"/>
        <v>0</v>
      </c>
      <c r="AH2458" s="15"/>
      <c r="AI2458" s="15"/>
      <c r="AJ2458" s="15"/>
      <c r="AK2458" s="15"/>
      <c r="AL2458" s="15"/>
      <c r="AM2458" s="15"/>
      <c r="AN2458" s="15"/>
      <c r="AO2458" s="15"/>
      <c r="AP2458" s="15"/>
      <c r="AQ2458" s="15"/>
      <c r="AR2458" s="15"/>
      <c r="AS2458" s="15"/>
      <c r="AT2458" s="15"/>
      <c r="AU2458" s="15"/>
    </row>
    <row r="2459" ht="24.0" customHeight="1">
      <c r="A2459" s="45">
        <v>3883.0</v>
      </c>
      <c r="B2459" s="57"/>
      <c r="C2459" s="57"/>
      <c r="D2459" s="88" t="str">
        <f t="array" ref="D2459">IFERROR(
  LOOKUP(2, 1/((TRIM(IMS!$E$8:$E$2574)=TRIM(IMS!$E2459))*(IMS!$C$8:$C$2574&lt;IMS!$C2459)),
         IMS!$C$8:$C$2574),
"")</f>
        <v/>
      </c>
      <c r="E2459" s="57"/>
      <c r="F2459" s="57"/>
      <c r="G2459" s="77" t="str">
        <f t="shared" si="901"/>
        <v/>
      </c>
      <c r="H2459" s="78" t="str">
        <f t="shared" si="902"/>
        <v/>
      </c>
      <c r="I2459" s="79"/>
      <c r="J2459" s="80" t="str">
        <f t="shared" si="903"/>
        <v>#NAME?</v>
      </c>
      <c r="K2459" s="58"/>
      <c r="L2459" s="58"/>
      <c r="M2459" s="57"/>
      <c r="N2459" s="57"/>
      <c r="O2459" s="58"/>
      <c r="P2459" s="82"/>
      <c r="Q2459" s="81"/>
      <c r="R2459" s="81"/>
      <c r="S2459" s="57"/>
      <c r="T2459" s="82"/>
      <c r="U2459" s="82"/>
      <c r="V2459" s="57"/>
      <c r="W2459" s="57"/>
      <c r="X2459" s="57" t="str">
        <f t="shared" si="917"/>
        <v/>
      </c>
      <c r="Y2459" s="58" t="str">
        <f t="shared" ref="Y2459:AC2459" si="2299">TRIM(SUBSTITUTE(SUBSTITUTE(OFFSET($Q2459,0,COLUMN()-COLUMN($AL$1)),CHAR(160)," "),_xludf.UNICHAR(8239)," "))</f>
        <v>#NAME?</v>
      </c>
      <c r="Z2459" s="58" t="str">
        <f t="shared" si="2299"/>
        <v>#NAME?</v>
      </c>
      <c r="AA2459" s="58" t="str">
        <f t="shared" si="2299"/>
        <v>#NAME?</v>
      </c>
      <c r="AB2459" s="58" t="str">
        <f t="shared" si="2299"/>
        <v>#NAME?</v>
      </c>
      <c r="AC2459" s="58" t="str">
        <f t="shared" si="2299"/>
        <v>#NAME?</v>
      </c>
      <c r="AD2459" s="57">
        <f t="shared" si="906"/>
        <v>0</v>
      </c>
      <c r="AE2459" s="57" t="str">
        <f t="shared" si="907"/>
        <v/>
      </c>
      <c r="AF2459" s="57">
        <f t="shared" si="908"/>
        <v>0</v>
      </c>
      <c r="AG2459" s="59">
        <f t="shared" si="909"/>
        <v>0</v>
      </c>
      <c r="AH2459" s="15"/>
      <c r="AI2459" s="15"/>
      <c r="AJ2459" s="15"/>
      <c r="AK2459" s="15"/>
      <c r="AL2459" s="15"/>
      <c r="AM2459" s="15"/>
      <c r="AN2459" s="15"/>
      <c r="AO2459" s="15"/>
      <c r="AP2459" s="15"/>
      <c r="AQ2459" s="15"/>
      <c r="AR2459" s="15"/>
      <c r="AS2459" s="15"/>
      <c r="AT2459" s="15"/>
      <c r="AU2459" s="15"/>
    </row>
    <row r="2460" ht="24.0" customHeight="1">
      <c r="A2460" s="45">
        <v>3884.0</v>
      </c>
      <c r="B2460" s="57"/>
      <c r="C2460" s="57"/>
      <c r="D2460" s="88" t="str">
        <f t="array" ref="D2460">IFERROR(
  LOOKUP(2, 1/((TRIM(IMS!$E$8:$E$2574)=TRIM(IMS!$E2460))*(IMS!$C$8:$C$2574&lt;IMS!$C2460)),
         IMS!$C$8:$C$2574),
"")</f>
        <v/>
      </c>
      <c r="E2460" s="57"/>
      <c r="F2460" s="57"/>
      <c r="G2460" s="77" t="str">
        <f t="shared" si="901"/>
        <v/>
      </c>
      <c r="H2460" s="78" t="str">
        <f t="shared" si="902"/>
        <v/>
      </c>
      <c r="I2460" s="79"/>
      <c r="J2460" s="80" t="str">
        <f t="shared" si="903"/>
        <v>#NAME?</v>
      </c>
      <c r="K2460" s="58"/>
      <c r="L2460" s="58"/>
      <c r="M2460" s="57"/>
      <c r="N2460" s="57"/>
      <c r="O2460" s="58"/>
      <c r="P2460" s="82"/>
      <c r="Q2460" s="81"/>
      <c r="R2460" s="81"/>
      <c r="S2460" s="57"/>
      <c r="T2460" s="82"/>
      <c r="U2460" s="82"/>
      <c r="V2460" s="57"/>
      <c r="W2460" s="57"/>
      <c r="X2460" s="57" t="str">
        <f t="shared" si="917"/>
        <v/>
      </c>
      <c r="Y2460" s="58" t="str">
        <f t="shared" ref="Y2460:AC2460" si="2300">TRIM(SUBSTITUTE(SUBSTITUTE(OFFSET($Q2460,0,COLUMN()-COLUMN($AL$1)),CHAR(160)," "),_xludf.UNICHAR(8239)," "))</f>
        <v>#NAME?</v>
      </c>
      <c r="Z2460" s="58" t="str">
        <f t="shared" si="2300"/>
        <v>#NAME?</v>
      </c>
      <c r="AA2460" s="58" t="str">
        <f t="shared" si="2300"/>
        <v>#NAME?</v>
      </c>
      <c r="AB2460" s="58" t="str">
        <f t="shared" si="2300"/>
        <v>#NAME?</v>
      </c>
      <c r="AC2460" s="58" t="str">
        <f t="shared" si="2300"/>
        <v>#NAME?</v>
      </c>
      <c r="AD2460" s="57">
        <f t="shared" si="906"/>
        <v>0</v>
      </c>
      <c r="AE2460" s="57" t="str">
        <f t="shared" si="907"/>
        <v/>
      </c>
      <c r="AF2460" s="57">
        <f t="shared" si="908"/>
        <v>0</v>
      </c>
      <c r="AG2460" s="59">
        <f t="shared" si="909"/>
        <v>0</v>
      </c>
      <c r="AH2460" s="15"/>
      <c r="AI2460" s="15"/>
      <c r="AJ2460" s="15"/>
      <c r="AK2460" s="15"/>
      <c r="AL2460" s="15"/>
      <c r="AM2460" s="15"/>
      <c r="AN2460" s="15"/>
      <c r="AO2460" s="15"/>
      <c r="AP2460" s="15"/>
      <c r="AQ2460" s="15"/>
      <c r="AR2460" s="15"/>
      <c r="AS2460" s="15"/>
      <c r="AT2460" s="15"/>
      <c r="AU2460" s="15"/>
    </row>
    <row r="2461" ht="24.0" customHeight="1">
      <c r="A2461" s="45">
        <v>3885.0</v>
      </c>
      <c r="B2461" s="57"/>
      <c r="C2461" s="57"/>
      <c r="D2461" s="88" t="str">
        <f t="array" ref="D2461">IFERROR(
  LOOKUP(2, 1/((TRIM(IMS!$E$8:$E$2574)=TRIM(IMS!$E2461))*(IMS!$C$8:$C$2574&lt;IMS!$C2461)),
         IMS!$C$8:$C$2574),
"")</f>
        <v/>
      </c>
      <c r="E2461" s="57"/>
      <c r="F2461" s="57"/>
      <c r="G2461" s="77" t="str">
        <f t="shared" si="901"/>
        <v/>
      </c>
      <c r="H2461" s="78" t="str">
        <f t="shared" si="902"/>
        <v/>
      </c>
      <c r="I2461" s="79"/>
      <c r="J2461" s="80" t="str">
        <f t="shared" si="903"/>
        <v>#NAME?</v>
      </c>
      <c r="K2461" s="58"/>
      <c r="L2461" s="58"/>
      <c r="M2461" s="57"/>
      <c r="N2461" s="57"/>
      <c r="O2461" s="58"/>
      <c r="P2461" s="82"/>
      <c r="Q2461" s="81"/>
      <c r="R2461" s="81"/>
      <c r="S2461" s="57"/>
      <c r="T2461" s="82"/>
      <c r="U2461" s="82"/>
      <c r="V2461" s="57"/>
      <c r="W2461" s="57"/>
      <c r="X2461" s="57" t="str">
        <f t="shared" si="917"/>
        <v/>
      </c>
      <c r="Y2461" s="58" t="str">
        <f t="shared" ref="Y2461:AC2461" si="2301">TRIM(SUBSTITUTE(SUBSTITUTE(OFFSET($Q2461,0,COLUMN()-COLUMN($AL$1)),CHAR(160)," "),_xludf.UNICHAR(8239)," "))</f>
        <v>#NAME?</v>
      </c>
      <c r="Z2461" s="58" t="str">
        <f t="shared" si="2301"/>
        <v>#NAME?</v>
      </c>
      <c r="AA2461" s="58" t="str">
        <f t="shared" si="2301"/>
        <v>#NAME?</v>
      </c>
      <c r="AB2461" s="58" t="str">
        <f t="shared" si="2301"/>
        <v>#NAME?</v>
      </c>
      <c r="AC2461" s="58" t="str">
        <f t="shared" si="2301"/>
        <v>#NAME?</v>
      </c>
      <c r="AD2461" s="57">
        <f t="shared" si="906"/>
        <v>0</v>
      </c>
      <c r="AE2461" s="57" t="str">
        <f t="shared" si="907"/>
        <v/>
      </c>
      <c r="AF2461" s="57">
        <f t="shared" si="908"/>
        <v>0</v>
      </c>
      <c r="AG2461" s="59">
        <f t="shared" si="909"/>
        <v>0</v>
      </c>
      <c r="AH2461" s="15"/>
      <c r="AI2461" s="15"/>
      <c r="AJ2461" s="15"/>
      <c r="AK2461" s="15"/>
      <c r="AL2461" s="15"/>
      <c r="AM2461" s="15"/>
      <c r="AN2461" s="15"/>
      <c r="AO2461" s="15"/>
      <c r="AP2461" s="15"/>
      <c r="AQ2461" s="15"/>
      <c r="AR2461" s="15"/>
      <c r="AS2461" s="15"/>
      <c r="AT2461" s="15"/>
      <c r="AU2461" s="15"/>
    </row>
    <row r="2462" ht="24.0" customHeight="1">
      <c r="A2462" s="45">
        <v>3886.0</v>
      </c>
      <c r="B2462" s="57"/>
      <c r="C2462" s="57"/>
      <c r="D2462" s="88" t="str">
        <f t="array" ref="D2462">IFERROR(
  LOOKUP(2, 1/((TRIM(IMS!$E$8:$E$2574)=TRIM(IMS!$E2462))*(IMS!$C$8:$C$2574&lt;IMS!$C2462)),
         IMS!$C$8:$C$2574),
"")</f>
        <v/>
      </c>
      <c r="E2462" s="57"/>
      <c r="F2462" s="57"/>
      <c r="G2462" s="77" t="str">
        <f t="shared" si="901"/>
        <v/>
      </c>
      <c r="H2462" s="78" t="str">
        <f t="shared" si="902"/>
        <v/>
      </c>
      <c r="I2462" s="79"/>
      <c r="J2462" s="80" t="str">
        <f t="shared" si="903"/>
        <v>#NAME?</v>
      </c>
      <c r="K2462" s="58"/>
      <c r="L2462" s="58"/>
      <c r="M2462" s="57"/>
      <c r="N2462" s="57"/>
      <c r="O2462" s="58"/>
      <c r="P2462" s="82"/>
      <c r="Q2462" s="81"/>
      <c r="R2462" s="81"/>
      <c r="S2462" s="57"/>
      <c r="T2462" s="82"/>
      <c r="U2462" s="82"/>
      <c r="V2462" s="57"/>
      <c r="W2462" s="57"/>
      <c r="X2462" s="57" t="str">
        <f t="shared" si="917"/>
        <v/>
      </c>
      <c r="Y2462" s="58" t="str">
        <f t="shared" ref="Y2462:AC2462" si="2302">TRIM(SUBSTITUTE(SUBSTITUTE(OFFSET($Q2462,0,COLUMN()-COLUMN($AL$1)),CHAR(160)," "),_xludf.UNICHAR(8239)," "))</f>
        <v>#NAME?</v>
      </c>
      <c r="Z2462" s="58" t="str">
        <f t="shared" si="2302"/>
        <v>#NAME?</v>
      </c>
      <c r="AA2462" s="58" t="str">
        <f t="shared" si="2302"/>
        <v>#NAME?</v>
      </c>
      <c r="AB2462" s="58" t="str">
        <f t="shared" si="2302"/>
        <v>#NAME?</v>
      </c>
      <c r="AC2462" s="58" t="str">
        <f t="shared" si="2302"/>
        <v>#NAME?</v>
      </c>
      <c r="AD2462" s="57">
        <f t="shared" si="906"/>
        <v>0</v>
      </c>
      <c r="AE2462" s="57" t="str">
        <f t="shared" si="907"/>
        <v/>
      </c>
      <c r="AF2462" s="57">
        <f t="shared" si="908"/>
        <v>0</v>
      </c>
      <c r="AG2462" s="59">
        <f t="shared" si="909"/>
        <v>0</v>
      </c>
      <c r="AH2462" s="15"/>
      <c r="AI2462" s="15"/>
      <c r="AJ2462" s="15"/>
      <c r="AK2462" s="15"/>
      <c r="AL2462" s="15"/>
      <c r="AM2462" s="15"/>
      <c r="AN2462" s="15"/>
      <c r="AO2462" s="15"/>
      <c r="AP2462" s="15"/>
      <c r="AQ2462" s="15"/>
      <c r="AR2462" s="15"/>
      <c r="AS2462" s="15"/>
      <c r="AT2462" s="15"/>
      <c r="AU2462" s="15"/>
    </row>
    <row r="2463" ht="24.0" customHeight="1">
      <c r="A2463" s="45">
        <v>3887.0</v>
      </c>
      <c r="B2463" s="57"/>
      <c r="C2463" s="57"/>
      <c r="D2463" s="88" t="str">
        <f t="array" ref="D2463">IFERROR(
  LOOKUP(2, 1/((TRIM(IMS!$E$8:$E$2574)=TRIM(IMS!$E2463))*(IMS!$C$8:$C$2574&lt;IMS!$C2463)),
         IMS!$C$8:$C$2574),
"")</f>
        <v/>
      </c>
      <c r="E2463" s="57"/>
      <c r="F2463" s="57"/>
      <c r="G2463" s="77" t="str">
        <f t="shared" si="901"/>
        <v/>
      </c>
      <c r="H2463" s="78" t="str">
        <f t="shared" si="902"/>
        <v/>
      </c>
      <c r="I2463" s="79"/>
      <c r="J2463" s="80" t="str">
        <f t="shared" si="903"/>
        <v>#NAME?</v>
      </c>
      <c r="K2463" s="58"/>
      <c r="L2463" s="58"/>
      <c r="M2463" s="57"/>
      <c r="N2463" s="57"/>
      <c r="O2463" s="58"/>
      <c r="P2463" s="82"/>
      <c r="Q2463" s="81"/>
      <c r="R2463" s="81"/>
      <c r="S2463" s="57"/>
      <c r="T2463" s="82"/>
      <c r="U2463" s="82"/>
      <c r="V2463" s="57"/>
      <c r="W2463" s="57"/>
      <c r="X2463" s="57" t="str">
        <f t="shared" si="917"/>
        <v/>
      </c>
      <c r="Y2463" s="58" t="str">
        <f t="shared" ref="Y2463:AC2463" si="2303">TRIM(SUBSTITUTE(SUBSTITUTE(OFFSET($Q2463,0,COLUMN()-COLUMN($AL$1)),CHAR(160)," "),_xludf.UNICHAR(8239)," "))</f>
        <v>#NAME?</v>
      </c>
      <c r="Z2463" s="58" t="str">
        <f t="shared" si="2303"/>
        <v>#NAME?</v>
      </c>
      <c r="AA2463" s="58" t="str">
        <f t="shared" si="2303"/>
        <v>#NAME?</v>
      </c>
      <c r="AB2463" s="58" t="str">
        <f t="shared" si="2303"/>
        <v>#NAME?</v>
      </c>
      <c r="AC2463" s="58" t="str">
        <f t="shared" si="2303"/>
        <v>#NAME?</v>
      </c>
      <c r="AD2463" s="57">
        <f t="shared" si="906"/>
        <v>0</v>
      </c>
      <c r="AE2463" s="57" t="str">
        <f t="shared" si="907"/>
        <v/>
      </c>
      <c r="AF2463" s="57">
        <f t="shared" si="908"/>
        <v>0</v>
      </c>
      <c r="AG2463" s="59">
        <f t="shared" si="909"/>
        <v>0</v>
      </c>
      <c r="AH2463" s="15"/>
      <c r="AI2463" s="15"/>
      <c r="AJ2463" s="15"/>
      <c r="AK2463" s="15"/>
      <c r="AL2463" s="15"/>
      <c r="AM2463" s="15"/>
      <c r="AN2463" s="15"/>
      <c r="AO2463" s="15"/>
      <c r="AP2463" s="15"/>
      <c r="AQ2463" s="15"/>
      <c r="AR2463" s="15"/>
      <c r="AS2463" s="15"/>
      <c r="AT2463" s="15"/>
      <c r="AU2463" s="15"/>
    </row>
    <row r="2464" ht="24.0" customHeight="1">
      <c r="A2464" s="45">
        <v>3888.0</v>
      </c>
      <c r="B2464" s="57"/>
      <c r="C2464" s="57"/>
      <c r="D2464" s="88" t="str">
        <f t="array" ref="D2464">IFERROR(
  LOOKUP(2, 1/((TRIM(IMS!$E$8:$E$2574)=TRIM(IMS!$E2464))*(IMS!$C$8:$C$2574&lt;IMS!$C2464)),
         IMS!$C$8:$C$2574),
"")</f>
        <v/>
      </c>
      <c r="E2464" s="57"/>
      <c r="F2464" s="57"/>
      <c r="G2464" s="77" t="str">
        <f t="shared" si="901"/>
        <v/>
      </c>
      <c r="H2464" s="78" t="str">
        <f t="shared" si="902"/>
        <v/>
      </c>
      <c r="I2464" s="79"/>
      <c r="J2464" s="80" t="str">
        <f t="shared" si="903"/>
        <v>#NAME?</v>
      </c>
      <c r="K2464" s="58"/>
      <c r="L2464" s="58"/>
      <c r="M2464" s="57"/>
      <c r="N2464" s="57"/>
      <c r="O2464" s="58"/>
      <c r="P2464" s="82"/>
      <c r="Q2464" s="81"/>
      <c r="R2464" s="81"/>
      <c r="S2464" s="57"/>
      <c r="T2464" s="82"/>
      <c r="U2464" s="82"/>
      <c r="V2464" s="57"/>
      <c r="W2464" s="57"/>
      <c r="X2464" s="57" t="str">
        <f t="shared" si="917"/>
        <v/>
      </c>
      <c r="Y2464" s="58" t="str">
        <f t="shared" ref="Y2464:AC2464" si="2304">TRIM(SUBSTITUTE(SUBSTITUTE(OFFSET($Q2464,0,COLUMN()-COLUMN($AL$1)),CHAR(160)," "),_xludf.UNICHAR(8239)," "))</f>
        <v>#NAME?</v>
      </c>
      <c r="Z2464" s="58" t="str">
        <f t="shared" si="2304"/>
        <v>#NAME?</v>
      </c>
      <c r="AA2464" s="58" t="str">
        <f t="shared" si="2304"/>
        <v>#NAME?</v>
      </c>
      <c r="AB2464" s="58" t="str">
        <f t="shared" si="2304"/>
        <v>#NAME?</v>
      </c>
      <c r="AC2464" s="58" t="str">
        <f t="shared" si="2304"/>
        <v>#NAME?</v>
      </c>
      <c r="AD2464" s="57">
        <f t="shared" si="906"/>
        <v>0</v>
      </c>
      <c r="AE2464" s="57" t="str">
        <f t="shared" si="907"/>
        <v/>
      </c>
      <c r="AF2464" s="57">
        <f t="shared" si="908"/>
        <v>0</v>
      </c>
      <c r="AG2464" s="59">
        <f t="shared" si="909"/>
        <v>0</v>
      </c>
      <c r="AH2464" s="15"/>
      <c r="AI2464" s="15"/>
      <c r="AJ2464" s="15"/>
      <c r="AK2464" s="15"/>
      <c r="AL2464" s="15"/>
      <c r="AM2464" s="15"/>
      <c r="AN2464" s="15"/>
      <c r="AO2464" s="15"/>
      <c r="AP2464" s="15"/>
      <c r="AQ2464" s="15"/>
      <c r="AR2464" s="15"/>
      <c r="AS2464" s="15"/>
      <c r="AT2464" s="15"/>
      <c r="AU2464" s="15"/>
    </row>
    <row r="2465" ht="24.0" customHeight="1">
      <c r="A2465" s="45">
        <v>3889.0</v>
      </c>
      <c r="B2465" s="57"/>
      <c r="C2465" s="57"/>
      <c r="D2465" s="88" t="str">
        <f t="array" ref="D2465">IFERROR(
  LOOKUP(2, 1/((TRIM(IMS!$E$8:$E$2574)=TRIM(IMS!$E2465))*(IMS!$C$8:$C$2574&lt;IMS!$C2465)),
         IMS!$C$8:$C$2574),
"")</f>
        <v/>
      </c>
      <c r="E2465" s="57"/>
      <c r="F2465" s="57"/>
      <c r="G2465" s="77" t="str">
        <f t="shared" si="901"/>
        <v/>
      </c>
      <c r="H2465" s="78" t="str">
        <f t="shared" si="902"/>
        <v/>
      </c>
      <c r="I2465" s="79"/>
      <c r="J2465" s="80" t="str">
        <f t="shared" si="903"/>
        <v>#NAME?</v>
      </c>
      <c r="K2465" s="58"/>
      <c r="L2465" s="58"/>
      <c r="M2465" s="57"/>
      <c r="N2465" s="57"/>
      <c r="O2465" s="58"/>
      <c r="P2465" s="82"/>
      <c r="Q2465" s="81"/>
      <c r="R2465" s="81"/>
      <c r="S2465" s="57"/>
      <c r="T2465" s="82"/>
      <c r="U2465" s="82"/>
      <c r="V2465" s="57"/>
      <c r="W2465" s="57"/>
      <c r="X2465" s="57" t="str">
        <f t="shared" si="917"/>
        <v/>
      </c>
      <c r="Y2465" s="58" t="str">
        <f t="shared" ref="Y2465:AC2465" si="2305">TRIM(SUBSTITUTE(SUBSTITUTE(OFFSET($Q2465,0,COLUMN()-COLUMN($AL$1)),CHAR(160)," "),_xludf.UNICHAR(8239)," "))</f>
        <v>#NAME?</v>
      </c>
      <c r="Z2465" s="58" t="str">
        <f t="shared" si="2305"/>
        <v>#NAME?</v>
      </c>
      <c r="AA2465" s="58" t="str">
        <f t="shared" si="2305"/>
        <v>#NAME?</v>
      </c>
      <c r="AB2465" s="58" t="str">
        <f t="shared" si="2305"/>
        <v>#NAME?</v>
      </c>
      <c r="AC2465" s="58" t="str">
        <f t="shared" si="2305"/>
        <v>#NAME?</v>
      </c>
      <c r="AD2465" s="57">
        <f t="shared" si="906"/>
        <v>0</v>
      </c>
      <c r="AE2465" s="57" t="str">
        <f t="shared" si="907"/>
        <v/>
      </c>
      <c r="AF2465" s="57">
        <f t="shared" si="908"/>
        <v>0</v>
      </c>
      <c r="AG2465" s="59">
        <f t="shared" si="909"/>
        <v>0</v>
      </c>
      <c r="AH2465" s="15"/>
      <c r="AI2465" s="15"/>
      <c r="AJ2465" s="15"/>
      <c r="AK2465" s="15"/>
      <c r="AL2465" s="15"/>
      <c r="AM2465" s="15"/>
      <c r="AN2465" s="15"/>
      <c r="AO2465" s="15"/>
      <c r="AP2465" s="15"/>
      <c r="AQ2465" s="15"/>
      <c r="AR2465" s="15"/>
      <c r="AS2465" s="15"/>
      <c r="AT2465" s="15"/>
      <c r="AU2465" s="15"/>
    </row>
    <row r="2466" ht="24.0" customHeight="1">
      <c r="A2466" s="45">
        <v>3890.0</v>
      </c>
      <c r="B2466" s="57"/>
      <c r="C2466" s="57"/>
      <c r="D2466" s="88" t="str">
        <f t="array" ref="D2466">IFERROR(
  LOOKUP(2, 1/((TRIM(IMS!$E$8:$E$2574)=TRIM(IMS!$E2466))*(IMS!$C$8:$C$2574&lt;IMS!$C2466)),
         IMS!$C$8:$C$2574),
"")</f>
        <v/>
      </c>
      <c r="E2466" s="57"/>
      <c r="F2466" s="57"/>
      <c r="G2466" s="77" t="str">
        <f t="shared" si="901"/>
        <v/>
      </c>
      <c r="H2466" s="78" t="str">
        <f t="shared" si="902"/>
        <v/>
      </c>
      <c r="I2466" s="79"/>
      <c r="J2466" s="80" t="str">
        <f t="shared" si="903"/>
        <v>#NAME?</v>
      </c>
      <c r="K2466" s="58"/>
      <c r="L2466" s="58"/>
      <c r="M2466" s="57"/>
      <c r="N2466" s="57"/>
      <c r="O2466" s="58"/>
      <c r="P2466" s="82"/>
      <c r="Q2466" s="81"/>
      <c r="R2466" s="81"/>
      <c r="S2466" s="57"/>
      <c r="T2466" s="82"/>
      <c r="U2466" s="82"/>
      <c r="V2466" s="57"/>
      <c r="W2466" s="57"/>
      <c r="X2466" s="57" t="str">
        <f t="shared" si="917"/>
        <v/>
      </c>
      <c r="Y2466" s="58" t="str">
        <f t="shared" ref="Y2466:AC2466" si="2306">TRIM(SUBSTITUTE(SUBSTITUTE(OFFSET($Q2466,0,COLUMN()-COLUMN($AL$1)),CHAR(160)," "),_xludf.UNICHAR(8239)," "))</f>
        <v>#NAME?</v>
      </c>
      <c r="Z2466" s="58" t="str">
        <f t="shared" si="2306"/>
        <v>#NAME?</v>
      </c>
      <c r="AA2466" s="58" t="str">
        <f t="shared" si="2306"/>
        <v>#NAME?</v>
      </c>
      <c r="AB2466" s="58" t="str">
        <f t="shared" si="2306"/>
        <v>#NAME?</v>
      </c>
      <c r="AC2466" s="58" t="str">
        <f t="shared" si="2306"/>
        <v>#NAME?</v>
      </c>
      <c r="AD2466" s="57">
        <f t="shared" si="906"/>
        <v>0</v>
      </c>
      <c r="AE2466" s="57" t="str">
        <f t="shared" si="907"/>
        <v/>
      </c>
      <c r="AF2466" s="57">
        <f t="shared" si="908"/>
        <v>0</v>
      </c>
      <c r="AG2466" s="59">
        <f t="shared" si="909"/>
        <v>0</v>
      </c>
      <c r="AH2466" s="15"/>
      <c r="AI2466" s="15"/>
      <c r="AJ2466" s="15"/>
      <c r="AK2466" s="15"/>
      <c r="AL2466" s="15"/>
      <c r="AM2466" s="15"/>
      <c r="AN2466" s="15"/>
      <c r="AO2466" s="15"/>
      <c r="AP2466" s="15"/>
      <c r="AQ2466" s="15"/>
      <c r="AR2466" s="15"/>
      <c r="AS2466" s="15"/>
      <c r="AT2466" s="15"/>
      <c r="AU2466" s="15"/>
    </row>
    <row r="2467" ht="24.0" customHeight="1">
      <c r="A2467" s="45">
        <v>3891.0</v>
      </c>
      <c r="B2467" s="57"/>
      <c r="C2467" s="57"/>
      <c r="D2467" s="88" t="str">
        <f t="array" ref="D2467">IFERROR(
  LOOKUP(2, 1/((TRIM(IMS!$E$8:$E$2574)=TRIM(IMS!$E2467))*(IMS!$C$8:$C$2574&lt;IMS!$C2467)),
         IMS!$C$8:$C$2574),
"")</f>
        <v/>
      </c>
      <c r="E2467" s="57"/>
      <c r="F2467" s="57"/>
      <c r="G2467" s="77" t="str">
        <f t="shared" si="901"/>
        <v/>
      </c>
      <c r="H2467" s="78" t="str">
        <f t="shared" si="902"/>
        <v/>
      </c>
      <c r="I2467" s="79"/>
      <c r="J2467" s="80" t="str">
        <f t="shared" si="903"/>
        <v>#NAME?</v>
      </c>
      <c r="K2467" s="58"/>
      <c r="L2467" s="58"/>
      <c r="M2467" s="57"/>
      <c r="N2467" s="57"/>
      <c r="O2467" s="58"/>
      <c r="P2467" s="82"/>
      <c r="Q2467" s="81"/>
      <c r="R2467" s="81"/>
      <c r="S2467" s="57"/>
      <c r="T2467" s="82"/>
      <c r="U2467" s="82"/>
      <c r="V2467" s="57"/>
      <c r="W2467" s="57"/>
      <c r="X2467" s="57" t="str">
        <f t="shared" si="917"/>
        <v/>
      </c>
      <c r="Y2467" s="58" t="str">
        <f t="shared" ref="Y2467:AC2467" si="2307">TRIM(SUBSTITUTE(SUBSTITUTE(OFFSET($Q2467,0,COLUMN()-COLUMN($AL$1)),CHAR(160)," "),_xludf.UNICHAR(8239)," "))</f>
        <v>#NAME?</v>
      </c>
      <c r="Z2467" s="58" t="str">
        <f t="shared" si="2307"/>
        <v>#NAME?</v>
      </c>
      <c r="AA2467" s="58" t="str">
        <f t="shared" si="2307"/>
        <v>#NAME?</v>
      </c>
      <c r="AB2467" s="58" t="str">
        <f t="shared" si="2307"/>
        <v>#NAME?</v>
      </c>
      <c r="AC2467" s="58" t="str">
        <f t="shared" si="2307"/>
        <v>#NAME?</v>
      </c>
      <c r="AD2467" s="57">
        <f t="shared" si="906"/>
        <v>0</v>
      </c>
      <c r="AE2467" s="57" t="str">
        <f t="shared" si="907"/>
        <v/>
      </c>
      <c r="AF2467" s="57">
        <f t="shared" si="908"/>
        <v>0</v>
      </c>
      <c r="AG2467" s="59">
        <f t="shared" si="909"/>
        <v>0</v>
      </c>
      <c r="AH2467" s="15"/>
      <c r="AI2467" s="15"/>
      <c r="AJ2467" s="15"/>
      <c r="AK2467" s="15"/>
      <c r="AL2467" s="15"/>
      <c r="AM2467" s="15"/>
      <c r="AN2467" s="15"/>
      <c r="AO2467" s="15"/>
      <c r="AP2467" s="15"/>
      <c r="AQ2467" s="15"/>
      <c r="AR2467" s="15"/>
      <c r="AS2467" s="15"/>
      <c r="AT2467" s="15"/>
      <c r="AU2467" s="15"/>
    </row>
    <row r="2468" ht="24.0" customHeight="1">
      <c r="A2468" s="45">
        <v>3892.0</v>
      </c>
      <c r="B2468" s="57"/>
      <c r="C2468" s="57"/>
      <c r="D2468" s="88" t="str">
        <f t="array" ref="D2468">IFERROR(
  LOOKUP(2, 1/((TRIM(IMS!$E$8:$E$2574)=TRIM(IMS!$E2468))*(IMS!$C$8:$C$2574&lt;IMS!$C2468)),
         IMS!$C$8:$C$2574),
"")</f>
        <v/>
      </c>
      <c r="E2468" s="57"/>
      <c r="F2468" s="57"/>
      <c r="G2468" s="77" t="str">
        <f t="shared" si="901"/>
        <v/>
      </c>
      <c r="H2468" s="78" t="str">
        <f t="shared" si="902"/>
        <v/>
      </c>
      <c r="I2468" s="79"/>
      <c r="J2468" s="80" t="str">
        <f t="shared" si="903"/>
        <v>#NAME?</v>
      </c>
      <c r="K2468" s="58"/>
      <c r="L2468" s="58"/>
      <c r="M2468" s="57"/>
      <c r="N2468" s="57"/>
      <c r="O2468" s="58"/>
      <c r="P2468" s="82"/>
      <c r="Q2468" s="81"/>
      <c r="R2468" s="81"/>
      <c r="S2468" s="57"/>
      <c r="T2468" s="82"/>
      <c r="U2468" s="82"/>
      <c r="V2468" s="57"/>
      <c r="W2468" s="57"/>
      <c r="X2468" s="57" t="str">
        <f t="shared" si="917"/>
        <v/>
      </c>
      <c r="Y2468" s="58" t="str">
        <f t="shared" ref="Y2468:AC2468" si="2308">TRIM(SUBSTITUTE(SUBSTITUTE(OFFSET($Q2468,0,COLUMN()-COLUMN($AL$1)),CHAR(160)," "),_xludf.UNICHAR(8239)," "))</f>
        <v>#NAME?</v>
      </c>
      <c r="Z2468" s="58" t="str">
        <f t="shared" si="2308"/>
        <v>#NAME?</v>
      </c>
      <c r="AA2468" s="58" t="str">
        <f t="shared" si="2308"/>
        <v>#NAME?</v>
      </c>
      <c r="AB2468" s="58" t="str">
        <f t="shared" si="2308"/>
        <v>#NAME?</v>
      </c>
      <c r="AC2468" s="58" t="str">
        <f t="shared" si="2308"/>
        <v>#NAME?</v>
      </c>
      <c r="AD2468" s="57">
        <f t="shared" si="906"/>
        <v>0</v>
      </c>
      <c r="AE2468" s="57" t="str">
        <f t="shared" si="907"/>
        <v/>
      </c>
      <c r="AF2468" s="57">
        <f t="shared" si="908"/>
        <v>0</v>
      </c>
      <c r="AG2468" s="59">
        <f t="shared" si="909"/>
        <v>0</v>
      </c>
      <c r="AH2468" s="15"/>
      <c r="AI2468" s="15"/>
      <c r="AJ2468" s="15"/>
      <c r="AK2468" s="15"/>
      <c r="AL2468" s="15"/>
      <c r="AM2468" s="15"/>
      <c r="AN2468" s="15"/>
      <c r="AO2468" s="15"/>
      <c r="AP2468" s="15"/>
      <c r="AQ2468" s="15"/>
      <c r="AR2468" s="15"/>
      <c r="AS2468" s="15"/>
      <c r="AT2468" s="15"/>
      <c r="AU2468" s="15"/>
    </row>
    <row r="2469" ht="24.0" customHeight="1">
      <c r="A2469" s="45">
        <v>3893.0</v>
      </c>
      <c r="B2469" s="57"/>
      <c r="C2469" s="57"/>
      <c r="D2469" s="88" t="str">
        <f t="array" ref="D2469">IFERROR(
  LOOKUP(2, 1/((TRIM(IMS!$E$8:$E$2574)=TRIM(IMS!$E2469))*(IMS!$C$8:$C$2574&lt;IMS!$C2469)),
         IMS!$C$8:$C$2574),
"")</f>
        <v/>
      </c>
      <c r="E2469" s="57"/>
      <c r="F2469" s="57"/>
      <c r="G2469" s="77" t="str">
        <f t="shared" si="901"/>
        <v/>
      </c>
      <c r="H2469" s="78" t="str">
        <f t="shared" si="902"/>
        <v/>
      </c>
      <c r="I2469" s="79"/>
      <c r="J2469" s="80" t="str">
        <f t="shared" si="903"/>
        <v>#NAME?</v>
      </c>
      <c r="K2469" s="58"/>
      <c r="L2469" s="58"/>
      <c r="M2469" s="57"/>
      <c r="N2469" s="57"/>
      <c r="O2469" s="58"/>
      <c r="P2469" s="82"/>
      <c r="Q2469" s="81"/>
      <c r="R2469" s="81"/>
      <c r="S2469" s="57"/>
      <c r="T2469" s="82"/>
      <c r="U2469" s="82"/>
      <c r="V2469" s="57"/>
      <c r="W2469" s="57"/>
      <c r="X2469" s="57" t="str">
        <f t="shared" si="917"/>
        <v/>
      </c>
      <c r="Y2469" s="58" t="str">
        <f t="shared" ref="Y2469:AC2469" si="2309">TRIM(SUBSTITUTE(SUBSTITUTE(OFFSET($Q2469,0,COLUMN()-COLUMN($AL$1)),CHAR(160)," "),_xludf.UNICHAR(8239)," "))</f>
        <v>#NAME?</v>
      </c>
      <c r="Z2469" s="58" t="str">
        <f t="shared" si="2309"/>
        <v>#NAME?</v>
      </c>
      <c r="AA2469" s="58" t="str">
        <f t="shared" si="2309"/>
        <v>#NAME?</v>
      </c>
      <c r="AB2469" s="58" t="str">
        <f t="shared" si="2309"/>
        <v>#NAME?</v>
      </c>
      <c r="AC2469" s="58" t="str">
        <f t="shared" si="2309"/>
        <v>#NAME?</v>
      </c>
      <c r="AD2469" s="57">
        <f t="shared" si="906"/>
        <v>0</v>
      </c>
      <c r="AE2469" s="57" t="str">
        <f t="shared" si="907"/>
        <v/>
      </c>
      <c r="AF2469" s="57">
        <f t="shared" si="908"/>
        <v>0</v>
      </c>
      <c r="AG2469" s="59">
        <f t="shared" si="909"/>
        <v>0</v>
      </c>
      <c r="AH2469" s="15"/>
      <c r="AI2469" s="15"/>
      <c r="AJ2469" s="15"/>
      <c r="AK2469" s="15"/>
      <c r="AL2469" s="15"/>
      <c r="AM2469" s="15"/>
      <c r="AN2469" s="15"/>
      <c r="AO2469" s="15"/>
      <c r="AP2469" s="15"/>
      <c r="AQ2469" s="15"/>
      <c r="AR2469" s="15"/>
      <c r="AS2469" s="15"/>
      <c r="AT2469" s="15"/>
      <c r="AU2469" s="15"/>
    </row>
    <row r="2470" ht="24.0" customHeight="1">
      <c r="A2470" s="45">
        <v>3894.0</v>
      </c>
      <c r="B2470" s="57"/>
      <c r="C2470" s="57"/>
      <c r="D2470" s="88" t="str">
        <f t="array" ref="D2470">IFERROR(
  LOOKUP(2, 1/((TRIM(IMS!$E$8:$E$2574)=TRIM(IMS!$E2470))*(IMS!$C$8:$C$2574&lt;IMS!$C2470)),
         IMS!$C$8:$C$2574),
"")</f>
        <v/>
      </c>
      <c r="E2470" s="57"/>
      <c r="F2470" s="57"/>
      <c r="G2470" s="77" t="str">
        <f t="shared" si="901"/>
        <v/>
      </c>
      <c r="H2470" s="78" t="str">
        <f t="shared" si="902"/>
        <v/>
      </c>
      <c r="I2470" s="79"/>
      <c r="J2470" s="80" t="str">
        <f t="shared" si="903"/>
        <v>#NAME?</v>
      </c>
      <c r="K2470" s="58"/>
      <c r="L2470" s="58"/>
      <c r="M2470" s="57"/>
      <c r="N2470" s="57"/>
      <c r="O2470" s="58"/>
      <c r="P2470" s="82"/>
      <c r="Q2470" s="81"/>
      <c r="R2470" s="81"/>
      <c r="S2470" s="57"/>
      <c r="T2470" s="82"/>
      <c r="U2470" s="82"/>
      <c r="V2470" s="57"/>
      <c r="W2470" s="57"/>
      <c r="X2470" s="57" t="str">
        <f t="shared" si="917"/>
        <v/>
      </c>
      <c r="Y2470" s="58" t="str">
        <f t="shared" ref="Y2470:AC2470" si="2310">TRIM(SUBSTITUTE(SUBSTITUTE(OFFSET($Q2470,0,COLUMN()-COLUMN($AL$1)),CHAR(160)," "),_xludf.UNICHAR(8239)," "))</f>
        <v>#NAME?</v>
      </c>
      <c r="Z2470" s="58" t="str">
        <f t="shared" si="2310"/>
        <v>#NAME?</v>
      </c>
      <c r="AA2470" s="58" t="str">
        <f t="shared" si="2310"/>
        <v>#NAME?</v>
      </c>
      <c r="AB2470" s="58" t="str">
        <f t="shared" si="2310"/>
        <v>#NAME?</v>
      </c>
      <c r="AC2470" s="58" t="str">
        <f t="shared" si="2310"/>
        <v>#NAME?</v>
      </c>
      <c r="AD2470" s="57">
        <f t="shared" si="906"/>
        <v>0</v>
      </c>
      <c r="AE2470" s="57" t="str">
        <f t="shared" si="907"/>
        <v/>
      </c>
      <c r="AF2470" s="57">
        <f t="shared" si="908"/>
        <v>0</v>
      </c>
      <c r="AG2470" s="59">
        <f t="shared" si="909"/>
        <v>0</v>
      </c>
      <c r="AH2470" s="15"/>
      <c r="AI2470" s="15"/>
      <c r="AJ2470" s="15"/>
      <c r="AK2470" s="15"/>
      <c r="AL2470" s="15"/>
      <c r="AM2470" s="15"/>
      <c r="AN2470" s="15"/>
      <c r="AO2470" s="15"/>
      <c r="AP2470" s="15"/>
      <c r="AQ2470" s="15"/>
      <c r="AR2470" s="15"/>
      <c r="AS2470" s="15"/>
      <c r="AT2470" s="15"/>
      <c r="AU2470" s="15"/>
    </row>
    <row r="2471" ht="24.0" customHeight="1">
      <c r="A2471" s="45">
        <v>3895.0</v>
      </c>
      <c r="B2471" s="57"/>
      <c r="C2471" s="57"/>
      <c r="D2471" s="88" t="str">
        <f t="array" ref="D2471">IFERROR(
  LOOKUP(2, 1/((TRIM(IMS!$E$8:$E$2574)=TRIM(IMS!$E2471))*(IMS!$C$8:$C$2574&lt;IMS!$C2471)),
         IMS!$C$8:$C$2574),
"")</f>
        <v/>
      </c>
      <c r="E2471" s="57"/>
      <c r="F2471" s="57"/>
      <c r="G2471" s="77" t="str">
        <f t="shared" si="901"/>
        <v/>
      </c>
      <c r="H2471" s="78" t="str">
        <f t="shared" si="902"/>
        <v/>
      </c>
      <c r="I2471" s="79"/>
      <c r="J2471" s="80" t="str">
        <f t="shared" si="903"/>
        <v>#NAME?</v>
      </c>
      <c r="K2471" s="58"/>
      <c r="L2471" s="58"/>
      <c r="M2471" s="57"/>
      <c r="N2471" s="57"/>
      <c r="O2471" s="58"/>
      <c r="P2471" s="82"/>
      <c r="Q2471" s="81"/>
      <c r="R2471" s="81"/>
      <c r="S2471" s="57"/>
      <c r="T2471" s="82"/>
      <c r="U2471" s="82"/>
      <c r="V2471" s="57"/>
      <c r="W2471" s="57"/>
      <c r="X2471" s="57" t="str">
        <f t="shared" si="917"/>
        <v/>
      </c>
      <c r="Y2471" s="58" t="str">
        <f t="shared" ref="Y2471:AC2471" si="2311">TRIM(SUBSTITUTE(SUBSTITUTE(OFFSET($Q2471,0,COLUMN()-COLUMN($AL$1)),CHAR(160)," "),_xludf.UNICHAR(8239)," "))</f>
        <v>#NAME?</v>
      </c>
      <c r="Z2471" s="58" t="str">
        <f t="shared" si="2311"/>
        <v>#NAME?</v>
      </c>
      <c r="AA2471" s="58" t="str">
        <f t="shared" si="2311"/>
        <v>#NAME?</v>
      </c>
      <c r="AB2471" s="58" t="str">
        <f t="shared" si="2311"/>
        <v>#NAME?</v>
      </c>
      <c r="AC2471" s="58" t="str">
        <f t="shared" si="2311"/>
        <v>#NAME?</v>
      </c>
      <c r="AD2471" s="57">
        <f t="shared" si="906"/>
        <v>0</v>
      </c>
      <c r="AE2471" s="57" t="str">
        <f t="shared" si="907"/>
        <v/>
      </c>
      <c r="AF2471" s="57">
        <f t="shared" si="908"/>
        <v>0</v>
      </c>
      <c r="AG2471" s="59">
        <f t="shared" si="909"/>
        <v>0</v>
      </c>
      <c r="AH2471" s="15"/>
      <c r="AI2471" s="15"/>
      <c r="AJ2471" s="15"/>
      <c r="AK2471" s="15"/>
      <c r="AL2471" s="15"/>
      <c r="AM2471" s="15"/>
      <c r="AN2471" s="15"/>
      <c r="AO2471" s="15"/>
      <c r="AP2471" s="15"/>
      <c r="AQ2471" s="15"/>
      <c r="AR2471" s="15"/>
      <c r="AS2471" s="15"/>
      <c r="AT2471" s="15"/>
      <c r="AU2471" s="15"/>
    </row>
    <row r="2472" ht="24.0" customHeight="1">
      <c r="A2472" s="45">
        <v>3896.0</v>
      </c>
      <c r="B2472" s="57"/>
      <c r="C2472" s="57"/>
      <c r="D2472" s="88" t="str">
        <f t="array" ref="D2472">IFERROR(
  LOOKUP(2, 1/((TRIM(IMS!$E$8:$E$2574)=TRIM(IMS!$E2472))*(IMS!$C$8:$C$2574&lt;IMS!$C2472)),
         IMS!$C$8:$C$2574),
"")</f>
        <v/>
      </c>
      <c r="E2472" s="57"/>
      <c r="F2472" s="57"/>
      <c r="G2472" s="77" t="str">
        <f t="shared" si="901"/>
        <v/>
      </c>
      <c r="H2472" s="78" t="str">
        <f t="shared" si="902"/>
        <v/>
      </c>
      <c r="I2472" s="79"/>
      <c r="J2472" s="80" t="str">
        <f t="shared" si="903"/>
        <v>#NAME?</v>
      </c>
      <c r="K2472" s="58"/>
      <c r="L2472" s="58"/>
      <c r="M2472" s="57"/>
      <c r="N2472" s="57"/>
      <c r="O2472" s="58"/>
      <c r="P2472" s="82"/>
      <c r="Q2472" s="81"/>
      <c r="R2472" s="81"/>
      <c r="S2472" s="57"/>
      <c r="T2472" s="82"/>
      <c r="U2472" s="82"/>
      <c r="V2472" s="57"/>
      <c r="W2472" s="57"/>
      <c r="X2472" s="57" t="str">
        <f t="shared" si="917"/>
        <v/>
      </c>
      <c r="Y2472" s="58" t="str">
        <f t="shared" ref="Y2472:AC2472" si="2312">TRIM(SUBSTITUTE(SUBSTITUTE(OFFSET($Q2472,0,COLUMN()-COLUMN($AL$1)),CHAR(160)," "),_xludf.UNICHAR(8239)," "))</f>
        <v>#NAME?</v>
      </c>
      <c r="Z2472" s="58" t="str">
        <f t="shared" si="2312"/>
        <v>#NAME?</v>
      </c>
      <c r="AA2472" s="58" t="str">
        <f t="shared" si="2312"/>
        <v>#NAME?</v>
      </c>
      <c r="AB2472" s="58" t="str">
        <f t="shared" si="2312"/>
        <v>#NAME?</v>
      </c>
      <c r="AC2472" s="58" t="str">
        <f t="shared" si="2312"/>
        <v>#NAME?</v>
      </c>
      <c r="AD2472" s="57">
        <f t="shared" si="906"/>
        <v>0</v>
      </c>
      <c r="AE2472" s="57" t="str">
        <f t="shared" si="907"/>
        <v/>
      </c>
      <c r="AF2472" s="57">
        <f t="shared" si="908"/>
        <v>0</v>
      </c>
      <c r="AG2472" s="59">
        <f t="shared" si="909"/>
        <v>0</v>
      </c>
      <c r="AH2472" s="15"/>
      <c r="AI2472" s="15"/>
      <c r="AJ2472" s="15"/>
      <c r="AK2472" s="15"/>
      <c r="AL2472" s="15"/>
      <c r="AM2472" s="15"/>
      <c r="AN2472" s="15"/>
      <c r="AO2472" s="15"/>
      <c r="AP2472" s="15"/>
      <c r="AQ2472" s="15"/>
      <c r="AR2472" s="15"/>
      <c r="AS2472" s="15"/>
      <c r="AT2472" s="15"/>
      <c r="AU2472" s="15"/>
    </row>
    <row r="2473" ht="24.0" customHeight="1">
      <c r="A2473" s="45">
        <v>3897.0</v>
      </c>
      <c r="B2473" s="57"/>
      <c r="C2473" s="57"/>
      <c r="D2473" s="88" t="str">
        <f t="array" ref="D2473">IFERROR(
  LOOKUP(2, 1/((TRIM(IMS!$E$8:$E$2574)=TRIM(IMS!$E2473))*(IMS!$C$8:$C$2574&lt;IMS!$C2473)),
         IMS!$C$8:$C$2574),
"")</f>
        <v/>
      </c>
      <c r="E2473" s="57"/>
      <c r="F2473" s="57"/>
      <c r="G2473" s="77" t="str">
        <f t="shared" si="901"/>
        <v/>
      </c>
      <c r="H2473" s="78" t="str">
        <f t="shared" si="902"/>
        <v/>
      </c>
      <c r="I2473" s="79"/>
      <c r="J2473" s="80" t="str">
        <f t="shared" si="903"/>
        <v>#NAME?</v>
      </c>
      <c r="K2473" s="58"/>
      <c r="L2473" s="58"/>
      <c r="M2473" s="57"/>
      <c r="N2473" s="57"/>
      <c r="O2473" s="58"/>
      <c r="P2473" s="82"/>
      <c r="Q2473" s="81"/>
      <c r="R2473" s="81"/>
      <c r="S2473" s="57"/>
      <c r="T2473" s="82"/>
      <c r="U2473" s="82"/>
      <c r="V2473" s="57"/>
      <c r="W2473" s="57"/>
      <c r="X2473" s="57" t="str">
        <f t="shared" si="917"/>
        <v/>
      </c>
      <c r="Y2473" s="58" t="str">
        <f t="shared" ref="Y2473:AC2473" si="2313">TRIM(SUBSTITUTE(SUBSTITUTE(OFFSET($Q2473,0,COLUMN()-COLUMN($AL$1)),CHAR(160)," "),_xludf.UNICHAR(8239)," "))</f>
        <v>#NAME?</v>
      </c>
      <c r="Z2473" s="58" t="str">
        <f t="shared" si="2313"/>
        <v>#NAME?</v>
      </c>
      <c r="AA2473" s="58" t="str">
        <f t="shared" si="2313"/>
        <v>#NAME?</v>
      </c>
      <c r="AB2473" s="58" t="str">
        <f t="shared" si="2313"/>
        <v>#NAME?</v>
      </c>
      <c r="AC2473" s="58" t="str">
        <f t="shared" si="2313"/>
        <v>#NAME?</v>
      </c>
      <c r="AD2473" s="57">
        <f t="shared" si="906"/>
        <v>0</v>
      </c>
      <c r="AE2473" s="57" t="str">
        <f t="shared" si="907"/>
        <v/>
      </c>
      <c r="AF2473" s="57">
        <f t="shared" si="908"/>
        <v>0</v>
      </c>
      <c r="AG2473" s="59">
        <f t="shared" si="909"/>
        <v>0</v>
      </c>
      <c r="AH2473" s="15"/>
      <c r="AI2473" s="15"/>
      <c r="AJ2473" s="15"/>
      <c r="AK2473" s="15"/>
      <c r="AL2473" s="15"/>
      <c r="AM2473" s="15"/>
      <c r="AN2473" s="15"/>
      <c r="AO2473" s="15"/>
      <c r="AP2473" s="15"/>
      <c r="AQ2473" s="15"/>
      <c r="AR2473" s="15"/>
      <c r="AS2473" s="15"/>
      <c r="AT2473" s="15"/>
      <c r="AU2473" s="15"/>
    </row>
    <row r="2474" ht="24.0" customHeight="1">
      <c r="A2474" s="45">
        <v>3898.0</v>
      </c>
      <c r="B2474" s="57"/>
      <c r="C2474" s="57"/>
      <c r="D2474" s="88" t="str">
        <f t="array" ref="D2474">IFERROR(
  LOOKUP(2, 1/((TRIM(IMS!$E$8:$E$2574)=TRIM(IMS!$E2474))*(IMS!$C$8:$C$2574&lt;IMS!$C2474)),
         IMS!$C$8:$C$2574),
"")</f>
        <v/>
      </c>
      <c r="E2474" s="57"/>
      <c r="F2474" s="57"/>
      <c r="G2474" s="77" t="str">
        <f t="shared" si="901"/>
        <v/>
      </c>
      <c r="H2474" s="78" t="str">
        <f t="shared" si="902"/>
        <v/>
      </c>
      <c r="I2474" s="79"/>
      <c r="J2474" s="80" t="str">
        <f t="shared" si="903"/>
        <v>#NAME?</v>
      </c>
      <c r="K2474" s="58"/>
      <c r="L2474" s="58"/>
      <c r="M2474" s="57"/>
      <c r="N2474" s="57"/>
      <c r="O2474" s="58"/>
      <c r="P2474" s="82"/>
      <c r="Q2474" s="81"/>
      <c r="R2474" s="81"/>
      <c r="S2474" s="57"/>
      <c r="T2474" s="82"/>
      <c r="U2474" s="82"/>
      <c r="V2474" s="57"/>
      <c r="W2474" s="57"/>
      <c r="X2474" s="57" t="str">
        <f t="shared" si="917"/>
        <v/>
      </c>
      <c r="Y2474" s="58" t="str">
        <f t="shared" ref="Y2474:AC2474" si="2314">TRIM(SUBSTITUTE(SUBSTITUTE(OFFSET($Q2474,0,COLUMN()-COLUMN($AL$1)),CHAR(160)," "),_xludf.UNICHAR(8239)," "))</f>
        <v>#NAME?</v>
      </c>
      <c r="Z2474" s="58" t="str">
        <f t="shared" si="2314"/>
        <v>#NAME?</v>
      </c>
      <c r="AA2474" s="58" t="str">
        <f t="shared" si="2314"/>
        <v>#NAME?</v>
      </c>
      <c r="AB2474" s="58" t="str">
        <f t="shared" si="2314"/>
        <v>#NAME?</v>
      </c>
      <c r="AC2474" s="58" t="str">
        <f t="shared" si="2314"/>
        <v>#NAME?</v>
      </c>
      <c r="AD2474" s="57">
        <f t="shared" si="906"/>
        <v>0</v>
      </c>
      <c r="AE2474" s="57" t="str">
        <f t="shared" si="907"/>
        <v/>
      </c>
      <c r="AF2474" s="57">
        <f t="shared" si="908"/>
        <v>0</v>
      </c>
      <c r="AG2474" s="59">
        <f t="shared" si="909"/>
        <v>0</v>
      </c>
      <c r="AH2474" s="15"/>
      <c r="AI2474" s="15"/>
      <c r="AJ2474" s="15"/>
      <c r="AK2474" s="15"/>
      <c r="AL2474" s="15"/>
      <c r="AM2474" s="15"/>
      <c r="AN2474" s="15"/>
      <c r="AO2474" s="15"/>
      <c r="AP2474" s="15"/>
      <c r="AQ2474" s="15"/>
      <c r="AR2474" s="15"/>
      <c r="AS2474" s="15"/>
      <c r="AT2474" s="15"/>
      <c r="AU2474" s="15"/>
    </row>
    <row r="2475" ht="24.0" customHeight="1">
      <c r="A2475" s="45">
        <v>3899.0</v>
      </c>
      <c r="B2475" s="57"/>
      <c r="C2475" s="57"/>
      <c r="D2475" s="88" t="str">
        <f t="array" ref="D2475">IFERROR(
  LOOKUP(2, 1/((TRIM(IMS!$E$8:$E$2574)=TRIM(IMS!$E2475))*(IMS!$C$8:$C$2574&lt;IMS!$C2475)),
         IMS!$C$8:$C$2574),
"")</f>
        <v/>
      </c>
      <c r="E2475" s="57"/>
      <c r="F2475" s="57"/>
      <c r="G2475" s="77" t="str">
        <f t="shared" si="901"/>
        <v/>
      </c>
      <c r="H2475" s="78" t="str">
        <f t="shared" si="902"/>
        <v/>
      </c>
      <c r="I2475" s="79"/>
      <c r="J2475" s="80" t="str">
        <f t="shared" si="903"/>
        <v>#NAME?</v>
      </c>
      <c r="K2475" s="58"/>
      <c r="L2475" s="58"/>
      <c r="M2475" s="57"/>
      <c r="N2475" s="57"/>
      <c r="O2475" s="58"/>
      <c r="P2475" s="82"/>
      <c r="Q2475" s="81"/>
      <c r="R2475" s="81"/>
      <c r="S2475" s="57"/>
      <c r="T2475" s="82"/>
      <c r="U2475" s="82"/>
      <c r="V2475" s="57"/>
      <c r="W2475" s="57"/>
      <c r="X2475" s="57" t="str">
        <f t="shared" si="917"/>
        <v/>
      </c>
      <c r="Y2475" s="58" t="str">
        <f t="shared" ref="Y2475:AC2475" si="2315">TRIM(SUBSTITUTE(SUBSTITUTE(OFFSET($Q2475,0,COLUMN()-COLUMN($AL$1)),CHAR(160)," "),_xludf.UNICHAR(8239)," "))</f>
        <v>#NAME?</v>
      </c>
      <c r="Z2475" s="58" t="str">
        <f t="shared" si="2315"/>
        <v>#NAME?</v>
      </c>
      <c r="AA2475" s="58" t="str">
        <f t="shared" si="2315"/>
        <v>#NAME?</v>
      </c>
      <c r="AB2475" s="58" t="str">
        <f t="shared" si="2315"/>
        <v>#NAME?</v>
      </c>
      <c r="AC2475" s="58" t="str">
        <f t="shared" si="2315"/>
        <v>#NAME?</v>
      </c>
      <c r="AD2475" s="57">
        <f t="shared" si="906"/>
        <v>0</v>
      </c>
      <c r="AE2475" s="57" t="str">
        <f t="shared" si="907"/>
        <v/>
      </c>
      <c r="AF2475" s="57">
        <f t="shared" si="908"/>
        <v>0</v>
      </c>
      <c r="AG2475" s="59">
        <f t="shared" si="909"/>
        <v>0</v>
      </c>
      <c r="AH2475" s="15"/>
      <c r="AI2475" s="15"/>
      <c r="AJ2475" s="15"/>
      <c r="AK2475" s="15"/>
      <c r="AL2475" s="15"/>
      <c r="AM2475" s="15"/>
      <c r="AN2475" s="15"/>
      <c r="AO2475" s="15"/>
      <c r="AP2475" s="15"/>
      <c r="AQ2475" s="15"/>
      <c r="AR2475" s="15"/>
      <c r="AS2475" s="15"/>
      <c r="AT2475" s="15"/>
      <c r="AU2475" s="15"/>
    </row>
    <row r="2476" ht="24.0" customHeight="1">
      <c r="A2476" s="45">
        <v>3900.0</v>
      </c>
      <c r="B2476" s="57"/>
      <c r="C2476" s="57"/>
      <c r="D2476" s="88" t="str">
        <f t="array" ref="D2476">IFERROR(
  LOOKUP(2, 1/((TRIM(IMS!$E$8:$E$2574)=TRIM(IMS!$E2476))*(IMS!$C$8:$C$2574&lt;IMS!$C2476)),
         IMS!$C$8:$C$2574),
"")</f>
        <v/>
      </c>
      <c r="E2476" s="57"/>
      <c r="F2476" s="57"/>
      <c r="G2476" s="77" t="str">
        <f t="shared" si="901"/>
        <v/>
      </c>
      <c r="H2476" s="78" t="str">
        <f t="shared" si="902"/>
        <v/>
      </c>
      <c r="I2476" s="79"/>
      <c r="J2476" s="80" t="str">
        <f t="shared" si="903"/>
        <v>#NAME?</v>
      </c>
      <c r="K2476" s="58"/>
      <c r="L2476" s="58"/>
      <c r="M2476" s="57"/>
      <c r="N2476" s="57"/>
      <c r="O2476" s="58"/>
      <c r="P2476" s="82"/>
      <c r="Q2476" s="81"/>
      <c r="R2476" s="81"/>
      <c r="S2476" s="57"/>
      <c r="T2476" s="82"/>
      <c r="U2476" s="82"/>
      <c r="V2476" s="57"/>
      <c r="W2476" s="57"/>
      <c r="X2476" s="57" t="str">
        <f t="shared" si="917"/>
        <v/>
      </c>
      <c r="Y2476" s="58" t="str">
        <f t="shared" ref="Y2476:AC2476" si="2316">TRIM(SUBSTITUTE(SUBSTITUTE(OFFSET($Q2476,0,COLUMN()-COLUMN($AL$1)),CHAR(160)," "),_xludf.UNICHAR(8239)," "))</f>
        <v>#NAME?</v>
      </c>
      <c r="Z2476" s="58" t="str">
        <f t="shared" si="2316"/>
        <v>#NAME?</v>
      </c>
      <c r="AA2476" s="58" t="str">
        <f t="shared" si="2316"/>
        <v>#NAME?</v>
      </c>
      <c r="AB2476" s="58" t="str">
        <f t="shared" si="2316"/>
        <v>#NAME?</v>
      </c>
      <c r="AC2476" s="58" t="str">
        <f t="shared" si="2316"/>
        <v>#NAME?</v>
      </c>
      <c r="AD2476" s="57">
        <f t="shared" si="906"/>
        <v>0</v>
      </c>
      <c r="AE2476" s="57" t="str">
        <f t="shared" si="907"/>
        <v/>
      </c>
      <c r="AF2476" s="57">
        <f t="shared" si="908"/>
        <v>0</v>
      </c>
      <c r="AG2476" s="59">
        <f t="shared" si="909"/>
        <v>0</v>
      </c>
      <c r="AH2476" s="15"/>
      <c r="AI2476" s="15"/>
      <c r="AJ2476" s="15"/>
      <c r="AK2476" s="15"/>
      <c r="AL2476" s="15"/>
      <c r="AM2476" s="15"/>
      <c r="AN2476" s="15"/>
      <c r="AO2476" s="15"/>
      <c r="AP2476" s="15"/>
      <c r="AQ2476" s="15"/>
      <c r="AR2476" s="15"/>
      <c r="AS2476" s="15"/>
      <c r="AT2476" s="15"/>
      <c r="AU2476" s="15"/>
    </row>
    <row r="2477" ht="24.0" customHeight="1">
      <c r="A2477" s="45">
        <v>3901.0</v>
      </c>
      <c r="B2477" s="57"/>
      <c r="C2477" s="57"/>
      <c r="D2477" s="88" t="str">
        <f t="array" ref="D2477">IFERROR(
  LOOKUP(2, 1/((TRIM(IMS!$E$8:$E$2574)=TRIM(IMS!$E2477))*(IMS!$C$8:$C$2574&lt;IMS!$C2477)),
         IMS!$C$8:$C$2574),
"")</f>
        <v/>
      </c>
      <c r="E2477" s="57"/>
      <c r="F2477" s="57"/>
      <c r="G2477" s="77" t="str">
        <f t="shared" si="901"/>
        <v/>
      </c>
      <c r="H2477" s="78" t="str">
        <f t="shared" si="902"/>
        <v/>
      </c>
      <c r="I2477" s="79"/>
      <c r="J2477" s="80" t="str">
        <f t="shared" si="903"/>
        <v>#NAME?</v>
      </c>
      <c r="K2477" s="58"/>
      <c r="L2477" s="58"/>
      <c r="M2477" s="57"/>
      <c r="N2477" s="57"/>
      <c r="O2477" s="58"/>
      <c r="P2477" s="82"/>
      <c r="Q2477" s="81"/>
      <c r="R2477" s="81"/>
      <c r="S2477" s="57"/>
      <c r="T2477" s="82"/>
      <c r="U2477" s="82"/>
      <c r="V2477" s="57"/>
      <c r="W2477" s="57"/>
      <c r="X2477" s="57" t="str">
        <f t="shared" si="917"/>
        <v/>
      </c>
      <c r="Y2477" s="58" t="str">
        <f t="shared" ref="Y2477:AC2477" si="2317">TRIM(SUBSTITUTE(SUBSTITUTE(OFFSET($Q2477,0,COLUMN()-COLUMN($AL$1)),CHAR(160)," "),_xludf.UNICHAR(8239)," "))</f>
        <v>#NAME?</v>
      </c>
      <c r="Z2477" s="58" t="str">
        <f t="shared" si="2317"/>
        <v>#NAME?</v>
      </c>
      <c r="AA2477" s="58" t="str">
        <f t="shared" si="2317"/>
        <v>#NAME?</v>
      </c>
      <c r="AB2477" s="58" t="str">
        <f t="shared" si="2317"/>
        <v>#NAME?</v>
      </c>
      <c r="AC2477" s="58" t="str">
        <f t="shared" si="2317"/>
        <v>#NAME?</v>
      </c>
      <c r="AD2477" s="57">
        <f t="shared" si="906"/>
        <v>0</v>
      </c>
      <c r="AE2477" s="57" t="str">
        <f t="shared" si="907"/>
        <v/>
      </c>
      <c r="AF2477" s="57">
        <f t="shared" si="908"/>
        <v>0</v>
      </c>
      <c r="AG2477" s="59">
        <f t="shared" si="909"/>
        <v>0</v>
      </c>
      <c r="AH2477" s="15"/>
      <c r="AI2477" s="15"/>
      <c r="AJ2477" s="15"/>
      <c r="AK2477" s="15"/>
      <c r="AL2477" s="15"/>
      <c r="AM2477" s="15"/>
      <c r="AN2477" s="15"/>
      <c r="AO2477" s="15"/>
      <c r="AP2477" s="15"/>
      <c r="AQ2477" s="15"/>
      <c r="AR2477" s="15"/>
      <c r="AS2477" s="15"/>
      <c r="AT2477" s="15"/>
      <c r="AU2477" s="15"/>
    </row>
    <row r="2478" ht="24.0" customHeight="1">
      <c r="A2478" s="45">
        <v>3902.0</v>
      </c>
      <c r="B2478" s="57"/>
      <c r="C2478" s="57"/>
      <c r="D2478" s="88" t="str">
        <f t="array" ref="D2478">IFERROR(
  LOOKUP(2, 1/((TRIM(IMS!$E$8:$E$2574)=TRIM(IMS!$E2478))*(IMS!$C$8:$C$2574&lt;IMS!$C2478)),
         IMS!$C$8:$C$2574),
"")</f>
        <v/>
      </c>
      <c r="E2478" s="57"/>
      <c r="F2478" s="57"/>
      <c r="G2478" s="77" t="str">
        <f t="shared" si="901"/>
        <v/>
      </c>
      <c r="H2478" s="78" t="str">
        <f t="shared" si="902"/>
        <v/>
      </c>
      <c r="I2478" s="79"/>
      <c r="J2478" s="80" t="str">
        <f t="shared" si="903"/>
        <v>#NAME?</v>
      </c>
      <c r="K2478" s="58"/>
      <c r="L2478" s="58"/>
      <c r="M2478" s="57"/>
      <c r="N2478" s="57"/>
      <c r="O2478" s="58"/>
      <c r="P2478" s="82"/>
      <c r="Q2478" s="81"/>
      <c r="R2478" s="81"/>
      <c r="S2478" s="57"/>
      <c r="T2478" s="82"/>
      <c r="U2478" s="82"/>
      <c r="V2478" s="57"/>
      <c r="W2478" s="57"/>
      <c r="X2478" s="57" t="str">
        <f t="shared" si="917"/>
        <v/>
      </c>
      <c r="Y2478" s="58" t="str">
        <f t="shared" ref="Y2478:AC2478" si="2318">TRIM(SUBSTITUTE(SUBSTITUTE(OFFSET($Q2478,0,COLUMN()-COLUMN($AL$1)),CHAR(160)," "),_xludf.UNICHAR(8239)," "))</f>
        <v>#NAME?</v>
      </c>
      <c r="Z2478" s="58" t="str">
        <f t="shared" si="2318"/>
        <v>#NAME?</v>
      </c>
      <c r="AA2478" s="58" t="str">
        <f t="shared" si="2318"/>
        <v>#NAME?</v>
      </c>
      <c r="AB2478" s="58" t="str">
        <f t="shared" si="2318"/>
        <v>#NAME?</v>
      </c>
      <c r="AC2478" s="58" t="str">
        <f t="shared" si="2318"/>
        <v>#NAME?</v>
      </c>
      <c r="AD2478" s="57">
        <f t="shared" si="906"/>
        <v>0</v>
      </c>
      <c r="AE2478" s="57" t="str">
        <f t="shared" si="907"/>
        <v/>
      </c>
      <c r="AF2478" s="57">
        <f t="shared" si="908"/>
        <v>0</v>
      </c>
      <c r="AG2478" s="59">
        <f t="shared" si="909"/>
        <v>0</v>
      </c>
      <c r="AH2478" s="15"/>
      <c r="AI2478" s="15"/>
      <c r="AJ2478" s="15"/>
      <c r="AK2478" s="15"/>
      <c r="AL2478" s="15"/>
      <c r="AM2478" s="15"/>
      <c r="AN2478" s="15"/>
      <c r="AO2478" s="15"/>
      <c r="AP2478" s="15"/>
      <c r="AQ2478" s="15"/>
      <c r="AR2478" s="15"/>
      <c r="AS2478" s="15"/>
      <c r="AT2478" s="15"/>
      <c r="AU2478" s="15"/>
    </row>
    <row r="2479" ht="24.0" customHeight="1">
      <c r="A2479" s="45">
        <v>3903.0</v>
      </c>
      <c r="B2479" s="57"/>
      <c r="C2479" s="57"/>
      <c r="D2479" s="88" t="str">
        <f t="array" ref="D2479">IFERROR(
  LOOKUP(2, 1/((TRIM(IMS!$E$8:$E$2574)=TRIM(IMS!$E2479))*(IMS!$C$8:$C$2574&lt;IMS!$C2479)),
         IMS!$C$8:$C$2574),
"")</f>
        <v/>
      </c>
      <c r="E2479" s="57"/>
      <c r="F2479" s="57"/>
      <c r="G2479" s="77" t="str">
        <f t="shared" si="901"/>
        <v/>
      </c>
      <c r="H2479" s="78" t="str">
        <f t="shared" si="902"/>
        <v/>
      </c>
      <c r="I2479" s="79"/>
      <c r="J2479" s="80" t="str">
        <f t="shared" si="903"/>
        <v>#NAME?</v>
      </c>
      <c r="K2479" s="58"/>
      <c r="L2479" s="58"/>
      <c r="M2479" s="57"/>
      <c r="N2479" s="57"/>
      <c r="O2479" s="58"/>
      <c r="P2479" s="82"/>
      <c r="Q2479" s="81"/>
      <c r="R2479" s="81"/>
      <c r="S2479" s="57"/>
      <c r="T2479" s="82"/>
      <c r="U2479" s="82"/>
      <c r="V2479" s="57"/>
      <c r="W2479" s="57"/>
      <c r="X2479" s="57" t="str">
        <f t="shared" si="917"/>
        <v/>
      </c>
      <c r="Y2479" s="58" t="str">
        <f t="shared" ref="Y2479:AC2479" si="2319">TRIM(SUBSTITUTE(SUBSTITUTE(OFFSET($Q2479,0,COLUMN()-COLUMN($AL$1)),CHAR(160)," "),_xludf.UNICHAR(8239)," "))</f>
        <v>#NAME?</v>
      </c>
      <c r="Z2479" s="58" t="str">
        <f t="shared" si="2319"/>
        <v>#NAME?</v>
      </c>
      <c r="AA2479" s="58" t="str">
        <f t="shared" si="2319"/>
        <v>#NAME?</v>
      </c>
      <c r="AB2479" s="58" t="str">
        <f t="shared" si="2319"/>
        <v>#NAME?</v>
      </c>
      <c r="AC2479" s="58" t="str">
        <f t="shared" si="2319"/>
        <v>#NAME?</v>
      </c>
      <c r="AD2479" s="57">
        <f t="shared" si="906"/>
        <v>0</v>
      </c>
      <c r="AE2479" s="57" t="str">
        <f t="shared" si="907"/>
        <v/>
      </c>
      <c r="AF2479" s="57">
        <f t="shared" si="908"/>
        <v>0</v>
      </c>
      <c r="AG2479" s="59">
        <f t="shared" si="909"/>
        <v>0</v>
      </c>
      <c r="AH2479" s="15"/>
      <c r="AI2479" s="15"/>
      <c r="AJ2479" s="15"/>
      <c r="AK2479" s="15"/>
      <c r="AL2479" s="15"/>
      <c r="AM2479" s="15"/>
      <c r="AN2479" s="15"/>
      <c r="AO2479" s="15"/>
      <c r="AP2479" s="15"/>
      <c r="AQ2479" s="15"/>
      <c r="AR2479" s="15"/>
      <c r="AS2479" s="15"/>
      <c r="AT2479" s="15"/>
      <c r="AU2479" s="15"/>
    </row>
    <row r="2480" ht="24.0" customHeight="1">
      <c r="A2480" s="45">
        <v>3904.0</v>
      </c>
      <c r="B2480" s="57"/>
      <c r="C2480" s="57"/>
      <c r="D2480" s="88" t="str">
        <f t="array" ref="D2480">IFERROR(
  LOOKUP(2, 1/((TRIM(IMS!$E$8:$E$2574)=TRIM(IMS!$E2480))*(IMS!$C$8:$C$2574&lt;IMS!$C2480)),
         IMS!$C$8:$C$2574),
"")</f>
        <v/>
      </c>
      <c r="E2480" s="57"/>
      <c r="F2480" s="57"/>
      <c r="G2480" s="77" t="str">
        <f t="shared" si="901"/>
        <v/>
      </c>
      <c r="H2480" s="78" t="str">
        <f t="shared" si="902"/>
        <v/>
      </c>
      <c r="I2480" s="79"/>
      <c r="J2480" s="80" t="str">
        <f t="shared" si="903"/>
        <v>#NAME?</v>
      </c>
      <c r="K2480" s="58"/>
      <c r="L2480" s="58"/>
      <c r="M2480" s="57"/>
      <c r="N2480" s="57"/>
      <c r="O2480" s="58"/>
      <c r="P2480" s="82"/>
      <c r="Q2480" s="81"/>
      <c r="R2480" s="81"/>
      <c r="S2480" s="57"/>
      <c r="T2480" s="82"/>
      <c r="U2480" s="82"/>
      <c r="V2480" s="57"/>
      <c r="W2480" s="57"/>
      <c r="X2480" s="57" t="str">
        <f t="shared" si="917"/>
        <v/>
      </c>
      <c r="Y2480" s="58" t="str">
        <f t="shared" ref="Y2480:AC2480" si="2320">TRIM(SUBSTITUTE(SUBSTITUTE(OFFSET($Q2480,0,COLUMN()-COLUMN($AL$1)),CHAR(160)," "),_xludf.UNICHAR(8239)," "))</f>
        <v>#NAME?</v>
      </c>
      <c r="Z2480" s="58" t="str">
        <f t="shared" si="2320"/>
        <v>#NAME?</v>
      </c>
      <c r="AA2480" s="58" t="str">
        <f t="shared" si="2320"/>
        <v>#NAME?</v>
      </c>
      <c r="AB2480" s="58" t="str">
        <f t="shared" si="2320"/>
        <v>#NAME?</v>
      </c>
      <c r="AC2480" s="58" t="str">
        <f t="shared" si="2320"/>
        <v>#NAME?</v>
      </c>
      <c r="AD2480" s="57">
        <f t="shared" si="906"/>
        <v>0</v>
      </c>
      <c r="AE2480" s="57" t="str">
        <f t="shared" si="907"/>
        <v/>
      </c>
      <c r="AF2480" s="57">
        <f t="shared" si="908"/>
        <v>0</v>
      </c>
      <c r="AG2480" s="59">
        <f t="shared" si="909"/>
        <v>0</v>
      </c>
      <c r="AH2480" s="15"/>
      <c r="AI2480" s="15"/>
      <c r="AJ2480" s="15"/>
      <c r="AK2480" s="15"/>
      <c r="AL2480" s="15"/>
      <c r="AM2480" s="15"/>
      <c r="AN2480" s="15"/>
      <c r="AO2480" s="15"/>
      <c r="AP2480" s="15"/>
      <c r="AQ2480" s="15"/>
      <c r="AR2480" s="15"/>
      <c r="AS2480" s="15"/>
      <c r="AT2480" s="15"/>
      <c r="AU2480" s="15"/>
    </row>
    <row r="2481" ht="24.0" customHeight="1">
      <c r="A2481" s="45">
        <v>3905.0</v>
      </c>
      <c r="B2481" s="57"/>
      <c r="C2481" s="57"/>
      <c r="D2481" s="88" t="str">
        <f t="array" ref="D2481">IFERROR(
  LOOKUP(2, 1/((TRIM(IMS!$E$8:$E$2574)=TRIM(IMS!$E2481))*(IMS!$C$8:$C$2574&lt;IMS!$C2481)),
         IMS!$C$8:$C$2574),
"")</f>
        <v/>
      </c>
      <c r="E2481" s="57"/>
      <c r="F2481" s="57"/>
      <c r="G2481" s="77" t="str">
        <f t="shared" si="901"/>
        <v/>
      </c>
      <c r="H2481" s="78" t="str">
        <f t="shared" si="902"/>
        <v/>
      </c>
      <c r="I2481" s="79"/>
      <c r="J2481" s="80" t="str">
        <f t="shared" si="903"/>
        <v>#NAME?</v>
      </c>
      <c r="K2481" s="58"/>
      <c r="L2481" s="58"/>
      <c r="M2481" s="57"/>
      <c r="N2481" s="57"/>
      <c r="O2481" s="58"/>
      <c r="P2481" s="82"/>
      <c r="Q2481" s="81"/>
      <c r="R2481" s="81"/>
      <c r="S2481" s="57"/>
      <c r="T2481" s="82"/>
      <c r="U2481" s="82"/>
      <c r="V2481" s="57"/>
      <c r="W2481" s="57"/>
      <c r="X2481" s="57" t="str">
        <f t="shared" si="917"/>
        <v/>
      </c>
      <c r="Y2481" s="58" t="str">
        <f t="shared" ref="Y2481:AC2481" si="2321">TRIM(SUBSTITUTE(SUBSTITUTE(OFFSET($Q2481,0,COLUMN()-COLUMN($AL$1)),CHAR(160)," "),_xludf.UNICHAR(8239)," "))</f>
        <v>#NAME?</v>
      </c>
      <c r="Z2481" s="58" t="str">
        <f t="shared" si="2321"/>
        <v>#NAME?</v>
      </c>
      <c r="AA2481" s="58" t="str">
        <f t="shared" si="2321"/>
        <v>#NAME?</v>
      </c>
      <c r="AB2481" s="58" t="str">
        <f t="shared" si="2321"/>
        <v>#NAME?</v>
      </c>
      <c r="AC2481" s="58" t="str">
        <f t="shared" si="2321"/>
        <v>#NAME?</v>
      </c>
      <c r="AD2481" s="57">
        <f t="shared" si="906"/>
        <v>0</v>
      </c>
      <c r="AE2481" s="57" t="str">
        <f t="shared" si="907"/>
        <v/>
      </c>
      <c r="AF2481" s="57">
        <f t="shared" si="908"/>
        <v>0</v>
      </c>
      <c r="AG2481" s="59">
        <f t="shared" si="909"/>
        <v>0</v>
      </c>
      <c r="AH2481" s="15"/>
      <c r="AI2481" s="15"/>
      <c r="AJ2481" s="15"/>
      <c r="AK2481" s="15"/>
      <c r="AL2481" s="15"/>
      <c r="AM2481" s="15"/>
      <c r="AN2481" s="15"/>
      <c r="AO2481" s="15"/>
      <c r="AP2481" s="15"/>
      <c r="AQ2481" s="15"/>
      <c r="AR2481" s="15"/>
      <c r="AS2481" s="15"/>
      <c r="AT2481" s="15"/>
      <c r="AU2481" s="15"/>
    </row>
    <row r="2482" ht="24.0" customHeight="1">
      <c r="A2482" s="45">
        <v>3906.0</v>
      </c>
      <c r="B2482" s="57"/>
      <c r="C2482" s="57"/>
      <c r="D2482" s="88" t="str">
        <f t="array" ref="D2482">IFERROR(
  LOOKUP(2, 1/((TRIM(IMS!$E$8:$E$2574)=TRIM(IMS!$E2482))*(IMS!$C$8:$C$2574&lt;IMS!$C2482)),
         IMS!$C$8:$C$2574),
"")</f>
        <v/>
      </c>
      <c r="E2482" s="57"/>
      <c r="F2482" s="57"/>
      <c r="G2482" s="77" t="str">
        <f t="shared" si="901"/>
        <v/>
      </c>
      <c r="H2482" s="78" t="str">
        <f t="shared" si="902"/>
        <v/>
      </c>
      <c r="I2482" s="79"/>
      <c r="J2482" s="80" t="str">
        <f t="shared" si="903"/>
        <v>#NAME?</v>
      </c>
      <c r="K2482" s="58"/>
      <c r="L2482" s="58"/>
      <c r="M2482" s="57"/>
      <c r="N2482" s="57"/>
      <c r="O2482" s="58"/>
      <c r="P2482" s="82"/>
      <c r="Q2482" s="81"/>
      <c r="R2482" s="81"/>
      <c r="S2482" s="57"/>
      <c r="T2482" s="82"/>
      <c r="U2482" s="82"/>
      <c r="V2482" s="57"/>
      <c r="W2482" s="57"/>
      <c r="X2482" s="57" t="str">
        <f t="shared" si="917"/>
        <v/>
      </c>
      <c r="Y2482" s="58" t="str">
        <f t="shared" ref="Y2482:AC2482" si="2322">TRIM(SUBSTITUTE(SUBSTITUTE(OFFSET($Q2482,0,COLUMN()-COLUMN($AL$1)),CHAR(160)," "),_xludf.UNICHAR(8239)," "))</f>
        <v>#NAME?</v>
      </c>
      <c r="Z2482" s="58" t="str">
        <f t="shared" si="2322"/>
        <v>#NAME?</v>
      </c>
      <c r="AA2482" s="58" t="str">
        <f t="shared" si="2322"/>
        <v>#NAME?</v>
      </c>
      <c r="AB2482" s="58" t="str">
        <f t="shared" si="2322"/>
        <v>#NAME?</v>
      </c>
      <c r="AC2482" s="58" t="str">
        <f t="shared" si="2322"/>
        <v>#NAME?</v>
      </c>
      <c r="AD2482" s="57">
        <f t="shared" si="906"/>
        <v>0</v>
      </c>
      <c r="AE2482" s="57" t="str">
        <f t="shared" si="907"/>
        <v/>
      </c>
      <c r="AF2482" s="57">
        <f t="shared" si="908"/>
        <v>0</v>
      </c>
      <c r="AG2482" s="59">
        <f t="shared" si="909"/>
        <v>0</v>
      </c>
      <c r="AH2482" s="15"/>
      <c r="AI2482" s="15"/>
      <c r="AJ2482" s="15"/>
      <c r="AK2482" s="15"/>
      <c r="AL2482" s="15"/>
      <c r="AM2482" s="15"/>
      <c r="AN2482" s="15"/>
      <c r="AO2482" s="15"/>
      <c r="AP2482" s="15"/>
      <c r="AQ2482" s="15"/>
      <c r="AR2482" s="15"/>
      <c r="AS2482" s="15"/>
      <c r="AT2482" s="15"/>
      <c r="AU2482" s="15"/>
    </row>
    <row r="2483" ht="24.0" customHeight="1">
      <c r="A2483" s="45">
        <v>3907.0</v>
      </c>
      <c r="B2483" s="57"/>
      <c r="C2483" s="57"/>
      <c r="D2483" s="88" t="str">
        <f t="array" ref="D2483">IFERROR(
  LOOKUP(2, 1/((TRIM(IMS!$E$8:$E$2574)=TRIM(IMS!$E2483))*(IMS!$C$8:$C$2574&lt;IMS!$C2483)),
         IMS!$C$8:$C$2574),
"")</f>
        <v/>
      </c>
      <c r="E2483" s="57"/>
      <c r="F2483" s="57"/>
      <c r="G2483" s="77" t="str">
        <f t="shared" si="901"/>
        <v/>
      </c>
      <c r="H2483" s="78" t="str">
        <f t="shared" si="902"/>
        <v/>
      </c>
      <c r="I2483" s="79"/>
      <c r="J2483" s="80" t="str">
        <f t="shared" si="903"/>
        <v>#NAME?</v>
      </c>
      <c r="K2483" s="58"/>
      <c r="L2483" s="58"/>
      <c r="M2483" s="57"/>
      <c r="N2483" s="57"/>
      <c r="O2483" s="58"/>
      <c r="P2483" s="82"/>
      <c r="Q2483" s="81"/>
      <c r="R2483" s="81"/>
      <c r="S2483" s="57"/>
      <c r="T2483" s="82"/>
      <c r="U2483" s="82"/>
      <c r="V2483" s="57"/>
      <c r="W2483" s="57"/>
      <c r="X2483" s="57" t="str">
        <f t="shared" si="917"/>
        <v/>
      </c>
      <c r="Y2483" s="58" t="str">
        <f t="shared" ref="Y2483:AC2483" si="2323">TRIM(SUBSTITUTE(SUBSTITUTE(OFFSET($Q2483,0,COLUMN()-COLUMN($AL$1)),CHAR(160)," "),_xludf.UNICHAR(8239)," "))</f>
        <v>#NAME?</v>
      </c>
      <c r="Z2483" s="58" t="str">
        <f t="shared" si="2323"/>
        <v>#NAME?</v>
      </c>
      <c r="AA2483" s="58" t="str">
        <f t="shared" si="2323"/>
        <v>#NAME?</v>
      </c>
      <c r="AB2483" s="58" t="str">
        <f t="shared" si="2323"/>
        <v>#NAME?</v>
      </c>
      <c r="AC2483" s="58" t="str">
        <f t="shared" si="2323"/>
        <v>#NAME?</v>
      </c>
      <c r="AD2483" s="57">
        <f t="shared" si="906"/>
        <v>0</v>
      </c>
      <c r="AE2483" s="57" t="str">
        <f t="shared" si="907"/>
        <v/>
      </c>
      <c r="AF2483" s="57">
        <f t="shared" si="908"/>
        <v>0</v>
      </c>
      <c r="AG2483" s="59">
        <f t="shared" si="909"/>
        <v>0</v>
      </c>
      <c r="AH2483" s="15"/>
      <c r="AI2483" s="15"/>
      <c r="AJ2483" s="15"/>
      <c r="AK2483" s="15"/>
      <c r="AL2483" s="15"/>
      <c r="AM2483" s="15"/>
      <c r="AN2483" s="15"/>
      <c r="AO2483" s="15"/>
      <c r="AP2483" s="15"/>
      <c r="AQ2483" s="15"/>
      <c r="AR2483" s="15"/>
      <c r="AS2483" s="15"/>
      <c r="AT2483" s="15"/>
      <c r="AU2483" s="15"/>
    </row>
    <row r="2484" ht="24.0" customHeight="1">
      <c r="A2484" s="45">
        <v>3908.0</v>
      </c>
      <c r="B2484" s="57"/>
      <c r="C2484" s="57"/>
      <c r="D2484" s="88" t="str">
        <f t="array" ref="D2484">IFERROR(
  LOOKUP(2, 1/((TRIM(IMS!$E$8:$E$2574)=TRIM(IMS!$E2484))*(IMS!$C$8:$C$2574&lt;IMS!$C2484)),
         IMS!$C$8:$C$2574),
"")</f>
        <v/>
      </c>
      <c r="E2484" s="57"/>
      <c r="F2484" s="57"/>
      <c r="G2484" s="77" t="str">
        <f t="shared" si="901"/>
        <v/>
      </c>
      <c r="H2484" s="78" t="str">
        <f t="shared" si="902"/>
        <v/>
      </c>
      <c r="I2484" s="79"/>
      <c r="J2484" s="80" t="str">
        <f t="shared" si="903"/>
        <v>#NAME?</v>
      </c>
      <c r="K2484" s="58"/>
      <c r="L2484" s="58"/>
      <c r="M2484" s="57"/>
      <c r="N2484" s="57"/>
      <c r="O2484" s="58"/>
      <c r="P2484" s="82"/>
      <c r="Q2484" s="81"/>
      <c r="R2484" s="81"/>
      <c r="S2484" s="57"/>
      <c r="T2484" s="82"/>
      <c r="U2484" s="82"/>
      <c r="V2484" s="57"/>
      <c r="W2484" s="57"/>
      <c r="X2484" s="57" t="str">
        <f t="shared" si="917"/>
        <v/>
      </c>
      <c r="Y2484" s="58" t="str">
        <f t="shared" ref="Y2484:AC2484" si="2324">TRIM(SUBSTITUTE(SUBSTITUTE(OFFSET($Q2484,0,COLUMN()-COLUMN($AL$1)),CHAR(160)," "),_xludf.UNICHAR(8239)," "))</f>
        <v>#NAME?</v>
      </c>
      <c r="Z2484" s="58" t="str">
        <f t="shared" si="2324"/>
        <v>#NAME?</v>
      </c>
      <c r="AA2484" s="58" t="str">
        <f t="shared" si="2324"/>
        <v>#NAME?</v>
      </c>
      <c r="AB2484" s="58" t="str">
        <f t="shared" si="2324"/>
        <v>#NAME?</v>
      </c>
      <c r="AC2484" s="58" t="str">
        <f t="shared" si="2324"/>
        <v>#NAME?</v>
      </c>
      <c r="AD2484" s="57">
        <f t="shared" si="906"/>
        <v>0</v>
      </c>
      <c r="AE2484" s="57" t="str">
        <f t="shared" si="907"/>
        <v/>
      </c>
      <c r="AF2484" s="57">
        <f t="shared" si="908"/>
        <v>0</v>
      </c>
      <c r="AG2484" s="59">
        <f t="shared" si="909"/>
        <v>0</v>
      </c>
      <c r="AH2484" s="15"/>
      <c r="AI2484" s="15"/>
      <c r="AJ2484" s="15"/>
      <c r="AK2484" s="15"/>
      <c r="AL2484" s="15"/>
      <c r="AM2484" s="15"/>
      <c r="AN2484" s="15"/>
      <c r="AO2484" s="15"/>
      <c r="AP2484" s="15"/>
      <c r="AQ2484" s="15"/>
      <c r="AR2484" s="15"/>
      <c r="AS2484" s="15"/>
      <c r="AT2484" s="15"/>
      <c r="AU2484" s="15"/>
    </row>
    <row r="2485" ht="24.0" customHeight="1">
      <c r="A2485" s="45">
        <v>3909.0</v>
      </c>
      <c r="B2485" s="57"/>
      <c r="C2485" s="57"/>
      <c r="D2485" s="88" t="str">
        <f t="array" ref="D2485">IFERROR(
  LOOKUP(2, 1/((TRIM(IMS!$E$8:$E$2574)=TRIM(IMS!$E2485))*(IMS!$C$8:$C$2574&lt;IMS!$C2485)),
         IMS!$C$8:$C$2574),
"")</f>
        <v/>
      </c>
      <c r="E2485" s="57"/>
      <c r="F2485" s="57"/>
      <c r="G2485" s="77" t="str">
        <f t="shared" si="901"/>
        <v/>
      </c>
      <c r="H2485" s="78" t="str">
        <f t="shared" si="902"/>
        <v/>
      </c>
      <c r="I2485" s="79"/>
      <c r="J2485" s="80" t="str">
        <f t="shared" si="903"/>
        <v>#NAME?</v>
      </c>
      <c r="K2485" s="58"/>
      <c r="L2485" s="58"/>
      <c r="M2485" s="57"/>
      <c r="N2485" s="57"/>
      <c r="O2485" s="58"/>
      <c r="P2485" s="82"/>
      <c r="Q2485" s="81"/>
      <c r="R2485" s="81"/>
      <c r="S2485" s="57"/>
      <c r="T2485" s="82"/>
      <c r="U2485" s="82"/>
      <c r="V2485" s="57"/>
      <c r="W2485" s="57"/>
      <c r="X2485" s="57" t="str">
        <f t="shared" si="917"/>
        <v/>
      </c>
      <c r="Y2485" s="58" t="str">
        <f t="shared" ref="Y2485:AC2485" si="2325">TRIM(SUBSTITUTE(SUBSTITUTE(OFFSET($Q2485,0,COLUMN()-COLUMN($AL$1)),CHAR(160)," "),_xludf.UNICHAR(8239)," "))</f>
        <v>#NAME?</v>
      </c>
      <c r="Z2485" s="58" t="str">
        <f t="shared" si="2325"/>
        <v>#NAME?</v>
      </c>
      <c r="AA2485" s="58" t="str">
        <f t="shared" si="2325"/>
        <v>#NAME?</v>
      </c>
      <c r="AB2485" s="58" t="str">
        <f t="shared" si="2325"/>
        <v>#NAME?</v>
      </c>
      <c r="AC2485" s="58" t="str">
        <f t="shared" si="2325"/>
        <v>#NAME?</v>
      </c>
      <c r="AD2485" s="57">
        <f t="shared" si="906"/>
        <v>0</v>
      </c>
      <c r="AE2485" s="57" t="str">
        <f t="shared" si="907"/>
        <v/>
      </c>
      <c r="AF2485" s="57">
        <f t="shared" si="908"/>
        <v>0</v>
      </c>
      <c r="AG2485" s="59">
        <f t="shared" si="909"/>
        <v>0</v>
      </c>
      <c r="AH2485" s="15"/>
      <c r="AI2485" s="15"/>
      <c r="AJ2485" s="15"/>
      <c r="AK2485" s="15"/>
      <c r="AL2485" s="15"/>
      <c r="AM2485" s="15"/>
      <c r="AN2485" s="15"/>
      <c r="AO2485" s="15"/>
      <c r="AP2485" s="15"/>
      <c r="AQ2485" s="15"/>
      <c r="AR2485" s="15"/>
      <c r="AS2485" s="15"/>
      <c r="AT2485" s="15"/>
      <c r="AU2485" s="15"/>
    </row>
    <row r="2486" ht="24.0" customHeight="1">
      <c r="A2486" s="45">
        <v>3910.0</v>
      </c>
      <c r="B2486" s="57"/>
      <c r="C2486" s="57"/>
      <c r="D2486" s="88" t="str">
        <f t="array" ref="D2486">IFERROR(
  LOOKUP(2, 1/((TRIM(IMS!$E$8:$E$2574)=TRIM(IMS!$E2486))*(IMS!$C$8:$C$2574&lt;IMS!$C2486)),
         IMS!$C$8:$C$2574),
"")</f>
        <v/>
      </c>
      <c r="E2486" s="57"/>
      <c r="F2486" s="57"/>
      <c r="G2486" s="77" t="str">
        <f t="shared" si="901"/>
        <v/>
      </c>
      <c r="H2486" s="78" t="str">
        <f t="shared" si="902"/>
        <v/>
      </c>
      <c r="I2486" s="79"/>
      <c r="J2486" s="80" t="str">
        <f t="shared" si="903"/>
        <v>#NAME?</v>
      </c>
      <c r="K2486" s="58"/>
      <c r="L2486" s="58"/>
      <c r="M2486" s="57"/>
      <c r="N2486" s="57"/>
      <c r="O2486" s="58"/>
      <c r="P2486" s="82"/>
      <c r="Q2486" s="81"/>
      <c r="R2486" s="81"/>
      <c r="S2486" s="57"/>
      <c r="T2486" s="82"/>
      <c r="U2486" s="82"/>
      <c r="V2486" s="57"/>
      <c r="W2486" s="57"/>
      <c r="X2486" s="57" t="str">
        <f t="shared" si="917"/>
        <v/>
      </c>
      <c r="Y2486" s="58" t="str">
        <f t="shared" ref="Y2486:AC2486" si="2326">TRIM(SUBSTITUTE(SUBSTITUTE(OFFSET($Q2486,0,COLUMN()-COLUMN($AL$1)),CHAR(160)," "),_xludf.UNICHAR(8239)," "))</f>
        <v>#NAME?</v>
      </c>
      <c r="Z2486" s="58" t="str">
        <f t="shared" si="2326"/>
        <v>#NAME?</v>
      </c>
      <c r="AA2486" s="58" t="str">
        <f t="shared" si="2326"/>
        <v>#NAME?</v>
      </c>
      <c r="AB2486" s="58" t="str">
        <f t="shared" si="2326"/>
        <v>#NAME?</v>
      </c>
      <c r="AC2486" s="58" t="str">
        <f t="shared" si="2326"/>
        <v>#NAME?</v>
      </c>
      <c r="AD2486" s="57">
        <f t="shared" si="906"/>
        <v>0</v>
      </c>
      <c r="AE2486" s="57" t="str">
        <f t="shared" si="907"/>
        <v/>
      </c>
      <c r="AF2486" s="57">
        <f t="shared" si="908"/>
        <v>0</v>
      </c>
      <c r="AG2486" s="59">
        <f t="shared" si="909"/>
        <v>0</v>
      </c>
      <c r="AH2486" s="15"/>
      <c r="AI2486" s="15"/>
      <c r="AJ2486" s="15"/>
      <c r="AK2486" s="15"/>
      <c r="AL2486" s="15"/>
      <c r="AM2486" s="15"/>
      <c r="AN2486" s="15"/>
      <c r="AO2486" s="15"/>
      <c r="AP2486" s="15"/>
      <c r="AQ2486" s="15"/>
      <c r="AR2486" s="15"/>
      <c r="AS2486" s="15"/>
      <c r="AT2486" s="15"/>
      <c r="AU2486" s="15"/>
    </row>
    <row r="2487" ht="24.0" customHeight="1">
      <c r="A2487" s="45">
        <v>3911.0</v>
      </c>
      <c r="B2487" s="57"/>
      <c r="C2487" s="57"/>
      <c r="D2487" s="88" t="str">
        <f t="array" ref="D2487">IFERROR(
  LOOKUP(2, 1/((TRIM(IMS!$E$8:$E$2574)=TRIM(IMS!$E2487))*(IMS!$C$8:$C$2574&lt;IMS!$C2487)),
         IMS!$C$8:$C$2574),
"")</f>
        <v/>
      </c>
      <c r="E2487" s="57"/>
      <c r="F2487" s="57"/>
      <c r="G2487" s="77" t="str">
        <f t="shared" si="901"/>
        <v/>
      </c>
      <c r="H2487" s="78" t="str">
        <f t="shared" si="902"/>
        <v/>
      </c>
      <c r="I2487" s="79"/>
      <c r="J2487" s="80" t="str">
        <f t="shared" si="903"/>
        <v>#NAME?</v>
      </c>
      <c r="K2487" s="58"/>
      <c r="L2487" s="58"/>
      <c r="M2487" s="57"/>
      <c r="N2487" s="57"/>
      <c r="O2487" s="58"/>
      <c r="P2487" s="82"/>
      <c r="Q2487" s="81"/>
      <c r="R2487" s="81"/>
      <c r="S2487" s="57"/>
      <c r="T2487" s="82"/>
      <c r="U2487" s="82"/>
      <c r="V2487" s="57"/>
      <c r="W2487" s="57"/>
      <c r="X2487" s="57" t="str">
        <f t="shared" si="917"/>
        <v/>
      </c>
      <c r="Y2487" s="58" t="str">
        <f t="shared" ref="Y2487:AC2487" si="2327">TRIM(SUBSTITUTE(SUBSTITUTE(OFFSET($Q2487,0,COLUMN()-COLUMN($AL$1)),CHAR(160)," "),_xludf.UNICHAR(8239)," "))</f>
        <v>#NAME?</v>
      </c>
      <c r="Z2487" s="58" t="str">
        <f t="shared" si="2327"/>
        <v>#NAME?</v>
      </c>
      <c r="AA2487" s="58" t="str">
        <f t="shared" si="2327"/>
        <v>#NAME?</v>
      </c>
      <c r="AB2487" s="58" t="str">
        <f t="shared" si="2327"/>
        <v>#NAME?</v>
      </c>
      <c r="AC2487" s="58" t="str">
        <f t="shared" si="2327"/>
        <v>#NAME?</v>
      </c>
      <c r="AD2487" s="57">
        <f t="shared" si="906"/>
        <v>0</v>
      </c>
      <c r="AE2487" s="57" t="str">
        <f t="shared" si="907"/>
        <v/>
      </c>
      <c r="AF2487" s="57">
        <f t="shared" si="908"/>
        <v>0</v>
      </c>
      <c r="AG2487" s="59">
        <f t="shared" si="909"/>
        <v>0</v>
      </c>
      <c r="AH2487" s="15"/>
      <c r="AI2487" s="15"/>
      <c r="AJ2487" s="15"/>
      <c r="AK2487" s="15"/>
      <c r="AL2487" s="15"/>
      <c r="AM2487" s="15"/>
      <c r="AN2487" s="15"/>
      <c r="AO2487" s="15"/>
      <c r="AP2487" s="15"/>
      <c r="AQ2487" s="15"/>
      <c r="AR2487" s="15"/>
      <c r="AS2487" s="15"/>
      <c r="AT2487" s="15"/>
      <c r="AU2487" s="15"/>
    </row>
    <row r="2488" ht="24.0" customHeight="1">
      <c r="A2488" s="45">
        <v>3912.0</v>
      </c>
      <c r="B2488" s="57"/>
      <c r="C2488" s="57"/>
      <c r="D2488" s="88" t="str">
        <f t="array" ref="D2488">IFERROR(
  LOOKUP(2, 1/((TRIM(IMS!$E$8:$E$2574)=TRIM(IMS!$E2488))*(IMS!$C$8:$C$2574&lt;IMS!$C2488)),
         IMS!$C$8:$C$2574),
"")</f>
        <v/>
      </c>
      <c r="E2488" s="57"/>
      <c r="F2488" s="57"/>
      <c r="G2488" s="77" t="str">
        <f t="shared" si="901"/>
        <v/>
      </c>
      <c r="H2488" s="78" t="str">
        <f t="shared" si="902"/>
        <v/>
      </c>
      <c r="I2488" s="79"/>
      <c r="J2488" s="80" t="str">
        <f t="shared" si="903"/>
        <v>#NAME?</v>
      </c>
      <c r="K2488" s="58"/>
      <c r="L2488" s="58"/>
      <c r="M2488" s="57"/>
      <c r="N2488" s="57"/>
      <c r="O2488" s="58"/>
      <c r="P2488" s="82"/>
      <c r="Q2488" s="81"/>
      <c r="R2488" s="81"/>
      <c r="S2488" s="57"/>
      <c r="T2488" s="82"/>
      <c r="U2488" s="82"/>
      <c r="V2488" s="57"/>
      <c r="W2488" s="57"/>
      <c r="X2488" s="57" t="str">
        <f t="shared" si="917"/>
        <v/>
      </c>
      <c r="Y2488" s="58" t="str">
        <f t="shared" ref="Y2488:AC2488" si="2328">TRIM(SUBSTITUTE(SUBSTITUTE(OFFSET($Q2488,0,COLUMN()-COLUMN($AL$1)),CHAR(160)," "),_xludf.UNICHAR(8239)," "))</f>
        <v>#NAME?</v>
      </c>
      <c r="Z2488" s="58" t="str">
        <f t="shared" si="2328"/>
        <v>#NAME?</v>
      </c>
      <c r="AA2488" s="58" t="str">
        <f t="shared" si="2328"/>
        <v>#NAME?</v>
      </c>
      <c r="AB2488" s="58" t="str">
        <f t="shared" si="2328"/>
        <v>#NAME?</v>
      </c>
      <c r="AC2488" s="58" t="str">
        <f t="shared" si="2328"/>
        <v>#NAME?</v>
      </c>
      <c r="AD2488" s="57">
        <f t="shared" si="906"/>
        <v>0</v>
      </c>
      <c r="AE2488" s="57" t="str">
        <f t="shared" si="907"/>
        <v/>
      </c>
      <c r="AF2488" s="57">
        <f t="shared" si="908"/>
        <v>0</v>
      </c>
      <c r="AG2488" s="59">
        <f t="shared" si="909"/>
        <v>0</v>
      </c>
      <c r="AH2488" s="15"/>
      <c r="AI2488" s="15"/>
      <c r="AJ2488" s="15"/>
      <c r="AK2488" s="15"/>
      <c r="AL2488" s="15"/>
      <c r="AM2488" s="15"/>
      <c r="AN2488" s="15"/>
      <c r="AO2488" s="15"/>
      <c r="AP2488" s="15"/>
      <c r="AQ2488" s="15"/>
      <c r="AR2488" s="15"/>
      <c r="AS2488" s="15"/>
      <c r="AT2488" s="15"/>
      <c r="AU2488" s="15"/>
    </row>
    <row r="2489" ht="24.0" customHeight="1">
      <c r="A2489" s="45">
        <v>3913.0</v>
      </c>
      <c r="B2489" s="57"/>
      <c r="C2489" s="57"/>
      <c r="D2489" s="88" t="str">
        <f t="array" ref="D2489">IFERROR(
  LOOKUP(2, 1/((TRIM(IMS!$E$8:$E$2574)=TRIM(IMS!$E2489))*(IMS!$C$8:$C$2574&lt;IMS!$C2489)),
         IMS!$C$8:$C$2574),
"")</f>
        <v/>
      </c>
      <c r="E2489" s="57"/>
      <c r="F2489" s="57"/>
      <c r="G2489" s="77" t="str">
        <f t="shared" si="901"/>
        <v/>
      </c>
      <c r="H2489" s="78" t="str">
        <f t="shared" si="902"/>
        <v/>
      </c>
      <c r="I2489" s="79"/>
      <c r="J2489" s="80" t="str">
        <f t="shared" si="903"/>
        <v>#NAME?</v>
      </c>
      <c r="K2489" s="58"/>
      <c r="L2489" s="58"/>
      <c r="M2489" s="57"/>
      <c r="N2489" s="57"/>
      <c r="O2489" s="58"/>
      <c r="P2489" s="82"/>
      <c r="Q2489" s="81"/>
      <c r="R2489" s="81"/>
      <c r="S2489" s="57"/>
      <c r="T2489" s="82"/>
      <c r="U2489" s="82"/>
      <c r="V2489" s="57"/>
      <c r="W2489" s="57"/>
      <c r="X2489" s="57" t="str">
        <f t="shared" si="917"/>
        <v/>
      </c>
      <c r="Y2489" s="58" t="str">
        <f t="shared" ref="Y2489:AC2489" si="2329">TRIM(SUBSTITUTE(SUBSTITUTE(OFFSET($Q2489,0,COLUMN()-COLUMN($AL$1)),CHAR(160)," "),_xludf.UNICHAR(8239)," "))</f>
        <v>#NAME?</v>
      </c>
      <c r="Z2489" s="58" t="str">
        <f t="shared" si="2329"/>
        <v>#NAME?</v>
      </c>
      <c r="AA2489" s="58" t="str">
        <f t="shared" si="2329"/>
        <v>#NAME?</v>
      </c>
      <c r="AB2489" s="58" t="str">
        <f t="shared" si="2329"/>
        <v>#NAME?</v>
      </c>
      <c r="AC2489" s="58" t="str">
        <f t="shared" si="2329"/>
        <v>#NAME?</v>
      </c>
      <c r="AD2489" s="57">
        <f t="shared" si="906"/>
        <v>0</v>
      </c>
      <c r="AE2489" s="57" t="str">
        <f t="shared" si="907"/>
        <v/>
      </c>
      <c r="AF2489" s="57">
        <f t="shared" si="908"/>
        <v>0</v>
      </c>
      <c r="AG2489" s="59">
        <f t="shared" si="909"/>
        <v>0</v>
      </c>
      <c r="AH2489" s="15"/>
      <c r="AI2489" s="15"/>
      <c r="AJ2489" s="15"/>
      <c r="AK2489" s="15"/>
      <c r="AL2489" s="15"/>
      <c r="AM2489" s="15"/>
      <c r="AN2489" s="15"/>
      <c r="AO2489" s="15"/>
      <c r="AP2489" s="15"/>
      <c r="AQ2489" s="15"/>
      <c r="AR2489" s="15"/>
      <c r="AS2489" s="15"/>
      <c r="AT2489" s="15"/>
      <c r="AU2489" s="15"/>
    </row>
    <row r="2490" ht="24.0" customHeight="1">
      <c r="A2490" s="45">
        <v>3914.0</v>
      </c>
      <c r="B2490" s="57"/>
      <c r="C2490" s="57"/>
      <c r="D2490" s="88" t="str">
        <f t="array" ref="D2490">IFERROR(
  LOOKUP(2, 1/((TRIM(IMS!$E$8:$E$2574)=TRIM(IMS!$E2490))*(IMS!$C$8:$C$2574&lt;IMS!$C2490)),
         IMS!$C$8:$C$2574),
"")</f>
        <v/>
      </c>
      <c r="E2490" s="57"/>
      <c r="F2490" s="57"/>
      <c r="G2490" s="77" t="str">
        <f t="shared" si="901"/>
        <v/>
      </c>
      <c r="H2490" s="78" t="str">
        <f t="shared" si="902"/>
        <v/>
      </c>
      <c r="I2490" s="79"/>
      <c r="J2490" s="80" t="str">
        <f t="shared" si="903"/>
        <v>#NAME?</v>
      </c>
      <c r="K2490" s="58"/>
      <c r="L2490" s="58"/>
      <c r="M2490" s="57"/>
      <c r="N2490" s="57"/>
      <c r="O2490" s="58"/>
      <c r="P2490" s="82"/>
      <c r="Q2490" s="81"/>
      <c r="R2490" s="81"/>
      <c r="S2490" s="57"/>
      <c r="T2490" s="82"/>
      <c r="U2490" s="82"/>
      <c r="V2490" s="57"/>
      <c r="W2490" s="57"/>
      <c r="X2490" s="57" t="str">
        <f t="shared" si="917"/>
        <v/>
      </c>
      <c r="Y2490" s="58" t="str">
        <f t="shared" ref="Y2490:AC2490" si="2330">TRIM(SUBSTITUTE(SUBSTITUTE(OFFSET($Q2490,0,COLUMN()-COLUMN($AL$1)),CHAR(160)," "),_xludf.UNICHAR(8239)," "))</f>
        <v>#NAME?</v>
      </c>
      <c r="Z2490" s="58" t="str">
        <f t="shared" si="2330"/>
        <v>#NAME?</v>
      </c>
      <c r="AA2490" s="58" t="str">
        <f t="shared" si="2330"/>
        <v>#NAME?</v>
      </c>
      <c r="AB2490" s="58" t="str">
        <f t="shared" si="2330"/>
        <v>#NAME?</v>
      </c>
      <c r="AC2490" s="58" t="str">
        <f t="shared" si="2330"/>
        <v>#NAME?</v>
      </c>
      <c r="AD2490" s="57">
        <f t="shared" si="906"/>
        <v>0</v>
      </c>
      <c r="AE2490" s="57" t="str">
        <f t="shared" si="907"/>
        <v/>
      </c>
      <c r="AF2490" s="57">
        <f t="shared" si="908"/>
        <v>0</v>
      </c>
      <c r="AG2490" s="59">
        <f t="shared" si="909"/>
        <v>0</v>
      </c>
      <c r="AH2490" s="15"/>
      <c r="AI2490" s="15"/>
      <c r="AJ2490" s="15"/>
      <c r="AK2490" s="15"/>
      <c r="AL2490" s="15"/>
      <c r="AM2490" s="15"/>
      <c r="AN2490" s="15"/>
      <c r="AO2490" s="15"/>
      <c r="AP2490" s="15"/>
      <c r="AQ2490" s="15"/>
      <c r="AR2490" s="15"/>
      <c r="AS2490" s="15"/>
      <c r="AT2490" s="15"/>
      <c r="AU2490" s="15"/>
    </row>
    <row r="2491" ht="24.0" customHeight="1">
      <c r="A2491" s="45">
        <v>3915.0</v>
      </c>
      <c r="B2491" s="57"/>
      <c r="C2491" s="57"/>
      <c r="D2491" s="88" t="str">
        <f t="array" ref="D2491">IFERROR(
  LOOKUP(2, 1/((TRIM(IMS!$E$8:$E$2574)=TRIM(IMS!$E2491))*(IMS!$C$8:$C$2574&lt;IMS!$C2491)),
         IMS!$C$8:$C$2574),
"")</f>
        <v/>
      </c>
      <c r="E2491" s="57"/>
      <c r="F2491" s="57"/>
      <c r="G2491" s="77" t="str">
        <f t="shared" si="901"/>
        <v/>
      </c>
      <c r="H2491" s="78" t="str">
        <f t="shared" si="902"/>
        <v/>
      </c>
      <c r="I2491" s="79"/>
      <c r="J2491" s="80" t="str">
        <f t="shared" si="903"/>
        <v>#NAME?</v>
      </c>
      <c r="K2491" s="58"/>
      <c r="L2491" s="58"/>
      <c r="M2491" s="57"/>
      <c r="N2491" s="57"/>
      <c r="O2491" s="58"/>
      <c r="P2491" s="82"/>
      <c r="Q2491" s="81"/>
      <c r="R2491" s="81"/>
      <c r="S2491" s="57"/>
      <c r="T2491" s="82"/>
      <c r="U2491" s="82"/>
      <c r="V2491" s="57"/>
      <c r="W2491" s="57"/>
      <c r="X2491" s="57" t="str">
        <f t="shared" si="917"/>
        <v/>
      </c>
      <c r="Y2491" s="58" t="str">
        <f t="shared" ref="Y2491:AC2491" si="2331">TRIM(SUBSTITUTE(SUBSTITUTE(OFFSET($Q2491,0,COLUMN()-COLUMN($AL$1)),CHAR(160)," "),_xludf.UNICHAR(8239)," "))</f>
        <v>#NAME?</v>
      </c>
      <c r="Z2491" s="58" t="str">
        <f t="shared" si="2331"/>
        <v>#NAME?</v>
      </c>
      <c r="AA2491" s="58" t="str">
        <f t="shared" si="2331"/>
        <v>#NAME?</v>
      </c>
      <c r="AB2491" s="58" t="str">
        <f t="shared" si="2331"/>
        <v>#NAME?</v>
      </c>
      <c r="AC2491" s="58" t="str">
        <f t="shared" si="2331"/>
        <v>#NAME?</v>
      </c>
      <c r="AD2491" s="57">
        <f t="shared" si="906"/>
        <v>0</v>
      </c>
      <c r="AE2491" s="57" t="str">
        <f t="shared" si="907"/>
        <v/>
      </c>
      <c r="AF2491" s="57">
        <f t="shared" si="908"/>
        <v>0</v>
      </c>
      <c r="AG2491" s="59">
        <f t="shared" si="909"/>
        <v>0</v>
      </c>
      <c r="AH2491" s="15"/>
      <c r="AI2491" s="15"/>
      <c r="AJ2491" s="15"/>
      <c r="AK2491" s="15"/>
      <c r="AL2491" s="15"/>
      <c r="AM2491" s="15"/>
      <c r="AN2491" s="15"/>
      <c r="AO2491" s="15"/>
      <c r="AP2491" s="15"/>
      <c r="AQ2491" s="15"/>
      <c r="AR2491" s="15"/>
      <c r="AS2491" s="15"/>
      <c r="AT2491" s="15"/>
      <c r="AU2491" s="15"/>
    </row>
    <row r="2492" ht="24.0" customHeight="1">
      <c r="A2492" s="45">
        <v>3916.0</v>
      </c>
      <c r="B2492" s="57"/>
      <c r="C2492" s="57"/>
      <c r="D2492" s="88" t="str">
        <f t="array" ref="D2492">IFERROR(
  LOOKUP(2, 1/((TRIM(IMS!$E$8:$E$2574)=TRIM(IMS!$E2492))*(IMS!$C$8:$C$2574&lt;IMS!$C2492)),
         IMS!$C$8:$C$2574),
"")</f>
        <v/>
      </c>
      <c r="E2492" s="57"/>
      <c r="F2492" s="57"/>
      <c r="G2492" s="77" t="str">
        <f t="shared" si="901"/>
        <v/>
      </c>
      <c r="H2492" s="78" t="str">
        <f t="shared" si="902"/>
        <v/>
      </c>
      <c r="I2492" s="79"/>
      <c r="J2492" s="80" t="str">
        <f t="shared" si="903"/>
        <v>#NAME?</v>
      </c>
      <c r="K2492" s="58"/>
      <c r="L2492" s="58"/>
      <c r="M2492" s="57"/>
      <c r="N2492" s="57"/>
      <c r="O2492" s="58"/>
      <c r="P2492" s="82"/>
      <c r="Q2492" s="81"/>
      <c r="R2492" s="81"/>
      <c r="S2492" s="57"/>
      <c r="T2492" s="82"/>
      <c r="U2492" s="82"/>
      <c r="V2492" s="57"/>
      <c r="W2492" s="57"/>
      <c r="X2492" s="57" t="str">
        <f t="shared" si="917"/>
        <v/>
      </c>
      <c r="Y2492" s="58" t="str">
        <f t="shared" ref="Y2492:AC2492" si="2332">TRIM(SUBSTITUTE(SUBSTITUTE(OFFSET($Q2492,0,COLUMN()-COLUMN($AL$1)),CHAR(160)," "),_xludf.UNICHAR(8239)," "))</f>
        <v>#NAME?</v>
      </c>
      <c r="Z2492" s="58" t="str">
        <f t="shared" si="2332"/>
        <v>#NAME?</v>
      </c>
      <c r="AA2492" s="58" t="str">
        <f t="shared" si="2332"/>
        <v>#NAME?</v>
      </c>
      <c r="AB2492" s="58" t="str">
        <f t="shared" si="2332"/>
        <v>#NAME?</v>
      </c>
      <c r="AC2492" s="58" t="str">
        <f t="shared" si="2332"/>
        <v>#NAME?</v>
      </c>
      <c r="AD2492" s="57">
        <f t="shared" si="906"/>
        <v>0</v>
      </c>
      <c r="AE2492" s="57" t="str">
        <f t="shared" si="907"/>
        <v/>
      </c>
      <c r="AF2492" s="57">
        <f t="shared" si="908"/>
        <v>0</v>
      </c>
      <c r="AG2492" s="59">
        <f t="shared" si="909"/>
        <v>0</v>
      </c>
      <c r="AH2492" s="15"/>
      <c r="AI2492" s="15"/>
      <c r="AJ2492" s="15"/>
      <c r="AK2492" s="15"/>
      <c r="AL2492" s="15"/>
      <c r="AM2492" s="15"/>
      <c r="AN2492" s="15"/>
      <c r="AO2492" s="15"/>
      <c r="AP2492" s="15"/>
      <c r="AQ2492" s="15"/>
      <c r="AR2492" s="15"/>
      <c r="AS2492" s="15"/>
      <c r="AT2492" s="15"/>
      <c r="AU2492" s="15"/>
    </row>
    <row r="2493" ht="24.0" customHeight="1">
      <c r="A2493" s="45">
        <v>3917.0</v>
      </c>
      <c r="B2493" s="57"/>
      <c r="C2493" s="57"/>
      <c r="D2493" s="88" t="str">
        <f t="array" ref="D2493">IFERROR(
  LOOKUP(2, 1/((TRIM(IMS!$E$8:$E$2574)=TRIM(IMS!$E2493))*(IMS!$C$8:$C$2574&lt;IMS!$C2493)),
         IMS!$C$8:$C$2574),
"")</f>
        <v/>
      </c>
      <c r="E2493" s="57"/>
      <c r="F2493" s="57"/>
      <c r="G2493" s="77" t="str">
        <f t="shared" si="901"/>
        <v/>
      </c>
      <c r="H2493" s="78" t="str">
        <f t="shared" si="902"/>
        <v/>
      </c>
      <c r="I2493" s="79"/>
      <c r="J2493" s="80" t="str">
        <f t="shared" si="903"/>
        <v>#NAME?</v>
      </c>
      <c r="K2493" s="58"/>
      <c r="L2493" s="58"/>
      <c r="M2493" s="57"/>
      <c r="N2493" s="57"/>
      <c r="O2493" s="58"/>
      <c r="P2493" s="82"/>
      <c r="Q2493" s="81"/>
      <c r="R2493" s="81"/>
      <c r="S2493" s="57"/>
      <c r="T2493" s="82"/>
      <c r="U2493" s="82"/>
      <c r="V2493" s="57"/>
      <c r="W2493" s="57"/>
      <c r="X2493" s="57" t="str">
        <f t="shared" si="917"/>
        <v/>
      </c>
      <c r="Y2493" s="58" t="str">
        <f t="shared" ref="Y2493:AC2493" si="2333">TRIM(SUBSTITUTE(SUBSTITUTE(OFFSET($Q2493,0,COLUMN()-COLUMN($AL$1)),CHAR(160)," "),_xludf.UNICHAR(8239)," "))</f>
        <v>#NAME?</v>
      </c>
      <c r="Z2493" s="58" t="str">
        <f t="shared" si="2333"/>
        <v>#NAME?</v>
      </c>
      <c r="AA2493" s="58" t="str">
        <f t="shared" si="2333"/>
        <v>#NAME?</v>
      </c>
      <c r="AB2493" s="58" t="str">
        <f t="shared" si="2333"/>
        <v>#NAME?</v>
      </c>
      <c r="AC2493" s="58" t="str">
        <f t="shared" si="2333"/>
        <v>#NAME?</v>
      </c>
      <c r="AD2493" s="57">
        <f t="shared" si="906"/>
        <v>0</v>
      </c>
      <c r="AE2493" s="57" t="str">
        <f t="shared" si="907"/>
        <v/>
      </c>
      <c r="AF2493" s="57">
        <f t="shared" si="908"/>
        <v>0</v>
      </c>
      <c r="AG2493" s="59">
        <f t="shared" si="909"/>
        <v>0</v>
      </c>
      <c r="AH2493" s="15"/>
      <c r="AI2493" s="15"/>
      <c r="AJ2493" s="15"/>
      <c r="AK2493" s="15"/>
      <c r="AL2493" s="15"/>
      <c r="AM2493" s="15"/>
      <c r="AN2493" s="15"/>
      <c r="AO2493" s="15"/>
      <c r="AP2493" s="15"/>
      <c r="AQ2493" s="15"/>
      <c r="AR2493" s="15"/>
      <c r="AS2493" s="15"/>
      <c r="AT2493" s="15"/>
      <c r="AU2493" s="15"/>
    </row>
    <row r="2494" ht="24.0" customHeight="1">
      <c r="A2494" s="45">
        <v>3918.0</v>
      </c>
      <c r="B2494" s="57"/>
      <c r="C2494" s="57"/>
      <c r="D2494" s="88" t="str">
        <f t="array" ref="D2494">IFERROR(
  LOOKUP(2, 1/((TRIM(IMS!$E$8:$E$2574)=TRIM(IMS!$E2494))*(IMS!$C$8:$C$2574&lt;IMS!$C2494)),
         IMS!$C$8:$C$2574),
"")</f>
        <v/>
      </c>
      <c r="E2494" s="57"/>
      <c r="F2494" s="57"/>
      <c r="G2494" s="77" t="str">
        <f t="shared" si="901"/>
        <v/>
      </c>
      <c r="H2494" s="78" t="str">
        <f t="shared" si="902"/>
        <v/>
      </c>
      <c r="I2494" s="79"/>
      <c r="J2494" s="80" t="str">
        <f t="shared" si="903"/>
        <v>#NAME?</v>
      </c>
      <c r="K2494" s="58"/>
      <c r="L2494" s="58"/>
      <c r="M2494" s="57"/>
      <c r="N2494" s="57"/>
      <c r="O2494" s="58"/>
      <c r="P2494" s="82"/>
      <c r="Q2494" s="81"/>
      <c r="R2494" s="81"/>
      <c r="S2494" s="57"/>
      <c r="T2494" s="82"/>
      <c r="U2494" s="82"/>
      <c r="V2494" s="57"/>
      <c r="W2494" s="57"/>
      <c r="X2494" s="57" t="str">
        <f t="shared" si="917"/>
        <v/>
      </c>
      <c r="Y2494" s="58" t="str">
        <f t="shared" ref="Y2494:AC2494" si="2334">TRIM(SUBSTITUTE(SUBSTITUTE(OFFSET($Q2494,0,COLUMN()-COLUMN($AL$1)),CHAR(160)," "),_xludf.UNICHAR(8239)," "))</f>
        <v>#NAME?</v>
      </c>
      <c r="Z2494" s="58" t="str">
        <f t="shared" si="2334"/>
        <v>#NAME?</v>
      </c>
      <c r="AA2494" s="58" t="str">
        <f t="shared" si="2334"/>
        <v>#NAME?</v>
      </c>
      <c r="AB2494" s="58" t="str">
        <f t="shared" si="2334"/>
        <v>#NAME?</v>
      </c>
      <c r="AC2494" s="58" t="str">
        <f t="shared" si="2334"/>
        <v>#NAME?</v>
      </c>
      <c r="AD2494" s="57">
        <f t="shared" si="906"/>
        <v>0</v>
      </c>
      <c r="AE2494" s="57" t="str">
        <f t="shared" si="907"/>
        <v/>
      </c>
      <c r="AF2494" s="57">
        <f t="shared" si="908"/>
        <v>0</v>
      </c>
      <c r="AG2494" s="59">
        <f t="shared" si="909"/>
        <v>0</v>
      </c>
      <c r="AH2494" s="15"/>
      <c r="AI2494" s="15"/>
      <c r="AJ2494" s="15"/>
      <c r="AK2494" s="15"/>
      <c r="AL2494" s="15"/>
      <c r="AM2494" s="15"/>
      <c r="AN2494" s="15"/>
      <c r="AO2494" s="15"/>
      <c r="AP2494" s="15"/>
      <c r="AQ2494" s="15"/>
      <c r="AR2494" s="15"/>
      <c r="AS2494" s="15"/>
      <c r="AT2494" s="15"/>
      <c r="AU2494" s="15"/>
    </row>
    <row r="2495" ht="24.0" customHeight="1">
      <c r="A2495" s="45">
        <v>3919.0</v>
      </c>
      <c r="B2495" s="57"/>
      <c r="C2495" s="57"/>
      <c r="D2495" s="88" t="str">
        <f t="array" ref="D2495">IFERROR(
  LOOKUP(2, 1/((TRIM(IMS!$E$8:$E$2574)=TRIM(IMS!$E2495))*(IMS!$C$8:$C$2574&lt;IMS!$C2495)),
         IMS!$C$8:$C$2574),
"")</f>
        <v/>
      </c>
      <c r="E2495" s="57"/>
      <c r="F2495" s="57"/>
      <c r="G2495" s="77" t="str">
        <f t="shared" si="901"/>
        <v/>
      </c>
      <c r="H2495" s="78" t="str">
        <f t="shared" si="902"/>
        <v/>
      </c>
      <c r="I2495" s="79"/>
      <c r="J2495" s="80" t="str">
        <f t="shared" si="903"/>
        <v>#NAME?</v>
      </c>
      <c r="K2495" s="58"/>
      <c r="L2495" s="58"/>
      <c r="M2495" s="57"/>
      <c r="N2495" s="57"/>
      <c r="O2495" s="58"/>
      <c r="P2495" s="82"/>
      <c r="Q2495" s="81"/>
      <c r="R2495" s="81"/>
      <c r="S2495" s="57"/>
      <c r="T2495" s="82"/>
      <c r="U2495" s="82"/>
      <c r="V2495" s="57"/>
      <c r="W2495" s="57"/>
      <c r="X2495" s="57" t="str">
        <f t="shared" si="917"/>
        <v/>
      </c>
      <c r="Y2495" s="58" t="str">
        <f t="shared" ref="Y2495:AC2495" si="2335">TRIM(SUBSTITUTE(SUBSTITUTE(OFFSET($Q2495,0,COLUMN()-COLUMN($AL$1)),CHAR(160)," "),_xludf.UNICHAR(8239)," "))</f>
        <v>#NAME?</v>
      </c>
      <c r="Z2495" s="58" t="str">
        <f t="shared" si="2335"/>
        <v>#NAME?</v>
      </c>
      <c r="AA2495" s="58" t="str">
        <f t="shared" si="2335"/>
        <v>#NAME?</v>
      </c>
      <c r="AB2495" s="58" t="str">
        <f t="shared" si="2335"/>
        <v>#NAME?</v>
      </c>
      <c r="AC2495" s="58" t="str">
        <f t="shared" si="2335"/>
        <v>#NAME?</v>
      </c>
      <c r="AD2495" s="57">
        <f t="shared" si="906"/>
        <v>0</v>
      </c>
      <c r="AE2495" s="57" t="str">
        <f t="shared" si="907"/>
        <v/>
      </c>
      <c r="AF2495" s="57">
        <f t="shared" si="908"/>
        <v>0</v>
      </c>
      <c r="AG2495" s="59">
        <f t="shared" si="909"/>
        <v>0</v>
      </c>
      <c r="AH2495" s="15"/>
      <c r="AI2495" s="15"/>
      <c r="AJ2495" s="15"/>
      <c r="AK2495" s="15"/>
      <c r="AL2495" s="15"/>
      <c r="AM2495" s="15"/>
      <c r="AN2495" s="15"/>
      <c r="AO2495" s="15"/>
      <c r="AP2495" s="15"/>
      <c r="AQ2495" s="15"/>
      <c r="AR2495" s="15"/>
      <c r="AS2495" s="15"/>
      <c r="AT2495" s="15"/>
      <c r="AU2495" s="15"/>
    </row>
    <row r="2496" ht="24.0" customHeight="1">
      <c r="A2496" s="45">
        <v>3920.0</v>
      </c>
      <c r="B2496" s="57"/>
      <c r="C2496" s="57"/>
      <c r="D2496" s="88" t="str">
        <f t="array" ref="D2496">IFERROR(
  LOOKUP(2, 1/((TRIM(IMS!$E$8:$E$2574)=TRIM(IMS!$E2496))*(IMS!$C$8:$C$2574&lt;IMS!$C2496)),
         IMS!$C$8:$C$2574),
"")</f>
        <v/>
      </c>
      <c r="E2496" s="57"/>
      <c r="F2496" s="57"/>
      <c r="G2496" s="77" t="str">
        <f t="shared" si="901"/>
        <v/>
      </c>
      <c r="H2496" s="78" t="str">
        <f t="shared" si="902"/>
        <v/>
      </c>
      <c r="I2496" s="79"/>
      <c r="J2496" s="80" t="str">
        <f t="shared" si="903"/>
        <v>#NAME?</v>
      </c>
      <c r="K2496" s="58"/>
      <c r="L2496" s="58"/>
      <c r="M2496" s="57"/>
      <c r="N2496" s="57"/>
      <c r="O2496" s="58"/>
      <c r="P2496" s="82"/>
      <c r="Q2496" s="81"/>
      <c r="R2496" s="81"/>
      <c r="S2496" s="57"/>
      <c r="T2496" s="82"/>
      <c r="U2496" s="82"/>
      <c r="V2496" s="57"/>
      <c r="W2496" s="57"/>
      <c r="X2496" s="57" t="str">
        <f t="shared" si="917"/>
        <v/>
      </c>
      <c r="Y2496" s="58" t="str">
        <f t="shared" ref="Y2496:AC2496" si="2336">TRIM(SUBSTITUTE(SUBSTITUTE(OFFSET($Q2496,0,COLUMN()-COLUMN($AL$1)),CHAR(160)," "),_xludf.UNICHAR(8239)," "))</f>
        <v>#NAME?</v>
      </c>
      <c r="Z2496" s="58" t="str">
        <f t="shared" si="2336"/>
        <v>#NAME?</v>
      </c>
      <c r="AA2496" s="58" t="str">
        <f t="shared" si="2336"/>
        <v>#NAME?</v>
      </c>
      <c r="AB2496" s="58" t="str">
        <f t="shared" si="2336"/>
        <v>#NAME?</v>
      </c>
      <c r="AC2496" s="58" t="str">
        <f t="shared" si="2336"/>
        <v>#NAME?</v>
      </c>
      <c r="AD2496" s="57">
        <f t="shared" si="906"/>
        <v>0</v>
      </c>
      <c r="AE2496" s="57" t="str">
        <f t="shared" si="907"/>
        <v/>
      </c>
      <c r="AF2496" s="57">
        <f t="shared" si="908"/>
        <v>0</v>
      </c>
      <c r="AG2496" s="59">
        <f t="shared" si="909"/>
        <v>0</v>
      </c>
      <c r="AH2496" s="15"/>
      <c r="AI2496" s="15"/>
      <c r="AJ2496" s="15"/>
      <c r="AK2496" s="15"/>
      <c r="AL2496" s="15"/>
      <c r="AM2496" s="15"/>
      <c r="AN2496" s="15"/>
      <c r="AO2496" s="15"/>
      <c r="AP2496" s="15"/>
      <c r="AQ2496" s="15"/>
      <c r="AR2496" s="15"/>
      <c r="AS2496" s="15"/>
      <c r="AT2496" s="15"/>
      <c r="AU2496" s="15"/>
    </row>
    <row r="2497" ht="24.0" customHeight="1">
      <c r="A2497" s="45">
        <v>3921.0</v>
      </c>
      <c r="B2497" s="57"/>
      <c r="C2497" s="57"/>
      <c r="D2497" s="88" t="str">
        <f t="array" ref="D2497">IFERROR(
  LOOKUP(2, 1/((TRIM(IMS!$E$8:$E$2574)=TRIM(IMS!$E2497))*(IMS!$C$8:$C$2574&lt;IMS!$C2497)),
         IMS!$C$8:$C$2574),
"")</f>
        <v/>
      </c>
      <c r="E2497" s="57"/>
      <c r="F2497" s="57"/>
      <c r="G2497" s="77" t="str">
        <f t="shared" si="901"/>
        <v/>
      </c>
      <c r="H2497" s="78" t="str">
        <f t="shared" si="902"/>
        <v/>
      </c>
      <c r="I2497" s="79"/>
      <c r="J2497" s="80" t="str">
        <f t="shared" si="903"/>
        <v>#NAME?</v>
      </c>
      <c r="K2497" s="58"/>
      <c r="L2497" s="58"/>
      <c r="M2497" s="57"/>
      <c r="N2497" s="57"/>
      <c r="O2497" s="58"/>
      <c r="P2497" s="82"/>
      <c r="Q2497" s="81"/>
      <c r="R2497" s="81"/>
      <c r="S2497" s="57"/>
      <c r="T2497" s="82"/>
      <c r="U2497" s="82"/>
      <c r="V2497" s="57"/>
      <c r="W2497" s="57"/>
      <c r="X2497" s="57" t="str">
        <f t="shared" si="917"/>
        <v/>
      </c>
      <c r="Y2497" s="58" t="str">
        <f t="shared" ref="Y2497:AC2497" si="2337">TRIM(SUBSTITUTE(SUBSTITUTE(OFFSET($Q2497,0,COLUMN()-COLUMN($AL$1)),CHAR(160)," "),_xludf.UNICHAR(8239)," "))</f>
        <v>#NAME?</v>
      </c>
      <c r="Z2497" s="58" t="str">
        <f t="shared" si="2337"/>
        <v>#NAME?</v>
      </c>
      <c r="AA2497" s="58" t="str">
        <f t="shared" si="2337"/>
        <v>#NAME?</v>
      </c>
      <c r="AB2497" s="58" t="str">
        <f t="shared" si="2337"/>
        <v>#NAME?</v>
      </c>
      <c r="AC2497" s="58" t="str">
        <f t="shared" si="2337"/>
        <v>#NAME?</v>
      </c>
      <c r="AD2497" s="57">
        <f t="shared" si="906"/>
        <v>0</v>
      </c>
      <c r="AE2497" s="57" t="str">
        <f t="shared" si="907"/>
        <v/>
      </c>
      <c r="AF2497" s="57">
        <f t="shared" si="908"/>
        <v>0</v>
      </c>
      <c r="AG2497" s="59">
        <f t="shared" si="909"/>
        <v>0</v>
      </c>
      <c r="AH2497" s="15"/>
      <c r="AI2497" s="15"/>
      <c r="AJ2497" s="15"/>
      <c r="AK2497" s="15"/>
      <c r="AL2497" s="15"/>
      <c r="AM2497" s="15"/>
      <c r="AN2497" s="15"/>
      <c r="AO2497" s="15"/>
      <c r="AP2497" s="15"/>
      <c r="AQ2497" s="15"/>
      <c r="AR2497" s="15"/>
      <c r="AS2497" s="15"/>
      <c r="AT2497" s="15"/>
      <c r="AU2497" s="15"/>
    </row>
    <row r="2498" ht="24.0" customHeight="1">
      <c r="A2498" s="45">
        <v>3922.0</v>
      </c>
      <c r="B2498" s="57"/>
      <c r="C2498" s="57"/>
      <c r="D2498" s="88" t="str">
        <f t="array" ref="D2498">IFERROR(
  LOOKUP(2, 1/((TRIM(IMS!$E$8:$E$2574)=TRIM(IMS!$E2498))*(IMS!$C$8:$C$2574&lt;IMS!$C2498)),
         IMS!$C$8:$C$2574),
"")</f>
        <v/>
      </c>
      <c r="E2498" s="57"/>
      <c r="F2498" s="57"/>
      <c r="G2498" s="77" t="str">
        <f t="shared" si="901"/>
        <v/>
      </c>
      <c r="H2498" s="78" t="str">
        <f t="shared" si="902"/>
        <v/>
      </c>
      <c r="I2498" s="79"/>
      <c r="J2498" s="80" t="str">
        <f t="shared" si="903"/>
        <v>#NAME?</v>
      </c>
      <c r="K2498" s="58"/>
      <c r="L2498" s="58"/>
      <c r="M2498" s="57"/>
      <c r="N2498" s="57"/>
      <c r="O2498" s="58"/>
      <c r="P2498" s="82"/>
      <c r="Q2498" s="81"/>
      <c r="R2498" s="81"/>
      <c r="S2498" s="57"/>
      <c r="T2498" s="82"/>
      <c r="U2498" s="82"/>
      <c r="V2498" s="57"/>
      <c r="W2498" s="57"/>
      <c r="X2498" s="57" t="str">
        <f t="shared" si="917"/>
        <v/>
      </c>
      <c r="Y2498" s="58" t="str">
        <f t="shared" ref="Y2498:AC2498" si="2338">TRIM(SUBSTITUTE(SUBSTITUTE(OFFSET($Q2498,0,COLUMN()-COLUMN($AL$1)),CHAR(160)," "),_xludf.UNICHAR(8239)," "))</f>
        <v>#NAME?</v>
      </c>
      <c r="Z2498" s="58" t="str">
        <f t="shared" si="2338"/>
        <v>#NAME?</v>
      </c>
      <c r="AA2498" s="58" t="str">
        <f t="shared" si="2338"/>
        <v>#NAME?</v>
      </c>
      <c r="AB2498" s="58" t="str">
        <f t="shared" si="2338"/>
        <v>#NAME?</v>
      </c>
      <c r="AC2498" s="58" t="str">
        <f t="shared" si="2338"/>
        <v>#NAME?</v>
      </c>
      <c r="AD2498" s="57">
        <f t="shared" si="906"/>
        <v>0</v>
      </c>
      <c r="AE2498" s="57" t="str">
        <f t="shared" si="907"/>
        <v/>
      </c>
      <c r="AF2498" s="57">
        <f t="shared" si="908"/>
        <v>0</v>
      </c>
      <c r="AG2498" s="59">
        <f t="shared" si="909"/>
        <v>0</v>
      </c>
      <c r="AH2498" s="15"/>
      <c r="AI2498" s="15"/>
      <c r="AJ2498" s="15"/>
      <c r="AK2498" s="15"/>
      <c r="AL2498" s="15"/>
      <c r="AM2498" s="15"/>
      <c r="AN2498" s="15"/>
      <c r="AO2498" s="15"/>
      <c r="AP2498" s="15"/>
      <c r="AQ2498" s="15"/>
      <c r="AR2498" s="15"/>
      <c r="AS2498" s="15"/>
      <c r="AT2498" s="15"/>
      <c r="AU2498" s="15"/>
    </row>
    <row r="2499" ht="24.0" customHeight="1">
      <c r="A2499" s="45">
        <v>3923.0</v>
      </c>
      <c r="B2499" s="57"/>
      <c r="C2499" s="57"/>
      <c r="D2499" s="88" t="str">
        <f t="array" ref="D2499">IFERROR(
  LOOKUP(2, 1/((TRIM(IMS!$E$8:$E$2574)=TRIM(IMS!$E2499))*(IMS!$C$8:$C$2574&lt;IMS!$C2499)),
         IMS!$C$8:$C$2574),
"")</f>
        <v/>
      </c>
      <c r="E2499" s="57"/>
      <c r="F2499" s="57"/>
      <c r="G2499" s="77" t="str">
        <f t="shared" si="901"/>
        <v/>
      </c>
      <c r="H2499" s="78" t="str">
        <f t="shared" si="902"/>
        <v/>
      </c>
      <c r="I2499" s="79"/>
      <c r="J2499" s="80" t="str">
        <f t="shared" si="903"/>
        <v>#NAME?</v>
      </c>
      <c r="K2499" s="58"/>
      <c r="L2499" s="58"/>
      <c r="M2499" s="57"/>
      <c r="N2499" s="57"/>
      <c r="O2499" s="58"/>
      <c r="P2499" s="82"/>
      <c r="Q2499" s="81"/>
      <c r="R2499" s="81"/>
      <c r="S2499" s="57"/>
      <c r="T2499" s="82"/>
      <c r="U2499" s="82"/>
      <c r="V2499" s="57"/>
      <c r="W2499" s="57"/>
      <c r="X2499" s="57" t="str">
        <f t="shared" si="917"/>
        <v/>
      </c>
      <c r="Y2499" s="58" t="str">
        <f t="shared" ref="Y2499:AC2499" si="2339">TRIM(SUBSTITUTE(SUBSTITUTE(OFFSET($Q2499,0,COLUMN()-COLUMN($AL$1)),CHAR(160)," "),_xludf.UNICHAR(8239)," "))</f>
        <v>#NAME?</v>
      </c>
      <c r="Z2499" s="58" t="str">
        <f t="shared" si="2339"/>
        <v>#NAME?</v>
      </c>
      <c r="AA2499" s="58" t="str">
        <f t="shared" si="2339"/>
        <v>#NAME?</v>
      </c>
      <c r="AB2499" s="58" t="str">
        <f t="shared" si="2339"/>
        <v>#NAME?</v>
      </c>
      <c r="AC2499" s="58" t="str">
        <f t="shared" si="2339"/>
        <v>#NAME?</v>
      </c>
      <c r="AD2499" s="57">
        <f t="shared" si="906"/>
        <v>0</v>
      </c>
      <c r="AE2499" s="57" t="str">
        <f t="shared" si="907"/>
        <v/>
      </c>
      <c r="AF2499" s="57">
        <f t="shared" si="908"/>
        <v>0</v>
      </c>
      <c r="AG2499" s="59">
        <f t="shared" si="909"/>
        <v>0</v>
      </c>
      <c r="AH2499" s="15"/>
      <c r="AI2499" s="15"/>
      <c r="AJ2499" s="15"/>
      <c r="AK2499" s="15"/>
      <c r="AL2499" s="15"/>
      <c r="AM2499" s="15"/>
      <c r="AN2499" s="15"/>
      <c r="AO2499" s="15"/>
      <c r="AP2499" s="15"/>
      <c r="AQ2499" s="15"/>
      <c r="AR2499" s="15"/>
      <c r="AS2499" s="15"/>
      <c r="AT2499" s="15"/>
      <c r="AU2499" s="15"/>
    </row>
    <row r="2500" ht="24.0" customHeight="1">
      <c r="A2500" s="45">
        <v>3924.0</v>
      </c>
      <c r="B2500" s="57"/>
      <c r="C2500" s="57"/>
      <c r="D2500" s="88" t="str">
        <f t="array" ref="D2500">IFERROR(
  LOOKUP(2, 1/((TRIM(IMS!$E$8:$E$2574)=TRIM(IMS!$E2500))*(IMS!$C$8:$C$2574&lt;IMS!$C2500)),
         IMS!$C$8:$C$2574),
"")</f>
        <v/>
      </c>
      <c r="E2500" s="57"/>
      <c r="F2500" s="57"/>
      <c r="G2500" s="77" t="str">
        <f t="shared" si="901"/>
        <v/>
      </c>
      <c r="H2500" s="78" t="str">
        <f t="shared" si="902"/>
        <v/>
      </c>
      <c r="I2500" s="79"/>
      <c r="J2500" s="80" t="str">
        <f t="shared" si="903"/>
        <v>#NAME?</v>
      </c>
      <c r="K2500" s="58"/>
      <c r="L2500" s="58"/>
      <c r="M2500" s="57"/>
      <c r="N2500" s="57"/>
      <c r="O2500" s="58"/>
      <c r="P2500" s="82"/>
      <c r="Q2500" s="81"/>
      <c r="R2500" s="81"/>
      <c r="S2500" s="57"/>
      <c r="T2500" s="82"/>
      <c r="U2500" s="82"/>
      <c r="V2500" s="57"/>
      <c r="W2500" s="57"/>
      <c r="X2500" s="57" t="str">
        <f t="shared" si="917"/>
        <v/>
      </c>
      <c r="Y2500" s="58" t="str">
        <f t="shared" ref="Y2500:AC2500" si="2340">TRIM(SUBSTITUTE(SUBSTITUTE(OFFSET($Q2500,0,COLUMN()-COLUMN($AL$1)),CHAR(160)," "),_xludf.UNICHAR(8239)," "))</f>
        <v>#NAME?</v>
      </c>
      <c r="Z2500" s="58" t="str">
        <f t="shared" si="2340"/>
        <v>#NAME?</v>
      </c>
      <c r="AA2500" s="58" t="str">
        <f t="shared" si="2340"/>
        <v>#NAME?</v>
      </c>
      <c r="AB2500" s="58" t="str">
        <f t="shared" si="2340"/>
        <v>#NAME?</v>
      </c>
      <c r="AC2500" s="58" t="str">
        <f t="shared" si="2340"/>
        <v>#NAME?</v>
      </c>
      <c r="AD2500" s="57">
        <f t="shared" si="906"/>
        <v>0</v>
      </c>
      <c r="AE2500" s="57" t="str">
        <f t="shared" si="907"/>
        <v/>
      </c>
      <c r="AF2500" s="57">
        <f t="shared" si="908"/>
        <v>0</v>
      </c>
      <c r="AG2500" s="59">
        <f t="shared" si="909"/>
        <v>0</v>
      </c>
      <c r="AH2500" s="15"/>
      <c r="AI2500" s="15"/>
      <c r="AJ2500" s="15"/>
      <c r="AK2500" s="15"/>
      <c r="AL2500" s="15"/>
      <c r="AM2500" s="15"/>
      <c r="AN2500" s="15"/>
      <c r="AO2500" s="15"/>
      <c r="AP2500" s="15"/>
      <c r="AQ2500" s="15"/>
      <c r="AR2500" s="15"/>
      <c r="AS2500" s="15"/>
      <c r="AT2500" s="15"/>
      <c r="AU2500" s="15"/>
    </row>
    <row r="2501" ht="24.0" customHeight="1">
      <c r="A2501" s="45">
        <v>3925.0</v>
      </c>
      <c r="B2501" s="57"/>
      <c r="C2501" s="57"/>
      <c r="D2501" s="88" t="str">
        <f t="array" ref="D2501">IFERROR(
  LOOKUP(2, 1/((TRIM(IMS!$E$8:$E$2574)=TRIM(IMS!$E2501))*(IMS!$C$8:$C$2574&lt;IMS!$C2501)),
         IMS!$C$8:$C$2574),
"")</f>
        <v/>
      </c>
      <c r="E2501" s="57"/>
      <c r="F2501" s="57"/>
      <c r="G2501" s="77" t="str">
        <f t="shared" si="901"/>
        <v/>
      </c>
      <c r="H2501" s="78" t="str">
        <f t="shared" si="902"/>
        <v/>
      </c>
      <c r="I2501" s="79"/>
      <c r="J2501" s="80" t="str">
        <f t="shared" si="903"/>
        <v>#NAME?</v>
      </c>
      <c r="K2501" s="58"/>
      <c r="L2501" s="58"/>
      <c r="M2501" s="57"/>
      <c r="N2501" s="57"/>
      <c r="O2501" s="58"/>
      <c r="P2501" s="82"/>
      <c r="Q2501" s="81"/>
      <c r="R2501" s="81"/>
      <c r="S2501" s="57"/>
      <c r="T2501" s="82"/>
      <c r="U2501" s="82"/>
      <c r="V2501" s="57"/>
      <c r="W2501" s="57"/>
      <c r="X2501" s="57" t="str">
        <f t="shared" si="917"/>
        <v/>
      </c>
      <c r="Y2501" s="58" t="str">
        <f t="shared" ref="Y2501:AC2501" si="2341">TRIM(SUBSTITUTE(SUBSTITUTE(OFFSET($Q2501,0,COLUMN()-COLUMN($AL$1)),CHAR(160)," "),_xludf.UNICHAR(8239)," "))</f>
        <v>#NAME?</v>
      </c>
      <c r="Z2501" s="58" t="str">
        <f t="shared" si="2341"/>
        <v>#NAME?</v>
      </c>
      <c r="AA2501" s="58" t="str">
        <f t="shared" si="2341"/>
        <v>#NAME?</v>
      </c>
      <c r="AB2501" s="58" t="str">
        <f t="shared" si="2341"/>
        <v>#NAME?</v>
      </c>
      <c r="AC2501" s="58" t="str">
        <f t="shared" si="2341"/>
        <v>#NAME?</v>
      </c>
      <c r="AD2501" s="57">
        <f t="shared" si="906"/>
        <v>0</v>
      </c>
      <c r="AE2501" s="57" t="str">
        <f t="shared" si="907"/>
        <v/>
      </c>
      <c r="AF2501" s="57">
        <f t="shared" si="908"/>
        <v>0</v>
      </c>
      <c r="AG2501" s="59">
        <f t="shared" si="909"/>
        <v>0</v>
      </c>
      <c r="AH2501" s="15"/>
      <c r="AI2501" s="15"/>
      <c r="AJ2501" s="15"/>
      <c r="AK2501" s="15"/>
      <c r="AL2501" s="15"/>
      <c r="AM2501" s="15"/>
      <c r="AN2501" s="15"/>
      <c r="AO2501" s="15"/>
      <c r="AP2501" s="15"/>
      <c r="AQ2501" s="15"/>
      <c r="AR2501" s="15"/>
      <c r="AS2501" s="15"/>
      <c r="AT2501" s="15"/>
      <c r="AU2501" s="15"/>
    </row>
    <row r="2502" ht="24.0" customHeight="1">
      <c r="A2502" s="45">
        <v>3926.0</v>
      </c>
      <c r="B2502" s="57"/>
      <c r="C2502" s="57"/>
      <c r="D2502" s="88" t="str">
        <f t="array" ref="D2502">IFERROR(
  LOOKUP(2, 1/((TRIM(IMS!$E$8:$E$2574)=TRIM(IMS!$E2502))*(IMS!$C$8:$C$2574&lt;IMS!$C2502)),
         IMS!$C$8:$C$2574),
"")</f>
        <v/>
      </c>
      <c r="E2502" s="57"/>
      <c r="F2502" s="57"/>
      <c r="G2502" s="77" t="str">
        <f t="shared" si="901"/>
        <v/>
      </c>
      <c r="H2502" s="78" t="str">
        <f t="shared" si="902"/>
        <v/>
      </c>
      <c r="I2502" s="79"/>
      <c r="J2502" s="80" t="str">
        <f t="shared" si="903"/>
        <v>#NAME?</v>
      </c>
      <c r="K2502" s="58"/>
      <c r="L2502" s="58"/>
      <c r="M2502" s="57"/>
      <c r="N2502" s="57"/>
      <c r="O2502" s="58"/>
      <c r="P2502" s="82"/>
      <c r="Q2502" s="81"/>
      <c r="R2502" s="81"/>
      <c r="S2502" s="57"/>
      <c r="T2502" s="82"/>
      <c r="U2502" s="82"/>
      <c r="V2502" s="57"/>
      <c r="W2502" s="57"/>
      <c r="X2502" s="57" t="str">
        <f t="shared" si="917"/>
        <v/>
      </c>
      <c r="Y2502" s="58" t="str">
        <f t="shared" ref="Y2502:AC2502" si="2342">TRIM(SUBSTITUTE(SUBSTITUTE(OFFSET($Q2502,0,COLUMN()-COLUMN($AL$1)),CHAR(160)," "),_xludf.UNICHAR(8239)," "))</f>
        <v>#NAME?</v>
      </c>
      <c r="Z2502" s="58" t="str">
        <f t="shared" si="2342"/>
        <v>#NAME?</v>
      </c>
      <c r="AA2502" s="58" t="str">
        <f t="shared" si="2342"/>
        <v>#NAME?</v>
      </c>
      <c r="AB2502" s="58" t="str">
        <f t="shared" si="2342"/>
        <v>#NAME?</v>
      </c>
      <c r="AC2502" s="58" t="str">
        <f t="shared" si="2342"/>
        <v>#NAME?</v>
      </c>
      <c r="AD2502" s="57">
        <f t="shared" si="906"/>
        <v>0</v>
      </c>
      <c r="AE2502" s="57" t="str">
        <f t="shared" si="907"/>
        <v/>
      </c>
      <c r="AF2502" s="57">
        <f t="shared" si="908"/>
        <v>0</v>
      </c>
      <c r="AG2502" s="59">
        <f t="shared" si="909"/>
        <v>0</v>
      </c>
      <c r="AH2502" s="15"/>
      <c r="AI2502" s="15"/>
      <c r="AJ2502" s="15"/>
      <c r="AK2502" s="15"/>
      <c r="AL2502" s="15"/>
      <c r="AM2502" s="15"/>
      <c r="AN2502" s="15"/>
      <c r="AO2502" s="15"/>
      <c r="AP2502" s="15"/>
      <c r="AQ2502" s="15"/>
      <c r="AR2502" s="15"/>
      <c r="AS2502" s="15"/>
      <c r="AT2502" s="15"/>
      <c r="AU2502" s="15"/>
    </row>
    <row r="2503" ht="24.0" customHeight="1">
      <c r="A2503" s="45">
        <v>3927.0</v>
      </c>
      <c r="B2503" s="57"/>
      <c r="C2503" s="57"/>
      <c r="D2503" s="88" t="str">
        <f t="array" ref="D2503">IFERROR(
  LOOKUP(2, 1/((TRIM(IMS!$E$8:$E$2574)=TRIM(IMS!$E2503))*(IMS!$C$8:$C$2574&lt;IMS!$C2503)),
         IMS!$C$8:$C$2574),
"")</f>
        <v/>
      </c>
      <c r="E2503" s="57"/>
      <c r="F2503" s="57"/>
      <c r="G2503" s="77" t="str">
        <f t="shared" si="901"/>
        <v/>
      </c>
      <c r="H2503" s="78" t="str">
        <f t="shared" si="902"/>
        <v/>
      </c>
      <c r="I2503" s="79"/>
      <c r="J2503" s="80" t="str">
        <f t="shared" si="903"/>
        <v>#NAME?</v>
      </c>
      <c r="K2503" s="58"/>
      <c r="L2503" s="58"/>
      <c r="M2503" s="57"/>
      <c r="N2503" s="57"/>
      <c r="O2503" s="58"/>
      <c r="P2503" s="82"/>
      <c r="Q2503" s="81"/>
      <c r="R2503" s="81"/>
      <c r="S2503" s="57"/>
      <c r="T2503" s="82"/>
      <c r="U2503" s="82"/>
      <c r="V2503" s="57"/>
      <c r="W2503" s="57"/>
      <c r="X2503" s="57" t="str">
        <f t="shared" si="917"/>
        <v/>
      </c>
      <c r="Y2503" s="58" t="str">
        <f t="shared" ref="Y2503:AC2503" si="2343">TRIM(SUBSTITUTE(SUBSTITUTE(OFFSET($Q2503,0,COLUMN()-COLUMN($AL$1)),CHAR(160)," "),_xludf.UNICHAR(8239)," "))</f>
        <v>#NAME?</v>
      </c>
      <c r="Z2503" s="58" t="str">
        <f t="shared" si="2343"/>
        <v>#NAME?</v>
      </c>
      <c r="AA2503" s="58" t="str">
        <f t="shared" si="2343"/>
        <v>#NAME?</v>
      </c>
      <c r="AB2503" s="58" t="str">
        <f t="shared" si="2343"/>
        <v>#NAME?</v>
      </c>
      <c r="AC2503" s="58" t="str">
        <f t="shared" si="2343"/>
        <v>#NAME?</v>
      </c>
      <c r="AD2503" s="57">
        <f t="shared" si="906"/>
        <v>0</v>
      </c>
      <c r="AE2503" s="57" t="str">
        <f t="shared" si="907"/>
        <v/>
      </c>
      <c r="AF2503" s="57">
        <f t="shared" si="908"/>
        <v>0</v>
      </c>
      <c r="AG2503" s="59">
        <f t="shared" si="909"/>
        <v>0</v>
      </c>
      <c r="AH2503" s="15"/>
      <c r="AI2503" s="15"/>
      <c r="AJ2503" s="15"/>
      <c r="AK2503" s="15"/>
      <c r="AL2503" s="15"/>
      <c r="AM2503" s="15"/>
      <c r="AN2503" s="15"/>
      <c r="AO2503" s="15"/>
      <c r="AP2503" s="15"/>
      <c r="AQ2503" s="15"/>
      <c r="AR2503" s="15"/>
      <c r="AS2503" s="15"/>
      <c r="AT2503" s="15"/>
      <c r="AU2503" s="15"/>
    </row>
    <row r="2504" ht="24.0" customHeight="1">
      <c r="A2504" s="45">
        <v>3928.0</v>
      </c>
      <c r="B2504" s="57"/>
      <c r="C2504" s="57"/>
      <c r="D2504" s="88" t="str">
        <f t="array" ref="D2504">IFERROR(
  LOOKUP(2, 1/((TRIM(IMS!$E$8:$E$2574)=TRIM(IMS!$E2504))*(IMS!$C$8:$C$2574&lt;IMS!$C2504)),
         IMS!$C$8:$C$2574),
"")</f>
        <v/>
      </c>
      <c r="E2504" s="57"/>
      <c r="F2504" s="57"/>
      <c r="G2504" s="77" t="str">
        <f t="shared" si="901"/>
        <v/>
      </c>
      <c r="H2504" s="78" t="str">
        <f t="shared" si="902"/>
        <v/>
      </c>
      <c r="I2504" s="79"/>
      <c r="J2504" s="80" t="str">
        <f t="shared" si="903"/>
        <v>#NAME?</v>
      </c>
      <c r="K2504" s="58"/>
      <c r="L2504" s="58"/>
      <c r="M2504" s="57"/>
      <c r="N2504" s="57"/>
      <c r="O2504" s="58"/>
      <c r="P2504" s="82"/>
      <c r="Q2504" s="81"/>
      <c r="R2504" s="81"/>
      <c r="S2504" s="57"/>
      <c r="T2504" s="82"/>
      <c r="U2504" s="82"/>
      <c r="V2504" s="57"/>
      <c r="W2504" s="57"/>
      <c r="X2504" s="57" t="str">
        <f t="shared" si="917"/>
        <v/>
      </c>
      <c r="Y2504" s="58" t="str">
        <f t="shared" ref="Y2504:AC2504" si="2344">TRIM(SUBSTITUTE(SUBSTITUTE(OFFSET($Q2504,0,COLUMN()-COLUMN($AL$1)),CHAR(160)," "),_xludf.UNICHAR(8239)," "))</f>
        <v>#NAME?</v>
      </c>
      <c r="Z2504" s="58" t="str">
        <f t="shared" si="2344"/>
        <v>#NAME?</v>
      </c>
      <c r="AA2504" s="58" t="str">
        <f t="shared" si="2344"/>
        <v>#NAME?</v>
      </c>
      <c r="AB2504" s="58" t="str">
        <f t="shared" si="2344"/>
        <v>#NAME?</v>
      </c>
      <c r="AC2504" s="58" t="str">
        <f t="shared" si="2344"/>
        <v>#NAME?</v>
      </c>
      <c r="AD2504" s="57">
        <f t="shared" si="906"/>
        <v>0</v>
      </c>
      <c r="AE2504" s="57" t="str">
        <f t="shared" si="907"/>
        <v/>
      </c>
      <c r="AF2504" s="57">
        <f t="shared" si="908"/>
        <v>0</v>
      </c>
      <c r="AG2504" s="59">
        <f t="shared" si="909"/>
        <v>0</v>
      </c>
      <c r="AH2504" s="15"/>
      <c r="AI2504" s="15"/>
      <c r="AJ2504" s="15"/>
      <c r="AK2504" s="15"/>
      <c r="AL2504" s="15"/>
      <c r="AM2504" s="15"/>
      <c r="AN2504" s="15"/>
      <c r="AO2504" s="15"/>
      <c r="AP2504" s="15"/>
      <c r="AQ2504" s="15"/>
      <c r="AR2504" s="15"/>
      <c r="AS2504" s="15"/>
      <c r="AT2504" s="15"/>
      <c r="AU2504" s="15"/>
    </row>
    <row r="2505" ht="24.0" customHeight="1">
      <c r="A2505" s="45">
        <v>3929.0</v>
      </c>
      <c r="B2505" s="57"/>
      <c r="C2505" s="57"/>
      <c r="D2505" s="88" t="str">
        <f t="array" ref="D2505">IFERROR(
  LOOKUP(2, 1/((TRIM(IMS!$E$8:$E$2574)=TRIM(IMS!$E2505))*(IMS!$C$8:$C$2574&lt;IMS!$C2505)),
         IMS!$C$8:$C$2574),
"")</f>
        <v/>
      </c>
      <c r="E2505" s="57"/>
      <c r="F2505" s="57"/>
      <c r="G2505" s="77" t="str">
        <f t="shared" si="901"/>
        <v/>
      </c>
      <c r="H2505" s="78" t="str">
        <f t="shared" si="902"/>
        <v/>
      </c>
      <c r="I2505" s="79"/>
      <c r="J2505" s="80" t="str">
        <f t="shared" si="903"/>
        <v>#NAME?</v>
      </c>
      <c r="K2505" s="58"/>
      <c r="L2505" s="58"/>
      <c r="M2505" s="57"/>
      <c r="N2505" s="57"/>
      <c r="O2505" s="58"/>
      <c r="P2505" s="82"/>
      <c r="Q2505" s="81"/>
      <c r="R2505" s="81"/>
      <c r="S2505" s="57"/>
      <c r="T2505" s="82"/>
      <c r="U2505" s="82"/>
      <c r="V2505" s="57"/>
      <c r="W2505" s="57"/>
      <c r="X2505" s="57" t="str">
        <f t="shared" si="917"/>
        <v/>
      </c>
      <c r="Y2505" s="58" t="str">
        <f t="shared" ref="Y2505:AC2505" si="2345">TRIM(SUBSTITUTE(SUBSTITUTE(OFFSET($Q2505,0,COLUMN()-COLUMN($AL$1)),CHAR(160)," "),_xludf.UNICHAR(8239)," "))</f>
        <v>#NAME?</v>
      </c>
      <c r="Z2505" s="58" t="str">
        <f t="shared" si="2345"/>
        <v>#NAME?</v>
      </c>
      <c r="AA2505" s="58" t="str">
        <f t="shared" si="2345"/>
        <v>#NAME?</v>
      </c>
      <c r="AB2505" s="58" t="str">
        <f t="shared" si="2345"/>
        <v>#NAME?</v>
      </c>
      <c r="AC2505" s="58" t="str">
        <f t="shared" si="2345"/>
        <v>#NAME?</v>
      </c>
      <c r="AD2505" s="57">
        <f t="shared" si="906"/>
        <v>0</v>
      </c>
      <c r="AE2505" s="57" t="str">
        <f t="shared" si="907"/>
        <v/>
      </c>
      <c r="AF2505" s="57">
        <f t="shared" si="908"/>
        <v>0</v>
      </c>
      <c r="AG2505" s="59">
        <f t="shared" si="909"/>
        <v>0</v>
      </c>
      <c r="AH2505" s="15"/>
      <c r="AI2505" s="15"/>
      <c r="AJ2505" s="15"/>
      <c r="AK2505" s="15"/>
      <c r="AL2505" s="15"/>
      <c r="AM2505" s="15"/>
      <c r="AN2505" s="15"/>
      <c r="AO2505" s="15"/>
      <c r="AP2505" s="15"/>
      <c r="AQ2505" s="15"/>
      <c r="AR2505" s="15"/>
      <c r="AS2505" s="15"/>
      <c r="AT2505" s="15"/>
      <c r="AU2505" s="15"/>
    </row>
    <row r="2506" ht="24.0" customHeight="1">
      <c r="A2506" s="45">
        <v>3930.0</v>
      </c>
      <c r="B2506" s="57"/>
      <c r="C2506" s="57"/>
      <c r="D2506" s="88" t="str">
        <f t="array" ref="D2506">IFERROR(
  LOOKUP(2, 1/((TRIM(IMS!$E$8:$E$2574)=TRIM(IMS!$E2506))*(IMS!$C$8:$C$2574&lt;IMS!$C2506)),
         IMS!$C$8:$C$2574),
"")</f>
        <v/>
      </c>
      <c r="E2506" s="57"/>
      <c r="F2506" s="57"/>
      <c r="G2506" s="77" t="str">
        <f t="shared" si="901"/>
        <v/>
      </c>
      <c r="H2506" s="78" t="str">
        <f t="shared" si="902"/>
        <v/>
      </c>
      <c r="I2506" s="79"/>
      <c r="J2506" s="80" t="str">
        <f t="shared" si="903"/>
        <v>#NAME?</v>
      </c>
      <c r="K2506" s="58"/>
      <c r="L2506" s="58"/>
      <c r="M2506" s="57"/>
      <c r="N2506" s="57"/>
      <c r="O2506" s="58"/>
      <c r="P2506" s="82"/>
      <c r="Q2506" s="81"/>
      <c r="R2506" s="81"/>
      <c r="S2506" s="57"/>
      <c r="T2506" s="82"/>
      <c r="U2506" s="82"/>
      <c r="V2506" s="57"/>
      <c r="W2506" s="57"/>
      <c r="X2506" s="57" t="str">
        <f t="shared" si="917"/>
        <v/>
      </c>
      <c r="Y2506" s="58" t="str">
        <f t="shared" ref="Y2506:AC2506" si="2346">TRIM(SUBSTITUTE(SUBSTITUTE(OFFSET($Q2506,0,COLUMN()-COLUMN($AL$1)),CHAR(160)," "),_xludf.UNICHAR(8239)," "))</f>
        <v>#NAME?</v>
      </c>
      <c r="Z2506" s="58" t="str">
        <f t="shared" si="2346"/>
        <v>#NAME?</v>
      </c>
      <c r="AA2506" s="58" t="str">
        <f t="shared" si="2346"/>
        <v>#NAME?</v>
      </c>
      <c r="AB2506" s="58" t="str">
        <f t="shared" si="2346"/>
        <v>#NAME?</v>
      </c>
      <c r="AC2506" s="58" t="str">
        <f t="shared" si="2346"/>
        <v>#NAME?</v>
      </c>
      <c r="AD2506" s="57">
        <f t="shared" si="906"/>
        <v>0</v>
      </c>
      <c r="AE2506" s="57" t="str">
        <f t="shared" si="907"/>
        <v/>
      </c>
      <c r="AF2506" s="57">
        <f t="shared" si="908"/>
        <v>0</v>
      </c>
      <c r="AG2506" s="59">
        <f t="shared" si="909"/>
        <v>0</v>
      </c>
      <c r="AH2506" s="15"/>
      <c r="AI2506" s="15"/>
      <c r="AJ2506" s="15"/>
      <c r="AK2506" s="15"/>
      <c r="AL2506" s="15"/>
      <c r="AM2506" s="15"/>
      <c r="AN2506" s="15"/>
      <c r="AO2506" s="15"/>
      <c r="AP2506" s="15"/>
      <c r="AQ2506" s="15"/>
      <c r="AR2506" s="15"/>
      <c r="AS2506" s="15"/>
      <c r="AT2506" s="15"/>
      <c r="AU2506" s="15"/>
    </row>
    <row r="2507" ht="24.0" customHeight="1">
      <c r="A2507" s="45">
        <v>3931.0</v>
      </c>
      <c r="B2507" s="57"/>
      <c r="C2507" s="57"/>
      <c r="D2507" s="88" t="str">
        <f t="array" ref="D2507">IFERROR(
  LOOKUP(2, 1/((TRIM(IMS!$E$8:$E$2574)=TRIM(IMS!$E2507))*(IMS!$C$8:$C$2574&lt;IMS!$C2507)),
         IMS!$C$8:$C$2574),
"")</f>
        <v/>
      </c>
      <c r="E2507" s="57"/>
      <c r="F2507" s="57"/>
      <c r="G2507" s="77" t="str">
        <f t="shared" si="901"/>
        <v/>
      </c>
      <c r="H2507" s="78" t="str">
        <f t="shared" si="902"/>
        <v/>
      </c>
      <c r="I2507" s="79"/>
      <c r="J2507" s="80" t="str">
        <f t="shared" si="903"/>
        <v>#NAME?</v>
      </c>
      <c r="K2507" s="58"/>
      <c r="L2507" s="58"/>
      <c r="M2507" s="57"/>
      <c r="N2507" s="57"/>
      <c r="O2507" s="58"/>
      <c r="P2507" s="82"/>
      <c r="Q2507" s="81"/>
      <c r="R2507" s="81"/>
      <c r="S2507" s="57"/>
      <c r="T2507" s="82"/>
      <c r="U2507" s="82"/>
      <c r="V2507" s="57"/>
      <c r="W2507" s="57"/>
      <c r="X2507" s="57" t="str">
        <f t="shared" si="917"/>
        <v/>
      </c>
      <c r="Y2507" s="58" t="str">
        <f t="shared" ref="Y2507:AC2507" si="2347">TRIM(SUBSTITUTE(SUBSTITUTE(OFFSET($Q2507,0,COLUMN()-COLUMN($AL$1)),CHAR(160)," "),_xludf.UNICHAR(8239)," "))</f>
        <v>#NAME?</v>
      </c>
      <c r="Z2507" s="58" t="str">
        <f t="shared" si="2347"/>
        <v>#NAME?</v>
      </c>
      <c r="AA2507" s="58" t="str">
        <f t="shared" si="2347"/>
        <v>#NAME?</v>
      </c>
      <c r="AB2507" s="58" t="str">
        <f t="shared" si="2347"/>
        <v>#NAME?</v>
      </c>
      <c r="AC2507" s="58" t="str">
        <f t="shared" si="2347"/>
        <v>#NAME?</v>
      </c>
      <c r="AD2507" s="57">
        <f t="shared" si="906"/>
        <v>0</v>
      </c>
      <c r="AE2507" s="57" t="str">
        <f t="shared" si="907"/>
        <v/>
      </c>
      <c r="AF2507" s="57">
        <f t="shared" si="908"/>
        <v>0</v>
      </c>
      <c r="AG2507" s="59">
        <f t="shared" si="909"/>
        <v>0</v>
      </c>
      <c r="AH2507" s="15"/>
      <c r="AI2507" s="15"/>
      <c r="AJ2507" s="15"/>
      <c r="AK2507" s="15"/>
      <c r="AL2507" s="15"/>
      <c r="AM2507" s="15"/>
      <c r="AN2507" s="15"/>
      <c r="AO2507" s="15"/>
      <c r="AP2507" s="15"/>
      <c r="AQ2507" s="15"/>
      <c r="AR2507" s="15"/>
      <c r="AS2507" s="15"/>
      <c r="AT2507" s="15"/>
      <c r="AU2507" s="15"/>
    </row>
    <row r="2508" ht="24.0" customHeight="1">
      <c r="A2508" s="45">
        <v>3932.0</v>
      </c>
      <c r="B2508" s="57"/>
      <c r="C2508" s="57"/>
      <c r="D2508" s="88" t="str">
        <f t="array" ref="D2508">IFERROR(
  LOOKUP(2, 1/((TRIM(IMS!$E$8:$E$2574)=TRIM(IMS!$E2508))*(IMS!$C$8:$C$2574&lt;IMS!$C2508)),
         IMS!$C$8:$C$2574),
"")</f>
        <v/>
      </c>
      <c r="E2508" s="57"/>
      <c r="F2508" s="57"/>
      <c r="G2508" s="77" t="str">
        <f t="shared" si="901"/>
        <v/>
      </c>
      <c r="H2508" s="78" t="str">
        <f t="shared" si="902"/>
        <v/>
      </c>
      <c r="I2508" s="79"/>
      <c r="J2508" s="80" t="str">
        <f t="shared" si="903"/>
        <v>#NAME?</v>
      </c>
      <c r="K2508" s="58"/>
      <c r="L2508" s="58"/>
      <c r="M2508" s="57"/>
      <c r="N2508" s="57"/>
      <c r="O2508" s="58"/>
      <c r="P2508" s="82"/>
      <c r="Q2508" s="81"/>
      <c r="R2508" s="81"/>
      <c r="S2508" s="57"/>
      <c r="T2508" s="82"/>
      <c r="U2508" s="82"/>
      <c r="V2508" s="57"/>
      <c r="W2508" s="57"/>
      <c r="X2508" s="57" t="str">
        <f t="shared" si="917"/>
        <v/>
      </c>
      <c r="Y2508" s="58" t="str">
        <f t="shared" ref="Y2508:AC2508" si="2348">TRIM(SUBSTITUTE(SUBSTITUTE(OFFSET($Q2508,0,COLUMN()-COLUMN($AL$1)),CHAR(160)," "),_xludf.UNICHAR(8239)," "))</f>
        <v>#NAME?</v>
      </c>
      <c r="Z2508" s="58" t="str">
        <f t="shared" si="2348"/>
        <v>#NAME?</v>
      </c>
      <c r="AA2508" s="58" t="str">
        <f t="shared" si="2348"/>
        <v>#NAME?</v>
      </c>
      <c r="AB2508" s="58" t="str">
        <f t="shared" si="2348"/>
        <v>#NAME?</v>
      </c>
      <c r="AC2508" s="58" t="str">
        <f t="shared" si="2348"/>
        <v>#NAME?</v>
      </c>
      <c r="AD2508" s="57">
        <f t="shared" si="906"/>
        <v>0</v>
      </c>
      <c r="AE2508" s="57" t="str">
        <f t="shared" si="907"/>
        <v/>
      </c>
      <c r="AF2508" s="57">
        <f t="shared" si="908"/>
        <v>0</v>
      </c>
      <c r="AG2508" s="59">
        <f t="shared" si="909"/>
        <v>0</v>
      </c>
      <c r="AH2508" s="15"/>
      <c r="AI2508" s="15"/>
      <c r="AJ2508" s="15"/>
      <c r="AK2508" s="15"/>
      <c r="AL2508" s="15"/>
      <c r="AM2508" s="15"/>
      <c r="AN2508" s="15"/>
      <c r="AO2508" s="15"/>
      <c r="AP2508" s="15"/>
      <c r="AQ2508" s="15"/>
      <c r="AR2508" s="15"/>
      <c r="AS2508" s="15"/>
      <c r="AT2508" s="15"/>
      <c r="AU2508" s="15"/>
    </row>
    <row r="2509" ht="24.0" customHeight="1">
      <c r="A2509" s="45">
        <v>3933.0</v>
      </c>
      <c r="B2509" s="57"/>
      <c r="C2509" s="57"/>
      <c r="D2509" s="88" t="str">
        <f t="array" ref="D2509">IFERROR(
  LOOKUP(2, 1/((TRIM(IMS!$E$8:$E$2574)=TRIM(IMS!$E2509))*(IMS!$C$8:$C$2574&lt;IMS!$C2509)),
         IMS!$C$8:$C$2574),
"")</f>
        <v/>
      </c>
      <c r="E2509" s="57"/>
      <c r="F2509" s="57"/>
      <c r="G2509" s="77" t="str">
        <f t="shared" si="901"/>
        <v/>
      </c>
      <c r="H2509" s="78" t="str">
        <f t="shared" si="902"/>
        <v/>
      </c>
      <c r="I2509" s="79"/>
      <c r="J2509" s="80" t="str">
        <f t="shared" si="903"/>
        <v>#NAME?</v>
      </c>
      <c r="K2509" s="58"/>
      <c r="L2509" s="58"/>
      <c r="M2509" s="57"/>
      <c r="N2509" s="57"/>
      <c r="O2509" s="58"/>
      <c r="P2509" s="82"/>
      <c r="Q2509" s="81"/>
      <c r="R2509" s="81"/>
      <c r="S2509" s="57"/>
      <c r="T2509" s="82"/>
      <c r="U2509" s="82"/>
      <c r="V2509" s="57"/>
      <c r="W2509" s="57"/>
      <c r="X2509" s="57" t="str">
        <f t="shared" si="917"/>
        <v/>
      </c>
      <c r="Y2509" s="58" t="str">
        <f t="shared" ref="Y2509:AC2509" si="2349">TRIM(SUBSTITUTE(SUBSTITUTE(OFFSET($Q2509,0,COLUMN()-COLUMN($AL$1)),CHAR(160)," "),_xludf.UNICHAR(8239)," "))</f>
        <v>#NAME?</v>
      </c>
      <c r="Z2509" s="58" t="str">
        <f t="shared" si="2349"/>
        <v>#NAME?</v>
      </c>
      <c r="AA2509" s="58" t="str">
        <f t="shared" si="2349"/>
        <v>#NAME?</v>
      </c>
      <c r="AB2509" s="58" t="str">
        <f t="shared" si="2349"/>
        <v>#NAME?</v>
      </c>
      <c r="AC2509" s="58" t="str">
        <f t="shared" si="2349"/>
        <v>#NAME?</v>
      </c>
      <c r="AD2509" s="57">
        <f t="shared" si="906"/>
        <v>0</v>
      </c>
      <c r="AE2509" s="57" t="str">
        <f t="shared" si="907"/>
        <v/>
      </c>
      <c r="AF2509" s="57">
        <f t="shared" si="908"/>
        <v>0</v>
      </c>
      <c r="AG2509" s="59">
        <f t="shared" si="909"/>
        <v>0</v>
      </c>
      <c r="AH2509" s="15"/>
      <c r="AI2509" s="15"/>
      <c r="AJ2509" s="15"/>
      <c r="AK2509" s="15"/>
      <c r="AL2509" s="15"/>
      <c r="AM2509" s="15"/>
      <c r="AN2509" s="15"/>
      <c r="AO2509" s="15"/>
      <c r="AP2509" s="15"/>
      <c r="AQ2509" s="15"/>
      <c r="AR2509" s="15"/>
      <c r="AS2509" s="15"/>
      <c r="AT2509" s="15"/>
      <c r="AU2509" s="15"/>
    </row>
    <row r="2510" ht="24.0" customHeight="1">
      <c r="A2510" s="45">
        <v>3934.0</v>
      </c>
      <c r="B2510" s="57"/>
      <c r="C2510" s="57"/>
      <c r="D2510" s="88" t="str">
        <f t="array" ref="D2510">IFERROR(
  LOOKUP(2, 1/((TRIM(IMS!$E$8:$E$2574)=TRIM(IMS!$E2510))*(IMS!$C$8:$C$2574&lt;IMS!$C2510)),
         IMS!$C$8:$C$2574),
"")</f>
        <v/>
      </c>
      <c r="E2510" s="57"/>
      <c r="F2510" s="57"/>
      <c r="G2510" s="77" t="str">
        <f t="shared" si="901"/>
        <v/>
      </c>
      <c r="H2510" s="78" t="str">
        <f t="shared" si="902"/>
        <v/>
      </c>
      <c r="I2510" s="79"/>
      <c r="J2510" s="80" t="str">
        <f t="shared" si="903"/>
        <v>#NAME?</v>
      </c>
      <c r="K2510" s="58"/>
      <c r="L2510" s="58"/>
      <c r="M2510" s="57"/>
      <c r="N2510" s="57"/>
      <c r="O2510" s="58"/>
      <c r="P2510" s="82"/>
      <c r="Q2510" s="81"/>
      <c r="R2510" s="81"/>
      <c r="S2510" s="57"/>
      <c r="T2510" s="82"/>
      <c r="U2510" s="82"/>
      <c r="V2510" s="57"/>
      <c r="W2510" s="57"/>
      <c r="X2510" s="57" t="str">
        <f t="shared" si="917"/>
        <v/>
      </c>
      <c r="Y2510" s="58" t="str">
        <f t="shared" ref="Y2510:AC2510" si="2350">TRIM(SUBSTITUTE(SUBSTITUTE(OFFSET($Q2510,0,COLUMN()-COLUMN($AL$1)),CHAR(160)," "),_xludf.UNICHAR(8239)," "))</f>
        <v>#NAME?</v>
      </c>
      <c r="Z2510" s="58" t="str">
        <f t="shared" si="2350"/>
        <v>#NAME?</v>
      </c>
      <c r="AA2510" s="58" t="str">
        <f t="shared" si="2350"/>
        <v>#NAME?</v>
      </c>
      <c r="AB2510" s="58" t="str">
        <f t="shared" si="2350"/>
        <v>#NAME?</v>
      </c>
      <c r="AC2510" s="58" t="str">
        <f t="shared" si="2350"/>
        <v>#NAME?</v>
      </c>
      <c r="AD2510" s="57">
        <f t="shared" si="906"/>
        <v>0</v>
      </c>
      <c r="AE2510" s="57" t="str">
        <f t="shared" si="907"/>
        <v/>
      </c>
      <c r="AF2510" s="57">
        <f t="shared" si="908"/>
        <v>0</v>
      </c>
      <c r="AG2510" s="59">
        <f t="shared" si="909"/>
        <v>0</v>
      </c>
      <c r="AH2510" s="15"/>
      <c r="AI2510" s="15"/>
      <c r="AJ2510" s="15"/>
      <c r="AK2510" s="15"/>
      <c r="AL2510" s="15"/>
      <c r="AM2510" s="15"/>
      <c r="AN2510" s="15"/>
      <c r="AO2510" s="15"/>
      <c r="AP2510" s="15"/>
      <c r="AQ2510" s="15"/>
      <c r="AR2510" s="15"/>
      <c r="AS2510" s="15"/>
      <c r="AT2510" s="15"/>
      <c r="AU2510" s="15"/>
    </row>
    <row r="2511" ht="24.0" customHeight="1">
      <c r="A2511" s="45">
        <v>3935.0</v>
      </c>
      <c r="B2511" s="57"/>
      <c r="C2511" s="57"/>
      <c r="D2511" s="88" t="str">
        <f t="array" ref="D2511">IFERROR(
  LOOKUP(2, 1/((TRIM(IMS!$E$8:$E$2574)=TRIM(IMS!$E2511))*(IMS!$C$8:$C$2574&lt;IMS!$C2511)),
         IMS!$C$8:$C$2574),
"")</f>
        <v/>
      </c>
      <c r="E2511" s="57"/>
      <c r="F2511" s="57"/>
      <c r="G2511" s="77" t="str">
        <f t="shared" si="901"/>
        <v/>
      </c>
      <c r="H2511" s="78" t="str">
        <f t="shared" si="902"/>
        <v/>
      </c>
      <c r="I2511" s="79"/>
      <c r="J2511" s="80" t="str">
        <f t="shared" si="903"/>
        <v>#NAME?</v>
      </c>
      <c r="K2511" s="58"/>
      <c r="L2511" s="58"/>
      <c r="M2511" s="57"/>
      <c r="N2511" s="57"/>
      <c r="O2511" s="58"/>
      <c r="P2511" s="82"/>
      <c r="Q2511" s="81"/>
      <c r="R2511" s="81"/>
      <c r="S2511" s="57"/>
      <c r="T2511" s="82"/>
      <c r="U2511" s="82"/>
      <c r="V2511" s="57"/>
      <c r="W2511" s="57"/>
      <c r="X2511" s="57" t="str">
        <f t="shared" si="917"/>
        <v/>
      </c>
      <c r="Y2511" s="58" t="str">
        <f t="shared" ref="Y2511:AC2511" si="2351">TRIM(SUBSTITUTE(SUBSTITUTE(OFFSET($Q2511,0,COLUMN()-COLUMN($AL$1)),CHAR(160)," "),_xludf.UNICHAR(8239)," "))</f>
        <v>#NAME?</v>
      </c>
      <c r="Z2511" s="58" t="str">
        <f t="shared" si="2351"/>
        <v>#NAME?</v>
      </c>
      <c r="AA2511" s="58" t="str">
        <f t="shared" si="2351"/>
        <v>#NAME?</v>
      </c>
      <c r="AB2511" s="58" t="str">
        <f t="shared" si="2351"/>
        <v>#NAME?</v>
      </c>
      <c r="AC2511" s="58" t="str">
        <f t="shared" si="2351"/>
        <v>#NAME?</v>
      </c>
      <c r="AD2511" s="57">
        <f t="shared" si="906"/>
        <v>0</v>
      </c>
      <c r="AE2511" s="57" t="str">
        <f t="shared" si="907"/>
        <v/>
      </c>
      <c r="AF2511" s="57">
        <f t="shared" si="908"/>
        <v>0</v>
      </c>
      <c r="AG2511" s="59">
        <f t="shared" si="909"/>
        <v>0</v>
      </c>
      <c r="AH2511" s="15"/>
      <c r="AI2511" s="15"/>
      <c r="AJ2511" s="15"/>
      <c r="AK2511" s="15"/>
      <c r="AL2511" s="15"/>
      <c r="AM2511" s="15"/>
      <c r="AN2511" s="15"/>
      <c r="AO2511" s="15"/>
      <c r="AP2511" s="15"/>
      <c r="AQ2511" s="15"/>
      <c r="AR2511" s="15"/>
      <c r="AS2511" s="15"/>
      <c r="AT2511" s="15"/>
      <c r="AU2511" s="15"/>
    </row>
    <row r="2512" ht="24.0" customHeight="1">
      <c r="A2512" s="45">
        <v>3936.0</v>
      </c>
      <c r="B2512" s="57"/>
      <c r="C2512" s="57"/>
      <c r="D2512" s="88" t="str">
        <f t="array" ref="D2512">IFERROR(
  LOOKUP(2, 1/((TRIM(IMS!$E$8:$E$2574)=TRIM(IMS!$E2512))*(IMS!$C$8:$C$2574&lt;IMS!$C2512)),
         IMS!$C$8:$C$2574),
"")</f>
        <v/>
      </c>
      <c r="E2512" s="57"/>
      <c r="F2512" s="57"/>
      <c r="G2512" s="77" t="str">
        <f t="shared" si="901"/>
        <v/>
      </c>
      <c r="H2512" s="78" t="str">
        <f t="shared" si="902"/>
        <v/>
      </c>
      <c r="I2512" s="79"/>
      <c r="J2512" s="80" t="str">
        <f t="shared" si="903"/>
        <v>#NAME?</v>
      </c>
      <c r="K2512" s="58"/>
      <c r="L2512" s="58"/>
      <c r="M2512" s="57"/>
      <c r="N2512" s="57"/>
      <c r="O2512" s="58"/>
      <c r="P2512" s="82"/>
      <c r="Q2512" s="81"/>
      <c r="R2512" s="81"/>
      <c r="S2512" s="57"/>
      <c r="T2512" s="82"/>
      <c r="U2512" s="82"/>
      <c r="V2512" s="57"/>
      <c r="W2512" s="57"/>
      <c r="X2512" s="57" t="str">
        <f t="shared" si="917"/>
        <v/>
      </c>
      <c r="Y2512" s="58" t="str">
        <f t="shared" ref="Y2512:AC2512" si="2352">TRIM(SUBSTITUTE(SUBSTITUTE(OFFSET($Q2512,0,COLUMN()-COLUMN($AL$1)),CHAR(160)," "),_xludf.UNICHAR(8239)," "))</f>
        <v>#NAME?</v>
      </c>
      <c r="Z2512" s="58" t="str">
        <f t="shared" si="2352"/>
        <v>#NAME?</v>
      </c>
      <c r="AA2512" s="58" t="str">
        <f t="shared" si="2352"/>
        <v>#NAME?</v>
      </c>
      <c r="AB2512" s="58" t="str">
        <f t="shared" si="2352"/>
        <v>#NAME?</v>
      </c>
      <c r="AC2512" s="58" t="str">
        <f t="shared" si="2352"/>
        <v>#NAME?</v>
      </c>
      <c r="AD2512" s="57">
        <f t="shared" si="906"/>
        <v>0</v>
      </c>
      <c r="AE2512" s="57" t="str">
        <f t="shared" si="907"/>
        <v/>
      </c>
      <c r="AF2512" s="57">
        <f t="shared" si="908"/>
        <v>0</v>
      </c>
      <c r="AG2512" s="59">
        <f t="shared" si="909"/>
        <v>0</v>
      </c>
      <c r="AH2512" s="15"/>
      <c r="AI2512" s="15"/>
      <c r="AJ2512" s="15"/>
      <c r="AK2512" s="15"/>
      <c r="AL2512" s="15"/>
      <c r="AM2512" s="15"/>
      <c r="AN2512" s="15"/>
      <c r="AO2512" s="15"/>
      <c r="AP2512" s="15"/>
      <c r="AQ2512" s="15"/>
      <c r="AR2512" s="15"/>
      <c r="AS2512" s="15"/>
      <c r="AT2512" s="15"/>
      <c r="AU2512" s="15"/>
    </row>
    <row r="2513" ht="24.0" customHeight="1">
      <c r="A2513" s="45">
        <v>3937.0</v>
      </c>
      <c r="B2513" s="57"/>
      <c r="C2513" s="57"/>
      <c r="D2513" s="88" t="str">
        <f t="array" ref="D2513">IFERROR(
  LOOKUP(2, 1/((TRIM(IMS!$E$8:$E$2574)=TRIM(IMS!$E2513))*(IMS!$C$8:$C$2574&lt;IMS!$C2513)),
         IMS!$C$8:$C$2574),
"")</f>
        <v/>
      </c>
      <c r="E2513" s="57"/>
      <c r="F2513" s="57"/>
      <c r="G2513" s="77" t="str">
        <f t="shared" si="901"/>
        <v/>
      </c>
      <c r="H2513" s="78" t="str">
        <f t="shared" si="902"/>
        <v/>
      </c>
      <c r="I2513" s="79"/>
      <c r="J2513" s="80" t="str">
        <f t="shared" si="903"/>
        <v>#NAME?</v>
      </c>
      <c r="K2513" s="58"/>
      <c r="L2513" s="58"/>
      <c r="M2513" s="57"/>
      <c r="N2513" s="57"/>
      <c r="O2513" s="58"/>
      <c r="P2513" s="82"/>
      <c r="Q2513" s="81"/>
      <c r="R2513" s="81"/>
      <c r="S2513" s="57"/>
      <c r="T2513" s="82"/>
      <c r="U2513" s="82"/>
      <c r="V2513" s="57"/>
      <c r="W2513" s="57"/>
      <c r="X2513" s="57" t="str">
        <f t="shared" si="917"/>
        <v/>
      </c>
      <c r="Y2513" s="58" t="str">
        <f t="shared" ref="Y2513:AC2513" si="2353">TRIM(SUBSTITUTE(SUBSTITUTE(OFFSET($Q2513,0,COLUMN()-COLUMN($AL$1)),CHAR(160)," "),_xludf.UNICHAR(8239)," "))</f>
        <v>#NAME?</v>
      </c>
      <c r="Z2513" s="58" t="str">
        <f t="shared" si="2353"/>
        <v>#NAME?</v>
      </c>
      <c r="AA2513" s="58" t="str">
        <f t="shared" si="2353"/>
        <v>#NAME?</v>
      </c>
      <c r="AB2513" s="58" t="str">
        <f t="shared" si="2353"/>
        <v>#NAME?</v>
      </c>
      <c r="AC2513" s="58" t="str">
        <f t="shared" si="2353"/>
        <v>#NAME?</v>
      </c>
      <c r="AD2513" s="57">
        <f t="shared" si="906"/>
        <v>0</v>
      </c>
      <c r="AE2513" s="57" t="str">
        <f t="shared" si="907"/>
        <v/>
      </c>
      <c r="AF2513" s="57">
        <f t="shared" si="908"/>
        <v>0</v>
      </c>
      <c r="AG2513" s="59">
        <f t="shared" si="909"/>
        <v>0</v>
      </c>
      <c r="AH2513" s="15"/>
      <c r="AI2513" s="15"/>
      <c r="AJ2513" s="15"/>
      <c r="AK2513" s="15"/>
      <c r="AL2513" s="15"/>
      <c r="AM2513" s="15"/>
      <c r="AN2513" s="15"/>
      <c r="AO2513" s="15"/>
      <c r="AP2513" s="15"/>
      <c r="AQ2513" s="15"/>
      <c r="AR2513" s="15"/>
      <c r="AS2513" s="15"/>
      <c r="AT2513" s="15"/>
      <c r="AU2513" s="15"/>
    </row>
    <row r="2514" ht="24.0" customHeight="1">
      <c r="A2514" s="45">
        <v>3938.0</v>
      </c>
      <c r="B2514" s="57"/>
      <c r="C2514" s="57"/>
      <c r="D2514" s="88" t="str">
        <f t="array" ref="D2514">IFERROR(
  LOOKUP(2, 1/((TRIM(IMS!$E$8:$E$2574)=TRIM(IMS!$E2514))*(IMS!$C$8:$C$2574&lt;IMS!$C2514)),
         IMS!$C$8:$C$2574),
"")</f>
        <v/>
      </c>
      <c r="E2514" s="57"/>
      <c r="F2514" s="57"/>
      <c r="G2514" s="77" t="str">
        <f t="shared" si="901"/>
        <v/>
      </c>
      <c r="H2514" s="78" t="str">
        <f t="shared" si="902"/>
        <v/>
      </c>
      <c r="I2514" s="79"/>
      <c r="J2514" s="80" t="str">
        <f t="shared" si="903"/>
        <v>#NAME?</v>
      </c>
      <c r="K2514" s="58"/>
      <c r="L2514" s="58"/>
      <c r="M2514" s="57"/>
      <c r="N2514" s="57"/>
      <c r="O2514" s="58"/>
      <c r="P2514" s="82"/>
      <c r="Q2514" s="81"/>
      <c r="R2514" s="81"/>
      <c r="S2514" s="57"/>
      <c r="T2514" s="82"/>
      <c r="U2514" s="82"/>
      <c r="V2514" s="57"/>
      <c r="W2514" s="57"/>
      <c r="X2514" s="57" t="str">
        <f t="shared" si="917"/>
        <v/>
      </c>
      <c r="Y2514" s="58" t="str">
        <f t="shared" ref="Y2514:AC2514" si="2354">TRIM(SUBSTITUTE(SUBSTITUTE(OFFSET($Q2514,0,COLUMN()-COLUMN($AL$1)),CHAR(160)," "),_xludf.UNICHAR(8239)," "))</f>
        <v>#NAME?</v>
      </c>
      <c r="Z2514" s="58" t="str">
        <f t="shared" si="2354"/>
        <v>#NAME?</v>
      </c>
      <c r="AA2514" s="58" t="str">
        <f t="shared" si="2354"/>
        <v>#NAME?</v>
      </c>
      <c r="AB2514" s="58" t="str">
        <f t="shared" si="2354"/>
        <v>#NAME?</v>
      </c>
      <c r="AC2514" s="58" t="str">
        <f t="shared" si="2354"/>
        <v>#NAME?</v>
      </c>
      <c r="AD2514" s="57">
        <f t="shared" si="906"/>
        <v>0</v>
      </c>
      <c r="AE2514" s="57" t="str">
        <f t="shared" si="907"/>
        <v/>
      </c>
      <c r="AF2514" s="57">
        <f t="shared" si="908"/>
        <v>0</v>
      </c>
      <c r="AG2514" s="59">
        <f t="shared" si="909"/>
        <v>0</v>
      </c>
      <c r="AH2514" s="15"/>
      <c r="AI2514" s="15"/>
      <c r="AJ2514" s="15"/>
      <c r="AK2514" s="15"/>
      <c r="AL2514" s="15"/>
      <c r="AM2514" s="15"/>
      <c r="AN2514" s="15"/>
      <c r="AO2514" s="15"/>
      <c r="AP2514" s="15"/>
      <c r="AQ2514" s="15"/>
      <c r="AR2514" s="15"/>
      <c r="AS2514" s="15"/>
      <c r="AT2514" s="15"/>
      <c r="AU2514" s="15"/>
    </row>
    <row r="2515" ht="24.0" customHeight="1">
      <c r="A2515" s="45">
        <v>3939.0</v>
      </c>
      <c r="B2515" s="57"/>
      <c r="C2515" s="57"/>
      <c r="D2515" s="88" t="str">
        <f t="array" ref="D2515">IFERROR(
  LOOKUP(2, 1/((TRIM(IMS!$E$8:$E$2574)=TRIM(IMS!$E2515))*(IMS!$C$8:$C$2574&lt;IMS!$C2515)),
         IMS!$C$8:$C$2574),
"")</f>
        <v/>
      </c>
      <c r="E2515" s="57"/>
      <c r="F2515" s="57"/>
      <c r="G2515" s="77" t="str">
        <f t="shared" si="901"/>
        <v/>
      </c>
      <c r="H2515" s="78" t="str">
        <f t="shared" si="902"/>
        <v/>
      </c>
      <c r="I2515" s="79"/>
      <c r="J2515" s="80" t="str">
        <f t="shared" si="903"/>
        <v>#NAME?</v>
      </c>
      <c r="K2515" s="58"/>
      <c r="L2515" s="58"/>
      <c r="M2515" s="57"/>
      <c r="N2515" s="57"/>
      <c r="O2515" s="58"/>
      <c r="P2515" s="82"/>
      <c r="Q2515" s="81"/>
      <c r="R2515" s="81"/>
      <c r="S2515" s="57"/>
      <c r="T2515" s="82"/>
      <c r="U2515" s="82"/>
      <c r="V2515" s="57"/>
      <c r="W2515" s="57"/>
      <c r="X2515" s="57" t="str">
        <f t="shared" si="917"/>
        <v/>
      </c>
      <c r="Y2515" s="58" t="str">
        <f t="shared" ref="Y2515:AC2515" si="2355">TRIM(SUBSTITUTE(SUBSTITUTE(OFFSET($Q2515,0,COLUMN()-COLUMN($AL$1)),CHAR(160)," "),_xludf.UNICHAR(8239)," "))</f>
        <v>#NAME?</v>
      </c>
      <c r="Z2515" s="58" t="str">
        <f t="shared" si="2355"/>
        <v>#NAME?</v>
      </c>
      <c r="AA2515" s="58" t="str">
        <f t="shared" si="2355"/>
        <v>#NAME?</v>
      </c>
      <c r="AB2515" s="58" t="str">
        <f t="shared" si="2355"/>
        <v>#NAME?</v>
      </c>
      <c r="AC2515" s="58" t="str">
        <f t="shared" si="2355"/>
        <v>#NAME?</v>
      </c>
      <c r="AD2515" s="57">
        <f t="shared" si="906"/>
        <v>0</v>
      </c>
      <c r="AE2515" s="57" t="str">
        <f t="shared" si="907"/>
        <v/>
      </c>
      <c r="AF2515" s="57">
        <f t="shared" si="908"/>
        <v>0</v>
      </c>
      <c r="AG2515" s="59">
        <f t="shared" si="909"/>
        <v>0</v>
      </c>
      <c r="AH2515" s="15"/>
      <c r="AI2515" s="15"/>
      <c r="AJ2515" s="15"/>
      <c r="AK2515" s="15"/>
      <c r="AL2515" s="15"/>
      <c r="AM2515" s="15"/>
      <c r="AN2515" s="15"/>
      <c r="AO2515" s="15"/>
      <c r="AP2515" s="15"/>
      <c r="AQ2515" s="15"/>
      <c r="AR2515" s="15"/>
      <c r="AS2515" s="15"/>
      <c r="AT2515" s="15"/>
      <c r="AU2515" s="15"/>
    </row>
    <row r="2516" ht="24.0" customHeight="1">
      <c r="A2516" s="45">
        <v>3940.0</v>
      </c>
      <c r="B2516" s="57"/>
      <c r="C2516" s="57"/>
      <c r="D2516" s="88" t="str">
        <f t="array" ref="D2516">IFERROR(
  LOOKUP(2, 1/((TRIM(IMS!$E$8:$E$2574)=TRIM(IMS!$E2516))*(IMS!$C$8:$C$2574&lt;IMS!$C2516)),
         IMS!$C$8:$C$2574),
"")</f>
        <v/>
      </c>
      <c r="E2516" s="57"/>
      <c r="F2516" s="57"/>
      <c r="G2516" s="77" t="str">
        <f t="shared" si="901"/>
        <v/>
      </c>
      <c r="H2516" s="78" t="str">
        <f t="shared" si="902"/>
        <v/>
      </c>
      <c r="I2516" s="79"/>
      <c r="J2516" s="80" t="str">
        <f t="shared" si="903"/>
        <v>#NAME?</v>
      </c>
      <c r="K2516" s="58"/>
      <c r="L2516" s="58"/>
      <c r="M2516" s="57"/>
      <c r="N2516" s="57"/>
      <c r="O2516" s="58"/>
      <c r="P2516" s="82"/>
      <c r="Q2516" s="81"/>
      <c r="R2516" s="81"/>
      <c r="S2516" s="57"/>
      <c r="T2516" s="82"/>
      <c r="U2516" s="82"/>
      <c r="V2516" s="57"/>
      <c r="W2516" s="57"/>
      <c r="X2516" s="57" t="str">
        <f t="shared" si="917"/>
        <v/>
      </c>
      <c r="Y2516" s="58" t="str">
        <f t="shared" ref="Y2516:AC2516" si="2356">TRIM(SUBSTITUTE(SUBSTITUTE(OFFSET($Q2516,0,COLUMN()-COLUMN($AL$1)),CHAR(160)," "),_xludf.UNICHAR(8239)," "))</f>
        <v>#NAME?</v>
      </c>
      <c r="Z2516" s="58" t="str">
        <f t="shared" si="2356"/>
        <v>#NAME?</v>
      </c>
      <c r="AA2516" s="58" t="str">
        <f t="shared" si="2356"/>
        <v>#NAME?</v>
      </c>
      <c r="AB2516" s="58" t="str">
        <f t="shared" si="2356"/>
        <v>#NAME?</v>
      </c>
      <c r="AC2516" s="58" t="str">
        <f t="shared" si="2356"/>
        <v>#NAME?</v>
      </c>
      <c r="AD2516" s="57">
        <f t="shared" si="906"/>
        <v>0</v>
      </c>
      <c r="AE2516" s="57" t="str">
        <f t="shared" si="907"/>
        <v/>
      </c>
      <c r="AF2516" s="57">
        <f t="shared" si="908"/>
        <v>0</v>
      </c>
      <c r="AG2516" s="59">
        <f t="shared" si="909"/>
        <v>0</v>
      </c>
      <c r="AH2516" s="15"/>
      <c r="AI2516" s="15"/>
      <c r="AJ2516" s="15"/>
      <c r="AK2516" s="15"/>
      <c r="AL2516" s="15"/>
      <c r="AM2516" s="15"/>
      <c r="AN2516" s="15"/>
      <c r="AO2516" s="15"/>
      <c r="AP2516" s="15"/>
      <c r="AQ2516" s="15"/>
      <c r="AR2516" s="15"/>
      <c r="AS2516" s="15"/>
      <c r="AT2516" s="15"/>
      <c r="AU2516" s="15"/>
    </row>
    <row r="2517" ht="24.0" customHeight="1">
      <c r="A2517" s="45">
        <v>3941.0</v>
      </c>
      <c r="B2517" s="57"/>
      <c r="C2517" s="57"/>
      <c r="D2517" s="88" t="str">
        <f t="array" ref="D2517">IFERROR(
  LOOKUP(2, 1/((TRIM(IMS!$E$8:$E$2574)=TRIM(IMS!$E2517))*(IMS!$C$8:$C$2574&lt;IMS!$C2517)),
         IMS!$C$8:$C$2574),
"")</f>
        <v/>
      </c>
      <c r="E2517" s="57"/>
      <c r="F2517" s="57"/>
      <c r="G2517" s="77" t="str">
        <f t="shared" si="901"/>
        <v/>
      </c>
      <c r="H2517" s="78" t="str">
        <f t="shared" si="902"/>
        <v/>
      </c>
      <c r="I2517" s="79"/>
      <c r="J2517" s="80" t="str">
        <f t="shared" si="903"/>
        <v>#NAME?</v>
      </c>
      <c r="K2517" s="58"/>
      <c r="L2517" s="58"/>
      <c r="M2517" s="57"/>
      <c r="N2517" s="57"/>
      <c r="O2517" s="58"/>
      <c r="P2517" s="82"/>
      <c r="Q2517" s="81"/>
      <c r="R2517" s="81"/>
      <c r="S2517" s="57"/>
      <c r="T2517" s="82"/>
      <c r="U2517" s="82"/>
      <c r="V2517" s="57"/>
      <c r="W2517" s="57"/>
      <c r="X2517" s="57" t="str">
        <f t="shared" si="917"/>
        <v/>
      </c>
      <c r="Y2517" s="58" t="str">
        <f t="shared" ref="Y2517:AC2517" si="2357">TRIM(SUBSTITUTE(SUBSTITUTE(OFFSET($Q2517,0,COLUMN()-COLUMN($AL$1)),CHAR(160)," "),_xludf.UNICHAR(8239)," "))</f>
        <v>#NAME?</v>
      </c>
      <c r="Z2517" s="58" t="str">
        <f t="shared" si="2357"/>
        <v>#NAME?</v>
      </c>
      <c r="AA2517" s="58" t="str">
        <f t="shared" si="2357"/>
        <v>#NAME?</v>
      </c>
      <c r="AB2517" s="58" t="str">
        <f t="shared" si="2357"/>
        <v>#NAME?</v>
      </c>
      <c r="AC2517" s="58" t="str">
        <f t="shared" si="2357"/>
        <v>#NAME?</v>
      </c>
      <c r="AD2517" s="57">
        <f t="shared" si="906"/>
        <v>0</v>
      </c>
      <c r="AE2517" s="57" t="str">
        <f t="shared" si="907"/>
        <v/>
      </c>
      <c r="AF2517" s="57">
        <f t="shared" si="908"/>
        <v>0</v>
      </c>
      <c r="AG2517" s="59">
        <f t="shared" si="909"/>
        <v>0</v>
      </c>
      <c r="AH2517" s="15"/>
      <c r="AI2517" s="15"/>
      <c r="AJ2517" s="15"/>
      <c r="AK2517" s="15"/>
      <c r="AL2517" s="15"/>
      <c r="AM2517" s="15"/>
      <c r="AN2517" s="15"/>
      <c r="AO2517" s="15"/>
      <c r="AP2517" s="15"/>
      <c r="AQ2517" s="15"/>
      <c r="AR2517" s="15"/>
      <c r="AS2517" s="15"/>
      <c r="AT2517" s="15"/>
      <c r="AU2517" s="15"/>
    </row>
    <row r="2518" ht="24.0" customHeight="1">
      <c r="A2518" s="45">
        <v>3942.0</v>
      </c>
      <c r="B2518" s="57"/>
      <c r="C2518" s="57"/>
      <c r="D2518" s="88" t="str">
        <f t="array" ref="D2518">IFERROR(
  LOOKUP(2, 1/((TRIM(IMS!$E$8:$E$2574)=TRIM(IMS!$E2518))*(IMS!$C$8:$C$2574&lt;IMS!$C2518)),
         IMS!$C$8:$C$2574),
"")</f>
        <v/>
      </c>
      <c r="E2518" s="57"/>
      <c r="F2518" s="57"/>
      <c r="G2518" s="77" t="str">
        <f t="shared" si="901"/>
        <v/>
      </c>
      <c r="H2518" s="78" t="str">
        <f t="shared" si="902"/>
        <v/>
      </c>
      <c r="I2518" s="79"/>
      <c r="J2518" s="80" t="str">
        <f t="shared" si="903"/>
        <v>#NAME?</v>
      </c>
      <c r="K2518" s="58"/>
      <c r="L2518" s="58"/>
      <c r="M2518" s="57"/>
      <c r="N2518" s="57"/>
      <c r="O2518" s="58"/>
      <c r="P2518" s="82"/>
      <c r="Q2518" s="81"/>
      <c r="R2518" s="81"/>
      <c r="S2518" s="57"/>
      <c r="T2518" s="82"/>
      <c r="U2518" s="82"/>
      <c r="V2518" s="57"/>
      <c r="W2518" s="57"/>
      <c r="X2518" s="57" t="str">
        <f t="shared" si="917"/>
        <v/>
      </c>
      <c r="Y2518" s="58" t="str">
        <f t="shared" ref="Y2518:AC2518" si="2358">TRIM(SUBSTITUTE(SUBSTITUTE(OFFSET($Q2518,0,COLUMN()-COLUMN($AL$1)),CHAR(160)," "),_xludf.UNICHAR(8239)," "))</f>
        <v>#NAME?</v>
      </c>
      <c r="Z2518" s="58" t="str">
        <f t="shared" si="2358"/>
        <v>#NAME?</v>
      </c>
      <c r="AA2518" s="58" t="str">
        <f t="shared" si="2358"/>
        <v>#NAME?</v>
      </c>
      <c r="AB2518" s="58" t="str">
        <f t="shared" si="2358"/>
        <v>#NAME?</v>
      </c>
      <c r="AC2518" s="58" t="str">
        <f t="shared" si="2358"/>
        <v>#NAME?</v>
      </c>
      <c r="AD2518" s="57">
        <f t="shared" si="906"/>
        <v>0</v>
      </c>
      <c r="AE2518" s="57" t="str">
        <f t="shared" si="907"/>
        <v/>
      </c>
      <c r="AF2518" s="57">
        <f t="shared" si="908"/>
        <v>0</v>
      </c>
      <c r="AG2518" s="59">
        <f t="shared" si="909"/>
        <v>0</v>
      </c>
      <c r="AH2518" s="15"/>
      <c r="AI2518" s="15"/>
      <c r="AJ2518" s="15"/>
      <c r="AK2518" s="15"/>
      <c r="AL2518" s="15"/>
      <c r="AM2518" s="15"/>
      <c r="AN2518" s="15"/>
      <c r="AO2518" s="15"/>
      <c r="AP2518" s="15"/>
      <c r="AQ2518" s="15"/>
      <c r="AR2518" s="15"/>
      <c r="AS2518" s="15"/>
      <c r="AT2518" s="15"/>
      <c r="AU2518" s="15"/>
    </row>
    <row r="2519" ht="24.0" customHeight="1">
      <c r="A2519" s="45">
        <v>3943.0</v>
      </c>
      <c r="B2519" s="57"/>
      <c r="C2519" s="57"/>
      <c r="D2519" s="88" t="str">
        <f t="array" ref="D2519">IFERROR(
  LOOKUP(2, 1/((TRIM(IMS!$E$8:$E$2574)=TRIM(IMS!$E2519))*(IMS!$C$8:$C$2574&lt;IMS!$C2519)),
         IMS!$C$8:$C$2574),
"")</f>
        <v/>
      </c>
      <c r="E2519" s="57"/>
      <c r="F2519" s="57"/>
      <c r="G2519" s="77" t="str">
        <f t="shared" si="901"/>
        <v/>
      </c>
      <c r="H2519" s="78" t="str">
        <f t="shared" si="902"/>
        <v/>
      </c>
      <c r="I2519" s="79"/>
      <c r="J2519" s="80" t="str">
        <f t="shared" si="903"/>
        <v>#NAME?</v>
      </c>
      <c r="K2519" s="58"/>
      <c r="L2519" s="58"/>
      <c r="M2519" s="57"/>
      <c r="N2519" s="57"/>
      <c r="O2519" s="58"/>
      <c r="P2519" s="82"/>
      <c r="Q2519" s="81"/>
      <c r="R2519" s="81"/>
      <c r="S2519" s="57"/>
      <c r="T2519" s="82"/>
      <c r="U2519" s="82"/>
      <c r="V2519" s="57"/>
      <c r="W2519" s="57"/>
      <c r="X2519" s="57" t="str">
        <f t="shared" si="917"/>
        <v/>
      </c>
      <c r="Y2519" s="58" t="str">
        <f t="shared" ref="Y2519:AC2519" si="2359">TRIM(SUBSTITUTE(SUBSTITUTE(OFFSET($Q2519,0,COLUMN()-COLUMN($AL$1)),CHAR(160)," "),_xludf.UNICHAR(8239)," "))</f>
        <v>#NAME?</v>
      </c>
      <c r="Z2519" s="58" t="str">
        <f t="shared" si="2359"/>
        <v>#NAME?</v>
      </c>
      <c r="AA2519" s="58" t="str">
        <f t="shared" si="2359"/>
        <v>#NAME?</v>
      </c>
      <c r="AB2519" s="58" t="str">
        <f t="shared" si="2359"/>
        <v>#NAME?</v>
      </c>
      <c r="AC2519" s="58" t="str">
        <f t="shared" si="2359"/>
        <v>#NAME?</v>
      </c>
      <c r="AD2519" s="57">
        <f t="shared" si="906"/>
        <v>0</v>
      </c>
      <c r="AE2519" s="57" t="str">
        <f t="shared" si="907"/>
        <v/>
      </c>
      <c r="AF2519" s="57">
        <f t="shared" si="908"/>
        <v>0</v>
      </c>
      <c r="AG2519" s="59">
        <f t="shared" si="909"/>
        <v>0</v>
      </c>
      <c r="AH2519" s="15"/>
      <c r="AI2519" s="15"/>
      <c r="AJ2519" s="15"/>
      <c r="AK2519" s="15"/>
      <c r="AL2519" s="15"/>
      <c r="AM2519" s="15"/>
      <c r="AN2519" s="15"/>
      <c r="AO2519" s="15"/>
      <c r="AP2519" s="15"/>
      <c r="AQ2519" s="15"/>
      <c r="AR2519" s="15"/>
      <c r="AS2519" s="15"/>
      <c r="AT2519" s="15"/>
      <c r="AU2519" s="15"/>
    </row>
    <row r="2520" ht="24.0" customHeight="1">
      <c r="A2520" s="45">
        <v>3944.0</v>
      </c>
      <c r="B2520" s="57"/>
      <c r="C2520" s="57"/>
      <c r="D2520" s="88" t="str">
        <f t="array" ref="D2520">IFERROR(
  LOOKUP(2, 1/((TRIM(IMS!$E$8:$E$2574)=TRIM(IMS!$E2520))*(IMS!$C$8:$C$2574&lt;IMS!$C2520)),
         IMS!$C$8:$C$2574),
"")</f>
        <v/>
      </c>
      <c r="E2520" s="57"/>
      <c r="F2520" s="57"/>
      <c r="G2520" s="77" t="str">
        <f t="shared" si="901"/>
        <v/>
      </c>
      <c r="H2520" s="78" t="str">
        <f t="shared" si="902"/>
        <v/>
      </c>
      <c r="I2520" s="79"/>
      <c r="J2520" s="80" t="str">
        <f t="shared" si="903"/>
        <v>#NAME?</v>
      </c>
      <c r="K2520" s="58"/>
      <c r="L2520" s="58"/>
      <c r="M2520" s="57"/>
      <c r="N2520" s="57"/>
      <c r="O2520" s="58"/>
      <c r="P2520" s="82"/>
      <c r="Q2520" s="81"/>
      <c r="R2520" s="81"/>
      <c r="S2520" s="57"/>
      <c r="T2520" s="82"/>
      <c r="U2520" s="82"/>
      <c r="V2520" s="57"/>
      <c r="W2520" s="57"/>
      <c r="X2520" s="57" t="str">
        <f t="shared" si="917"/>
        <v/>
      </c>
      <c r="Y2520" s="58" t="str">
        <f t="shared" ref="Y2520:AC2520" si="2360">TRIM(SUBSTITUTE(SUBSTITUTE(OFFSET($Q2520,0,COLUMN()-COLUMN($AL$1)),CHAR(160)," "),_xludf.UNICHAR(8239)," "))</f>
        <v>#NAME?</v>
      </c>
      <c r="Z2520" s="58" t="str">
        <f t="shared" si="2360"/>
        <v>#NAME?</v>
      </c>
      <c r="AA2520" s="58" t="str">
        <f t="shared" si="2360"/>
        <v>#NAME?</v>
      </c>
      <c r="AB2520" s="58" t="str">
        <f t="shared" si="2360"/>
        <v>#NAME?</v>
      </c>
      <c r="AC2520" s="58" t="str">
        <f t="shared" si="2360"/>
        <v>#NAME?</v>
      </c>
      <c r="AD2520" s="57">
        <f t="shared" si="906"/>
        <v>0</v>
      </c>
      <c r="AE2520" s="57" t="str">
        <f t="shared" si="907"/>
        <v/>
      </c>
      <c r="AF2520" s="57">
        <f t="shared" si="908"/>
        <v>0</v>
      </c>
      <c r="AG2520" s="59">
        <f t="shared" si="909"/>
        <v>0</v>
      </c>
      <c r="AH2520" s="15"/>
      <c r="AI2520" s="15"/>
      <c r="AJ2520" s="15"/>
      <c r="AK2520" s="15"/>
      <c r="AL2520" s="15"/>
      <c r="AM2520" s="15"/>
      <c r="AN2520" s="15"/>
      <c r="AO2520" s="15"/>
      <c r="AP2520" s="15"/>
      <c r="AQ2520" s="15"/>
      <c r="AR2520" s="15"/>
      <c r="AS2520" s="15"/>
      <c r="AT2520" s="15"/>
      <c r="AU2520" s="15"/>
    </row>
    <row r="2521" ht="24.0" customHeight="1">
      <c r="A2521" s="45">
        <v>3945.0</v>
      </c>
      <c r="B2521" s="57"/>
      <c r="C2521" s="57"/>
      <c r="D2521" s="88" t="str">
        <f t="array" ref="D2521">IFERROR(
  LOOKUP(2, 1/((TRIM(IMS!$E$8:$E$2574)=TRIM(IMS!$E2521))*(IMS!$C$8:$C$2574&lt;IMS!$C2521)),
         IMS!$C$8:$C$2574),
"")</f>
        <v/>
      </c>
      <c r="E2521" s="57"/>
      <c r="F2521" s="57"/>
      <c r="G2521" s="77" t="str">
        <f t="shared" si="901"/>
        <v/>
      </c>
      <c r="H2521" s="78" t="str">
        <f t="shared" si="902"/>
        <v/>
      </c>
      <c r="I2521" s="79"/>
      <c r="J2521" s="80" t="str">
        <f t="shared" si="903"/>
        <v>#NAME?</v>
      </c>
      <c r="K2521" s="58"/>
      <c r="L2521" s="58"/>
      <c r="M2521" s="57"/>
      <c r="N2521" s="57"/>
      <c r="O2521" s="58"/>
      <c r="P2521" s="82"/>
      <c r="Q2521" s="81"/>
      <c r="R2521" s="81"/>
      <c r="S2521" s="57"/>
      <c r="T2521" s="82"/>
      <c r="U2521" s="82"/>
      <c r="V2521" s="57"/>
      <c r="W2521" s="57"/>
      <c r="X2521" s="57" t="str">
        <f t="shared" si="917"/>
        <v/>
      </c>
      <c r="Y2521" s="58" t="str">
        <f t="shared" ref="Y2521:AC2521" si="2361">TRIM(SUBSTITUTE(SUBSTITUTE(OFFSET($Q2521,0,COLUMN()-COLUMN($AL$1)),CHAR(160)," "),_xludf.UNICHAR(8239)," "))</f>
        <v>#NAME?</v>
      </c>
      <c r="Z2521" s="58" t="str">
        <f t="shared" si="2361"/>
        <v>#NAME?</v>
      </c>
      <c r="AA2521" s="58" t="str">
        <f t="shared" si="2361"/>
        <v>#NAME?</v>
      </c>
      <c r="AB2521" s="58" t="str">
        <f t="shared" si="2361"/>
        <v>#NAME?</v>
      </c>
      <c r="AC2521" s="58" t="str">
        <f t="shared" si="2361"/>
        <v>#NAME?</v>
      </c>
      <c r="AD2521" s="57">
        <f t="shared" si="906"/>
        <v>0</v>
      </c>
      <c r="AE2521" s="57" t="str">
        <f t="shared" si="907"/>
        <v/>
      </c>
      <c r="AF2521" s="57">
        <f t="shared" si="908"/>
        <v>0</v>
      </c>
      <c r="AG2521" s="59">
        <f t="shared" si="909"/>
        <v>0</v>
      </c>
      <c r="AH2521" s="15"/>
      <c r="AI2521" s="15"/>
      <c r="AJ2521" s="15"/>
      <c r="AK2521" s="15"/>
      <c r="AL2521" s="15"/>
      <c r="AM2521" s="15"/>
      <c r="AN2521" s="15"/>
      <c r="AO2521" s="15"/>
      <c r="AP2521" s="15"/>
      <c r="AQ2521" s="15"/>
      <c r="AR2521" s="15"/>
      <c r="AS2521" s="15"/>
      <c r="AT2521" s="15"/>
      <c r="AU2521" s="15"/>
    </row>
    <row r="2522" ht="24.0" customHeight="1">
      <c r="A2522" s="45">
        <v>3946.0</v>
      </c>
      <c r="B2522" s="57"/>
      <c r="C2522" s="57"/>
      <c r="D2522" s="88" t="str">
        <f t="array" ref="D2522">IFERROR(
  LOOKUP(2, 1/((TRIM(IMS!$E$8:$E$2574)=TRIM(IMS!$E2522))*(IMS!$C$8:$C$2574&lt;IMS!$C2522)),
         IMS!$C$8:$C$2574),
"")</f>
        <v/>
      </c>
      <c r="E2522" s="57"/>
      <c r="F2522" s="57"/>
      <c r="G2522" s="77" t="str">
        <f t="shared" si="901"/>
        <v/>
      </c>
      <c r="H2522" s="78" t="str">
        <f t="shared" si="902"/>
        <v/>
      </c>
      <c r="I2522" s="79"/>
      <c r="J2522" s="80" t="str">
        <f t="shared" si="903"/>
        <v>#NAME?</v>
      </c>
      <c r="K2522" s="58"/>
      <c r="L2522" s="58"/>
      <c r="M2522" s="57"/>
      <c r="N2522" s="57"/>
      <c r="O2522" s="58"/>
      <c r="P2522" s="82"/>
      <c r="Q2522" s="81"/>
      <c r="R2522" s="81"/>
      <c r="S2522" s="57"/>
      <c r="T2522" s="82"/>
      <c r="U2522" s="82"/>
      <c r="V2522" s="57"/>
      <c r="W2522" s="57"/>
      <c r="X2522" s="57" t="str">
        <f t="shared" si="917"/>
        <v/>
      </c>
      <c r="Y2522" s="58" t="str">
        <f t="shared" ref="Y2522:AC2522" si="2362">TRIM(SUBSTITUTE(SUBSTITUTE(OFFSET($Q2522,0,COLUMN()-COLUMN($AL$1)),CHAR(160)," "),_xludf.UNICHAR(8239)," "))</f>
        <v>#NAME?</v>
      </c>
      <c r="Z2522" s="58" t="str">
        <f t="shared" si="2362"/>
        <v>#NAME?</v>
      </c>
      <c r="AA2522" s="58" t="str">
        <f t="shared" si="2362"/>
        <v>#NAME?</v>
      </c>
      <c r="AB2522" s="58" t="str">
        <f t="shared" si="2362"/>
        <v>#NAME?</v>
      </c>
      <c r="AC2522" s="58" t="str">
        <f t="shared" si="2362"/>
        <v>#NAME?</v>
      </c>
      <c r="AD2522" s="57">
        <f t="shared" si="906"/>
        <v>0</v>
      </c>
      <c r="AE2522" s="57" t="str">
        <f t="shared" si="907"/>
        <v/>
      </c>
      <c r="AF2522" s="57">
        <f t="shared" si="908"/>
        <v>0</v>
      </c>
      <c r="AG2522" s="59">
        <f t="shared" si="909"/>
        <v>0</v>
      </c>
      <c r="AH2522" s="15"/>
      <c r="AI2522" s="15"/>
      <c r="AJ2522" s="15"/>
      <c r="AK2522" s="15"/>
      <c r="AL2522" s="15"/>
      <c r="AM2522" s="15"/>
      <c r="AN2522" s="15"/>
      <c r="AO2522" s="15"/>
      <c r="AP2522" s="15"/>
      <c r="AQ2522" s="15"/>
      <c r="AR2522" s="15"/>
      <c r="AS2522" s="15"/>
      <c r="AT2522" s="15"/>
      <c r="AU2522" s="15"/>
    </row>
    <row r="2523" ht="24.0" customHeight="1">
      <c r="A2523" s="45">
        <v>3947.0</v>
      </c>
      <c r="B2523" s="57"/>
      <c r="C2523" s="57"/>
      <c r="D2523" s="88" t="str">
        <f t="array" ref="D2523">IFERROR(
  LOOKUP(2, 1/((TRIM(IMS!$E$8:$E$2574)=TRIM(IMS!$E2523))*(IMS!$C$8:$C$2574&lt;IMS!$C2523)),
         IMS!$C$8:$C$2574),
"")</f>
        <v/>
      </c>
      <c r="E2523" s="57"/>
      <c r="F2523" s="57"/>
      <c r="G2523" s="77" t="str">
        <f t="shared" si="901"/>
        <v/>
      </c>
      <c r="H2523" s="78" t="str">
        <f t="shared" si="902"/>
        <v/>
      </c>
      <c r="I2523" s="79"/>
      <c r="J2523" s="80" t="str">
        <f t="shared" si="903"/>
        <v>#NAME?</v>
      </c>
      <c r="K2523" s="58"/>
      <c r="L2523" s="58"/>
      <c r="M2523" s="57"/>
      <c r="N2523" s="57"/>
      <c r="O2523" s="58"/>
      <c r="P2523" s="82"/>
      <c r="Q2523" s="81"/>
      <c r="R2523" s="81"/>
      <c r="S2523" s="57"/>
      <c r="T2523" s="82"/>
      <c r="U2523" s="82"/>
      <c r="V2523" s="57"/>
      <c r="W2523" s="57"/>
      <c r="X2523" s="57" t="str">
        <f t="shared" si="917"/>
        <v/>
      </c>
      <c r="Y2523" s="58" t="str">
        <f t="shared" ref="Y2523:AC2523" si="2363">TRIM(SUBSTITUTE(SUBSTITUTE(OFFSET($Q2523,0,COLUMN()-COLUMN($AL$1)),CHAR(160)," "),_xludf.UNICHAR(8239)," "))</f>
        <v>#NAME?</v>
      </c>
      <c r="Z2523" s="58" t="str">
        <f t="shared" si="2363"/>
        <v>#NAME?</v>
      </c>
      <c r="AA2523" s="58" t="str">
        <f t="shared" si="2363"/>
        <v>#NAME?</v>
      </c>
      <c r="AB2523" s="58" t="str">
        <f t="shared" si="2363"/>
        <v>#NAME?</v>
      </c>
      <c r="AC2523" s="58" t="str">
        <f t="shared" si="2363"/>
        <v>#NAME?</v>
      </c>
      <c r="AD2523" s="57">
        <f t="shared" si="906"/>
        <v>0</v>
      </c>
      <c r="AE2523" s="57" t="str">
        <f t="shared" si="907"/>
        <v/>
      </c>
      <c r="AF2523" s="57">
        <f t="shared" si="908"/>
        <v>0</v>
      </c>
      <c r="AG2523" s="59">
        <f t="shared" si="909"/>
        <v>0</v>
      </c>
      <c r="AH2523" s="15"/>
      <c r="AI2523" s="15"/>
      <c r="AJ2523" s="15"/>
      <c r="AK2523" s="15"/>
      <c r="AL2523" s="15"/>
      <c r="AM2523" s="15"/>
      <c r="AN2523" s="15"/>
      <c r="AO2523" s="15"/>
      <c r="AP2523" s="15"/>
      <c r="AQ2523" s="15"/>
      <c r="AR2523" s="15"/>
      <c r="AS2523" s="15"/>
      <c r="AT2523" s="15"/>
      <c r="AU2523" s="15"/>
    </row>
    <row r="2524" ht="24.0" customHeight="1">
      <c r="A2524" s="45">
        <v>3948.0</v>
      </c>
      <c r="B2524" s="57"/>
      <c r="C2524" s="57"/>
      <c r="D2524" s="88" t="str">
        <f t="array" ref="D2524">IFERROR(
  LOOKUP(2, 1/((TRIM(IMS!$E$8:$E$2574)=TRIM(IMS!$E2524))*(IMS!$C$8:$C$2574&lt;IMS!$C2524)),
         IMS!$C$8:$C$2574),
"")</f>
        <v/>
      </c>
      <c r="E2524" s="57"/>
      <c r="F2524" s="57"/>
      <c r="G2524" s="77" t="str">
        <f t="shared" si="901"/>
        <v/>
      </c>
      <c r="H2524" s="78" t="str">
        <f t="shared" si="902"/>
        <v/>
      </c>
      <c r="I2524" s="79"/>
      <c r="J2524" s="80" t="str">
        <f t="shared" si="903"/>
        <v>#NAME?</v>
      </c>
      <c r="K2524" s="58"/>
      <c r="L2524" s="58"/>
      <c r="M2524" s="57"/>
      <c r="N2524" s="57"/>
      <c r="O2524" s="58"/>
      <c r="P2524" s="82"/>
      <c r="Q2524" s="81"/>
      <c r="R2524" s="81"/>
      <c r="S2524" s="57"/>
      <c r="T2524" s="82"/>
      <c r="U2524" s="82"/>
      <c r="V2524" s="57"/>
      <c r="W2524" s="57"/>
      <c r="X2524" s="57" t="str">
        <f t="shared" si="917"/>
        <v/>
      </c>
      <c r="Y2524" s="58" t="str">
        <f t="shared" ref="Y2524:AC2524" si="2364">TRIM(SUBSTITUTE(SUBSTITUTE(OFFSET($Q2524,0,COLUMN()-COLUMN($AL$1)),CHAR(160)," "),_xludf.UNICHAR(8239)," "))</f>
        <v>#NAME?</v>
      </c>
      <c r="Z2524" s="58" t="str">
        <f t="shared" si="2364"/>
        <v>#NAME?</v>
      </c>
      <c r="AA2524" s="58" t="str">
        <f t="shared" si="2364"/>
        <v>#NAME?</v>
      </c>
      <c r="AB2524" s="58" t="str">
        <f t="shared" si="2364"/>
        <v>#NAME?</v>
      </c>
      <c r="AC2524" s="58" t="str">
        <f t="shared" si="2364"/>
        <v>#NAME?</v>
      </c>
      <c r="AD2524" s="57">
        <f t="shared" si="906"/>
        <v>0</v>
      </c>
      <c r="AE2524" s="57" t="str">
        <f t="shared" si="907"/>
        <v/>
      </c>
      <c r="AF2524" s="57">
        <f t="shared" si="908"/>
        <v>0</v>
      </c>
      <c r="AG2524" s="59">
        <f t="shared" si="909"/>
        <v>0</v>
      </c>
      <c r="AH2524" s="15"/>
      <c r="AI2524" s="15"/>
      <c r="AJ2524" s="15"/>
      <c r="AK2524" s="15"/>
      <c r="AL2524" s="15"/>
      <c r="AM2524" s="15"/>
      <c r="AN2524" s="15"/>
      <c r="AO2524" s="15"/>
      <c r="AP2524" s="15"/>
      <c r="AQ2524" s="15"/>
      <c r="AR2524" s="15"/>
      <c r="AS2524" s="15"/>
      <c r="AT2524" s="15"/>
      <c r="AU2524" s="15"/>
    </row>
    <row r="2525" ht="24.0" customHeight="1">
      <c r="A2525" s="45">
        <v>3949.0</v>
      </c>
      <c r="B2525" s="57"/>
      <c r="C2525" s="57"/>
      <c r="D2525" s="88" t="str">
        <f t="array" ref="D2525">IFERROR(
  LOOKUP(2, 1/((TRIM(IMS!$E$8:$E$2574)=TRIM(IMS!$E2525))*(IMS!$C$8:$C$2574&lt;IMS!$C2525)),
         IMS!$C$8:$C$2574),
"")</f>
        <v/>
      </c>
      <c r="E2525" s="57"/>
      <c r="F2525" s="57"/>
      <c r="G2525" s="77" t="str">
        <f t="shared" si="901"/>
        <v/>
      </c>
      <c r="H2525" s="78" t="str">
        <f t="shared" si="902"/>
        <v/>
      </c>
      <c r="I2525" s="79"/>
      <c r="J2525" s="80" t="str">
        <f t="shared" si="903"/>
        <v>#NAME?</v>
      </c>
      <c r="K2525" s="58"/>
      <c r="L2525" s="58"/>
      <c r="M2525" s="57"/>
      <c r="N2525" s="57"/>
      <c r="O2525" s="58"/>
      <c r="P2525" s="82"/>
      <c r="Q2525" s="81"/>
      <c r="R2525" s="81"/>
      <c r="S2525" s="57"/>
      <c r="T2525" s="82"/>
      <c r="U2525" s="82"/>
      <c r="V2525" s="57"/>
      <c r="W2525" s="57"/>
      <c r="X2525" s="57" t="str">
        <f t="shared" si="917"/>
        <v/>
      </c>
      <c r="Y2525" s="58" t="str">
        <f t="shared" ref="Y2525:AC2525" si="2365">TRIM(SUBSTITUTE(SUBSTITUTE(OFFSET($Q2525,0,COLUMN()-COLUMN($AL$1)),CHAR(160)," "),_xludf.UNICHAR(8239)," "))</f>
        <v>#NAME?</v>
      </c>
      <c r="Z2525" s="58" t="str">
        <f t="shared" si="2365"/>
        <v>#NAME?</v>
      </c>
      <c r="AA2525" s="58" t="str">
        <f t="shared" si="2365"/>
        <v>#NAME?</v>
      </c>
      <c r="AB2525" s="58" t="str">
        <f t="shared" si="2365"/>
        <v>#NAME?</v>
      </c>
      <c r="AC2525" s="58" t="str">
        <f t="shared" si="2365"/>
        <v>#NAME?</v>
      </c>
      <c r="AD2525" s="57">
        <f t="shared" si="906"/>
        <v>0</v>
      </c>
      <c r="AE2525" s="57" t="str">
        <f t="shared" si="907"/>
        <v/>
      </c>
      <c r="AF2525" s="57">
        <f t="shared" si="908"/>
        <v>0</v>
      </c>
      <c r="AG2525" s="59">
        <f t="shared" si="909"/>
        <v>0</v>
      </c>
      <c r="AH2525" s="15"/>
      <c r="AI2525" s="15"/>
      <c r="AJ2525" s="15"/>
      <c r="AK2525" s="15"/>
      <c r="AL2525" s="15"/>
      <c r="AM2525" s="15"/>
      <c r="AN2525" s="15"/>
      <c r="AO2525" s="15"/>
      <c r="AP2525" s="15"/>
      <c r="AQ2525" s="15"/>
      <c r="AR2525" s="15"/>
      <c r="AS2525" s="15"/>
      <c r="AT2525" s="15"/>
      <c r="AU2525" s="15"/>
    </row>
    <row r="2526" ht="24.0" customHeight="1">
      <c r="A2526" s="45">
        <v>3950.0</v>
      </c>
      <c r="B2526" s="57"/>
      <c r="C2526" s="57"/>
      <c r="D2526" s="88" t="str">
        <f t="array" ref="D2526">IFERROR(
  LOOKUP(2, 1/((TRIM(IMS!$E$8:$E$2574)=TRIM(IMS!$E2526))*(IMS!$C$8:$C$2574&lt;IMS!$C2526)),
         IMS!$C$8:$C$2574),
"")</f>
        <v/>
      </c>
      <c r="E2526" s="57"/>
      <c r="F2526" s="57"/>
      <c r="G2526" s="77" t="str">
        <f t="shared" si="901"/>
        <v/>
      </c>
      <c r="H2526" s="78" t="str">
        <f t="shared" si="902"/>
        <v/>
      </c>
      <c r="I2526" s="79"/>
      <c r="J2526" s="80" t="str">
        <f t="shared" si="903"/>
        <v>#NAME?</v>
      </c>
      <c r="K2526" s="58"/>
      <c r="L2526" s="58"/>
      <c r="M2526" s="57"/>
      <c r="N2526" s="57"/>
      <c r="O2526" s="58"/>
      <c r="P2526" s="82"/>
      <c r="Q2526" s="81"/>
      <c r="R2526" s="81"/>
      <c r="S2526" s="57"/>
      <c r="T2526" s="82"/>
      <c r="U2526" s="82"/>
      <c r="V2526" s="57"/>
      <c r="W2526" s="57"/>
      <c r="X2526" s="57" t="str">
        <f t="shared" si="917"/>
        <v/>
      </c>
      <c r="Y2526" s="58" t="str">
        <f t="shared" ref="Y2526:AC2526" si="2366">TRIM(SUBSTITUTE(SUBSTITUTE(OFFSET($Q2526,0,COLUMN()-COLUMN($AL$1)),CHAR(160)," "),_xludf.UNICHAR(8239)," "))</f>
        <v>#NAME?</v>
      </c>
      <c r="Z2526" s="58" t="str">
        <f t="shared" si="2366"/>
        <v>#NAME?</v>
      </c>
      <c r="AA2526" s="58" t="str">
        <f t="shared" si="2366"/>
        <v>#NAME?</v>
      </c>
      <c r="AB2526" s="58" t="str">
        <f t="shared" si="2366"/>
        <v>#NAME?</v>
      </c>
      <c r="AC2526" s="58" t="str">
        <f t="shared" si="2366"/>
        <v>#NAME?</v>
      </c>
      <c r="AD2526" s="57">
        <f t="shared" si="906"/>
        <v>0</v>
      </c>
      <c r="AE2526" s="57" t="str">
        <f t="shared" si="907"/>
        <v/>
      </c>
      <c r="AF2526" s="57">
        <f t="shared" si="908"/>
        <v>0</v>
      </c>
      <c r="AG2526" s="59">
        <f t="shared" si="909"/>
        <v>0</v>
      </c>
      <c r="AH2526" s="15"/>
      <c r="AI2526" s="15"/>
      <c r="AJ2526" s="15"/>
      <c r="AK2526" s="15"/>
      <c r="AL2526" s="15"/>
      <c r="AM2526" s="15"/>
      <c r="AN2526" s="15"/>
      <c r="AO2526" s="15"/>
      <c r="AP2526" s="15"/>
      <c r="AQ2526" s="15"/>
      <c r="AR2526" s="15"/>
      <c r="AS2526" s="15"/>
      <c r="AT2526" s="15"/>
      <c r="AU2526" s="15"/>
    </row>
    <row r="2527" ht="24.0" customHeight="1">
      <c r="A2527" s="45">
        <v>3951.0</v>
      </c>
      <c r="B2527" s="57"/>
      <c r="C2527" s="57"/>
      <c r="D2527" s="88" t="str">
        <f t="array" ref="D2527">IFERROR(
  LOOKUP(2, 1/((TRIM(IMS!$E$8:$E$2574)=TRIM(IMS!$E2527))*(IMS!$C$8:$C$2574&lt;IMS!$C2527)),
         IMS!$C$8:$C$2574),
"")</f>
        <v/>
      </c>
      <c r="E2527" s="57"/>
      <c r="F2527" s="57"/>
      <c r="G2527" s="77" t="str">
        <f t="shared" si="901"/>
        <v/>
      </c>
      <c r="H2527" s="78" t="str">
        <f t="shared" si="902"/>
        <v/>
      </c>
      <c r="I2527" s="79"/>
      <c r="J2527" s="80" t="str">
        <f t="shared" si="903"/>
        <v>#NAME?</v>
      </c>
      <c r="K2527" s="58"/>
      <c r="L2527" s="58"/>
      <c r="M2527" s="57"/>
      <c r="N2527" s="57"/>
      <c r="O2527" s="58"/>
      <c r="P2527" s="82"/>
      <c r="Q2527" s="81"/>
      <c r="R2527" s="81"/>
      <c r="S2527" s="57"/>
      <c r="T2527" s="82"/>
      <c r="U2527" s="82"/>
      <c r="V2527" s="57"/>
      <c r="W2527" s="57"/>
      <c r="X2527" s="57" t="str">
        <f t="shared" si="917"/>
        <v/>
      </c>
      <c r="Y2527" s="58" t="str">
        <f t="shared" ref="Y2527:AC2527" si="2367">TRIM(SUBSTITUTE(SUBSTITUTE(OFFSET($Q2527,0,COLUMN()-COLUMN($AL$1)),CHAR(160)," "),_xludf.UNICHAR(8239)," "))</f>
        <v>#NAME?</v>
      </c>
      <c r="Z2527" s="58" t="str">
        <f t="shared" si="2367"/>
        <v>#NAME?</v>
      </c>
      <c r="AA2527" s="58" t="str">
        <f t="shared" si="2367"/>
        <v>#NAME?</v>
      </c>
      <c r="AB2527" s="58" t="str">
        <f t="shared" si="2367"/>
        <v>#NAME?</v>
      </c>
      <c r="AC2527" s="58" t="str">
        <f t="shared" si="2367"/>
        <v>#NAME?</v>
      </c>
      <c r="AD2527" s="57">
        <f t="shared" si="906"/>
        <v>0</v>
      </c>
      <c r="AE2527" s="57" t="str">
        <f t="shared" si="907"/>
        <v/>
      </c>
      <c r="AF2527" s="57">
        <f t="shared" si="908"/>
        <v>0</v>
      </c>
      <c r="AG2527" s="59">
        <f t="shared" si="909"/>
        <v>0</v>
      </c>
      <c r="AH2527" s="15"/>
      <c r="AI2527" s="15"/>
      <c r="AJ2527" s="15"/>
      <c r="AK2527" s="15"/>
      <c r="AL2527" s="15"/>
      <c r="AM2527" s="15"/>
      <c r="AN2527" s="15"/>
      <c r="AO2527" s="15"/>
      <c r="AP2527" s="15"/>
      <c r="AQ2527" s="15"/>
      <c r="AR2527" s="15"/>
      <c r="AS2527" s="15"/>
      <c r="AT2527" s="15"/>
      <c r="AU2527" s="15"/>
    </row>
    <row r="2528" ht="24.0" customHeight="1">
      <c r="A2528" s="45">
        <v>3952.0</v>
      </c>
      <c r="B2528" s="57"/>
      <c r="C2528" s="57"/>
      <c r="D2528" s="88" t="str">
        <f t="array" ref="D2528">IFERROR(
  LOOKUP(2, 1/((TRIM(IMS!$E$8:$E$2574)=TRIM(IMS!$E2528))*(IMS!$C$8:$C$2574&lt;IMS!$C2528)),
         IMS!$C$8:$C$2574),
"")</f>
        <v/>
      </c>
      <c r="E2528" s="57"/>
      <c r="F2528" s="57"/>
      <c r="G2528" s="77" t="str">
        <f t="shared" si="901"/>
        <v/>
      </c>
      <c r="H2528" s="78" t="str">
        <f t="shared" si="902"/>
        <v/>
      </c>
      <c r="I2528" s="79"/>
      <c r="J2528" s="80" t="str">
        <f t="shared" si="903"/>
        <v>#NAME?</v>
      </c>
      <c r="K2528" s="58"/>
      <c r="L2528" s="58"/>
      <c r="M2528" s="57"/>
      <c r="N2528" s="57"/>
      <c r="O2528" s="58"/>
      <c r="P2528" s="82"/>
      <c r="Q2528" s="81"/>
      <c r="R2528" s="81"/>
      <c r="S2528" s="57"/>
      <c r="T2528" s="82"/>
      <c r="U2528" s="82"/>
      <c r="V2528" s="57"/>
      <c r="W2528" s="57"/>
      <c r="X2528" s="57" t="str">
        <f t="shared" si="917"/>
        <v/>
      </c>
      <c r="Y2528" s="58" t="str">
        <f t="shared" ref="Y2528:AC2528" si="2368">TRIM(SUBSTITUTE(SUBSTITUTE(OFFSET($Q2528,0,COLUMN()-COLUMN($AL$1)),CHAR(160)," "),_xludf.UNICHAR(8239)," "))</f>
        <v>#NAME?</v>
      </c>
      <c r="Z2528" s="58" t="str">
        <f t="shared" si="2368"/>
        <v>#NAME?</v>
      </c>
      <c r="AA2528" s="58" t="str">
        <f t="shared" si="2368"/>
        <v>#NAME?</v>
      </c>
      <c r="AB2528" s="58" t="str">
        <f t="shared" si="2368"/>
        <v>#NAME?</v>
      </c>
      <c r="AC2528" s="58" t="str">
        <f t="shared" si="2368"/>
        <v>#NAME?</v>
      </c>
      <c r="AD2528" s="57">
        <f t="shared" si="906"/>
        <v>0</v>
      </c>
      <c r="AE2528" s="57" t="str">
        <f t="shared" si="907"/>
        <v/>
      </c>
      <c r="AF2528" s="57">
        <f t="shared" si="908"/>
        <v>0</v>
      </c>
      <c r="AG2528" s="59">
        <f t="shared" si="909"/>
        <v>0</v>
      </c>
      <c r="AH2528" s="15"/>
      <c r="AI2528" s="15"/>
      <c r="AJ2528" s="15"/>
      <c r="AK2528" s="15"/>
      <c r="AL2528" s="15"/>
      <c r="AM2528" s="15"/>
      <c r="AN2528" s="15"/>
      <c r="AO2528" s="15"/>
      <c r="AP2528" s="15"/>
      <c r="AQ2528" s="15"/>
      <c r="AR2528" s="15"/>
      <c r="AS2528" s="15"/>
      <c r="AT2528" s="15"/>
      <c r="AU2528" s="15"/>
    </row>
    <row r="2529" ht="24.0" customHeight="1">
      <c r="A2529" s="45">
        <v>3953.0</v>
      </c>
      <c r="B2529" s="57"/>
      <c r="C2529" s="57"/>
      <c r="D2529" s="88" t="str">
        <f t="array" ref="D2529">IFERROR(
  LOOKUP(2, 1/((TRIM(IMS!$E$8:$E$2574)=TRIM(IMS!$E2529))*(IMS!$C$8:$C$2574&lt;IMS!$C2529)),
         IMS!$C$8:$C$2574),
"")</f>
        <v/>
      </c>
      <c r="E2529" s="57"/>
      <c r="F2529" s="57"/>
      <c r="G2529" s="77" t="str">
        <f t="shared" si="901"/>
        <v/>
      </c>
      <c r="H2529" s="78" t="str">
        <f t="shared" si="902"/>
        <v/>
      </c>
      <c r="I2529" s="79"/>
      <c r="J2529" s="80" t="str">
        <f t="shared" si="903"/>
        <v>#NAME?</v>
      </c>
      <c r="K2529" s="58"/>
      <c r="L2529" s="58"/>
      <c r="M2529" s="57"/>
      <c r="N2529" s="57"/>
      <c r="O2529" s="58"/>
      <c r="P2529" s="82"/>
      <c r="Q2529" s="81"/>
      <c r="R2529" s="81"/>
      <c r="S2529" s="57"/>
      <c r="T2529" s="82"/>
      <c r="U2529" s="82"/>
      <c r="V2529" s="57"/>
      <c r="W2529" s="57"/>
      <c r="X2529" s="57" t="str">
        <f t="shared" si="917"/>
        <v/>
      </c>
      <c r="Y2529" s="58" t="str">
        <f t="shared" ref="Y2529:AC2529" si="2369">TRIM(SUBSTITUTE(SUBSTITUTE(OFFSET($Q2529,0,COLUMN()-COLUMN($AL$1)),CHAR(160)," "),_xludf.UNICHAR(8239)," "))</f>
        <v>#NAME?</v>
      </c>
      <c r="Z2529" s="58" t="str">
        <f t="shared" si="2369"/>
        <v>#NAME?</v>
      </c>
      <c r="AA2529" s="58" t="str">
        <f t="shared" si="2369"/>
        <v>#NAME?</v>
      </c>
      <c r="AB2529" s="58" t="str">
        <f t="shared" si="2369"/>
        <v>#NAME?</v>
      </c>
      <c r="AC2529" s="58" t="str">
        <f t="shared" si="2369"/>
        <v>#NAME?</v>
      </c>
      <c r="AD2529" s="57">
        <f t="shared" si="906"/>
        <v>0</v>
      </c>
      <c r="AE2529" s="57" t="str">
        <f t="shared" si="907"/>
        <v/>
      </c>
      <c r="AF2529" s="57">
        <f t="shared" si="908"/>
        <v>0</v>
      </c>
      <c r="AG2529" s="59">
        <f t="shared" si="909"/>
        <v>0</v>
      </c>
      <c r="AH2529" s="15"/>
      <c r="AI2529" s="15"/>
      <c r="AJ2529" s="15"/>
      <c r="AK2529" s="15"/>
      <c r="AL2529" s="15"/>
      <c r="AM2529" s="15"/>
      <c r="AN2529" s="15"/>
      <c r="AO2529" s="15"/>
      <c r="AP2529" s="15"/>
      <c r="AQ2529" s="15"/>
      <c r="AR2529" s="15"/>
      <c r="AS2529" s="15"/>
      <c r="AT2529" s="15"/>
      <c r="AU2529" s="15"/>
    </row>
    <row r="2530" ht="24.0" customHeight="1">
      <c r="A2530" s="45">
        <v>3954.0</v>
      </c>
      <c r="B2530" s="57"/>
      <c r="C2530" s="57"/>
      <c r="D2530" s="88" t="str">
        <f t="array" ref="D2530">IFERROR(
  LOOKUP(2, 1/((TRIM(IMS!$E$8:$E$2574)=TRIM(IMS!$E2530))*(IMS!$C$8:$C$2574&lt;IMS!$C2530)),
         IMS!$C$8:$C$2574),
"")</f>
        <v/>
      </c>
      <c r="E2530" s="57"/>
      <c r="F2530" s="57"/>
      <c r="G2530" s="77" t="str">
        <f t="shared" si="901"/>
        <v/>
      </c>
      <c r="H2530" s="78" t="str">
        <f t="shared" si="902"/>
        <v/>
      </c>
      <c r="I2530" s="79"/>
      <c r="J2530" s="80" t="str">
        <f t="shared" si="903"/>
        <v>#NAME?</v>
      </c>
      <c r="K2530" s="58"/>
      <c r="L2530" s="58"/>
      <c r="M2530" s="57"/>
      <c r="N2530" s="57"/>
      <c r="O2530" s="58"/>
      <c r="P2530" s="82"/>
      <c r="Q2530" s="81"/>
      <c r="R2530" s="81"/>
      <c r="S2530" s="57"/>
      <c r="T2530" s="82"/>
      <c r="U2530" s="82"/>
      <c r="V2530" s="57"/>
      <c r="W2530" s="57"/>
      <c r="X2530" s="57" t="str">
        <f t="shared" si="917"/>
        <v/>
      </c>
      <c r="Y2530" s="58" t="str">
        <f t="shared" ref="Y2530:AC2530" si="2370">TRIM(SUBSTITUTE(SUBSTITUTE(OFFSET($Q2530,0,COLUMN()-COLUMN($AL$1)),CHAR(160)," "),_xludf.UNICHAR(8239)," "))</f>
        <v>#NAME?</v>
      </c>
      <c r="Z2530" s="58" t="str">
        <f t="shared" si="2370"/>
        <v>#NAME?</v>
      </c>
      <c r="AA2530" s="58" t="str">
        <f t="shared" si="2370"/>
        <v>#NAME?</v>
      </c>
      <c r="AB2530" s="58" t="str">
        <f t="shared" si="2370"/>
        <v>#NAME?</v>
      </c>
      <c r="AC2530" s="58" t="str">
        <f t="shared" si="2370"/>
        <v>#NAME?</v>
      </c>
      <c r="AD2530" s="57">
        <f t="shared" si="906"/>
        <v>0</v>
      </c>
      <c r="AE2530" s="57" t="str">
        <f t="shared" si="907"/>
        <v/>
      </c>
      <c r="AF2530" s="57">
        <f t="shared" si="908"/>
        <v>0</v>
      </c>
      <c r="AG2530" s="59">
        <f t="shared" si="909"/>
        <v>0</v>
      </c>
      <c r="AH2530" s="15"/>
      <c r="AI2530" s="15"/>
      <c r="AJ2530" s="15"/>
      <c r="AK2530" s="15"/>
      <c r="AL2530" s="15"/>
      <c r="AM2530" s="15"/>
      <c r="AN2530" s="15"/>
      <c r="AO2530" s="15"/>
      <c r="AP2530" s="15"/>
      <c r="AQ2530" s="15"/>
      <c r="AR2530" s="15"/>
      <c r="AS2530" s="15"/>
      <c r="AT2530" s="15"/>
      <c r="AU2530" s="15"/>
    </row>
    <row r="2531" ht="24.0" customHeight="1">
      <c r="A2531" s="45">
        <v>3955.0</v>
      </c>
      <c r="B2531" s="57"/>
      <c r="C2531" s="57"/>
      <c r="D2531" s="88" t="str">
        <f t="array" ref="D2531">IFERROR(
  LOOKUP(2, 1/((TRIM(IMS!$E$8:$E$2574)=TRIM(IMS!$E2531))*(IMS!$C$8:$C$2574&lt;IMS!$C2531)),
         IMS!$C$8:$C$2574),
"")</f>
        <v/>
      </c>
      <c r="E2531" s="57"/>
      <c r="F2531" s="57"/>
      <c r="G2531" s="77" t="str">
        <f t="shared" si="901"/>
        <v/>
      </c>
      <c r="H2531" s="78" t="str">
        <f t="shared" si="902"/>
        <v/>
      </c>
      <c r="I2531" s="79"/>
      <c r="J2531" s="80" t="str">
        <f t="shared" si="903"/>
        <v>#NAME?</v>
      </c>
      <c r="K2531" s="58"/>
      <c r="L2531" s="58"/>
      <c r="M2531" s="57"/>
      <c r="N2531" s="57"/>
      <c r="O2531" s="58"/>
      <c r="P2531" s="82"/>
      <c r="Q2531" s="81"/>
      <c r="R2531" s="81"/>
      <c r="S2531" s="57"/>
      <c r="T2531" s="82"/>
      <c r="U2531" s="82"/>
      <c r="V2531" s="57"/>
      <c r="W2531" s="57"/>
      <c r="X2531" s="57" t="str">
        <f t="shared" si="917"/>
        <v/>
      </c>
      <c r="Y2531" s="58" t="str">
        <f t="shared" ref="Y2531:AC2531" si="2371">TRIM(SUBSTITUTE(SUBSTITUTE(OFFSET($Q2531,0,COLUMN()-COLUMN($AL$1)),CHAR(160)," "),_xludf.UNICHAR(8239)," "))</f>
        <v>#NAME?</v>
      </c>
      <c r="Z2531" s="58" t="str">
        <f t="shared" si="2371"/>
        <v>#NAME?</v>
      </c>
      <c r="AA2531" s="58" t="str">
        <f t="shared" si="2371"/>
        <v>#NAME?</v>
      </c>
      <c r="AB2531" s="58" t="str">
        <f t="shared" si="2371"/>
        <v>#NAME?</v>
      </c>
      <c r="AC2531" s="58" t="str">
        <f t="shared" si="2371"/>
        <v>#NAME?</v>
      </c>
      <c r="AD2531" s="57">
        <f t="shared" si="906"/>
        <v>0</v>
      </c>
      <c r="AE2531" s="57" t="str">
        <f t="shared" si="907"/>
        <v/>
      </c>
      <c r="AF2531" s="57">
        <f t="shared" si="908"/>
        <v>0</v>
      </c>
      <c r="AG2531" s="59">
        <f t="shared" si="909"/>
        <v>0</v>
      </c>
      <c r="AH2531" s="15"/>
      <c r="AI2531" s="15"/>
      <c r="AJ2531" s="15"/>
      <c r="AK2531" s="15"/>
      <c r="AL2531" s="15"/>
      <c r="AM2531" s="15"/>
      <c r="AN2531" s="15"/>
      <c r="AO2531" s="15"/>
      <c r="AP2531" s="15"/>
      <c r="AQ2531" s="15"/>
      <c r="AR2531" s="15"/>
      <c r="AS2531" s="15"/>
      <c r="AT2531" s="15"/>
      <c r="AU2531" s="15"/>
    </row>
    <row r="2532" ht="24.0" customHeight="1">
      <c r="A2532" s="45">
        <v>3956.0</v>
      </c>
      <c r="B2532" s="57"/>
      <c r="C2532" s="57"/>
      <c r="D2532" s="88" t="str">
        <f t="array" ref="D2532">IFERROR(
  LOOKUP(2, 1/((TRIM(IMS!$E$8:$E$2574)=TRIM(IMS!$E2532))*(IMS!$C$8:$C$2574&lt;IMS!$C2532)),
         IMS!$C$8:$C$2574),
"")</f>
        <v/>
      </c>
      <c r="E2532" s="57"/>
      <c r="F2532" s="57"/>
      <c r="G2532" s="77" t="str">
        <f t="shared" si="901"/>
        <v/>
      </c>
      <c r="H2532" s="78" t="str">
        <f t="shared" si="902"/>
        <v/>
      </c>
      <c r="I2532" s="79"/>
      <c r="J2532" s="80" t="str">
        <f t="shared" si="903"/>
        <v>#NAME?</v>
      </c>
      <c r="K2532" s="58"/>
      <c r="L2532" s="58"/>
      <c r="M2532" s="57"/>
      <c r="N2532" s="57"/>
      <c r="O2532" s="58"/>
      <c r="P2532" s="82"/>
      <c r="Q2532" s="81"/>
      <c r="R2532" s="81"/>
      <c r="S2532" s="57"/>
      <c r="T2532" s="82"/>
      <c r="U2532" s="82"/>
      <c r="V2532" s="57"/>
      <c r="W2532" s="57"/>
      <c r="X2532" s="57" t="str">
        <f t="shared" si="917"/>
        <v/>
      </c>
      <c r="Y2532" s="58" t="str">
        <f t="shared" ref="Y2532:AC2532" si="2372">TRIM(SUBSTITUTE(SUBSTITUTE(OFFSET($Q2532,0,COLUMN()-COLUMN($AL$1)),CHAR(160)," "),_xludf.UNICHAR(8239)," "))</f>
        <v>#NAME?</v>
      </c>
      <c r="Z2532" s="58" t="str">
        <f t="shared" si="2372"/>
        <v>#NAME?</v>
      </c>
      <c r="AA2532" s="58" t="str">
        <f t="shared" si="2372"/>
        <v>#NAME?</v>
      </c>
      <c r="AB2532" s="58" t="str">
        <f t="shared" si="2372"/>
        <v>#NAME?</v>
      </c>
      <c r="AC2532" s="58" t="str">
        <f t="shared" si="2372"/>
        <v>#NAME?</v>
      </c>
      <c r="AD2532" s="57">
        <f t="shared" si="906"/>
        <v>0</v>
      </c>
      <c r="AE2532" s="57" t="str">
        <f t="shared" si="907"/>
        <v/>
      </c>
      <c r="AF2532" s="57">
        <f t="shared" si="908"/>
        <v>0</v>
      </c>
      <c r="AG2532" s="59">
        <f t="shared" si="909"/>
        <v>0</v>
      </c>
      <c r="AH2532" s="15"/>
      <c r="AI2532" s="15"/>
      <c r="AJ2532" s="15"/>
      <c r="AK2532" s="15"/>
      <c r="AL2532" s="15"/>
      <c r="AM2532" s="15"/>
      <c r="AN2532" s="15"/>
      <c r="AO2532" s="15"/>
      <c r="AP2532" s="15"/>
      <c r="AQ2532" s="15"/>
      <c r="AR2532" s="15"/>
      <c r="AS2532" s="15"/>
      <c r="AT2532" s="15"/>
      <c r="AU2532" s="15"/>
    </row>
    <row r="2533" ht="24.0" customHeight="1">
      <c r="A2533" s="45">
        <v>3957.0</v>
      </c>
      <c r="B2533" s="57"/>
      <c r="C2533" s="57"/>
      <c r="D2533" s="88" t="str">
        <f t="array" ref="D2533">IFERROR(
  LOOKUP(2, 1/((TRIM(IMS!$E$8:$E$2574)=TRIM(IMS!$E2533))*(IMS!$C$8:$C$2574&lt;IMS!$C2533)),
         IMS!$C$8:$C$2574),
"")</f>
        <v/>
      </c>
      <c r="E2533" s="57"/>
      <c r="F2533" s="57"/>
      <c r="G2533" s="77" t="str">
        <f t="shared" si="901"/>
        <v/>
      </c>
      <c r="H2533" s="78" t="str">
        <f t="shared" si="902"/>
        <v/>
      </c>
      <c r="I2533" s="79"/>
      <c r="J2533" s="80" t="str">
        <f t="shared" si="903"/>
        <v>#NAME?</v>
      </c>
      <c r="K2533" s="58"/>
      <c r="L2533" s="58"/>
      <c r="M2533" s="57"/>
      <c r="N2533" s="57"/>
      <c r="O2533" s="58"/>
      <c r="P2533" s="82"/>
      <c r="Q2533" s="81"/>
      <c r="R2533" s="81"/>
      <c r="S2533" s="57"/>
      <c r="T2533" s="82"/>
      <c r="U2533" s="82"/>
      <c r="V2533" s="57"/>
      <c r="W2533" s="57"/>
      <c r="X2533" s="57" t="str">
        <f t="shared" si="917"/>
        <v/>
      </c>
      <c r="Y2533" s="58" t="str">
        <f t="shared" ref="Y2533:AC2533" si="2373">TRIM(SUBSTITUTE(SUBSTITUTE(OFFSET($Q2533,0,COLUMN()-COLUMN($AL$1)),CHAR(160)," "),_xludf.UNICHAR(8239)," "))</f>
        <v>#NAME?</v>
      </c>
      <c r="Z2533" s="58" t="str">
        <f t="shared" si="2373"/>
        <v>#NAME?</v>
      </c>
      <c r="AA2533" s="58" t="str">
        <f t="shared" si="2373"/>
        <v>#NAME?</v>
      </c>
      <c r="AB2533" s="58" t="str">
        <f t="shared" si="2373"/>
        <v>#NAME?</v>
      </c>
      <c r="AC2533" s="58" t="str">
        <f t="shared" si="2373"/>
        <v>#NAME?</v>
      </c>
      <c r="AD2533" s="57">
        <f t="shared" si="906"/>
        <v>0</v>
      </c>
      <c r="AE2533" s="57" t="str">
        <f t="shared" si="907"/>
        <v/>
      </c>
      <c r="AF2533" s="57">
        <f t="shared" si="908"/>
        <v>0</v>
      </c>
      <c r="AG2533" s="59">
        <f t="shared" si="909"/>
        <v>0</v>
      </c>
      <c r="AH2533" s="15"/>
      <c r="AI2533" s="15"/>
      <c r="AJ2533" s="15"/>
      <c r="AK2533" s="15"/>
      <c r="AL2533" s="15"/>
      <c r="AM2533" s="15"/>
      <c r="AN2533" s="15"/>
      <c r="AO2533" s="15"/>
      <c r="AP2533" s="15"/>
      <c r="AQ2533" s="15"/>
      <c r="AR2533" s="15"/>
      <c r="AS2533" s="15"/>
      <c r="AT2533" s="15"/>
      <c r="AU2533" s="15"/>
    </row>
    <row r="2534" ht="24.0" customHeight="1">
      <c r="A2534" s="45">
        <v>3958.0</v>
      </c>
      <c r="B2534" s="57"/>
      <c r="C2534" s="57"/>
      <c r="D2534" s="88" t="str">
        <f t="array" ref="D2534">IFERROR(
  LOOKUP(2, 1/((TRIM(IMS!$E$8:$E$2574)=TRIM(IMS!$E2534))*(IMS!$C$8:$C$2574&lt;IMS!$C2534)),
         IMS!$C$8:$C$2574),
"")</f>
        <v/>
      </c>
      <c r="E2534" s="57"/>
      <c r="F2534" s="57"/>
      <c r="G2534" s="77" t="str">
        <f t="shared" si="901"/>
        <v/>
      </c>
      <c r="H2534" s="78" t="str">
        <f t="shared" si="902"/>
        <v/>
      </c>
      <c r="I2534" s="79"/>
      <c r="J2534" s="80" t="str">
        <f t="shared" si="903"/>
        <v>#NAME?</v>
      </c>
      <c r="K2534" s="58"/>
      <c r="L2534" s="58"/>
      <c r="M2534" s="57"/>
      <c r="N2534" s="57"/>
      <c r="O2534" s="58"/>
      <c r="P2534" s="82"/>
      <c r="Q2534" s="81"/>
      <c r="R2534" s="81"/>
      <c r="S2534" s="57"/>
      <c r="T2534" s="82"/>
      <c r="U2534" s="82"/>
      <c r="V2534" s="57"/>
      <c r="W2534" s="57"/>
      <c r="X2534" s="57" t="str">
        <f t="shared" si="917"/>
        <v/>
      </c>
      <c r="Y2534" s="58" t="str">
        <f t="shared" ref="Y2534:AC2534" si="2374">TRIM(SUBSTITUTE(SUBSTITUTE(OFFSET($Q2534,0,COLUMN()-COLUMN($AL$1)),CHAR(160)," "),_xludf.UNICHAR(8239)," "))</f>
        <v>#NAME?</v>
      </c>
      <c r="Z2534" s="58" t="str">
        <f t="shared" si="2374"/>
        <v>#NAME?</v>
      </c>
      <c r="AA2534" s="58" t="str">
        <f t="shared" si="2374"/>
        <v>#NAME?</v>
      </c>
      <c r="AB2534" s="58" t="str">
        <f t="shared" si="2374"/>
        <v>#NAME?</v>
      </c>
      <c r="AC2534" s="58" t="str">
        <f t="shared" si="2374"/>
        <v>#NAME?</v>
      </c>
      <c r="AD2534" s="57">
        <f t="shared" si="906"/>
        <v>0</v>
      </c>
      <c r="AE2534" s="57" t="str">
        <f t="shared" si="907"/>
        <v/>
      </c>
      <c r="AF2534" s="57">
        <f t="shared" si="908"/>
        <v>0</v>
      </c>
      <c r="AG2534" s="59">
        <f t="shared" si="909"/>
        <v>0</v>
      </c>
      <c r="AH2534" s="15"/>
      <c r="AI2534" s="15"/>
      <c r="AJ2534" s="15"/>
      <c r="AK2534" s="15"/>
      <c r="AL2534" s="15"/>
      <c r="AM2534" s="15"/>
      <c r="AN2534" s="15"/>
      <c r="AO2534" s="15"/>
      <c r="AP2534" s="15"/>
      <c r="AQ2534" s="15"/>
      <c r="AR2534" s="15"/>
      <c r="AS2534" s="15"/>
      <c r="AT2534" s="15"/>
      <c r="AU2534" s="15"/>
    </row>
    <row r="2535" ht="24.0" customHeight="1">
      <c r="A2535" s="45">
        <v>3959.0</v>
      </c>
      <c r="B2535" s="57"/>
      <c r="C2535" s="57"/>
      <c r="D2535" s="88" t="str">
        <f t="array" ref="D2535">IFERROR(
  LOOKUP(2, 1/((TRIM(IMS!$E$8:$E$2574)=TRIM(IMS!$E2535))*(IMS!$C$8:$C$2574&lt;IMS!$C2535)),
         IMS!$C$8:$C$2574),
"")</f>
        <v/>
      </c>
      <c r="E2535" s="57"/>
      <c r="F2535" s="57"/>
      <c r="G2535" s="77" t="str">
        <f t="shared" si="901"/>
        <v/>
      </c>
      <c r="H2535" s="78" t="str">
        <f t="shared" si="902"/>
        <v/>
      </c>
      <c r="I2535" s="79"/>
      <c r="J2535" s="80" t="str">
        <f t="shared" si="903"/>
        <v>#NAME?</v>
      </c>
      <c r="K2535" s="58"/>
      <c r="L2535" s="58"/>
      <c r="M2535" s="57"/>
      <c r="N2535" s="57"/>
      <c r="O2535" s="58"/>
      <c r="P2535" s="82"/>
      <c r="Q2535" s="81"/>
      <c r="R2535" s="81"/>
      <c r="S2535" s="57"/>
      <c r="T2535" s="82"/>
      <c r="U2535" s="82"/>
      <c r="V2535" s="57"/>
      <c r="W2535" s="57"/>
      <c r="X2535" s="57" t="str">
        <f t="shared" si="917"/>
        <v/>
      </c>
      <c r="Y2535" s="58" t="str">
        <f t="shared" ref="Y2535:AC2535" si="2375">TRIM(SUBSTITUTE(SUBSTITUTE(OFFSET($Q2535,0,COLUMN()-COLUMN($AL$1)),CHAR(160)," "),_xludf.UNICHAR(8239)," "))</f>
        <v>#NAME?</v>
      </c>
      <c r="Z2535" s="58" t="str">
        <f t="shared" si="2375"/>
        <v>#NAME?</v>
      </c>
      <c r="AA2535" s="58" t="str">
        <f t="shared" si="2375"/>
        <v>#NAME?</v>
      </c>
      <c r="AB2535" s="58" t="str">
        <f t="shared" si="2375"/>
        <v>#NAME?</v>
      </c>
      <c r="AC2535" s="58" t="str">
        <f t="shared" si="2375"/>
        <v>#NAME?</v>
      </c>
      <c r="AD2535" s="57">
        <f t="shared" si="906"/>
        <v>0</v>
      </c>
      <c r="AE2535" s="57" t="str">
        <f t="shared" si="907"/>
        <v/>
      </c>
      <c r="AF2535" s="57">
        <f t="shared" si="908"/>
        <v>0</v>
      </c>
      <c r="AG2535" s="59">
        <f t="shared" si="909"/>
        <v>0</v>
      </c>
      <c r="AH2535" s="15"/>
      <c r="AI2535" s="15"/>
      <c r="AJ2535" s="15"/>
      <c r="AK2535" s="15"/>
      <c r="AL2535" s="15"/>
      <c r="AM2535" s="15"/>
      <c r="AN2535" s="15"/>
      <c r="AO2535" s="15"/>
      <c r="AP2535" s="15"/>
      <c r="AQ2535" s="15"/>
      <c r="AR2535" s="15"/>
      <c r="AS2535" s="15"/>
      <c r="AT2535" s="15"/>
      <c r="AU2535" s="15"/>
    </row>
    <row r="2536" ht="24.0" customHeight="1">
      <c r="A2536" s="45">
        <v>3960.0</v>
      </c>
      <c r="B2536" s="57"/>
      <c r="C2536" s="57"/>
      <c r="D2536" s="88" t="str">
        <f t="array" ref="D2536">IFERROR(
  LOOKUP(2, 1/((TRIM(IMS!$E$8:$E$2574)=TRIM(IMS!$E2536))*(IMS!$C$8:$C$2574&lt;IMS!$C2536)),
         IMS!$C$8:$C$2574),
"")</f>
        <v/>
      </c>
      <c r="E2536" s="57"/>
      <c r="F2536" s="57"/>
      <c r="G2536" s="77" t="str">
        <f t="shared" si="901"/>
        <v/>
      </c>
      <c r="H2536" s="78" t="str">
        <f t="shared" si="902"/>
        <v/>
      </c>
      <c r="I2536" s="79"/>
      <c r="J2536" s="80" t="str">
        <f t="shared" si="903"/>
        <v>#NAME?</v>
      </c>
      <c r="K2536" s="58"/>
      <c r="L2536" s="58"/>
      <c r="M2536" s="57"/>
      <c r="N2536" s="57"/>
      <c r="O2536" s="58"/>
      <c r="P2536" s="82"/>
      <c r="Q2536" s="81"/>
      <c r="R2536" s="81"/>
      <c r="S2536" s="57"/>
      <c r="T2536" s="82"/>
      <c r="U2536" s="82"/>
      <c r="V2536" s="57"/>
      <c r="W2536" s="57"/>
      <c r="X2536" s="57" t="str">
        <f t="shared" si="917"/>
        <v/>
      </c>
      <c r="Y2536" s="58" t="str">
        <f t="shared" ref="Y2536:AC2536" si="2376">TRIM(SUBSTITUTE(SUBSTITUTE(OFFSET($Q2536,0,COLUMN()-COLUMN($AL$1)),CHAR(160)," "),_xludf.UNICHAR(8239)," "))</f>
        <v>#NAME?</v>
      </c>
      <c r="Z2536" s="58" t="str">
        <f t="shared" si="2376"/>
        <v>#NAME?</v>
      </c>
      <c r="AA2536" s="58" t="str">
        <f t="shared" si="2376"/>
        <v>#NAME?</v>
      </c>
      <c r="AB2536" s="58" t="str">
        <f t="shared" si="2376"/>
        <v>#NAME?</v>
      </c>
      <c r="AC2536" s="58" t="str">
        <f t="shared" si="2376"/>
        <v>#NAME?</v>
      </c>
      <c r="AD2536" s="57">
        <f t="shared" si="906"/>
        <v>0</v>
      </c>
      <c r="AE2536" s="57" t="str">
        <f t="shared" si="907"/>
        <v/>
      </c>
      <c r="AF2536" s="57">
        <f t="shared" si="908"/>
        <v>0</v>
      </c>
      <c r="AG2536" s="59">
        <f t="shared" si="909"/>
        <v>0</v>
      </c>
      <c r="AH2536" s="15"/>
      <c r="AI2536" s="15"/>
      <c r="AJ2536" s="15"/>
      <c r="AK2536" s="15"/>
      <c r="AL2536" s="15"/>
      <c r="AM2536" s="15"/>
      <c r="AN2536" s="15"/>
      <c r="AO2536" s="15"/>
      <c r="AP2536" s="15"/>
      <c r="AQ2536" s="15"/>
      <c r="AR2536" s="15"/>
      <c r="AS2536" s="15"/>
      <c r="AT2536" s="15"/>
      <c r="AU2536" s="15"/>
    </row>
    <row r="2537" ht="24.0" customHeight="1">
      <c r="A2537" s="45">
        <v>3961.0</v>
      </c>
      <c r="B2537" s="57"/>
      <c r="C2537" s="57"/>
      <c r="D2537" s="88" t="str">
        <f t="array" ref="D2537">IFERROR(
  LOOKUP(2, 1/((TRIM(IMS!$E$8:$E$2574)=TRIM(IMS!$E2537))*(IMS!$C$8:$C$2574&lt;IMS!$C2537)),
         IMS!$C$8:$C$2574),
"")</f>
        <v/>
      </c>
      <c r="E2537" s="57"/>
      <c r="F2537" s="57"/>
      <c r="G2537" s="77" t="str">
        <f t="shared" si="901"/>
        <v/>
      </c>
      <c r="H2537" s="78" t="str">
        <f t="shared" si="902"/>
        <v/>
      </c>
      <c r="I2537" s="79"/>
      <c r="J2537" s="80" t="str">
        <f t="shared" si="903"/>
        <v>#NAME?</v>
      </c>
      <c r="K2537" s="58"/>
      <c r="L2537" s="58"/>
      <c r="M2537" s="57"/>
      <c r="N2537" s="57"/>
      <c r="O2537" s="58"/>
      <c r="P2537" s="82"/>
      <c r="Q2537" s="81"/>
      <c r="R2537" s="81"/>
      <c r="S2537" s="57"/>
      <c r="T2537" s="82"/>
      <c r="U2537" s="82"/>
      <c r="V2537" s="57"/>
      <c r="W2537" s="57"/>
      <c r="X2537" s="57" t="str">
        <f t="shared" si="917"/>
        <v/>
      </c>
      <c r="Y2537" s="58" t="str">
        <f t="shared" ref="Y2537:AC2537" si="2377">TRIM(SUBSTITUTE(SUBSTITUTE(OFFSET($Q2537,0,COLUMN()-COLUMN($AL$1)),CHAR(160)," "),_xludf.UNICHAR(8239)," "))</f>
        <v>#NAME?</v>
      </c>
      <c r="Z2537" s="58" t="str">
        <f t="shared" si="2377"/>
        <v>#NAME?</v>
      </c>
      <c r="AA2537" s="58" t="str">
        <f t="shared" si="2377"/>
        <v>#NAME?</v>
      </c>
      <c r="AB2537" s="58" t="str">
        <f t="shared" si="2377"/>
        <v>#NAME?</v>
      </c>
      <c r="AC2537" s="58" t="str">
        <f t="shared" si="2377"/>
        <v>#NAME?</v>
      </c>
      <c r="AD2537" s="57">
        <f t="shared" si="906"/>
        <v>0</v>
      </c>
      <c r="AE2537" s="57" t="str">
        <f t="shared" si="907"/>
        <v/>
      </c>
      <c r="AF2537" s="57">
        <f t="shared" si="908"/>
        <v>0</v>
      </c>
      <c r="AG2537" s="59">
        <f t="shared" si="909"/>
        <v>0</v>
      </c>
      <c r="AH2537" s="15"/>
      <c r="AI2537" s="15"/>
      <c r="AJ2537" s="15"/>
      <c r="AK2537" s="15"/>
      <c r="AL2537" s="15"/>
      <c r="AM2537" s="15"/>
      <c r="AN2537" s="15"/>
      <c r="AO2537" s="15"/>
      <c r="AP2537" s="15"/>
      <c r="AQ2537" s="15"/>
      <c r="AR2537" s="15"/>
      <c r="AS2537" s="15"/>
      <c r="AT2537" s="15"/>
      <c r="AU2537" s="15"/>
    </row>
    <row r="2538" ht="24.0" customHeight="1">
      <c r="A2538" s="45">
        <v>3962.0</v>
      </c>
      <c r="B2538" s="57"/>
      <c r="C2538" s="57"/>
      <c r="D2538" s="88" t="str">
        <f t="array" ref="D2538">IFERROR(
  LOOKUP(2, 1/((TRIM(IMS!$E$8:$E$2574)=TRIM(IMS!$E2538))*(IMS!$C$8:$C$2574&lt;IMS!$C2538)),
         IMS!$C$8:$C$2574),
"")</f>
        <v/>
      </c>
      <c r="E2538" s="57"/>
      <c r="F2538" s="57"/>
      <c r="G2538" s="77" t="str">
        <f t="shared" si="901"/>
        <v/>
      </c>
      <c r="H2538" s="78" t="str">
        <f t="shared" si="902"/>
        <v/>
      </c>
      <c r="I2538" s="79"/>
      <c r="J2538" s="80" t="str">
        <f t="shared" si="903"/>
        <v>#NAME?</v>
      </c>
      <c r="K2538" s="58"/>
      <c r="L2538" s="58"/>
      <c r="M2538" s="57"/>
      <c r="N2538" s="57"/>
      <c r="O2538" s="58"/>
      <c r="P2538" s="82"/>
      <c r="Q2538" s="81"/>
      <c r="R2538" s="81"/>
      <c r="S2538" s="57"/>
      <c r="T2538" s="82"/>
      <c r="U2538" s="82"/>
      <c r="V2538" s="57"/>
      <c r="W2538" s="57"/>
      <c r="X2538" s="57" t="str">
        <f t="shared" si="917"/>
        <v/>
      </c>
      <c r="Y2538" s="58" t="str">
        <f t="shared" ref="Y2538:AC2538" si="2378">TRIM(SUBSTITUTE(SUBSTITUTE(OFFSET($Q2538,0,COLUMN()-COLUMN($AL$1)),CHAR(160)," "),_xludf.UNICHAR(8239)," "))</f>
        <v>#NAME?</v>
      </c>
      <c r="Z2538" s="58" t="str">
        <f t="shared" si="2378"/>
        <v>#NAME?</v>
      </c>
      <c r="AA2538" s="58" t="str">
        <f t="shared" si="2378"/>
        <v>#NAME?</v>
      </c>
      <c r="AB2538" s="58" t="str">
        <f t="shared" si="2378"/>
        <v>#NAME?</v>
      </c>
      <c r="AC2538" s="58" t="str">
        <f t="shared" si="2378"/>
        <v>#NAME?</v>
      </c>
      <c r="AD2538" s="57">
        <f t="shared" si="906"/>
        <v>0</v>
      </c>
      <c r="AE2538" s="57" t="str">
        <f t="shared" si="907"/>
        <v/>
      </c>
      <c r="AF2538" s="57">
        <f t="shared" si="908"/>
        <v>0</v>
      </c>
      <c r="AG2538" s="59">
        <f t="shared" si="909"/>
        <v>0</v>
      </c>
      <c r="AH2538" s="15"/>
      <c r="AI2538" s="15"/>
      <c r="AJ2538" s="15"/>
      <c r="AK2538" s="15"/>
      <c r="AL2538" s="15"/>
      <c r="AM2538" s="15"/>
      <c r="AN2538" s="15"/>
      <c r="AO2538" s="15"/>
      <c r="AP2538" s="15"/>
      <c r="AQ2538" s="15"/>
      <c r="AR2538" s="15"/>
      <c r="AS2538" s="15"/>
      <c r="AT2538" s="15"/>
      <c r="AU2538" s="15"/>
    </row>
    <row r="2539" ht="24.0" customHeight="1">
      <c r="A2539" s="45">
        <v>3963.0</v>
      </c>
      <c r="B2539" s="57"/>
      <c r="C2539" s="57"/>
      <c r="D2539" s="88" t="str">
        <f t="array" ref="D2539">IFERROR(
  LOOKUP(2, 1/((TRIM(IMS!$E$8:$E$2574)=TRIM(IMS!$E2539))*(IMS!$C$8:$C$2574&lt;IMS!$C2539)),
         IMS!$C$8:$C$2574),
"")</f>
        <v/>
      </c>
      <c r="E2539" s="57"/>
      <c r="F2539" s="57"/>
      <c r="G2539" s="77" t="str">
        <f t="shared" si="901"/>
        <v/>
      </c>
      <c r="H2539" s="78" t="str">
        <f t="shared" si="902"/>
        <v/>
      </c>
      <c r="I2539" s="79"/>
      <c r="J2539" s="80" t="str">
        <f t="shared" si="903"/>
        <v>#NAME?</v>
      </c>
      <c r="K2539" s="58"/>
      <c r="L2539" s="58"/>
      <c r="M2539" s="57"/>
      <c r="N2539" s="57"/>
      <c r="O2539" s="58"/>
      <c r="P2539" s="82"/>
      <c r="Q2539" s="81"/>
      <c r="R2539" s="81"/>
      <c r="S2539" s="57"/>
      <c r="T2539" s="82"/>
      <c r="U2539" s="82"/>
      <c r="V2539" s="57"/>
      <c r="W2539" s="57"/>
      <c r="X2539" s="57" t="str">
        <f t="shared" si="917"/>
        <v/>
      </c>
      <c r="Y2539" s="58" t="str">
        <f t="shared" ref="Y2539:AC2539" si="2379">TRIM(SUBSTITUTE(SUBSTITUTE(OFFSET($Q2539,0,COLUMN()-COLUMN($AL$1)),CHAR(160)," "),_xludf.UNICHAR(8239)," "))</f>
        <v>#NAME?</v>
      </c>
      <c r="Z2539" s="58" t="str">
        <f t="shared" si="2379"/>
        <v>#NAME?</v>
      </c>
      <c r="AA2539" s="58" t="str">
        <f t="shared" si="2379"/>
        <v>#NAME?</v>
      </c>
      <c r="AB2539" s="58" t="str">
        <f t="shared" si="2379"/>
        <v>#NAME?</v>
      </c>
      <c r="AC2539" s="58" t="str">
        <f t="shared" si="2379"/>
        <v>#NAME?</v>
      </c>
      <c r="AD2539" s="57">
        <f t="shared" si="906"/>
        <v>0</v>
      </c>
      <c r="AE2539" s="57" t="str">
        <f t="shared" si="907"/>
        <v/>
      </c>
      <c r="AF2539" s="57">
        <f t="shared" si="908"/>
        <v>0</v>
      </c>
      <c r="AG2539" s="59">
        <f t="shared" si="909"/>
        <v>0</v>
      </c>
      <c r="AH2539" s="15"/>
      <c r="AI2539" s="15"/>
      <c r="AJ2539" s="15"/>
      <c r="AK2539" s="15"/>
      <c r="AL2539" s="15"/>
      <c r="AM2539" s="15"/>
      <c r="AN2539" s="15"/>
      <c r="AO2539" s="15"/>
      <c r="AP2539" s="15"/>
      <c r="AQ2539" s="15"/>
      <c r="AR2539" s="15"/>
      <c r="AS2539" s="15"/>
      <c r="AT2539" s="15"/>
      <c r="AU2539" s="15"/>
    </row>
    <row r="2540" ht="24.0" customHeight="1">
      <c r="A2540" s="45">
        <v>3964.0</v>
      </c>
      <c r="B2540" s="57"/>
      <c r="C2540" s="57"/>
      <c r="D2540" s="88" t="str">
        <f t="array" ref="D2540">IFERROR(
  LOOKUP(2, 1/((TRIM(IMS!$E$8:$E$2574)=TRIM(IMS!$E2540))*(IMS!$C$8:$C$2574&lt;IMS!$C2540)),
         IMS!$C$8:$C$2574),
"")</f>
        <v/>
      </c>
      <c r="E2540" s="57"/>
      <c r="F2540" s="57"/>
      <c r="G2540" s="77" t="str">
        <f t="shared" si="901"/>
        <v/>
      </c>
      <c r="H2540" s="78" t="str">
        <f t="shared" si="902"/>
        <v/>
      </c>
      <c r="I2540" s="79"/>
      <c r="J2540" s="80" t="str">
        <f t="shared" si="903"/>
        <v>#NAME?</v>
      </c>
      <c r="K2540" s="58"/>
      <c r="L2540" s="58"/>
      <c r="M2540" s="57"/>
      <c r="N2540" s="57"/>
      <c r="O2540" s="58"/>
      <c r="P2540" s="82"/>
      <c r="Q2540" s="81"/>
      <c r="R2540" s="81"/>
      <c r="S2540" s="57"/>
      <c r="T2540" s="82"/>
      <c r="U2540" s="82"/>
      <c r="V2540" s="57"/>
      <c r="W2540" s="57"/>
      <c r="X2540" s="57" t="str">
        <f t="shared" si="917"/>
        <v/>
      </c>
      <c r="Y2540" s="58" t="str">
        <f t="shared" ref="Y2540:AC2540" si="2380">TRIM(SUBSTITUTE(SUBSTITUTE(OFFSET($Q2540,0,COLUMN()-COLUMN($AL$1)),CHAR(160)," "),_xludf.UNICHAR(8239)," "))</f>
        <v>#NAME?</v>
      </c>
      <c r="Z2540" s="58" t="str">
        <f t="shared" si="2380"/>
        <v>#NAME?</v>
      </c>
      <c r="AA2540" s="58" t="str">
        <f t="shared" si="2380"/>
        <v>#NAME?</v>
      </c>
      <c r="AB2540" s="58" t="str">
        <f t="shared" si="2380"/>
        <v>#NAME?</v>
      </c>
      <c r="AC2540" s="58" t="str">
        <f t="shared" si="2380"/>
        <v>#NAME?</v>
      </c>
      <c r="AD2540" s="57">
        <f t="shared" si="906"/>
        <v>0</v>
      </c>
      <c r="AE2540" s="57" t="str">
        <f t="shared" si="907"/>
        <v/>
      </c>
      <c r="AF2540" s="57">
        <f t="shared" si="908"/>
        <v>0</v>
      </c>
      <c r="AG2540" s="59">
        <f t="shared" si="909"/>
        <v>0</v>
      </c>
      <c r="AH2540" s="15"/>
      <c r="AI2540" s="15"/>
      <c r="AJ2540" s="15"/>
      <c r="AK2540" s="15"/>
      <c r="AL2540" s="15"/>
      <c r="AM2540" s="15"/>
      <c r="AN2540" s="15"/>
      <c r="AO2540" s="15"/>
      <c r="AP2540" s="15"/>
      <c r="AQ2540" s="15"/>
      <c r="AR2540" s="15"/>
      <c r="AS2540" s="15"/>
      <c r="AT2540" s="15"/>
      <c r="AU2540" s="15"/>
    </row>
    <row r="2541" ht="24.0" customHeight="1">
      <c r="A2541" s="45">
        <v>3965.0</v>
      </c>
      <c r="B2541" s="57"/>
      <c r="C2541" s="57"/>
      <c r="D2541" s="88" t="str">
        <f t="array" ref="D2541">IFERROR(
  LOOKUP(2, 1/((TRIM(IMS!$E$8:$E$2574)=TRIM(IMS!$E2541))*(IMS!$C$8:$C$2574&lt;IMS!$C2541)),
         IMS!$C$8:$C$2574),
"")</f>
        <v/>
      </c>
      <c r="E2541" s="57"/>
      <c r="F2541" s="57"/>
      <c r="G2541" s="77" t="str">
        <f t="shared" si="901"/>
        <v/>
      </c>
      <c r="H2541" s="78" t="str">
        <f t="shared" si="902"/>
        <v/>
      </c>
      <c r="I2541" s="79"/>
      <c r="J2541" s="80" t="str">
        <f t="shared" si="903"/>
        <v>#NAME?</v>
      </c>
      <c r="K2541" s="58"/>
      <c r="L2541" s="58"/>
      <c r="M2541" s="57"/>
      <c r="N2541" s="57"/>
      <c r="O2541" s="58"/>
      <c r="P2541" s="82"/>
      <c r="Q2541" s="81"/>
      <c r="R2541" s="81"/>
      <c r="S2541" s="57"/>
      <c r="T2541" s="82"/>
      <c r="U2541" s="82"/>
      <c r="V2541" s="57"/>
      <c r="W2541" s="57"/>
      <c r="X2541" s="57" t="str">
        <f t="shared" si="917"/>
        <v/>
      </c>
      <c r="Y2541" s="58" t="str">
        <f t="shared" ref="Y2541:AC2541" si="2381">TRIM(SUBSTITUTE(SUBSTITUTE(OFFSET($Q2541,0,COLUMN()-COLUMN($AL$1)),CHAR(160)," "),_xludf.UNICHAR(8239)," "))</f>
        <v>#NAME?</v>
      </c>
      <c r="Z2541" s="58" t="str">
        <f t="shared" si="2381"/>
        <v>#NAME?</v>
      </c>
      <c r="AA2541" s="58" t="str">
        <f t="shared" si="2381"/>
        <v>#NAME?</v>
      </c>
      <c r="AB2541" s="58" t="str">
        <f t="shared" si="2381"/>
        <v>#NAME?</v>
      </c>
      <c r="AC2541" s="58" t="str">
        <f t="shared" si="2381"/>
        <v>#NAME?</v>
      </c>
      <c r="AD2541" s="57">
        <f t="shared" si="906"/>
        <v>0</v>
      </c>
      <c r="AE2541" s="57" t="str">
        <f t="shared" si="907"/>
        <v/>
      </c>
      <c r="AF2541" s="57">
        <f t="shared" si="908"/>
        <v>0</v>
      </c>
      <c r="AG2541" s="59">
        <f t="shared" si="909"/>
        <v>0</v>
      </c>
      <c r="AH2541" s="15"/>
      <c r="AI2541" s="15"/>
      <c r="AJ2541" s="15"/>
      <c r="AK2541" s="15"/>
      <c r="AL2541" s="15"/>
      <c r="AM2541" s="15"/>
      <c r="AN2541" s="15"/>
      <c r="AO2541" s="15"/>
      <c r="AP2541" s="15"/>
      <c r="AQ2541" s="15"/>
      <c r="AR2541" s="15"/>
      <c r="AS2541" s="15"/>
      <c r="AT2541" s="15"/>
      <c r="AU2541" s="15"/>
    </row>
    <row r="2542" ht="24.0" customHeight="1">
      <c r="A2542" s="45">
        <v>3966.0</v>
      </c>
      <c r="B2542" s="57"/>
      <c r="C2542" s="57"/>
      <c r="D2542" s="88" t="str">
        <f t="array" ref="D2542">IFERROR(
  LOOKUP(2, 1/((TRIM(IMS!$E$8:$E$2574)=TRIM(IMS!$E2542))*(IMS!$C$8:$C$2574&lt;IMS!$C2542)),
         IMS!$C$8:$C$2574),
"")</f>
        <v/>
      </c>
      <c r="E2542" s="57"/>
      <c r="F2542" s="57"/>
      <c r="G2542" s="77" t="str">
        <f t="shared" si="901"/>
        <v/>
      </c>
      <c r="H2542" s="78" t="str">
        <f t="shared" si="902"/>
        <v/>
      </c>
      <c r="I2542" s="79"/>
      <c r="J2542" s="80" t="str">
        <f t="shared" si="903"/>
        <v>#NAME?</v>
      </c>
      <c r="K2542" s="58"/>
      <c r="L2542" s="58"/>
      <c r="M2542" s="57"/>
      <c r="N2542" s="57"/>
      <c r="O2542" s="58"/>
      <c r="P2542" s="82"/>
      <c r="Q2542" s="81"/>
      <c r="R2542" s="81"/>
      <c r="S2542" s="57"/>
      <c r="T2542" s="82"/>
      <c r="U2542" s="82"/>
      <c r="V2542" s="57"/>
      <c r="W2542" s="57"/>
      <c r="X2542" s="57" t="str">
        <f t="shared" si="917"/>
        <v/>
      </c>
      <c r="Y2542" s="58" t="str">
        <f t="shared" ref="Y2542:AC2542" si="2382">TRIM(SUBSTITUTE(SUBSTITUTE(OFFSET($Q2542,0,COLUMN()-COLUMN($AL$1)),CHAR(160)," "),_xludf.UNICHAR(8239)," "))</f>
        <v>#NAME?</v>
      </c>
      <c r="Z2542" s="58" t="str">
        <f t="shared" si="2382"/>
        <v>#NAME?</v>
      </c>
      <c r="AA2542" s="58" t="str">
        <f t="shared" si="2382"/>
        <v>#NAME?</v>
      </c>
      <c r="AB2542" s="58" t="str">
        <f t="shared" si="2382"/>
        <v>#NAME?</v>
      </c>
      <c r="AC2542" s="58" t="str">
        <f t="shared" si="2382"/>
        <v>#NAME?</v>
      </c>
      <c r="AD2542" s="57">
        <f t="shared" si="906"/>
        <v>0</v>
      </c>
      <c r="AE2542" s="57" t="str">
        <f t="shared" si="907"/>
        <v/>
      </c>
      <c r="AF2542" s="57">
        <f t="shared" si="908"/>
        <v>0</v>
      </c>
      <c r="AG2542" s="59">
        <f t="shared" si="909"/>
        <v>0</v>
      </c>
      <c r="AH2542" s="15"/>
      <c r="AI2542" s="15"/>
      <c r="AJ2542" s="15"/>
      <c r="AK2542" s="15"/>
      <c r="AL2542" s="15"/>
      <c r="AM2542" s="15"/>
      <c r="AN2542" s="15"/>
      <c r="AO2542" s="15"/>
      <c r="AP2542" s="15"/>
      <c r="AQ2542" s="15"/>
      <c r="AR2542" s="15"/>
      <c r="AS2542" s="15"/>
      <c r="AT2542" s="15"/>
      <c r="AU2542" s="15"/>
    </row>
    <row r="2543" ht="24.0" customHeight="1">
      <c r="A2543" s="45">
        <v>3967.0</v>
      </c>
      <c r="B2543" s="57"/>
      <c r="C2543" s="57"/>
      <c r="D2543" s="88" t="str">
        <f t="array" ref="D2543">IFERROR(
  LOOKUP(2, 1/((TRIM(IMS!$E$8:$E$2574)=TRIM(IMS!$E2543))*(IMS!$C$8:$C$2574&lt;IMS!$C2543)),
         IMS!$C$8:$C$2574),
"")</f>
        <v/>
      </c>
      <c r="E2543" s="57"/>
      <c r="F2543" s="57"/>
      <c r="G2543" s="77" t="str">
        <f t="shared" si="901"/>
        <v/>
      </c>
      <c r="H2543" s="78" t="str">
        <f t="shared" si="902"/>
        <v/>
      </c>
      <c r="I2543" s="79"/>
      <c r="J2543" s="80" t="str">
        <f t="shared" si="903"/>
        <v>#NAME?</v>
      </c>
      <c r="K2543" s="58"/>
      <c r="L2543" s="58"/>
      <c r="M2543" s="57"/>
      <c r="N2543" s="57"/>
      <c r="O2543" s="58"/>
      <c r="P2543" s="82"/>
      <c r="Q2543" s="81"/>
      <c r="R2543" s="81"/>
      <c r="S2543" s="57"/>
      <c r="T2543" s="82"/>
      <c r="U2543" s="82"/>
      <c r="V2543" s="57"/>
      <c r="W2543" s="57"/>
      <c r="X2543" s="57" t="str">
        <f t="shared" si="917"/>
        <v/>
      </c>
      <c r="Y2543" s="58" t="str">
        <f t="shared" ref="Y2543:AC2543" si="2383">TRIM(SUBSTITUTE(SUBSTITUTE(OFFSET($Q2543,0,COLUMN()-COLUMN($AL$1)),CHAR(160)," "),_xludf.UNICHAR(8239)," "))</f>
        <v>#NAME?</v>
      </c>
      <c r="Z2543" s="58" t="str">
        <f t="shared" si="2383"/>
        <v>#NAME?</v>
      </c>
      <c r="AA2543" s="58" t="str">
        <f t="shared" si="2383"/>
        <v>#NAME?</v>
      </c>
      <c r="AB2543" s="58" t="str">
        <f t="shared" si="2383"/>
        <v>#NAME?</v>
      </c>
      <c r="AC2543" s="58" t="str">
        <f t="shared" si="2383"/>
        <v>#NAME?</v>
      </c>
      <c r="AD2543" s="57">
        <f t="shared" si="906"/>
        <v>0</v>
      </c>
      <c r="AE2543" s="57" t="str">
        <f t="shared" si="907"/>
        <v/>
      </c>
      <c r="AF2543" s="57">
        <f t="shared" si="908"/>
        <v>0</v>
      </c>
      <c r="AG2543" s="59">
        <f t="shared" si="909"/>
        <v>0</v>
      </c>
      <c r="AH2543" s="15"/>
      <c r="AI2543" s="15"/>
      <c r="AJ2543" s="15"/>
      <c r="AK2543" s="15"/>
      <c r="AL2543" s="15"/>
      <c r="AM2543" s="15"/>
      <c r="AN2543" s="15"/>
      <c r="AO2543" s="15"/>
      <c r="AP2543" s="15"/>
      <c r="AQ2543" s="15"/>
      <c r="AR2543" s="15"/>
      <c r="AS2543" s="15"/>
      <c r="AT2543" s="15"/>
      <c r="AU2543" s="15"/>
    </row>
    <row r="2544" ht="24.0" customHeight="1">
      <c r="A2544" s="45">
        <v>3968.0</v>
      </c>
      <c r="B2544" s="57"/>
      <c r="C2544" s="57"/>
      <c r="D2544" s="88" t="str">
        <f t="array" ref="D2544">IFERROR(
  LOOKUP(2, 1/((TRIM(IMS!$E$8:$E$2574)=TRIM(IMS!$E2544))*(IMS!$C$8:$C$2574&lt;IMS!$C2544)),
         IMS!$C$8:$C$2574),
"")</f>
        <v/>
      </c>
      <c r="E2544" s="57"/>
      <c r="F2544" s="57"/>
      <c r="G2544" s="77" t="str">
        <f t="shared" si="901"/>
        <v/>
      </c>
      <c r="H2544" s="78" t="str">
        <f t="shared" si="902"/>
        <v/>
      </c>
      <c r="I2544" s="79"/>
      <c r="J2544" s="80" t="str">
        <f t="shared" si="903"/>
        <v>#NAME?</v>
      </c>
      <c r="K2544" s="58"/>
      <c r="L2544" s="58"/>
      <c r="M2544" s="57"/>
      <c r="N2544" s="57"/>
      <c r="O2544" s="58"/>
      <c r="P2544" s="82"/>
      <c r="Q2544" s="81"/>
      <c r="R2544" s="81"/>
      <c r="S2544" s="57"/>
      <c r="T2544" s="82"/>
      <c r="U2544" s="82"/>
      <c r="V2544" s="57"/>
      <c r="W2544" s="57"/>
      <c r="X2544" s="57" t="str">
        <f t="shared" si="917"/>
        <v/>
      </c>
      <c r="Y2544" s="58" t="str">
        <f t="shared" ref="Y2544:AC2544" si="2384">TRIM(SUBSTITUTE(SUBSTITUTE(OFFSET($Q2544,0,COLUMN()-COLUMN($AL$1)),CHAR(160)," "),_xludf.UNICHAR(8239)," "))</f>
        <v>#NAME?</v>
      </c>
      <c r="Z2544" s="58" t="str">
        <f t="shared" si="2384"/>
        <v>#NAME?</v>
      </c>
      <c r="AA2544" s="58" t="str">
        <f t="shared" si="2384"/>
        <v>#NAME?</v>
      </c>
      <c r="AB2544" s="58" t="str">
        <f t="shared" si="2384"/>
        <v>#NAME?</v>
      </c>
      <c r="AC2544" s="58" t="str">
        <f t="shared" si="2384"/>
        <v>#NAME?</v>
      </c>
      <c r="AD2544" s="57">
        <f t="shared" si="906"/>
        <v>0</v>
      </c>
      <c r="AE2544" s="57" t="str">
        <f t="shared" si="907"/>
        <v/>
      </c>
      <c r="AF2544" s="57">
        <f t="shared" si="908"/>
        <v>0</v>
      </c>
      <c r="AG2544" s="59">
        <f t="shared" si="909"/>
        <v>0</v>
      </c>
      <c r="AH2544" s="15"/>
      <c r="AI2544" s="15"/>
      <c r="AJ2544" s="15"/>
      <c r="AK2544" s="15"/>
      <c r="AL2544" s="15"/>
      <c r="AM2544" s="15"/>
      <c r="AN2544" s="15"/>
      <c r="AO2544" s="15"/>
      <c r="AP2544" s="15"/>
      <c r="AQ2544" s="15"/>
      <c r="AR2544" s="15"/>
      <c r="AS2544" s="15"/>
      <c r="AT2544" s="15"/>
      <c r="AU2544" s="15"/>
    </row>
    <row r="2545" ht="24.0" customHeight="1">
      <c r="A2545" s="45">
        <v>3969.0</v>
      </c>
      <c r="B2545" s="57"/>
      <c r="C2545" s="57"/>
      <c r="D2545" s="88" t="str">
        <f t="array" ref="D2545">IFERROR(
  LOOKUP(2, 1/((TRIM(IMS!$E$8:$E$2574)=TRIM(IMS!$E2545))*(IMS!$C$8:$C$2574&lt;IMS!$C2545)),
         IMS!$C$8:$C$2574),
"")</f>
        <v/>
      </c>
      <c r="E2545" s="57"/>
      <c r="F2545" s="57"/>
      <c r="G2545" s="77" t="str">
        <f t="shared" si="901"/>
        <v/>
      </c>
      <c r="H2545" s="78" t="str">
        <f t="shared" si="902"/>
        <v/>
      </c>
      <c r="I2545" s="79"/>
      <c r="J2545" s="80" t="str">
        <f t="shared" si="903"/>
        <v>#NAME?</v>
      </c>
      <c r="K2545" s="58"/>
      <c r="L2545" s="58"/>
      <c r="M2545" s="57"/>
      <c r="N2545" s="57"/>
      <c r="O2545" s="58"/>
      <c r="P2545" s="82"/>
      <c r="Q2545" s="81"/>
      <c r="R2545" s="81"/>
      <c r="S2545" s="57"/>
      <c r="T2545" s="82"/>
      <c r="U2545" s="82"/>
      <c r="V2545" s="57"/>
      <c r="W2545" s="57"/>
      <c r="X2545" s="57" t="str">
        <f t="shared" si="917"/>
        <v/>
      </c>
      <c r="Y2545" s="58" t="str">
        <f t="shared" ref="Y2545:AC2545" si="2385">TRIM(SUBSTITUTE(SUBSTITUTE(OFFSET($Q2545,0,COLUMN()-COLUMN($AL$1)),CHAR(160)," "),_xludf.UNICHAR(8239)," "))</f>
        <v>#NAME?</v>
      </c>
      <c r="Z2545" s="58" t="str">
        <f t="shared" si="2385"/>
        <v>#NAME?</v>
      </c>
      <c r="AA2545" s="58" t="str">
        <f t="shared" si="2385"/>
        <v>#NAME?</v>
      </c>
      <c r="AB2545" s="58" t="str">
        <f t="shared" si="2385"/>
        <v>#NAME?</v>
      </c>
      <c r="AC2545" s="58" t="str">
        <f t="shared" si="2385"/>
        <v>#NAME?</v>
      </c>
      <c r="AD2545" s="57">
        <f t="shared" si="906"/>
        <v>0</v>
      </c>
      <c r="AE2545" s="57" t="str">
        <f t="shared" si="907"/>
        <v/>
      </c>
      <c r="AF2545" s="57">
        <f t="shared" si="908"/>
        <v>0</v>
      </c>
      <c r="AG2545" s="59">
        <f t="shared" si="909"/>
        <v>0</v>
      </c>
      <c r="AH2545" s="15"/>
      <c r="AI2545" s="15"/>
      <c r="AJ2545" s="15"/>
      <c r="AK2545" s="15"/>
      <c r="AL2545" s="15"/>
      <c r="AM2545" s="15"/>
      <c r="AN2545" s="15"/>
      <c r="AO2545" s="15"/>
      <c r="AP2545" s="15"/>
      <c r="AQ2545" s="15"/>
      <c r="AR2545" s="15"/>
      <c r="AS2545" s="15"/>
      <c r="AT2545" s="15"/>
      <c r="AU2545" s="15"/>
    </row>
    <row r="2546" ht="24.0" customHeight="1">
      <c r="A2546" s="45">
        <v>3970.0</v>
      </c>
      <c r="B2546" s="57"/>
      <c r="C2546" s="57"/>
      <c r="D2546" s="88" t="str">
        <f t="array" ref="D2546">IFERROR(
  LOOKUP(2, 1/((TRIM(IMS!$E$8:$E$2574)=TRIM(IMS!$E2546))*(IMS!$C$8:$C$2574&lt;IMS!$C2546)),
         IMS!$C$8:$C$2574),
"")</f>
        <v/>
      </c>
      <c r="E2546" s="57"/>
      <c r="F2546" s="57"/>
      <c r="G2546" s="77" t="str">
        <f t="shared" si="901"/>
        <v/>
      </c>
      <c r="H2546" s="78" t="str">
        <f t="shared" si="902"/>
        <v/>
      </c>
      <c r="I2546" s="79"/>
      <c r="J2546" s="80" t="str">
        <f t="shared" si="903"/>
        <v>#NAME?</v>
      </c>
      <c r="K2546" s="58"/>
      <c r="L2546" s="58"/>
      <c r="M2546" s="57"/>
      <c r="N2546" s="57"/>
      <c r="O2546" s="58"/>
      <c r="P2546" s="82"/>
      <c r="Q2546" s="81"/>
      <c r="R2546" s="81"/>
      <c r="S2546" s="57"/>
      <c r="T2546" s="82"/>
      <c r="U2546" s="82"/>
      <c r="V2546" s="57"/>
      <c r="W2546" s="57"/>
      <c r="X2546" s="57" t="str">
        <f t="shared" si="917"/>
        <v/>
      </c>
      <c r="Y2546" s="58" t="str">
        <f t="shared" ref="Y2546:AC2546" si="2386">TRIM(SUBSTITUTE(SUBSTITUTE(OFFSET($Q2546,0,COLUMN()-COLUMN($AL$1)),CHAR(160)," "),_xludf.UNICHAR(8239)," "))</f>
        <v>#NAME?</v>
      </c>
      <c r="Z2546" s="58" t="str">
        <f t="shared" si="2386"/>
        <v>#NAME?</v>
      </c>
      <c r="AA2546" s="58" t="str">
        <f t="shared" si="2386"/>
        <v>#NAME?</v>
      </c>
      <c r="AB2546" s="58" t="str">
        <f t="shared" si="2386"/>
        <v>#NAME?</v>
      </c>
      <c r="AC2546" s="58" t="str">
        <f t="shared" si="2386"/>
        <v>#NAME?</v>
      </c>
      <c r="AD2546" s="57">
        <f t="shared" si="906"/>
        <v>0</v>
      </c>
      <c r="AE2546" s="57" t="str">
        <f t="shared" si="907"/>
        <v/>
      </c>
      <c r="AF2546" s="57">
        <f t="shared" si="908"/>
        <v>0</v>
      </c>
      <c r="AG2546" s="59">
        <f t="shared" si="909"/>
        <v>0</v>
      </c>
      <c r="AH2546" s="15"/>
      <c r="AI2546" s="15"/>
      <c r="AJ2546" s="15"/>
      <c r="AK2546" s="15"/>
      <c r="AL2546" s="15"/>
      <c r="AM2546" s="15"/>
      <c r="AN2546" s="15"/>
      <c r="AO2546" s="15"/>
      <c r="AP2546" s="15"/>
      <c r="AQ2546" s="15"/>
      <c r="AR2546" s="15"/>
      <c r="AS2546" s="15"/>
      <c r="AT2546" s="15"/>
      <c r="AU2546" s="15"/>
    </row>
    <row r="2547" ht="24.0" customHeight="1">
      <c r="A2547" s="45">
        <v>3971.0</v>
      </c>
      <c r="B2547" s="57"/>
      <c r="C2547" s="57"/>
      <c r="D2547" s="88" t="str">
        <f t="array" ref="D2547">IFERROR(
  LOOKUP(2, 1/((TRIM(IMS!$E$8:$E$2574)=TRIM(IMS!$E2547))*(IMS!$C$8:$C$2574&lt;IMS!$C2547)),
         IMS!$C$8:$C$2574),
"")</f>
        <v/>
      </c>
      <c r="E2547" s="57"/>
      <c r="F2547" s="57"/>
      <c r="G2547" s="77" t="str">
        <f t="shared" si="901"/>
        <v/>
      </c>
      <c r="H2547" s="78" t="str">
        <f t="shared" si="902"/>
        <v/>
      </c>
      <c r="I2547" s="79"/>
      <c r="J2547" s="80" t="str">
        <f t="shared" si="903"/>
        <v>#NAME?</v>
      </c>
      <c r="K2547" s="58"/>
      <c r="L2547" s="58"/>
      <c r="M2547" s="57"/>
      <c r="N2547" s="57"/>
      <c r="O2547" s="58"/>
      <c r="P2547" s="82"/>
      <c r="Q2547" s="81"/>
      <c r="R2547" s="81"/>
      <c r="S2547" s="57"/>
      <c r="T2547" s="82"/>
      <c r="U2547" s="82"/>
      <c r="V2547" s="57"/>
      <c r="W2547" s="57"/>
      <c r="X2547" s="57" t="str">
        <f t="shared" si="917"/>
        <v/>
      </c>
      <c r="Y2547" s="58" t="str">
        <f t="shared" ref="Y2547:AC2547" si="2387">TRIM(SUBSTITUTE(SUBSTITUTE(OFFSET($Q2547,0,COLUMN()-COLUMN($AL$1)),CHAR(160)," "),_xludf.UNICHAR(8239)," "))</f>
        <v>#NAME?</v>
      </c>
      <c r="Z2547" s="58" t="str">
        <f t="shared" si="2387"/>
        <v>#NAME?</v>
      </c>
      <c r="AA2547" s="58" t="str">
        <f t="shared" si="2387"/>
        <v>#NAME?</v>
      </c>
      <c r="AB2547" s="58" t="str">
        <f t="shared" si="2387"/>
        <v>#NAME?</v>
      </c>
      <c r="AC2547" s="58" t="str">
        <f t="shared" si="2387"/>
        <v>#NAME?</v>
      </c>
      <c r="AD2547" s="57">
        <f t="shared" si="906"/>
        <v>0</v>
      </c>
      <c r="AE2547" s="57" t="str">
        <f t="shared" si="907"/>
        <v/>
      </c>
      <c r="AF2547" s="57">
        <f t="shared" si="908"/>
        <v>0</v>
      </c>
      <c r="AG2547" s="59">
        <f t="shared" si="909"/>
        <v>0</v>
      </c>
      <c r="AH2547" s="15"/>
      <c r="AI2547" s="15"/>
      <c r="AJ2547" s="15"/>
      <c r="AK2547" s="15"/>
      <c r="AL2547" s="15"/>
      <c r="AM2547" s="15"/>
      <c r="AN2547" s="15"/>
      <c r="AO2547" s="15"/>
      <c r="AP2547" s="15"/>
      <c r="AQ2547" s="15"/>
      <c r="AR2547" s="15"/>
      <c r="AS2547" s="15"/>
      <c r="AT2547" s="15"/>
      <c r="AU2547" s="15"/>
    </row>
    <row r="2548" ht="24.0" customHeight="1">
      <c r="A2548" s="45">
        <v>3972.0</v>
      </c>
      <c r="B2548" s="57"/>
      <c r="C2548" s="57"/>
      <c r="D2548" s="88" t="str">
        <f t="array" ref="D2548">IFERROR(
  LOOKUP(2, 1/((TRIM(IMS!$E$8:$E$2574)=TRIM(IMS!$E2548))*(IMS!$C$8:$C$2574&lt;IMS!$C2548)),
         IMS!$C$8:$C$2574),
"")</f>
        <v/>
      </c>
      <c r="E2548" s="57"/>
      <c r="F2548" s="57"/>
      <c r="G2548" s="77" t="str">
        <f t="shared" si="901"/>
        <v/>
      </c>
      <c r="H2548" s="78" t="str">
        <f t="shared" si="902"/>
        <v/>
      </c>
      <c r="I2548" s="79"/>
      <c r="J2548" s="80" t="str">
        <f t="shared" si="903"/>
        <v>#NAME?</v>
      </c>
      <c r="K2548" s="58"/>
      <c r="L2548" s="58"/>
      <c r="M2548" s="57"/>
      <c r="N2548" s="57"/>
      <c r="O2548" s="58"/>
      <c r="P2548" s="82"/>
      <c r="Q2548" s="81"/>
      <c r="R2548" s="81"/>
      <c r="S2548" s="57"/>
      <c r="T2548" s="82"/>
      <c r="U2548" s="82"/>
      <c r="V2548" s="57"/>
      <c r="W2548" s="57"/>
      <c r="X2548" s="57" t="str">
        <f t="shared" si="917"/>
        <v/>
      </c>
      <c r="Y2548" s="58" t="str">
        <f t="shared" ref="Y2548:AC2548" si="2388">TRIM(SUBSTITUTE(SUBSTITUTE(OFFSET($Q2548,0,COLUMN()-COLUMN($AL$1)),CHAR(160)," "),_xludf.UNICHAR(8239)," "))</f>
        <v>#NAME?</v>
      </c>
      <c r="Z2548" s="58" t="str">
        <f t="shared" si="2388"/>
        <v>#NAME?</v>
      </c>
      <c r="AA2548" s="58" t="str">
        <f t="shared" si="2388"/>
        <v>#NAME?</v>
      </c>
      <c r="AB2548" s="58" t="str">
        <f t="shared" si="2388"/>
        <v>#NAME?</v>
      </c>
      <c r="AC2548" s="58" t="str">
        <f t="shared" si="2388"/>
        <v>#NAME?</v>
      </c>
      <c r="AD2548" s="57">
        <f t="shared" si="906"/>
        <v>0</v>
      </c>
      <c r="AE2548" s="57" t="str">
        <f t="shared" si="907"/>
        <v/>
      </c>
      <c r="AF2548" s="57">
        <f t="shared" si="908"/>
        <v>0</v>
      </c>
      <c r="AG2548" s="59">
        <f t="shared" si="909"/>
        <v>0</v>
      </c>
      <c r="AH2548" s="15"/>
      <c r="AI2548" s="15"/>
      <c r="AJ2548" s="15"/>
      <c r="AK2548" s="15"/>
      <c r="AL2548" s="15"/>
      <c r="AM2548" s="15"/>
      <c r="AN2548" s="15"/>
      <c r="AO2548" s="15"/>
      <c r="AP2548" s="15"/>
      <c r="AQ2548" s="15"/>
      <c r="AR2548" s="15"/>
      <c r="AS2548" s="15"/>
      <c r="AT2548" s="15"/>
      <c r="AU2548" s="15"/>
    </row>
    <row r="2549" ht="24.0" customHeight="1">
      <c r="A2549" s="45">
        <v>3973.0</v>
      </c>
      <c r="B2549" s="57"/>
      <c r="C2549" s="57"/>
      <c r="D2549" s="88" t="str">
        <f t="array" ref="D2549">IFERROR(
  LOOKUP(2, 1/((TRIM(IMS!$E$8:$E$2574)=TRIM(IMS!$E2549))*(IMS!$C$8:$C$2574&lt;IMS!$C2549)),
         IMS!$C$8:$C$2574),
"")</f>
        <v/>
      </c>
      <c r="E2549" s="57"/>
      <c r="F2549" s="57"/>
      <c r="G2549" s="77" t="str">
        <f t="shared" si="901"/>
        <v/>
      </c>
      <c r="H2549" s="78" t="str">
        <f t="shared" si="902"/>
        <v/>
      </c>
      <c r="I2549" s="79"/>
      <c r="J2549" s="80" t="str">
        <f t="shared" si="903"/>
        <v>#NAME?</v>
      </c>
      <c r="K2549" s="58"/>
      <c r="L2549" s="58"/>
      <c r="M2549" s="57"/>
      <c r="N2549" s="57"/>
      <c r="O2549" s="58"/>
      <c r="P2549" s="82"/>
      <c r="Q2549" s="81"/>
      <c r="R2549" s="81"/>
      <c r="S2549" s="57"/>
      <c r="T2549" s="82"/>
      <c r="U2549" s="82"/>
      <c r="V2549" s="57"/>
      <c r="W2549" s="57"/>
      <c r="X2549" s="57" t="str">
        <f t="shared" si="917"/>
        <v/>
      </c>
      <c r="Y2549" s="58" t="str">
        <f t="shared" ref="Y2549:AC2549" si="2389">TRIM(SUBSTITUTE(SUBSTITUTE(OFFSET($Q2549,0,COLUMN()-COLUMN($AL$1)),CHAR(160)," "),_xludf.UNICHAR(8239)," "))</f>
        <v>#NAME?</v>
      </c>
      <c r="Z2549" s="58" t="str">
        <f t="shared" si="2389"/>
        <v>#NAME?</v>
      </c>
      <c r="AA2549" s="58" t="str">
        <f t="shared" si="2389"/>
        <v>#NAME?</v>
      </c>
      <c r="AB2549" s="58" t="str">
        <f t="shared" si="2389"/>
        <v>#NAME?</v>
      </c>
      <c r="AC2549" s="58" t="str">
        <f t="shared" si="2389"/>
        <v>#NAME?</v>
      </c>
      <c r="AD2549" s="57">
        <f t="shared" si="906"/>
        <v>0</v>
      </c>
      <c r="AE2549" s="57" t="str">
        <f t="shared" si="907"/>
        <v/>
      </c>
      <c r="AF2549" s="57">
        <f t="shared" si="908"/>
        <v>0</v>
      </c>
      <c r="AG2549" s="59">
        <f t="shared" si="909"/>
        <v>0</v>
      </c>
      <c r="AH2549" s="15"/>
      <c r="AI2549" s="15"/>
      <c r="AJ2549" s="15"/>
      <c r="AK2549" s="15"/>
      <c r="AL2549" s="15"/>
      <c r="AM2549" s="15"/>
      <c r="AN2549" s="15"/>
      <c r="AO2549" s="15"/>
      <c r="AP2549" s="15"/>
      <c r="AQ2549" s="15"/>
      <c r="AR2549" s="15"/>
      <c r="AS2549" s="15"/>
      <c r="AT2549" s="15"/>
      <c r="AU2549" s="15"/>
    </row>
    <row r="2550" ht="24.0" customHeight="1">
      <c r="A2550" s="45">
        <v>3974.0</v>
      </c>
      <c r="B2550" s="57"/>
      <c r="C2550" s="57"/>
      <c r="D2550" s="88" t="str">
        <f t="array" ref="D2550">IFERROR(
  LOOKUP(2, 1/((TRIM(IMS!$E$8:$E$2574)=TRIM(IMS!$E2550))*(IMS!$C$8:$C$2574&lt;IMS!$C2550)),
         IMS!$C$8:$C$2574),
"")</f>
        <v/>
      </c>
      <c r="E2550" s="57"/>
      <c r="F2550" s="57"/>
      <c r="G2550" s="77" t="str">
        <f t="shared" si="901"/>
        <v/>
      </c>
      <c r="H2550" s="78" t="str">
        <f t="shared" si="902"/>
        <v/>
      </c>
      <c r="I2550" s="79"/>
      <c r="J2550" s="80" t="str">
        <f t="shared" si="903"/>
        <v>#NAME?</v>
      </c>
      <c r="K2550" s="58"/>
      <c r="L2550" s="58"/>
      <c r="M2550" s="57"/>
      <c r="N2550" s="57"/>
      <c r="O2550" s="58"/>
      <c r="P2550" s="82"/>
      <c r="Q2550" s="81"/>
      <c r="R2550" s="81"/>
      <c r="S2550" s="57"/>
      <c r="T2550" s="82"/>
      <c r="U2550" s="82"/>
      <c r="V2550" s="57"/>
      <c r="W2550" s="57"/>
      <c r="X2550" s="57" t="str">
        <f t="shared" si="917"/>
        <v/>
      </c>
      <c r="Y2550" s="58" t="str">
        <f t="shared" ref="Y2550:AC2550" si="2390">TRIM(SUBSTITUTE(SUBSTITUTE(OFFSET($Q2550,0,COLUMN()-COLUMN($AL$1)),CHAR(160)," "),_xludf.UNICHAR(8239)," "))</f>
        <v>#NAME?</v>
      </c>
      <c r="Z2550" s="58" t="str">
        <f t="shared" si="2390"/>
        <v>#NAME?</v>
      </c>
      <c r="AA2550" s="58" t="str">
        <f t="shared" si="2390"/>
        <v>#NAME?</v>
      </c>
      <c r="AB2550" s="58" t="str">
        <f t="shared" si="2390"/>
        <v>#NAME?</v>
      </c>
      <c r="AC2550" s="58" t="str">
        <f t="shared" si="2390"/>
        <v>#NAME?</v>
      </c>
      <c r="AD2550" s="57">
        <f t="shared" si="906"/>
        <v>0</v>
      </c>
      <c r="AE2550" s="57" t="str">
        <f t="shared" si="907"/>
        <v/>
      </c>
      <c r="AF2550" s="57">
        <f t="shared" si="908"/>
        <v>0</v>
      </c>
      <c r="AG2550" s="59">
        <f t="shared" si="909"/>
        <v>0</v>
      </c>
      <c r="AH2550" s="15"/>
      <c r="AI2550" s="15"/>
      <c r="AJ2550" s="15"/>
      <c r="AK2550" s="15"/>
      <c r="AL2550" s="15"/>
      <c r="AM2550" s="15"/>
      <c r="AN2550" s="15"/>
      <c r="AO2550" s="15"/>
      <c r="AP2550" s="15"/>
      <c r="AQ2550" s="15"/>
      <c r="AR2550" s="15"/>
      <c r="AS2550" s="15"/>
      <c r="AT2550" s="15"/>
      <c r="AU2550" s="15"/>
    </row>
    <row r="2551" ht="24.0" customHeight="1">
      <c r="A2551" s="45">
        <v>3975.0</v>
      </c>
      <c r="B2551" s="57"/>
      <c r="C2551" s="57"/>
      <c r="D2551" s="88" t="str">
        <f t="array" ref="D2551">IFERROR(
  LOOKUP(2, 1/((TRIM(IMS!$E$8:$E$2574)=TRIM(IMS!$E2551))*(IMS!$C$8:$C$2574&lt;IMS!$C2551)),
         IMS!$C$8:$C$2574),
"")</f>
        <v/>
      </c>
      <c r="E2551" s="57"/>
      <c r="F2551" s="57"/>
      <c r="G2551" s="77" t="str">
        <f t="shared" si="901"/>
        <v/>
      </c>
      <c r="H2551" s="78" t="str">
        <f t="shared" si="902"/>
        <v/>
      </c>
      <c r="I2551" s="79"/>
      <c r="J2551" s="80" t="str">
        <f t="shared" si="903"/>
        <v>#NAME?</v>
      </c>
      <c r="K2551" s="58"/>
      <c r="L2551" s="58"/>
      <c r="M2551" s="57"/>
      <c r="N2551" s="57"/>
      <c r="O2551" s="58"/>
      <c r="P2551" s="82"/>
      <c r="Q2551" s="81"/>
      <c r="R2551" s="81"/>
      <c r="S2551" s="57"/>
      <c r="T2551" s="82"/>
      <c r="U2551" s="82"/>
      <c r="V2551" s="57"/>
      <c r="W2551" s="57"/>
      <c r="X2551" s="57" t="str">
        <f t="shared" si="917"/>
        <v/>
      </c>
      <c r="Y2551" s="58" t="str">
        <f t="shared" ref="Y2551:AC2551" si="2391">TRIM(SUBSTITUTE(SUBSTITUTE(OFFSET($Q2551,0,COLUMN()-COLUMN($AL$1)),CHAR(160)," "),_xludf.UNICHAR(8239)," "))</f>
        <v>#NAME?</v>
      </c>
      <c r="Z2551" s="58" t="str">
        <f t="shared" si="2391"/>
        <v>#NAME?</v>
      </c>
      <c r="AA2551" s="58" t="str">
        <f t="shared" si="2391"/>
        <v>#NAME?</v>
      </c>
      <c r="AB2551" s="58" t="str">
        <f t="shared" si="2391"/>
        <v>#NAME?</v>
      </c>
      <c r="AC2551" s="58" t="str">
        <f t="shared" si="2391"/>
        <v>#NAME?</v>
      </c>
      <c r="AD2551" s="57">
        <f t="shared" si="906"/>
        <v>0</v>
      </c>
      <c r="AE2551" s="57" t="str">
        <f t="shared" si="907"/>
        <v/>
      </c>
      <c r="AF2551" s="57">
        <f t="shared" si="908"/>
        <v>0</v>
      </c>
      <c r="AG2551" s="59">
        <f t="shared" si="909"/>
        <v>0</v>
      </c>
      <c r="AH2551" s="15"/>
      <c r="AI2551" s="15"/>
      <c r="AJ2551" s="15"/>
      <c r="AK2551" s="15"/>
      <c r="AL2551" s="15"/>
      <c r="AM2551" s="15"/>
      <c r="AN2551" s="15"/>
      <c r="AO2551" s="15"/>
      <c r="AP2551" s="15"/>
      <c r="AQ2551" s="15"/>
      <c r="AR2551" s="15"/>
      <c r="AS2551" s="15"/>
      <c r="AT2551" s="15"/>
      <c r="AU2551" s="15"/>
    </row>
    <row r="2552" ht="24.0" customHeight="1">
      <c r="A2552" s="45">
        <v>3976.0</v>
      </c>
      <c r="B2552" s="57"/>
      <c r="C2552" s="57"/>
      <c r="D2552" s="88" t="str">
        <f t="array" ref="D2552">IFERROR(
  LOOKUP(2, 1/((TRIM(IMS!$E$8:$E$2574)=TRIM(IMS!$E2552))*(IMS!$C$8:$C$2574&lt;IMS!$C2552)),
         IMS!$C$8:$C$2574),
"")</f>
        <v/>
      </c>
      <c r="E2552" s="57"/>
      <c r="F2552" s="57"/>
      <c r="G2552" s="77" t="str">
        <f t="shared" si="901"/>
        <v/>
      </c>
      <c r="H2552" s="78" t="str">
        <f t="shared" si="902"/>
        <v/>
      </c>
      <c r="I2552" s="79"/>
      <c r="J2552" s="80" t="str">
        <f t="shared" si="903"/>
        <v>#NAME?</v>
      </c>
      <c r="K2552" s="58"/>
      <c r="L2552" s="58"/>
      <c r="M2552" s="57"/>
      <c r="N2552" s="57"/>
      <c r="O2552" s="58"/>
      <c r="P2552" s="82"/>
      <c r="Q2552" s="81"/>
      <c r="R2552" s="81"/>
      <c r="S2552" s="57"/>
      <c r="T2552" s="82"/>
      <c r="U2552" s="82"/>
      <c r="V2552" s="57"/>
      <c r="W2552" s="57"/>
      <c r="X2552" s="57" t="str">
        <f t="shared" si="917"/>
        <v/>
      </c>
      <c r="Y2552" s="58" t="str">
        <f t="shared" ref="Y2552:AC2552" si="2392">TRIM(SUBSTITUTE(SUBSTITUTE(OFFSET($Q2552,0,COLUMN()-COLUMN($AL$1)),CHAR(160)," "),_xludf.UNICHAR(8239)," "))</f>
        <v>#NAME?</v>
      </c>
      <c r="Z2552" s="58" t="str">
        <f t="shared" si="2392"/>
        <v>#NAME?</v>
      </c>
      <c r="AA2552" s="58" t="str">
        <f t="shared" si="2392"/>
        <v>#NAME?</v>
      </c>
      <c r="AB2552" s="58" t="str">
        <f t="shared" si="2392"/>
        <v>#NAME?</v>
      </c>
      <c r="AC2552" s="58" t="str">
        <f t="shared" si="2392"/>
        <v>#NAME?</v>
      </c>
      <c r="AD2552" s="57">
        <f t="shared" si="906"/>
        <v>0</v>
      </c>
      <c r="AE2552" s="57" t="str">
        <f t="shared" si="907"/>
        <v/>
      </c>
      <c r="AF2552" s="57">
        <f t="shared" si="908"/>
        <v>0</v>
      </c>
      <c r="AG2552" s="59">
        <f t="shared" si="909"/>
        <v>0</v>
      </c>
      <c r="AH2552" s="15"/>
      <c r="AI2552" s="15"/>
      <c r="AJ2552" s="15"/>
      <c r="AK2552" s="15"/>
      <c r="AL2552" s="15"/>
      <c r="AM2552" s="15"/>
      <c r="AN2552" s="15"/>
      <c r="AO2552" s="15"/>
      <c r="AP2552" s="15"/>
      <c r="AQ2552" s="15"/>
      <c r="AR2552" s="15"/>
      <c r="AS2552" s="15"/>
      <c r="AT2552" s="15"/>
      <c r="AU2552" s="15"/>
    </row>
    <row r="2553" ht="24.0" customHeight="1">
      <c r="A2553" s="45">
        <v>3977.0</v>
      </c>
      <c r="B2553" s="57"/>
      <c r="C2553" s="57"/>
      <c r="D2553" s="88" t="str">
        <f t="array" ref="D2553">IFERROR(
  LOOKUP(2, 1/((TRIM(IMS!$E$8:$E$2574)=TRIM(IMS!$E2553))*(IMS!$C$8:$C$2574&lt;IMS!$C2553)),
         IMS!$C$8:$C$2574),
"")</f>
        <v/>
      </c>
      <c r="E2553" s="57"/>
      <c r="F2553" s="57"/>
      <c r="G2553" s="77" t="str">
        <f t="shared" si="901"/>
        <v/>
      </c>
      <c r="H2553" s="78" t="str">
        <f t="shared" si="902"/>
        <v/>
      </c>
      <c r="I2553" s="79"/>
      <c r="J2553" s="80" t="str">
        <f t="shared" si="903"/>
        <v>#NAME?</v>
      </c>
      <c r="K2553" s="58"/>
      <c r="L2553" s="58"/>
      <c r="M2553" s="57"/>
      <c r="N2553" s="57"/>
      <c r="O2553" s="58"/>
      <c r="P2553" s="82"/>
      <c r="Q2553" s="81"/>
      <c r="R2553" s="81"/>
      <c r="S2553" s="57"/>
      <c r="T2553" s="82"/>
      <c r="U2553" s="82"/>
      <c r="V2553" s="57"/>
      <c r="W2553" s="57"/>
      <c r="X2553" s="57" t="str">
        <f t="shared" si="917"/>
        <v/>
      </c>
      <c r="Y2553" s="58" t="str">
        <f t="shared" ref="Y2553:AC2553" si="2393">TRIM(SUBSTITUTE(SUBSTITUTE(OFFSET($Q2553,0,COLUMN()-COLUMN($AL$1)),CHAR(160)," "),_xludf.UNICHAR(8239)," "))</f>
        <v>#NAME?</v>
      </c>
      <c r="Z2553" s="58" t="str">
        <f t="shared" si="2393"/>
        <v>#NAME?</v>
      </c>
      <c r="AA2553" s="58" t="str">
        <f t="shared" si="2393"/>
        <v>#NAME?</v>
      </c>
      <c r="AB2553" s="58" t="str">
        <f t="shared" si="2393"/>
        <v>#NAME?</v>
      </c>
      <c r="AC2553" s="58" t="str">
        <f t="shared" si="2393"/>
        <v>#NAME?</v>
      </c>
      <c r="AD2553" s="57">
        <f t="shared" si="906"/>
        <v>0</v>
      </c>
      <c r="AE2553" s="57" t="str">
        <f t="shared" si="907"/>
        <v/>
      </c>
      <c r="AF2553" s="57">
        <f t="shared" si="908"/>
        <v>0</v>
      </c>
      <c r="AG2553" s="59">
        <f t="shared" si="909"/>
        <v>0</v>
      </c>
      <c r="AH2553" s="15"/>
      <c r="AI2553" s="15"/>
      <c r="AJ2553" s="15"/>
      <c r="AK2553" s="15"/>
      <c r="AL2553" s="15"/>
      <c r="AM2553" s="15"/>
      <c r="AN2553" s="15"/>
      <c r="AO2553" s="15"/>
      <c r="AP2553" s="15"/>
      <c r="AQ2553" s="15"/>
      <c r="AR2553" s="15"/>
      <c r="AS2553" s="15"/>
      <c r="AT2553" s="15"/>
      <c r="AU2553" s="15"/>
    </row>
    <row r="2554" ht="24.0" customHeight="1">
      <c r="A2554" s="45">
        <v>3978.0</v>
      </c>
      <c r="B2554" s="57"/>
      <c r="C2554" s="57"/>
      <c r="D2554" s="88" t="str">
        <f t="array" ref="D2554">IFERROR(
  LOOKUP(2, 1/((TRIM(IMS!$E$8:$E$2574)=TRIM(IMS!$E2554))*(IMS!$C$8:$C$2574&lt;IMS!$C2554)),
         IMS!$C$8:$C$2574),
"")</f>
        <v/>
      </c>
      <c r="E2554" s="57"/>
      <c r="F2554" s="57"/>
      <c r="G2554" s="77" t="str">
        <f t="shared" si="901"/>
        <v/>
      </c>
      <c r="H2554" s="78" t="str">
        <f t="shared" si="902"/>
        <v/>
      </c>
      <c r="I2554" s="79"/>
      <c r="J2554" s="80" t="str">
        <f t="shared" si="903"/>
        <v>#NAME?</v>
      </c>
      <c r="K2554" s="58"/>
      <c r="L2554" s="58"/>
      <c r="M2554" s="57"/>
      <c r="N2554" s="57"/>
      <c r="O2554" s="58"/>
      <c r="P2554" s="82"/>
      <c r="Q2554" s="81"/>
      <c r="R2554" s="81"/>
      <c r="S2554" s="57"/>
      <c r="T2554" s="82"/>
      <c r="U2554" s="82"/>
      <c r="V2554" s="57"/>
      <c r="W2554" s="57"/>
      <c r="X2554" s="57" t="str">
        <f t="shared" si="917"/>
        <v/>
      </c>
      <c r="Y2554" s="58" t="str">
        <f t="shared" ref="Y2554:AC2554" si="2394">TRIM(SUBSTITUTE(SUBSTITUTE(OFFSET($Q2554,0,COLUMN()-COLUMN($AL$1)),CHAR(160)," "),_xludf.UNICHAR(8239)," "))</f>
        <v>#NAME?</v>
      </c>
      <c r="Z2554" s="58" t="str">
        <f t="shared" si="2394"/>
        <v>#NAME?</v>
      </c>
      <c r="AA2554" s="58" t="str">
        <f t="shared" si="2394"/>
        <v>#NAME?</v>
      </c>
      <c r="AB2554" s="58" t="str">
        <f t="shared" si="2394"/>
        <v>#NAME?</v>
      </c>
      <c r="AC2554" s="58" t="str">
        <f t="shared" si="2394"/>
        <v>#NAME?</v>
      </c>
      <c r="AD2554" s="57">
        <f t="shared" si="906"/>
        <v>0</v>
      </c>
      <c r="AE2554" s="57" t="str">
        <f t="shared" si="907"/>
        <v/>
      </c>
      <c r="AF2554" s="57">
        <f t="shared" si="908"/>
        <v>0</v>
      </c>
      <c r="AG2554" s="59">
        <f t="shared" si="909"/>
        <v>0</v>
      </c>
      <c r="AH2554" s="15"/>
      <c r="AI2554" s="15"/>
      <c r="AJ2554" s="15"/>
      <c r="AK2554" s="15"/>
      <c r="AL2554" s="15"/>
      <c r="AM2554" s="15"/>
      <c r="AN2554" s="15"/>
      <c r="AO2554" s="15"/>
      <c r="AP2554" s="15"/>
      <c r="AQ2554" s="15"/>
      <c r="AR2554" s="15"/>
      <c r="AS2554" s="15"/>
      <c r="AT2554" s="15"/>
      <c r="AU2554" s="15"/>
    </row>
    <row r="2555" ht="24.0" customHeight="1">
      <c r="A2555" s="45">
        <v>3979.0</v>
      </c>
      <c r="B2555" s="57"/>
      <c r="C2555" s="57"/>
      <c r="D2555" s="88" t="str">
        <f t="array" ref="D2555">IFERROR(
  LOOKUP(2, 1/((TRIM(IMS!$E$8:$E$2574)=TRIM(IMS!$E2555))*(IMS!$C$8:$C$2574&lt;IMS!$C2555)),
         IMS!$C$8:$C$2574),
"")</f>
        <v/>
      </c>
      <c r="E2555" s="57"/>
      <c r="F2555" s="57"/>
      <c r="G2555" s="77" t="str">
        <f t="shared" si="901"/>
        <v/>
      </c>
      <c r="H2555" s="78" t="str">
        <f t="shared" si="902"/>
        <v/>
      </c>
      <c r="I2555" s="79"/>
      <c r="J2555" s="80" t="str">
        <f t="shared" si="903"/>
        <v>#NAME?</v>
      </c>
      <c r="K2555" s="58"/>
      <c r="L2555" s="58"/>
      <c r="M2555" s="57"/>
      <c r="N2555" s="57"/>
      <c r="O2555" s="58"/>
      <c r="P2555" s="82"/>
      <c r="Q2555" s="81"/>
      <c r="R2555" s="81"/>
      <c r="S2555" s="57"/>
      <c r="T2555" s="82"/>
      <c r="U2555" s="82"/>
      <c r="V2555" s="57"/>
      <c r="W2555" s="57"/>
      <c r="X2555" s="57" t="str">
        <f t="shared" si="917"/>
        <v/>
      </c>
      <c r="Y2555" s="58" t="str">
        <f t="shared" ref="Y2555:AC2555" si="2395">TRIM(SUBSTITUTE(SUBSTITUTE(OFFSET($Q2555,0,COLUMN()-COLUMN($AL$1)),CHAR(160)," "),_xludf.UNICHAR(8239)," "))</f>
        <v>#NAME?</v>
      </c>
      <c r="Z2555" s="58" t="str">
        <f t="shared" si="2395"/>
        <v>#NAME?</v>
      </c>
      <c r="AA2555" s="58" t="str">
        <f t="shared" si="2395"/>
        <v>#NAME?</v>
      </c>
      <c r="AB2555" s="58" t="str">
        <f t="shared" si="2395"/>
        <v>#NAME?</v>
      </c>
      <c r="AC2555" s="58" t="str">
        <f t="shared" si="2395"/>
        <v>#NAME?</v>
      </c>
      <c r="AD2555" s="57">
        <f t="shared" si="906"/>
        <v>0</v>
      </c>
      <c r="AE2555" s="57" t="str">
        <f t="shared" si="907"/>
        <v/>
      </c>
      <c r="AF2555" s="57">
        <f t="shared" si="908"/>
        <v>0</v>
      </c>
      <c r="AG2555" s="59">
        <f t="shared" si="909"/>
        <v>0</v>
      </c>
      <c r="AH2555" s="15"/>
      <c r="AI2555" s="15"/>
      <c r="AJ2555" s="15"/>
      <c r="AK2555" s="15"/>
      <c r="AL2555" s="15"/>
      <c r="AM2555" s="15"/>
      <c r="AN2555" s="15"/>
      <c r="AO2555" s="15"/>
      <c r="AP2555" s="15"/>
      <c r="AQ2555" s="15"/>
      <c r="AR2555" s="15"/>
      <c r="AS2555" s="15"/>
      <c r="AT2555" s="15"/>
      <c r="AU2555" s="15"/>
    </row>
    <row r="2556" ht="24.0" customHeight="1">
      <c r="A2556" s="45">
        <v>3980.0</v>
      </c>
      <c r="B2556" s="57"/>
      <c r="C2556" s="57"/>
      <c r="D2556" s="88" t="str">
        <f t="array" ref="D2556">IFERROR(
  LOOKUP(2, 1/((TRIM(IMS!$E$8:$E$2574)=TRIM(IMS!$E2556))*(IMS!$C$8:$C$2574&lt;IMS!$C2556)),
         IMS!$C$8:$C$2574),
"")</f>
        <v/>
      </c>
      <c r="E2556" s="57"/>
      <c r="F2556" s="57"/>
      <c r="G2556" s="77" t="str">
        <f t="shared" si="901"/>
        <v/>
      </c>
      <c r="H2556" s="78" t="str">
        <f t="shared" si="902"/>
        <v/>
      </c>
      <c r="I2556" s="79"/>
      <c r="J2556" s="80" t="str">
        <f t="shared" si="903"/>
        <v>#NAME?</v>
      </c>
      <c r="K2556" s="58"/>
      <c r="L2556" s="58"/>
      <c r="M2556" s="57"/>
      <c r="N2556" s="57"/>
      <c r="O2556" s="58"/>
      <c r="P2556" s="82"/>
      <c r="Q2556" s="81"/>
      <c r="R2556" s="81"/>
      <c r="S2556" s="57"/>
      <c r="T2556" s="82"/>
      <c r="U2556" s="82"/>
      <c r="V2556" s="57"/>
      <c r="W2556" s="57"/>
      <c r="X2556" s="57" t="str">
        <f t="shared" si="917"/>
        <v/>
      </c>
      <c r="Y2556" s="58" t="str">
        <f t="shared" ref="Y2556:AC2556" si="2396">TRIM(SUBSTITUTE(SUBSTITUTE(OFFSET($Q2556,0,COLUMN()-COLUMN($AL$1)),CHAR(160)," "),_xludf.UNICHAR(8239)," "))</f>
        <v>#NAME?</v>
      </c>
      <c r="Z2556" s="58" t="str">
        <f t="shared" si="2396"/>
        <v>#NAME?</v>
      </c>
      <c r="AA2556" s="58" t="str">
        <f t="shared" si="2396"/>
        <v>#NAME?</v>
      </c>
      <c r="AB2556" s="58" t="str">
        <f t="shared" si="2396"/>
        <v>#NAME?</v>
      </c>
      <c r="AC2556" s="58" t="str">
        <f t="shared" si="2396"/>
        <v>#NAME?</v>
      </c>
      <c r="AD2556" s="57">
        <f t="shared" si="906"/>
        <v>0</v>
      </c>
      <c r="AE2556" s="57" t="str">
        <f t="shared" si="907"/>
        <v/>
      </c>
      <c r="AF2556" s="57">
        <f t="shared" si="908"/>
        <v>0</v>
      </c>
      <c r="AG2556" s="59">
        <f t="shared" si="909"/>
        <v>0</v>
      </c>
      <c r="AH2556" s="15"/>
      <c r="AI2556" s="15"/>
      <c r="AJ2556" s="15"/>
      <c r="AK2556" s="15"/>
      <c r="AL2556" s="15"/>
      <c r="AM2556" s="15"/>
      <c r="AN2556" s="15"/>
      <c r="AO2556" s="15"/>
      <c r="AP2556" s="15"/>
      <c r="AQ2556" s="15"/>
      <c r="AR2556" s="15"/>
      <c r="AS2556" s="15"/>
      <c r="AT2556" s="15"/>
      <c r="AU2556" s="15"/>
    </row>
    <row r="2557" ht="24.0" customHeight="1">
      <c r="A2557" s="45">
        <v>3981.0</v>
      </c>
      <c r="B2557" s="57"/>
      <c r="C2557" s="57"/>
      <c r="D2557" s="88" t="str">
        <f t="array" ref="D2557">IFERROR(
  LOOKUP(2, 1/((TRIM(IMS!$E$8:$E$2574)=TRIM(IMS!$E2557))*(IMS!$C$8:$C$2574&lt;IMS!$C2557)),
         IMS!$C$8:$C$2574),
"")</f>
        <v/>
      </c>
      <c r="E2557" s="57"/>
      <c r="F2557" s="57"/>
      <c r="G2557" s="77" t="str">
        <f t="shared" si="901"/>
        <v/>
      </c>
      <c r="H2557" s="78" t="str">
        <f t="shared" si="902"/>
        <v/>
      </c>
      <c r="I2557" s="79"/>
      <c r="J2557" s="80" t="str">
        <f t="shared" si="903"/>
        <v>#NAME?</v>
      </c>
      <c r="K2557" s="58"/>
      <c r="L2557" s="58"/>
      <c r="M2557" s="57"/>
      <c r="N2557" s="57"/>
      <c r="O2557" s="58"/>
      <c r="P2557" s="82"/>
      <c r="Q2557" s="81"/>
      <c r="R2557" s="81"/>
      <c r="S2557" s="57"/>
      <c r="T2557" s="82"/>
      <c r="U2557" s="82"/>
      <c r="V2557" s="57"/>
      <c r="W2557" s="57"/>
      <c r="X2557" s="57" t="str">
        <f t="shared" si="917"/>
        <v/>
      </c>
      <c r="Y2557" s="58" t="str">
        <f t="shared" ref="Y2557:AC2557" si="2397">TRIM(SUBSTITUTE(SUBSTITUTE(OFFSET($Q2557,0,COLUMN()-COLUMN($AL$1)),CHAR(160)," "),_xludf.UNICHAR(8239)," "))</f>
        <v>#NAME?</v>
      </c>
      <c r="Z2557" s="58" t="str">
        <f t="shared" si="2397"/>
        <v>#NAME?</v>
      </c>
      <c r="AA2557" s="58" t="str">
        <f t="shared" si="2397"/>
        <v>#NAME?</v>
      </c>
      <c r="AB2557" s="58" t="str">
        <f t="shared" si="2397"/>
        <v>#NAME?</v>
      </c>
      <c r="AC2557" s="58" t="str">
        <f t="shared" si="2397"/>
        <v>#NAME?</v>
      </c>
      <c r="AD2557" s="57">
        <f t="shared" si="906"/>
        <v>0</v>
      </c>
      <c r="AE2557" s="57" t="str">
        <f t="shared" si="907"/>
        <v/>
      </c>
      <c r="AF2557" s="57">
        <f t="shared" si="908"/>
        <v>0</v>
      </c>
      <c r="AG2557" s="59">
        <f t="shared" si="909"/>
        <v>0</v>
      </c>
      <c r="AH2557" s="15"/>
      <c r="AI2557" s="15"/>
      <c r="AJ2557" s="15"/>
      <c r="AK2557" s="15"/>
      <c r="AL2557" s="15"/>
      <c r="AM2557" s="15"/>
      <c r="AN2557" s="15"/>
      <c r="AO2557" s="15"/>
      <c r="AP2557" s="15"/>
      <c r="AQ2557" s="15"/>
      <c r="AR2557" s="15"/>
      <c r="AS2557" s="15"/>
      <c r="AT2557" s="15"/>
      <c r="AU2557" s="15"/>
    </row>
    <row r="2558" ht="24.0" customHeight="1">
      <c r="A2558" s="45">
        <v>3982.0</v>
      </c>
      <c r="B2558" s="57"/>
      <c r="C2558" s="57"/>
      <c r="D2558" s="88" t="str">
        <f t="array" ref="D2558">IFERROR(
  LOOKUP(2, 1/((TRIM(IMS!$E$8:$E$2574)=TRIM(IMS!$E2558))*(IMS!$C$8:$C$2574&lt;IMS!$C2558)),
         IMS!$C$8:$C$2574),
"")</f>
        <v/>
      </c>
      <c r="E2558" s="57"/>
      <c r="F2558" s="57"/>
      <c r="G2558" s="77" t="str">
        <f t="shared" si="901"/>
        <v/>
      </c>
      <c r="H2558" s="78" t="str">
        <f t="shared" si="902"/>
        <v/>
      </c>
      <c r="I2558" s="79"/>
      <c r="J2558" s="80" t="str">
        <f t="shared" si="903"/>
        <v>#NAME?</v>
      </c>
      <c r="K2558" s="58"/>
      <c r="L2558" s="58"/>
      <c r="M2558" s="57"/>
      <c r="N2558" s="57"/>
      <c r="O2558" s="58"/>
      <c r="P2558" s="82"/>
      <c r="Q2558" s="81"/>
      <c r="R2558" s="81"/>
      <c r="S2558" s="57"/>
      <c r="T2558" s="82"/>
      <c r="U2558" s="82"/>
      <c r="V2558" s="57"/>
      <c r="W2558" s="57"/>
      <c r="X2558" s="57" t="str">
        <f t="shared" si="917"/>
        <v/>
      </c>
      <c r="Y2558" s="58" t="str">
        <f t="shared" ref="Y2558:AC2558" si="2398">TRIM(SUBSTITUTE(SUBSTITUTE(OFFSET($Q2558,0,COLUMN()-COLUMN($AL$1)),CHAR(160)," "),_xludf.UNICHAR(8239)," "))</f>
        <v>#NAME?</v>
      </c>
      <c r="Z2558" s="58" t="str">
        <f t="shared" si="2398"/>
        <v>#NAME?</v>
      </c>
      <c r="AA2558" s="58" t="str">
        <f t="shared" si="2398"/>
        <v>#NAME?</v>
      </c>
      <c r="AB2558" s="58" t="str">
        <f t="shared" si="2398"/>
        <v>#NAME?</v>
      </c>
      <c r="AC2558" s="58" t="str">
        <f t="shared" si="2398"/>
        <v>#NAME?</v>
      </c>
      <c r="AD2558" s="57">
        <f t="shared" si="906"/>
        <v>0</v>
      </c>
      <c r="AE2558" s="57" t="str">
        <f t="shared" si="907"/>
        <v/>
      </c>
      <c r="AF2558" s="57">
        <f t="shared" si="908"/>
        <v>0</v>
      </c>
      <c r="AG2558" s="59">
        <f t="shared" si="909"/>
        <v>0</v>
      </c>
      <c r="AH2558" s="15"/>
      <c r="AI2558" s="15"/>
      <c r="AJ2558" s="15"/>
      <c r="AK2558" s="15"/>
      <c r="AL2558" s="15"/>
      <c r="AM2558" s="15"/>
      <c r="AN2558" s="15"/>
      <c r="AO2558" s="15"/>
      <c r="AP2558" s="15"/>
      <c r="AQ2558" s="15"/>
      <c r="AR2558" s="15"/>
      <c r="AS2558" s="15"/>
      <c r="AT2558" s="15"/>
      <c r="AU2558" s="15"/>
    </row>
    <row r="2559" ht="24.0" customHeight="1">
      <c r="A2559" s="45">
        <v>3983.0</v>
      </c>
      <c r="B2559" s="57"/>
      <c r="C2559" s="57"/>
      <c r="D2559" s="88" t="str">
        <f t="array" ref="D2559">IFERROR(
  LOOKUP(2, 1/((TRIM(IMS!$E$8:$E$2574)=TRIM(IMS!$E2559))*(IMS!$C$8:$C$2574&lt;IMS!$C2559)),
         IMS!$C$8:$C$2574),
"")</f>
        <v/>
      </c>
      <c r="E2559" s="57"/>
      <c r="F2559" s="57"/>
      <c r="G2559" s="77" t="str">
        <f t="shared" si="901"/>
        <v/>
      </c>
      <c r="H2559" s="78" t="str">
        <f t="shared" si="902"/>
        <v/>
      </c>
      <c r="I2559" s="79"/>
      <c r="J2559" s="80" t="str">
        <f t="shared" si="903"/>
        <v>#NAME?</v>
      </c>
      <c r="K2559" s="58"/>
      <c r="L2559" s="58"/>
      <c r="M2559" s="57"/>
      <c r="N2559" s="57"/>
      <c r="O2559" s="58"/>
      <c r="P2559" s="82"/>
      <c r="Q2559" s="81"/>
      <c r="R2559" s="81"/>
      <c r="S2559" s="57"/>
      <c r="T2559" s="82"/>
      <c r="U2559" s="82"/>
      <c r="V2559" s="57"/>
      <c r="W2559" s="57"/>
      <c r="X2559" s="57" t="str">
        <f t="shared" si="917"/>
        <v/>
      </c>
      <c r="Y2559" s="58" t="str">
        <f t="shared" ref="Y2559:AC2559" si="2399">TRIM(SUBSTITUTE(SUBSTITUTE(OFFSET($Q2559,0,COLUMN()-COLUMN($AL$1)),CHAR(160)," "),_xludf.UNICHAR(8239)," "))</f>
        <v>#NAME?</v>
      </c>
      <c r="Z2559" s="58" t="str">
        <f t="shared" si="2399"/>
        <v>#NAME?</v>
      </c>
      <c r="AA2559" s="58" t="str">
        <f t="shared" si="2399"/>
        <v>#NAME?</v>
      </c>
      <c r="AB2559" s="58" t="str">
        <f t="shared" si="2399"/>
        <v>#NAME?</v>
      </c>
      <c r="AC2559" s="58" t="str">
        <f t="shared" si="2399"/>
        <v>#NAME?</v>
      </c>
      <c r="AD2559" s="57">
        <f t="shared" si="906"/>
        <v>0</v>
      </c>
      <c r="AE2559" s="57" t="str">
        <f t="shared" si="907"/>
        <v/>
      </c>
      <c r="AF2559" s="57">
        <f t="shared" si="908"/>
        <v>0</v>
      </c>
      <c r="AG2559" s="59">
        <f t="shared" si="909"/>
        <v>0</v>
      </c>
      <c r="AH2559" s="15"/>
      <c r="AI2559" s="15"/>
      <c r="AJ2559" s="15"/>
      <c r="AK2559" s="15"/>
      <c r="AL2559" s="15"/>
      <c r="AM2559" s="15"/>
      <c r="AN2559" s="15"/>
      <c r="AO2559" s="15"/>
      <c r="AP2559" s="15"/>
      <c r="AQ2559" s="15"/>
      <c r="AR2559" s="15"/>
      <c r="AS2559" s="15"/>
      <c r="AT2559" s="15"/>
      <c r="AU2559" s="15"/>
    </row>
    <row r="2560" ht="24.0" customHeight="1">
      <c r="A2560" s="45">
        <v>3984.0</v>
      </c>
      <c r="B2560" s="57"/>
      <c r="C2560" s="57"/>
      <c r="D2560" s="88" t="str">
        <f t="array" ref="D2560">IFERROR(
  LOOKUP(2, 1/((TRIM(IMS!$E$8:$E$2574)=TRIM(IMS!$E2560))*(IMS!$C$8:$C$2574&lt;IMS!$C2560)),
         IMS!$C$8:$C$2574),
"")</f>
        <v/>
      </c>
      <c r="E2560" s="57"/>
      <c r="F2560" s="57"/>
      <c r="G2560" s="77" t="str">
        <f t="shared" si="901"/>
        <v/>
      </c>
      <c r="H2560" s="78" t="str">
        <f t="shared" si="902"/>
        <v/>
      </c>
      <c r="I2560" s="79"/>
      <c r="J2560" s="80" t="str">
        <f t="shared" si="903"/>
        <v>#NAME?</v>
      </c>
      <c r="K2560" s="58"/>
      <c r="L2560" s="58"/>
      <c r="M2560" s="57"/>
      <c r="N2560" s="57"/>
      <c r="O2560" s="58"/>
      <c r="P2560" s="82"/>
      <c r="Q2560" s="81"/>
      <c r="R2560" s="81"/>
      <c r="S2560" s="57"/>
      <c r="T2560" s="82"/>
      <c r="U2560" s="82"/>
      <c r="V2560" s="57"/>
      <c r="W2560" s="57"/>
      <c r="X2560" s="57" t="str">
        <f t="shared" si="917"/>
        <v/>
      </c>
      <c r="Y2560" s="58" t="str">
        <f t="shared" ref="Y2560:AC2560" si="2400">TRIM(SUBSTITUTE(SUBSTITUTE(OFFSET($Q2560,0,COLUMN()-COLUMN($AL$1)),CHAR(160)," "),_xludf.UNICHAR(8239)," "))</f>
        <v>#NAME?</v>
      </c>
      <c r="Z2560" s="58" t="str">
        <f t="shared" si="2400"/>
        <v>#NAME?</v>
      </c>
      <c r="AA2560" s="58" t="str">
        <f t="shared" si="2400"/>
        <v>#NAME?</v>
      </c>
      <c r="AB2560" s="58" t="str">
        <f t="shared" si="2400"/>
        <v>#NAME?</v>
      </c>
      <c r="AC2560" s="58" t="str">
        <f t="shared" si="2400"/>
        <v>#NAME?</v>
      </c>
      <c r="AD2560" s="57">
        <f t="shared" si="906"/>
        <v>0</v>
      </c>
      <c r="AE2560" s="57" t="str">
        <f t="shared" si="907"/>
        <v/>
      </c>
      <c r="AF2560" s="57">
        <f t="shared" si="908"/>
        <v>0</v>
      </c>
      <c r="AG2560" s="59">
        <f t="shared" si="909"/>
        <v>0</v>
      </c>
      <c r="AH2560" s="15"/>
      <c r="AI2560" s="15"/>
      <c r="AJ2560" s="15"/>
      <c r="AK2560" s="15"/>
      <c r="AL2560" s="15"/>
      <c r="AM2560" s="15"/>
      <c r="AN2560" s="15"/>
      <c r="AO2560" s="15"/>
      <c r="AP2560" s="15"/>
      <c r="AQ2560" s="15"/>
      <c r="AR2560" s="15"/>
      <c r="AS2560" s="15"/>
      <c r="AT2560" s="15"/>
      <c r="AU2560" s="15"/>
    </row>
    <row r="2561" ht="24.0" customHeight="1">
      <c r="A2561" s="45">
        <v>3985.0</v>
      </c>
      <c r="B2561" s="57"/>
      <c r="C2561" s="57"/>
      <c r="D2561" s="88" t="str">
        <f t="array" ref="D2561">IFERROR(
  LOOKUP(2, 1/((TRIM(IMS!$E$8:$E$2574)=TRIM(IMS!$E2561))*(IMS!$C$8:$C$2574&lt;IMS!$C2561)),
         IMS!$C$8:$C$2574),
"")</f>
        <v/>
      </c>
      <c r="E2561" s="57"/>
      <c r="F2561" s="57"/>
      <c r="G2561" s="77" t="str">
        <f t="shared" si="901"/>
        <v/>
      </c>
      <c r="H2561" s="78" t="str">
        <f t="shared" si="902"/>
        <v/>
      </c>
      <c r="I2561" s="79"/>
      <c r="J2561" s="80" t="str">
        <f t="shared" si="903"/>
        <v>#NAME?</v>
      </c>
      <c r="K2561" s="58"/>
      <c r="L2561" s="58"/>
      <c r="M2561" s="57"/>
      <c r="N2561" s="57"/>
      <c r="O2561" s="58"/>
      <c r="P2561" s="82"/>
      <c r="Q2561" s="81"/>
      <c r="R2561" s="81"/>
      <c r="S2561" s="57"/>
      <c r="T2561" s="82"/>
      <c r="U2561" s="82"/>
      <c r="V2561" s="57"/>
      <c r="W2561" s="57"/>
      <c r="X2561" s="57" t="str">
        <f t="shared" si="917"/>
        <v/>
      </c>
      <c r="Y2561" s="58" t="str">
        <f t="shared" ref="Y2561:AC2561" si="2401">TRIM(SUBSTITUTE(SUBSTITUTE(OFFSET($Q2561,0,COLUMN()-COLUMN($AL$1)),CHAR(160)," "),_xludf.UNICHAR(8239)," "))</f>
        <v>#NAME?</v>
      </c>
      <c r="Z2561" s="58" t="str">
        <f t="shared" si="2401"/>
        <v>#NAME?</v>
      </c>
      <c r="AA2561" s="58" t="str">
        <f t="shared" si="2401"/>
        <v>#NAME?</v>
      </c>
      <c r="AB2561" s="58" t="str">
        <f t="shared" si="2401"/>
        <v>#NAME?</v>
      </c>
      <c r="AC2561" s="58" t="str">
        <f t="shared" si="2401"/>
        <v>#NAME?</v>
      </c>
      <c r="AD2561" s="57">
        <f t="shared" si="906"/>
        <v>0</v>
      </c>
      <c r="AE2561" s="57" t="str">
        <f t="shared" si="907"/>
        <v/>
      </c>
      <c r="AF2561" s="57">
        <f t="shared" si="908"/>
        <v>0</v>
      </c>
      <c r="AG2561" s="59">
        <f t="shared" si="909"/>
        <v>0</v>
      </c>
      <c r="AH2561" s="15"/>
      <c r="AI2561" s="15"/>
      <c r="AJ2561" s="15"/>
      <c r="AK2561" s="15"/>
      <c r="AL2561" s="15"/>
      <c r="AM2561" s="15"/>
      <c r="AN2561" s="15"/>
      <c r="AO2561" s="15"/>
      <c r="AP2561" s="15"/>
      <c r="AQ2561" s="15"/>
      <c r="AR2561" s="15"/>
      <c r="AS2561" s="15"/>
      <c r="AT2561" s="15"/>
      <c r="AU2561" s="15"/>
    </row>
    <row r="2562" ht="24.0" customHeight="1">
      <c r="A2562" s="45">
        <v>3986.0</v>
      </c>
      <c r="B2562" s="57"/>
      <c r="C2562" s="57"/>
      <c r="D2562" s="88" t="str">
        <f t="array" ref="D2562">IFERROR(
  LOOKUP(2, 1/((TRIM(IMS!$E$8:$E$2574)=TRIM(IMS!$E2562))*(IMS!$C$8:$C$2574&lt;IMS!$C2562)),
         IMS!$C$8:$C$2574),
"")</f>
        <v/>
      </c>
      <c r="E2562" s="57"/>
      <c r="F2562" s="57"/>
      <c r="G2562" s="77" t="str">
        <f t="shared" si="901"/>
        <v/>
      </c>
      <c r="H2562" s="78" t="str">
        <f t="shared" si="902"/>
        <v/>
      </c>
      <c r="I2562" s="79"/>
      <c r="J2562" s="80" t="str">
        <f t="shared" si="903"/>
        <v>#NAME?</v>
      </c>
      <c r="K2562" s="58"/>
      <c r="L2562" s="58"/>
      <c r="M2562" s="57"/>
      <c r="N2562" s="57"/>
      <c r="O2562" s="58"/>
      <c r="P2562" s="82"/>
      <c r="Q2562" s="81"/>
      <c r="R2562" s="81"/>
      <c r="S2562" s="57"/>
      <c r="T2562" s="82"/>
      <c r="U2562" s="82"/>
      <c r="V2562" s="57"/>
      <c r="W2562" s="57"/>
      <c r="X2562" s="57" t="str">
        <f t="shared" si="917"/>
        <v/>
      </c>
      <c r="Y2562" s="58" t="str">
        <f t="shared" ref="Y2562:AC2562" si="2402">TRIM(SUBSTITUTE(SUBSTITUTE(OFFSET($Q2562,0,COLUMN()-COLUMN($AL$1)),CHAR(160)," "),_xludf.UNICHAR(8239)," "))</f>
        <v>#NAME?</v>
      </c>
      <c r="Z2562" s="58" t="str">
        <f t="shared" si="2402"/>
        <v>#NAME?</v>
      </c>
      <c r="AA2562" s="58" t="str">
        <f t="shared" si="2402"/>
        <v>#NAME?</v>
      </c>
      <c r="AB2562" s="58" t="str">
        <f t="shared" si="2402"/>
        <v>#NAME?</v>
      </c>
      <c r="AC2562" s="58" t="str">
        <f t="shared" si="2402"/>
        <v>#NAME?</v>
      </c>
      <c r="AD2562" s="57">
        <f t="shared" si="906"/>
        <v>0</v>
      </c>
      <c r="AE2562" s="57" t="str">
        <f t="shared" si="907"/>
        <v/>
      </c>
      <c r="AF2562" s="57">
        <f t="shared" si="908"/>
        <v>0</v>
      </c>
      <c r="AG2562" s="59">
        <f t="shared" si="909"/>
        <v>0</v>
      </c>
      <c r="AH2562" s="15"/>
      <c r="AI2562" s="15"/>
      <c r="AJ2562" s="15"/>
      <c r="AK2562" s="15"/>
      <c r="AL2562" s="15"/>
      <c r="AM2562" s="15"/>
      <c r="AN2562" s="15"/>
      <c r="AO2562" s="15"/>
      <c r="AP2562" s="15"/>
      <c r="AQ2562" s="15"/>
      <c r="AR2562" s="15"/>
      <c r="AS2562" s="15"/>
      <c r="AT2562" s="15"/>
      <c r="AU2562" s="15"/>
    </row>
    <row r="2563" ht="24.0" customHeight="1">
      <c r="A2563" s="45">
        <v>3987.0</v>
      </c>
      <c r="B2563" s="57"/>
      <c r="C2563" s="57"/>
      <c r="D2563" s="88" t="str">
        <f t="array" ref="D2563">IFERROR(
  LOOKUP(2, 1/((TRIM(IMS!$E$8:$E$2574)=TRIM(IMS!$E2563))*(IMS!$C$8:$C$2574&lt;IMS!$C2563)),
         IMS!$C$8:$C$2574),
"")</f>
        <v/>
      </c>
      <c r="E2563" s="57"/>
      <c r="F2563" s="57"/>
      <c r="G2563" s="77" t="str">
        <f t="shared" si="901"/>
        <v/>
      </c>
      <c r="H2563" s="78" t="str">
        <f t="shared" si="902"/>
        <v/>
      </c>
      <c r="I2563" s="79"/>
      <c r="J2563" s="80" t="str">
        <f t="shared" si="903"/>
        <v>#NAME?</v>
      </c>
      <c r="K2563" s="58"/>
      <c r="L2563" s="58"/>
      <c r="M2563" s="57"/>
      <c r="N2563" s="57"/>
      <c r="O2563" s="58"/>
      <c r="P2563" s="82"/>
      <c r="Q2563" s="81"/>
      <c r="R2563" s="81"/>
      <c r="S2563" s="57"/>
      <c r="T2563" s="82"/>
      <c r="U2563" s="82"/>
      <c r="V2563" s="57"/>
      <c r="W2563" s="57"/>
      <c r="X2563" s="57" t="str">
        <f t="shared" si="917"/>
        <v/>
      </c>
      <c r="Y2563" s="58" t="str">
        <f t="shared" ref="Y2563:AC2563" si="2403">TRIM(SUBSTITUTE(SUBSTITUTE(OFFSET($Q2563,0,COLUMN()-COLUMN($AL$1)),CHAR(160)," "),_xludf.UNICHAR(8239)," "))</f>
        <v>#NAME?</v>
      </c>
      <c r="Z2563" s="58" t="str">
        <f t="shared" si="2403"/>
        <v>#NAME?</v>
      </c>
      <c r="AA2563" s="58" t="str">
        <f t="shared" si="2403"/>
        <v>#NAME?</v>
      </c>
      <c r="AB2563" s="58" t="str">
        <f t="shared" si="2403"/>
        <v>#NAME?</v>
      </c>
      <c r="AC2563" s="58" t="str">
        <f t="shared" si="2403"/>
        <v>#NAME?</v>
      </c>
      <c r="AD2563" s="57">
        <f t="shared" si="906"/>
        <v>0</v>
      </c>
      <c r="AE2563" s="57" t="str">
        <f t="shared" si="907"/>
        <v/>
      </c>
      <c r="AF2563" s="57">
        <f t="shared" si="908"/>
        <v>0</v>
      </c>
      <c r="AG2563" s="59">
        <f t="shared" si="909"/>
        <v>0</v>
      </c>
      <c r="AH2563" s="15"/>
      <c r="AI2563" s="15"/>
      <c r="AJ2563" s="15"/>
      <c r="AK2563" s="15"/>
      <c r="AL2563" s="15"/>
      <c r="AM2563" s="15"/>
      <c r="AN2563" s="15"/>
      <c r="AO2563" s="15"/>
      <c r="AP2563" s="15"/>
      <c r="AQ2563" s="15"/>
      <c r="AR2563" s="15"/>
      <c r="AS2563" s="15"/>
      <c r="AT2563" s="15"/>
      <c r="AU2563" s="15"/>
    </row>
    <row r="2564" ht="24.0" customHeight="1">
      <c r="A2564" s="45">
        <v>3988.0</v>
      </c>
      <c r="B2564" s="57"/>
      <c r="C2564" s="57"/>
      <c r="D2564" s="88" t="str">
        <f t="array" ref="D2564">IFERROR(
  LOOKUP(2, 1/((TRIM(IMS!$E$8:$E$2574)=TRIM(IMS!$E2564))*(IMS!$C$8:$C$2574&lt;IMS!$C2564)),
         IMS!$C$8:$C$2574),
"")</f>
        <v/>
      </c>
      <c r="E2564" s="57"/>
      <c r="F2564" s="57"/>
      <c r="G2564" s="77" t="str">
        <f t="shared" si="901"/>
        <v/>
      </c>
      <c r="H2564" s="78" t="str">
        <f t="shared" si="902"/>
        <v/>
      </c>
      <c r="I2564" s="79"/>
      <c r="J2564" s="80" t="str">
        <f t="shared" si="903"/>
        <v>#NAME?</v>
      </c>
      <c r="K2564" s="58"/>
      <c r="L2564" s="58"/>
      <c r="M2564" s="57"/>
      <c r="N2564" s="57"/>
      <c r="O2564" s="58"/>
      <c r="P2564" s="82"/>
      <c r="Q2564" s="81"/>
      <c r="R2564" s="81"/>
      <c r="S2564" s="57"/>
      <c r="T2564" s="82"/>
      <c r="U2564" s="82"/>
      <c r="V2564" s="57"/>
      <c r="W2564" s="57"/>
      <c r="X2564" s="57" t="str">
        <f t="shared" si="917"/>
        <v/>
      </c>
      <c r="Y2564" s="58" t="str">
        <f t="shared" ref="Y2564:AC2564" si="2404">TRIM(SUBSTITUTE(SUBSTITUTE(OFFSET($Q2564,0,COLUMN()-COLUMN($AL$1)),CHAR(160)," "),_xludf.UNICHAR(8239)," "))</f>
        <v>#NAME?</v>
      </c>
      <c r="Z2564" s="58" t="str">
        <f t="shared" si="2404"/>
        <v>#NAME?</v>
      </c>
      <c r="AA2564" s="58" t="str">
        <f t="shared" si="2404"/>
        <v>#NAME?</v>
      </c>
      <c r="AB2564" s="58" t="str">
        <f t="shared" si="2404"/>
        <v>#NAME?</v>
      </c>
      <c r="AC2564" s="58" t="str">
        <f t="shared" si="2404"/>
        <v>#NAME?</v>
      </c>
      <c r="AD2564" s="57">
        <f t="shared" si="906"/>
        <v>0</v>
      </c>
      <c r="AE2564" s="57" t="str">
        <f t="shared" si="907"/>
        <v/>
      </c>
      <c r="AF2564" s="57">
        <f t="shared" si="908"/>
        <v>0</v>
      </c>
      <c r="AG2564" s="59">
        <f t="shared" si="909"/>
        <v>0</v>
      </c>
      <c r="AH2564" s="15"/>
      <c r="AI2564" s="15"/>
      <c r="AJ2564" s="15"/>
      <c r="AK2564" s="15"/>
      <c r="AL2564" s="15"/>
      <c r="AM2564" s="15"/>
      <c r="AN2564" s="15"/>
      <c r="AO2564" s="15"/>
      <c r="AP2564" s="15"/>
      <c r="AQ2564" s="15"/>
      <c r="AR2564" s="15"/>
      <c r="AS2564" s="15"/>
      <c r="AT2564" s="15"/>
      <c r="AU2564" s="15"/>
    </row>
    <row r="2565" ht="24.0" customHeight="1">
      <c r="A2565" s="45">
        <v>3989.0</v>
      </c>
      <c r="B2565" s="57"/>
      <c r="C2565" s="57"/>
      <c r="D2565" s="88" t="str">
        <f t="array" ref="D2565">IFERROR(
  LOOKUP(2, 1/((TRIM(IMS!$E$8:$E$2574)=TRIM(IMS!$E2565))*(IMS!$C$8:$C$2574&lt;IMS!$C2565)),
         IMS!$C$8:$C$2574),
"")</f>
        <v/>
      </c>
      <c r="E2565" s="57"/>
      <c r="F2565" s="57"/>
      <c r="G2565" s="77" t="str">
        <f t="shared" si="901"/>
        <v/>
      </c>
      <c r="H2565" s="78" t="str">
        <f t="shared" si="902"/>
        <v/>
      </c>
      <c r="I2565" s="79"/>
      <c r="J2565" s="80" t="str">
        <f t="shared" si="903"/>
        <v>#NAME?</v>
      </c>
      <c r="K2565" s="58"/>
      <c r="L2565" s="58"/>
      <c r="M2565" s="57"/>
      <c r="N2565" s="57"/>
      <c r="O2565" s="58"/>
      <c r="P2565" s="82"/>
      <c r="Q2565" s="81"/>
      <c r="R2565" s="81"/>
      <c r="S2565" s="57"/>
      <c r="T2565" s="82"/>
      <c r="U2565" s="82"/>
      <c r="V2565" s="57"/>
      <c r="W2565" s="57"/>
      <c r="X2565" s="57" t="str">
        <f t="shared" si="917"/>
        <v/>
      </c>
      <c r="Y2565" s="58" t="str">
        <f t="shared" ref="Y2565:AC2565" si="2405">TRIM(SUBSTITUTE(SUBSTITUTE(OFFSET($Q2565,0,COLUMN()-COLUMN($AL$1)),CHAR(160)," "),_xludf.UNICHAR(8239)," "))</f>
        <v>#NAME?</v>
      </c>
      <c r="Z2565" s="58" t="str">
        <f t="shared" si="2405"/>
        <v>#NAME?</v>
      </c>
      <c r="AA2565" s="58" t="str">
        <f t="shared" si="2405"/>
        <v>#NAME?</v>
      </c>
      <c r="AB2565" s="58" t="str">
        <f t="shared" si="2405"/>
        <v>#NAME?</v>
      </c>
      <c r="AC2565" s="58" t="str">
        <f t="shared" si="2405"/>
        <v>#NAME?</v>
      </c>
      <c r="AD2565" s="57">
        <f t="shared" si="906"/>
        <v>0</v>
      </c>
      <c r="AE2565" s="57" t="str">
        <f t="shared" si="907"/>
        <v/>
      </c>
      <c r="AF2565" s="57">
        <f t="shared" si="908"/>
        <v>0</v>
      </c>
      <c r="AG2565" s="59">
        <f t="shared" si="909"/>
        <v>0</v>
      </c>
      <c r="AH2565" s="15"/>
      <c r="AI2565" s="15"/>
      <c r="AJ2565" s="15"/>
      <c r="AK2565" s="15"/>
      <c r="AL2565" s="15"/>
      <c r="AM2565" s="15"/>
      <c r="AN2565" s="15"/>
      <c r="AO2565" s="15"/>
      <c r="AP2565" s="15"/>
      <c r="AQ2565" s="15"/>
      <c r="AR2565" s="15"/>
      <c r="AS2565" s="15"/>
      <c r="AT2565" s="15"/>
      <c r="AU2565" s="15"/>
    </row>
    <row r="2566" ht="24.0" customHeight="1">
      <c r="A2566" s="45">
        <v>3990.0</v>
      </c>
      <c r="B2566" s="57"/>
      <c r="C2566" s="57"/>
      <c r="D2566" s="88" t="str">
        <f t="array" ref="D2566">IFERROR(
  LOOKUP(2, 1/((TRIM(IMS!$E$8:$E$2574)=TRIM(IMS!$E2566))*(IMS!$C$8:$C$2574&lt;IMS!$C2566)),
         IMS!$C$8:$C$2574),
"")</f>
        <v/>
      </c>
      <c r="E2566" s="57"/>
      <c r="F2566" s="57"/>
      <c r="G2566" s="77" t="str">
        <f t="shared" si="901"/>
        <v/>
      </c>
      <c r="H2566" s="78" t="str">
        <f t="shared" si="902"/>
        <v/>
      </c>
      <c r="I2566" s="79"/>
      <c r="J2566" s="80" t="str">
        <f t="shared" si="903"/>
        <v>#NAME?</v>
      </c>
      <c r="K2566" s="58"/>
      <c r="L2566" s="58"/>
      <c r="M2566" s="57"/>
      <c r="N2566" s="57"/>
      <c r="O2566" s="58"/>
      <c r="P2566" s="82"/>
      <c r="Q2566" s="81"/>
      <c r="R2566" s="81"/>
      <c r="S2566" s="57"/>
      <c r="T2566" s="82"/>
      <c r="U2566" s="82"/>
      <c r="V2566" s="57"/>
      <c r="W2566" s="57"/>
      <c r="X2566" s="57" t="str">
        <f t="shared" si="917"/>
        <v/>
      </c>
      <c r="Y2566" s="58" t="str">
        <f t="shared" ref="Y2566:AC2566" si="2406">TRIM(SUBSTITUTE(SUBSTITUTE(OFFSET($Q2566,0,COLUMN()-COLUMN($AL$1)),CHAR(160)," "),_xludf.UNICHAR(8239)," "))</f>
        <v>#NAME?</v>
      </c>
      <c r="Z2566" s="58" t="str">
        <f t="shared" si="2406"/>
        <v>#NAME?</v>
      </c>
      <c r="AA2566" s="58" t="str">
        <f t="shared" si="2406"/>
        <v>#NAME?</v>
      </c>
      <c r="AB2566" s="58" t="str">
        <f t="shared" si="2406"/>
        <v>#NAME?</v>
      </c>
      <c r="AC2566" s="58" t="str">
        <f t="shared" si="2406"/>
        <v>#NAME?</v>
      </c>
      <c r="AD2566" s="57">
        <f t="shared" si="906"/>
        <v>0</v>
      </c>
      <c r="AE2566" s="57" t="str">
        <f t="shared" si="907"/>
        <v/>
      </c>
      <c r="AF2566" s="57">
        <f t="shared" si="908"/>
        <v>0</v>
      </c>
      <c r="AG2566" s="59">
        <f t="shared" si="909"/>
        <v>0</v>
      </c>
      <c r="AH2566" s="15"/>
      <c r="AI2566" s="15"/>
      <c r="AJ2566" s="15"/>
      <c r="AK2566" s="15"/>
      <c r="AL2566" s="15"/>
      <c r="AM2566" s="15"/>
      <c r="AN2566" s="15"/>
      <c r="AO2566" s="15"/>
      <c r="AP2566" s="15"/>
      <c r="AQ2566" s="15"/>
      <c r="AR2566" s="15"/>
      <c r="AS2566" s="15"/>
      <c r="AT2566" s="15"/>
      <c r="AU2566" s="15"/>
    </row>
    <row r="2567" ht="24.0" customHeight="1">
      <c r="A2567" s="45">
        <v>3991.0</v>
      </c>
      <c r="B2567" s="57"/>
      <c r="C2567" s="57"/>
      <c r="D2567" s="88" t="str">
        <f t="array" ref="D2567">IFERROR(
  LOOKUP(2, 1/((TRIM(IMS!$E$8:$E$2574)=TRIM(IMS!$E2567))*(IMS!$C$8:$C$2574&lt;IMS!$C2567)),
         IMS!$C$8:$C$2574),
"")</f>
        <v/>
      </c>
      <c r="E2567" s="57"/>
      <c r="F2567" s="57"/>
      <c r="G2567" s="77" t="str">
        <f t="shared" si="901"/>
        <v/>
      </c>
      <c r="H2567" s="78" t="str">
        <f t="shared" si="902"/>
        <v/>
      </c>
      <c r="I2567" s="79"/>
      <c r="J2567" s="80" t="str">
        <f t="shared" si="903"/>
        <v>#NAME?</v>
      </c>
      <c r="K2567" s="58"/>
      <c r="L2567" s="58"/>
      <c r="M2567" s="57"/>
      <c r="N2567" s="57"/>
      <c r="O2567" s="58"/>
      <c r="P2567" s="82"/>
      <c r="Q2567" s="81"/>
      <c r="R2567" s="81"/>
      <c r="S2567" s="57"/>
      <c r="T2567" s="82"/>
      <c r="U2567" s="82"/>
      <c r="V2567" s="57"/>
      <c r="W2567" s="57"/>
      <c r="X2567" s="57" t="str">
        <f t="shared" si="917"/>
        <v/>
      </c>
      <c r="Y2567" s="58" t="str">
        <f t="shared" ref="Y2567:AC2567" si="2407">TRIM(SUBSTITUTE(SUBSTITUTE(OFFSET($Q2567,0,COLUMN()-COLUMN($AL$1)),CHAR(160)," "),_xludf.UNICHAR(8239)," "))</f>
        <v>#NAME?</v>
      </c>
      <c r="Z2567" s="58" t="str">
        <f t="shared" si="2407"/>
        <v>#NAME?</v>
      </c>
      <c r="AA2567" s="58" t="str">
        <f t="shared" si="2407"/>
        <v>#NAME?</v>
      </c>
      <c r="AB2567" s="58" t="str">
        <f t="shared" si="2407"/>
        <v>#NAME?</v>
      </c>
      <c r="AC2567" s="58" t="str">
        <f t="shared" si="2407"/>
        <v>#NAME?</v>
      </c>
      <c r="AD2567" s="57">
        <f t="shared" si="906"/>
        <v>0</v>
      </c>
      <c r="AE2567" s="57" t="str">
        <f t="shared" si="907"/>
        <v/>
      </c>
      <c r="AF2567" s="57">
        <f t="shared" si="908"/>
        <v>0</v>
      </c>
      <c r="AG2567" s="59">
        <f t="shared" si="909"/>
        <v>0</v>
      </c>
      <c r="AH2567" s="15"/>
      <c r="AI2567" s="15"/>
      <c r="AJ2567" s="15"/>
      <c r="AK2567" s="15"/>
      <c r="AL2567" s="15"/>
      <c r="AM2567" s="15"/>
      <c r="AN2567" s="15"/>
      <c r="AO2567" s="15"/>
      <c r="AP2567" s="15"/>
      <c r="AQ2567" s="15"/>
      <c r="AR2567" s="15"/>
      <c r="AS2567" s="15"/>
      <c r="AT2567" s="15"/>
      <c r="AU2567" s="15"/>
    </row>
    <row r="2568" ht="24.0" customHeight="1">
      <c r="A2568" s="45">
        <v>3992.0</v>
      </c>
      <c r="B2568" s="57"/>
      <c r="C2568" s="57"/>
      <c r="D2568" s="88" t="str">
        <f t="array" ref="D2568">IFERROR(
  LOOKUP(2, 1/((TRIM(IMS!$E$8:$E$2574)=TRIM(IMS!$E2568))*(IMS!$C$8:$C$2574&lt;IMS!$C2568)),
         IMS!$C$8:$C$2574),
"")</f>
        <v/>
      </c>
      <c r="E2568" s="57"/>
      <c r="F2568" s="57"/>
      <c r="G2568" s="77" t="str">
        <f t="shared" si="901"/>
        <v/>
      </c>
      <c r="H2568" s="78" t="str">
        <f t="shared" si="902"/>
        <v/>
      </c>
      <c r="I2568" s="79"/>
      <c r="J2568" s="80" t="str">
        <f t="shared" si="903"/>
        <v>#NAME?</v>
      </c>
      <c r="K2568" s="58"/>
      <c r="L2568" s="58"/>
      <c r="M2568" s="57"/>
      <c r="N2568" s="57"/>
      <c r="O2568" s="58"/>
      <c r="P2568" s="82"/>
      <c r="Q2568" s="81"/>
      <c r="R2568" s="81"/>
      <c r="S2568" s="57"/>
      <c r="T2568" s="82"/>
      <c r="U2568" s="82"/>
      <c r="V2568" s="57"/>
      <c r="W2568" s="57"/>
      <c r="X2568" s="57" t="str">
        <f t="shared" si="917"/>
        <v/>
      </c>
      <c r="Y2568" s="58" t="str">
        <f t="shared" ref="Y2568:AC2568" si="2408">TRIM(SUBSTITUTE(SUBSTITUTE(OFFSET($Q2568,0,COLUMN()-COLUMN($AL$1)),CHAR(160)," "),_xludf.UNICHAR(8239)," "))</f>
        <v>#NAME?</v>
      </c>
      <c r="Z2568" s="58" t="str">
        <f t="shared" si="2408"/>
        <v>#NAME?</v>
      </c>
      <c r="AA2568" s="58" t="str">
        <f t="shared" si="2408"/>
        <v>#NAME?</v>
      </c>
      <c r="AB2568" s="58" t="str">
        <f t="shared" si="2408"/>
        <v>#NAME?</v>
      </c>
      <c r="AC2568" s="58" t="str">
        <f t="shared" si="2408"/>
        <v>#NAME?</v>
      </c>
      <c r="AD2568" s="57">
        <f t="shared" si="906"/>
        <v>0</v>
      </c>
      <c r="AE2568" s="57" t="str">
        <f t="shared" si="907"/>
        <v/>
      </c>
      <c r="AF2568" s="57">
        <f t="shared" si="908"/>
        <v>0</v>
      </c>
      <c r="AG2568" s="59">
        <f t="shared" si="909"/>
        <v>0</v>
      </c>
      <c r="AH2568" s="15"/>
      <c r="AI2568" s="15"/>
      <c r="AJ2568" s="15"/>
      <c r="AK2568" s="15"/>
      <c r="AL2568" s="15"/>
      <c r="AM2568" s="15"/>
      <c r="AN2568" s="15"/>
      <c r="AO2568" s="15"/>
      <c r="AP2568" s="15"/>
      <c r="AQ2568" s="15"/>
      <c r="AR2568" s="15"/>
      <c r="AS2568" s="15"/>
      <c r="AT2568" s="15"/>
      <c r="AU2568" s="15"/>
    </row>
    <row r="2569" ht="24.0" customHeight="1">
      <c r="A2569" s="45">
        <v>3993.0</v>
      </c>
      <c r="B2569" s="57"/>
      <c r="C2569" s="57"/>
      <c r="D2569" s="88" t="str">
        <f t="array" ref="D2569">IFERROR(
  LOOKUP(2, 1/((TRIM(IMS!$E$8:$E$2574)=TRIM(IMS!$E2569))*(IMS!$C$8:$C$2574&lt;IMS!$C2569)),
         IMS!$C$8:$C$2574),
"")</f>
        <v/>
      </c>
      <c r="E2569" s="57"/>
      <c r="F2569" s="57"/>
      <c r="G2569" s="77" t="str">
        <f t="shared" si="901"/>
        <v/>
      </c>
      <c r="H2569" s="78" t="str">
        <f t="shared" si="902"/>
        <v/>
      </c>
      <c r="I2569" s="79"/>
      <c r="J2569" s="80" t="str">
        <f t="shared" si="903"/>
        <v>#NAME?</v>
      </c>
      <c r="K2569" s="58"/>
      <c r="L2569" s="58"/>
      <c r="M2569" s="57"/>
      <c r="N2569" s="57"/>
      <c r="O2569" s="58"/>
      <c r="P2569" s="82"/>
      <c r="Q2569" s="81"/>
      <c r="R2569" s="81"/>
      <c r="S2569" s="57"/>
      <c r="T2569" s="82"/>
      <c r="U2569" s="82"/>
      <c r="V2569" s="57"/>
      <c r="W2569" s="57"/>
      <c r="X2569" s="57" t="str">
        <f t="shared" si="917"/>
        <v/>
      </c>
      <c r="Y2569" s="58" t="str">
        <f t="shared" ref="Y2569:AC2569" si="2409">TRIM(SUBSTITUTE(SUBSTITUTE(OFFSET($Q2569,0,COLUMN()-COLUMN($AL$1)),CHAR(160)," "),_xludf.UNICHAR(8239)," "))</f>
        <v>#NAME?</v>
      </c>
      <c r="Z2569" s="58" t="str">
        <f t="shared" si="2409"/>
        <v>#NAME?</v>
      </c>
      <c r="AA2569" s="58" t="str">
        <f t="shared" si="2409"/>
        <v>#NAME?</v>
      </c>
      <c r="AB2569" s="58" t="str">
        <f t="shared" si="2409"/>
        <v>#NAME?</v>
      </c>
      <c r="AC2569" s="58" t="str">
        <f t="shared" si="2409"/>
        <v>#NAME?</v>
      </c>
      <c r="AD2569" s="57">
        <f t="shared" si="906"/>
        <v>0</v>
      </c>
      <c r="AE2569" s="57" t="str">
        <f t="shared" si="907"/>
        <v/>
      </c>
      <c r="AF2569" s="57">
        <f t="shared" si="908"/>
        <v>0</v>
      </c>
      <c r="AG2569" s="59">
        <f t="shared" si="909"/>
        <v>0</v>
      </c>
      <c r="AH2569" s="15"/>
      <c r="AI2569" s="15"/>
      <c r="AJ2569" s="15"/>
      <c r="AK2569" s="15"/>
      <c r="AL2569" s="15"/>
      <c r="AM2569" s="15"/>
      <c r="AN2569" s="15"/>
      <c r="AO2569" s="15"/>
      <c r="AP2569" s="15"/>
      <c r="AQ2569" s="15"/>
      <c r="AR2569" s="15"/>
      <c r="AS2569" s="15"/>
      <c r="AT2569" s="15"/>
      <c r="AU2569" s="15"/>
    </row>
    <row r="2570" ht="24.0" customHeight="1">
      <c r="A2570" s="45">
        <v>3994.0</v>
      </c>
      <c r="B2570" s="57"/>
      <c r="C2570" s="57"/>
      <c r="D2570" s="88" t="str">
        <f t="array" ref="D2570">IFERROR(
  LOOKUP(2, 1/((TRIM(IMS!$E$8:$E$2574)=TRIM(IMS!$E2570))*(IMS!$C$8:$C$2574&lt;IMS!$C2570)),
         IMS!$C$8:$C$2574),
"")</f>
        <v/>
      </c>
      <c r="E2570" s="57"/>
      <c r="F2570" s="57"/>
      <c r="G2570" s="77" t="str">
        <f t="shared" si="901"/>
        <v/>
      </c>
      <c r="H2570" s="78" t="str">
        <f t="shared" si="902"/>
        <v/>
      </c>
      <c r="I2570" s="79"/>
      <c r="J2570" s="80" t="str">
        <f t="shared" si="903"/>
        <v>#NAME?</v>
      </c>
      <c r="K2570" s="58"/>
      <c r="L2570" s="58"/>
      <c r="M2570" s="57"/>
      <c r="N2570" s="57"/>
      <c r="O2570" s="58"/>
      <c r="P2570" s="82"/>
      <c r="Q2570" s="81"/>
      <c r="R2570" s="81"/>
      <c r="S2570" s="57"/>
      <c r="T2570" s="82"/>
      <c r="U2570" s="82"/>
      <c r="V2570" s="57"/>
      <c r="W2570" s="57"/>
      <c r="X2570" s="57" t="str">
        <f t="shared" si="917"/>
        <v/>
      </c>
      <c r="Y2570" s="58" t="str">
        <f t="shared" ref="Y2570:AC2570" si="2410">TRIM(SUBSTITUTE(SUBSTITUTE(OFFSET($Q2570,0,COLUMN()-COLUMN($AL$1)),CHAR(160)," "),_xludf.UNICHAR(8239)," "))</f>
        <v>#NAME?</v>
      </c>
      <c r="Z2570" s="58" t="str">
        <f t="shared" si="2410"/>
        <v>#NAME?</v>
      </c>
      <c r="AA2570" s="58" t="str">
        <f t="shared" si="2410"/>
        <v>#NAME?</v>
      </c>
      <c r="AB2570" s="58" t="str">
        <f t="shared" si="2410"/>
        <v>#NAME?</v>
      </c>
      <c r="AC2570" s="58" t="str">
        <f t="shared" si="2410"/>
        <v>#NAME?</v>
      </c>
      <c r="AD2570" s="57">
        <f t="shared" si="906"/>
        <v>0</v>
      </c>
      <c r="AE2570" s="57" t="str">
        <f t="shared" si="907"/>
        <v/>
      </c>
      <c r="AF2570" s="57">
        <f t="shared" si="908"/>
        <v>0</v>
      </c>
      <c r="AG2570" s="59">
        <f t="shared" si="909"/>
        <v>0</v>
      </c>
      <c r="AH2570" s="15"/>
      <c r="AI2570" s="15"/>
      <c r="AJ2570" s="15"/>
      <c r="AK2570" s="15"/>
      <c r="AL2570" s="15"/>
      <c r="AM2570" s="15"/>
      <c r="AN2570" s="15"/>
      <c r="AO2570" s="15"/>
      <c r="AP2570" s="15"/>
      <c r="AQ2570" s="15"/>
      <c r="AR2570" s="15"/>
      <c r="AS2570" s="15"/>
      <c r="AT2570" s="15"/>
      <c r="AU2570" s="15"/>
    </row>
    <row r="2571" ht="24.0" customHeight="1">
      <c r="A2571" s="45">
        <v>3995.0</v>
      </c>
      <c r="B2571" s="57"/>
      <c r="C2571" s="57"/>
      <c r="D2571" s="88" t="str">
        <f t="array" ref="D2571">IFERROR(
  LOOKUP(2, 1/((TRIM(IMS!$E$8:$E$2574)=TRIM(IMS!$E2571))*(IMS!$C$8:$C$2574&lt;IMS!$C2571)),
         IMS!$C$8:$C$2574),
"")</f>
        <v/>
      </c>
      <c r="E2571" s="57"/>
      <c r="F2571" s="57"/>
      <c r="G2571" s="77" t="str">
        <f t="shared" si="901"/>
        <v/>
      </c>
      <c r="H2571" s="78" t="str">
        <f t="shared" si="902"/>
        <v/>
      </c>
      <c r="I2571" s="79"/>
      <c r="J2571" s="80" t="str">
        <f t="shared" si="903"/>
        <v>#NAME?</v>
      </c>
      <c r="K2571" s="58"/>
      <c r="L2571" s="58"/>
      <c r="M2571" s="57"/>
      <c r="N2571" s="57"/>
      <c r="O2571" s="58"/>
      <c r="P2571" s="82"/>
      <c r="Q2571" s="81"/>
      <c r="R2571" s="81"/>
      <c r="S2571" s="57"/>
      <c r="T2571" s="82"/>
      <c r="U2571" s="82"/>
      <c r="V2571" s="57"/>
      <c r="W2571" s="57"/>
      <c r="X2571" s="57" t="str">
        <f t="shared" si="917"/>
        <v/>
      </c>
      <c r="Y2571" s="58" t="str">
        <f t="shared" ref="Y2571:AC2571" si="2411">TRIM(SUBSTITUTE(SUBSTITUTE(OFFSET($Q2571,0,COLUMN()-COLUMN($AL$1)),CHAR(160)," "),_xludf.UNICHAR(8239)," "))</f>
        <v>#NAME?</v>
      </c>
      <c r="Z2571" s="58" t="str">
        <f t="shared" si="2411"/>
        <v>#NAME?</v>
      </c>
      <c r="AA2571" s="58" t="str">
        <f t="shared" si="2411"/>
        <v>#NAME?</v>
      </c>
      <c r="AB2571" s="58" t="str">
        <f t="shared" si="2411"/>
        <v>#NAME?</v>
      </c>
      <c r="AC2571" s="58" t="str">
        <f t="shared" si="2411"/>
        <v>#NAME?</v>
      </c>
      <c r="AD2571" s="57">
        <f t="shared" si="906"/>
        <v>0</v>
      </c>
      <c r="AE2571" s="57" t="str">
        <f t="shared" si="907"/>
        <v/>
      </c>
      <c r="AF2571" s="57">
        <f t="shared" si="908"/>
        <v>0</v>
      </c>
      <c r="AG2571" s="59">
        <f t="shared" si="909"/>
        <v>0</v>
      </c>
      <c r="AH2571" s="15"/>
      <c r="AI2571" s="15"/>
      <c r="AJ2571" s="15"/>
      <c r="AK2571" s="15"/>
      <c r="AL2571" s="15"/>
      <c r="AM2571" s="15"/>
      <c r="AN2571" s="15"/>
      <c r="AO2571" s="15"/>
      <c r="AP2571" s="15"/>
      <c r="AQ2571" s="15"/>
      <c r="AR2571" s="15"/>
      <c r="AS2571" s="15"/>
      <c r="AT2571" s="15"/>
      <c r="AU2571" s="15"/>
    </row>
    <row r="2572" ht="24.0" customHeight="1">
      <c r="A2572" s="45">
        <v>3996.0</v>
      </c>
      <c r="B2572" s="57"/>
      <c r="C2572" s="57"/>
      <c r="D2572" s="88" t="str">
        <f t="array" ref="D2572">IFERROR(
  LOOKUP(2, 1/((TRIM(IMS!$E$8:$E$2574)=TRIM(IMS!$E2572))*(IMS!$C$8:$C$2574&lt;IMS!$C2572)),
         IMS!$C$8:$C$2574),
"")</f>
        <v/>
      </c>
      <c r="E2572" s="57"/>
      <c r="F2572" s="57"/>
      <c r="G2572" s="77" t="str">
        <f t="shared" si="901"/>
        <v/>
      </c>
      <c r="H2572" s="78" t="str">
        <f t="shared" si="902"/>
        <v/>
      </c>
      <c r="I2572" s="79"/>
      <c r="J2572" s="80" t="str">
        <f t="shared" si="903"/>
        <v>#NAME?</v>
      </c>
      <c r="K2572" s="58"/>
      <c r="L2572" s="58"/>
      <c r="M2572" s="57"/>
      <c r="N2572" s="57"/>
      <c r="O2572" s="58"/>
      <c r="P2572" s="82"/>
      <c r="Q2572" s="81"/>
      <c r="R2572" s="81"/>
      <c r="S2572" s="57"/>
      <c r="T2572" s="82"/>
      <c r="U2572" s="82"/>
      <c r="V2572" s="57"/>
      <c r="W2572" s="57"/>
      <c r="X2572" s="57" t="str">
        <f t="shared" si="917"/>
        <v/>
      </c>
      <c r="Y2572" s="58" t="str">
        <f t="shared" ref="Y2572:AC2572" si="2412">TRIM(SUBSTITUTE(SUBSTITUTE(OFFSET($Q2572,0,COLUMN()-COLUMN($AL$1)),CHAR(160)," "),_xludf.UNICHAR(8239)," "))</f>
        <v>#NAME?</v>
      </c>
      <c r="Z2572" s="58" t="str">
        <f t="shared" si="2412"/>
        <v>#NAME?</v>
      </c>
      <c r="AA2572" s="58" t="str">
        <f t="shared" si="2412"/>
        <v>#NAME?</v>
      </c>
      <c r="AB2572" s="58" t="str">
        <f t="shared" si="2412"/>
        <v>#NAME?</v>
      </c>
      <c r="AC2572" s="58" t="str">
        <f t="shared" si="2412"/>
        <v>#NAME?</v>
      </c>
      <c r="AD2572" s="57">
        <f t="shared" si="906"/>
        <v>0</v>
      </c>
      <c r="AE2572" s="57" t="str">
        <f t="shared" si="907"/>
        <v/>
      </c>
      <c r="AF2572" s="57">
        <f t="shared" si="908"/>
        <v>0</v>
      </c>
      <c r="AG2572" s="59">
        <f t="shared" si="909"/>
        <v>0</v>
      </c>
      <c r="AH2572" s="15"/>
      <c r="AI2572" s="15"/>
      <c r="AJ2572" s="15"/>
      <c r="AK2572" s="15"/>
      <c r="AL2572" s="15"/>
      <c r="AM2572" s="15"/>
      <c r="AN2572" s="15"/>
      <c r="AO2572" s="15"/>
      <c r="AP2572" s="15"/>
      <c r="AQ2572" s="15"/>
      <c r="AR2572" s="15"/>
      <c r="AS2572" s="15"/>
      <c r="AT2572" s="15"/>
      <c r="AU2572" s="15"/>
    </row>
    <row r="2573" ht="24.0" customHeight="1">
      <c r="A2573" s="45">
        <v>3997.0</v>
      </c>
      <c r="B2573" s="57"/>
      <c r="C2573" s="57"/>
      <c r="D2573" s="88" t="str">
        <f t="array" ref="D2573">IFERROR(
  LOOKUP(2, 1/((TRIM(IMS!$E$8:$E$2574)=TRIM(IMS!$E2573))*(IMS!$C$8:$C$2574&lt;IMS!$C2573)),
         IMS!$C$8:$C$2574),
"")</f>
        <v/>
      </c>
      <c r="E2573" s="57"/>
      <c r="F2573" s="57"/>
      <c r="G2573" s="77" t="str">
        <f t="shared" si="901"/>
        <v/>
      </c>
      <c r="H2573" s="78" t="str">
        <f t="shared" si="902"/>
        <v/>
      </c>
      <c r="I2573" s="79"/>
      <c r="J2573" s="80" t="str">
        <f t="shared" si="903"/>
        <v>#NAME?</v>
      </c>
      <c r="K2573" s="58"/>
      <c r="L2573" s="58"/>
      <c r="M2573" s="57"/>
      <c r="N2573" s="57"/>
      <c r="O2573" s="58"/>
      <c r="P2573" s="82"/>
      <c r="Q2573" s="81"/>
      <c r="R2573" s="81"/>
      <c r="S2573" s="57"/>
      <c r="T2573" s="82"/>
      <c r="U2573" s="82"/>
      <c r="V2573" s="57"/>
      <c r="W2573" s="57"/>
      <c r="X2573" s="57" t="str">
        <f t="shared" si="917"/>
        <v/>
      </c>
      <c r="Y2573" s="58" t="str">
        <f t="shared" ref="Y2573:AC2573" si="2413">TRIM(SUBSTITUTE(SUBSTITUTE(OFFSET($Q2573,0,COLUMN()-COLUMN($AL$1)),CHAR(160)," "),_xludf.UNICHAR(8239)," "))</f>
        <v>#NAME?</v>
      </c>
      <c r="Z2573" s="58" t="str">
        <f t="shared" si="2413"/>
        <v>#NAME?</v>
      </c>
      <c r="AA2573" s="58" t="str">
        <f t="shared" si="2413"/>
        <v>#NAME?</v>
      </c>
      <c r="AB2573" s="58" t="str">
        <f t="shared" si="2413"/>
        <v>#NAME?</v>
      </c>
      <c r="AC2573" s="58" t="str">
        <f t="shared" si="2413"/>
        <v>#NAME?</v>
      </c>
      <c r="AD2573" s="57">
        <f t="shared" si="906"/>
        <v>0</v>
      </c>
      <c r="AE2573" s="57" t="str">
        <f t="shared" si="907"/>
        <v/>
      </c>
      <c r="AF2573" s="57">
        <f t="shared" si="908"/>
        <v>0</v>
      </c>
      <c r="AG2573" s="59">
        <f t="shared" si="909"/>
        <v>0</v>
      </c>
      <c r="AH2573" s="15"/>
      <c r="AI2573" s="15"/>
      <c r="AJ2573" s="15"/>
      <c r="AK2573" s="15"/>
      <c r="AL2573" s="15"/>
      <c r="AM2573" s="15"/>
      <c r="AN2573" s="15"/>
      <c r="AO2573" s="15"/>
      <c r="AP2573" s="15"/>
      <c r="AQ2573" s="15"/>
      <c r="AR2573" s="15"/>
      <c r="AS2573" s="15"/>
      <c r="AT2573" s="15"/>
      <c r="AU2573" s="15"/>
    </row>
    <row r="2574" ht="24.0" customHeight="1">
      <c r="A2574" s="45">
        <v>3998.0</v>
      </c>
      <c r="B2574" s="57"/>
      <c r="C2574" s="57"/>
      <c r="D2574" s="88" t="str">
        <f t="array" ref="D2574">IFERROR(
  LOOKUP(2, 1/((TRIM(IMS!$E$8:$E$2574)=TRIM(IMS!$E2574))*(IMS!$C$8:$C$2574&lt;IMS!$C2574)),
         IMS!$C$8:$C$2574),
"")</f>
        <v/>
      </c>
      <c r="E2574" s="57"/>
      <c r="F2574" s="57"/>
      <c r="G2574" s="77" t="str">
        <f t="shared" si="901"/>
        <v/>
      </c>
      <c r="H2574" s="78" t="str">
        <f t="shared" si="902"/>
        <v/>
      </c>
      <c r="I2574" s="79"/>
      <c r="J2574" s="89" t="str">
        <f t="shared" si="903"/>
        <v>#NAME?</v>
      </c>
      <c r="K2574" s="90"/>
      <c r="L2574" s="90"/>
      <c r="M2574" s="91"/>
      <c r="N2574" s="91"/>
      <c r="O2574" s="90"/>
      <c r="P2574" s="92"/>
      <c r="Q2574" s="93"/>
      <c r="R2574" s="93"/>
      <c r="S2574" s="91"/>
      <c r="T2574" s="92"/>
      <c r="U2574" s="92"/>
      <c r="V2574" s="91"/>
      <c r="W2574" s="91"/>
      <c r="X2574" s="91" t="str">
        <f t="shared" si="917"/>
        <v/>
      </c>
      <c r="Y2574" s="90" t="str">
        <f t="shared" ref="Y2574:AC2574" si="2414">TRIM(SUBSTITUTE(SUBSTITUTE(OFFSET($Q2574,0,COLUMN()-COLUMN($AL$1)),CHAR(160)," "),_xludf.UNICHAR(8239)," "))</f>
        <v>#NAME?</v>
      </c>
      <c r="Z2574" s="90" t="str">
        <f t="shared" si="2414"/>
        <v>#NAME?</v>
      </c>
      <c r="AA2574" s="90" t="str">
        <f t="shared" si="2414"/>
        <v>#NAME?</v>
      </c>
      <c r="AB2574" s="90" t="str">
        <f t="shared" si="2414"/>
        <v>#NAME?</v>
      </c>
      <c r="AC2574" s="90" t="str">
        <f t="shared" si="2414"/>
        <v>#NAME?</v>
      </c>
      <c r="AD2574" s="91">
        <f t="shared" si="906"/>
        <v>0</v>
      </c>
      <c r="AE2574" s="91" t="str">
        <f t="shared" si="907"/>
        <v/>
      </c>
      <c r="AF2574" s="91">
        <f t="shared" si="908"/>
        <v>0</v>
      </c>
      <c r="AG2574" s="94">
        <f t="shared" si="909"/>
        <v>0</v>
      </c>
      <c r="AH2574" s="15"/>
      <c r="AI2574" s="15"/>
      <c r="AJ2574" s="15"/>
      <c r="AK2574" s="15"/>
      <c r="AL2574" s="15"/>
      <c r="AM2574" s="15"/>
      <c r="AN2574" s="15"/>
      <c r="AO2574" s="15"/>
      <c r="AP2574" s="15"/>
      <c r="AQ2574" s="15"/>
      <c r="AR2574" s="15"/>
      <c r="AS2574" s="15"/>
      <c r="AT2574" s="15"/>
      <c r="AU2574" s="15"/>
    </row>
    <row r="2575" ht="24.0" customHeight="1">
      <c r="A2575" s="95"/>
      <c r="B2575" s="15"/>
      <c r="C2575" s="15"/>
      <c r="D2575" s="15"/>
      <c r="E2575" s="15"/>
      <c r="F2575" s="96"/>
      <c r="G2575" s="15"/>
      <c r="H2575" s="15"/>
      <c r="I2575" s="15"/>
      <c r="J2575" s="15"/>
      <c r="K2575" s="15"/>
      <c r="L2575" s="15"/>
      <c r="M2575" s="15"/>
      <c r="N2575" s="15"/>
      <c r="O2575" s="15"/>
      <c r="P2575" s="15"/>
      <c r="Q2575" s="15"/>
      <c r="R2575" s="15"/>
      <c r="S2575" s="15"/>
      <c r="T2575" s="15"/>
      <c r="U2575" s="15"/>
      <c r="V2575" s="15"/>
      <c r="W2575" s="15" t="s">
        <v>780</v>
      </c>
      <c r="X2575" s="15"/>
      <c r="Y2575" s="15"/>
      <c r="Z2575" s="15"/>
      <c r="AA2575" s="15"/>
      <c r="AB2575" s="15"/>
      <c r="AC2575" s="15"/>
      <c r="AD2575" s="15"/>
      <c r="AE2575" s="15"/>
      <c r="AF2575" s="15"/>
      <c r="AG2575" s="15"/>
      <c r="AH2575" s="15"/>
      <c r="AI2575" s="15"/>
      <c r="AJ2575" s="15"/>
      <c r="AK2575" s="15"/>
      <c r="AL2575" s="15"/>
      <c r="AM2575" s="15"/>
      <c r="AN2575" s="15"/>
      <c r="AO2575" s="15"/>
      <c r="AP2575" s="15"/>
      <c r="AQ2575" s="15"/>
      <c r="AR2575" s="15"/>
      <c r="AS2575" s="15"/>
      <c r="AT2575" s="15"/>
      <c r="AU2575" s="15"/>
    </row>
    <row r="2576" ht="24.0" customHeight="1">
      <c r="A2576" s="95"/>
      <c r="B2576" s="15"/>
      <c r="C2576" s="15"/>
      <c r="D2576" s="15"/>
      <c r="E2576" s="15"/>
      <c r="F2576" s="96"/>
      <c r="G2576" s="15"/>
      <c r="H2576" s="15"/>
      <c r="I2576" s="15"/>
      <c r="J2576" s="15"/>
      <c r="K2576" s="15"/>
      <c r="L2576" s="15"/>
      <c r="M2576" s="15"/>
      <c r="N2576" s="15"/>
      <c r="O2576" s="15"/>
      <c r="P2576" s="15"/>
      <c r="Q2576" s="15"/>
      <c r="R2576" s="15"/>
      <c r="S2576" s="15"/>
      <c r="T2576" s="15"/>
      <c r="U2576" s="15"/>
      <c r="V2576" s="15"/>
      <c r="W2576" s="15" t="s">
        <v>90</v>
      </c>
      <c r="X2576" s="15"/>
      <c r="Y2576" s="15"/>
      <c r="Z2576" s="15"/>
      <c r="AA2576" s="15"/>
      <c r="AB2576" s="15"/>
      <c r="AC2576" s="15"/>
      <c r="AD2576" s="15"/>
      <c r="AE2576" s="15"/>
      <c r="AF2576" s="15"/>
      <c r="AG2576" s="15"/>
      <c r="AH2576" s="15"/>
      <c r="AI2576" s="15"/>
      <c r="AJ2576" s="15"/>
      <c r="AK2576" s="15"/>
      <c r="AL2576" s="15"/>
      <c r="AM2576" s="15"/>
      <c r="AN2576" s="15"/>
      <c r="AO2576" s="15"/>
      <c r="AP2576" s="15"/>
      <c r="AQ2576" s="15"/>
      <c r="AR2576" s="15"/>
      <c r="AS2576" s="15"/>
      <c r="AT2576" s="15"/>
      <c r="AU2576" s="15"/>
    </row>
    <row r="2577" ht="24.0" customHeight="1">
      <c r="A2577" s="95"/>
      <c r="B2577" s="15"/>
      <c r="C2577" s="15"/>
      <c r="D2577" s="15"/>
      <c r="E2577" s="15"/>
      <c r="F2577" s="96"/>
      <c r="G2577" s="15"/>
      <c r="H2577" s="15"/>
      <c r="I2577" s="15"/>
      <c r="J2577" s="15"/>
      <c r="K2577" s="15"/>
      <c r="L2577" s="15"/>
      <c r="M2577" s="15"/>
      <c r="N2577" s="15"/>
      <c r="O2577" s="15"/>
      <c r="P2577" s="15"/>
      <c r="Q2577" s="15"/>
      <c r="R2577" s="15"/>
      <c r="S2577" s="15"/>
      <c r="T2577" s="15"/>
      <c r="U2577" s="15"/>
      <c r="V2577" s="15"/>
      <c r="W2577" s="15"/>
      <c r="X2577" s="15"/>
      <c r="Y2577" s="15"/>
      <c r="Z2577" s="15"/>
      <c r="AA2577" s="15"/>
      <c r="AB2577" s="15"/>
      <c r="AC2577" s="15"/>
      <c r="AD2577" s="15"/>
      <c r="AE2577" s="15"/>
      <c r="AF2577" s="15"/>
      <c r="AG2577" s="15"/>
      <c r="AH2577" s="15"/>
      <c r="AI2577" s="15"/>
      <c r="AJ2577" s="15"/>
      <c r="AK2577" s="15"/>
      <c r="AL2577" s="15"/>
      <c r="AM2577" s="15"/>
      <c r="AN2577" s="15"/>
      <c r="AO2577" s="15"/>
      <c r="AP2577" s="15"/>
      <c r="AQ2577" s="15"/>
      <c r="AR2577" s="15"/>
      <c r="AS2577" s="15"/>
      <c r="AT2577" s="15"/>
      <c r="AU2577" s="15"/>
    </row>
    <row r="2578" ht="24.0" customHeight="1">
      <c r="A2578" s="95"/>
      <c r="B2578" s="15"/>
      <c r="C2578" s="15"/>
      <c r="D2578" s="15"/>
      <c r="E2578" s="15"/>
      <c r="F2578" s="96"/>
      <c r="G2578" s="15"/>
      <c r="H2578" s="15"/>
      <c r="I2578" s="15"/>
      <c r="J2578" s="15"/>
      <c r="K2578" s="15"/>
      <c r="L2578" s="15"/>
      <c r="M2578" s="15"/>
      <c r="N2578" s="15"/>
      <c r="O2578" s="15"/>
      <c r="P2578" s="15"/>
      <c r="Q2578" s="15"/>
      <c r="R2578" s="15"/>
      <c r="S2578" s="15"/>
      <c r="T2578" s="15"/>
      <c r="U2578" s="15"/>
      <c r="V2578" s="15"/>
      <c r="W2578" s="15"/>
      <c r="X2578" s="15"/>
      <c r="Y2578" s="15"/>
      <c r="Z2578" s="15"/>
      <c r="AA2578" s="15"/>
      <c r="AB2578" s="15"/>
      <c r="AC2578" s="15"/>
      <c r="AD2578" s="15"/>
      <c r="AE2578" s="15"/>
      <c r="AF2578" s="15"/>
      <c r="AG2578" s="15"/>
      <c r="AH2578" s="15"/>
      <c r="AI2578" s="15"/>
      <c r="AJ2578" s="15"/>
      <c r="AK2578" s="15"/>
      <c r="AL2578" s="15"/>
      <c r="AM2578" s="15"/>
      <c r="AN2578" s="15"/>
      <c r="AO2578" s="15"/>
      <c r="AP2578" s="15"/>
      <c r="AQ2578" s="15"/>
      <c r="AR2578" s="15"/>
      <c r="AS2578" s="15"/>
      <c r="AT2578" s="15"/>
      <c r="AU2578" s="15"/>
    </row>
    <row r="2579" ht="24.0" customHeight="1">
      <c r="A2579" s="95"/>
      <c r="B2579" s="15"/>
      <c r="C2579" s="15"/>
      <c r="D2579" s="15"/>
      <c r="E2579" s="15"/>
      <c r="F2579" s="96"/>
      <c r="G2579" s="15"/>
      <c r="H2579" s="15"/>
      <c r="I2579" s="15"/>
      <c r="J2579" s="15"/>
      <c r="K2579" s="15"/>
      <c r="L2579" s="15"/>
      <c r="M2579" s="15"/>
      <c r="N2579" s="15"/>
      <c r="O2579" s="97"/>
      <c r="P2579" s="98"/>
      <c r="Q2579" s="15"/>
      <c r="R2579" s="15"/>
      <c r="S2579" s="15"/>
      <c r="T2579" s="15"/>
      <c r="U2579" s="15"/>
      <c r="V2579" s="15"/>
      <c r="W2579" s="15"/>
      <c r="X2579" s="15"/>
      <c r="Y2579" s="15"/>
      <c r="Z2579" s="15"/>
      <c r="AA2579" s="15"/>
      <c r="AB2579" s="15"/>
      <c r="AC2579" s="15"/>
      <c r="AD2579" s="15"/>
      <c r="AE2579" s="15"/>
      <c r="AF2579" s="15"/>
      <c r="AG2579" s="15"/>
      <c r="AH2579" s="15"/>
      <c r="AI2579" s="15"/>
      <c r="AJ2579" s="15"/>
      <c r="AK2579" s="15"/>
      <c r="AL2579" s="15"/>
      <c r="AM2579" s="15"/>
      <c r="AN2579" s="15"/>
      <c r="AO2579" s="15"/>
      <c r="AP2579" s="15"/>
      <c r="AQ2579" s="15"/>
      <c r="AR2579" s="15"/>
      <c r="AS2579" s="15"/>
      <c r="AT2579" s="15"/>
      <c r="AU2579" s="15"/>
    </row>
    <row r="2580" ht="24.0" customHeight="1">
      <c r="A2580" s="95"/>
      <c r="B2580" s="15"/>
      <c r="C2580" s="15"/>
      <c r="D2580" s="15"/>
      <c r="E2580" s="15"/>
      <c r="F2580" s="96"/>
      <c r="G2580" s="15"/>
      <c r="H2580" s="15"/>
      <c r="I2580" s="15"/>
      <c r="J2580" s="15"/>
      <c r="K2580" s="15"/>
      <c r="L2580" s="15"/>
      <c r="M2580" s="15"/>
      <c r="N2580" s="15"/>
      <c r="O2580" s="97"/>
      <c r="P2580" s="97"/>
      <c r="Q2580" s="15"/>
      <c r="R2580" s="15"/>
      <c r="S2580" s="15"/>
      <c r="T2580" s="15"/>
      <c r="U2580" s="15"/>
      <c r="V2580" s="15"/>
      <c r="W2580" s="15"/>
      <c r="X2580" s="15"/>
      <c r="Y2580" s="15"/>
      <c r="Z2580" s="15"/>
      <c r="AA2580" s="15"/>
      <c r="AB2580" s="15"/>
      <c r="AC2580" s="15"/>
      <c r="AD2580" s="15"/>
      <c r="AE2580" s="15"/>
      <c r="AF2580" s="15"/>
      <c r="AG2580" s="15"/>
      <c r="AH2580" s="15"/>
      <c r="AI2580" s="15"/>
      <c r="AJ2580" s="15"/>
      <c r="AK2580" s="15"/>
      <c r="AL2580" s="15"/>
      <c r="AM2580" s="15"/>
      <c r="AN2580" s="15"/>
      <c r="AO2580" s="15"/>
      <c r="AP2580" s="15"/>
      <c r="AQ2580" s="15"/>
      <c r="AR2580" s="15"/>
      <c r="AS2580" s="15"/>
      <c r="AT2580" s="15"/>
      <c r="AU2580" s="15"/>
    </row>
    <row r="2581" ht="24.0" customHeight="1">
      <c r="A2581" s="95"/>
      <c r="B2581" s="15"/>
      <c r="C2581" s="15"/>
      <c r="D2581" s="15"/>
      <c r="E2581" s="15"/>
      <c r="F2581" s="96"/>
      <c r="G2581" s="15"/>
      <c r="H2581" s="15"/>
      <c r="I2581" s="15"/>
      <c r="J2581" s="15"/>
      <c r="K2581" s="15"/>
      <c r="L2581" s="15"/>
      <c r="M2581" s="15"/>
      <c r="N2581" s="15"/>
      <c r="O2581" s="97"/>
      <c r="P2581" s="97"/>
      <c r="Q2581" s="15"/>
      <c r="R2581" s="15"/>
      <c r="S2581" s="15"/>
      <c r="T2581" s="15"/>
      <c r="U2581" s="15"/>
      <c r="V2581" s="15"/>
      <c r="W2581" s="15"/>
      <c r="X2581" s="15"/>
      <c r="Y2581" s="15"/>
      <c r="Z2581" s="15"/>
      <c r="AA2581" s="15"/>
      <c r="AB2581" s="15"/>
      <c r="AC2581" s="15"/>
      <c r="AD2581" s="15"/>
      <c r="AE2581" s="15"/>
      <c r="AF2581" s="15"/>
      <c r="AG2581" s="15"/>
      <c r="AH2581" s="15"/>
      <c r="AI2581" s="15"/>
      <c r="AJ2581" s="15"/>
      <c r="AK2581" s="15"/>
      <c r="AL2581" s="15"/>
      <c r="AM2581" s="15"/>
      <c r="AN2581" s="15"/>
      <c r="AO2581" s="15"/>
      <c r="AP2581" s="15"/>
      <c r="AQ2581" s="15"/>
      <c r="AR2581" s="15"/>
      <c r="AS2581" s="15"/>
      <c r="AT2581" s="15"/>
      <c r="AU2581" s="15"/>
    </row>
    <row r="2582" ht="24.0" customHeight="1">
      <c r="A2582" s="95"/>
      <c r="B2582" s="15"/>
      <c r="C2582" s="15"/>
      <c r="D2582" s="15"/>
      <c r="E2582" s="15"/>
      <c r="F2582" s="96"/>
      <c r="G2582" s="15"/>
      <c r="H2582" s="15"/>
      <c r="I2582" s="15"/>
      <c r="J2582" s="15"/>
      <c r="K2582" s="15"/>
      <c r="L2582" s="15"/>
      <c r="M2582" s="15"/>
      <c r="N2582" s="15"/>
      <c r="O2582" s="97"/>
      <c r="P2582" s="97"/>
      <c r="Q2582" s="15"/>
      <c r="R2582" s="15"/>
      <c r="S2582" s="15"/>
      <c r="T2582" s="15"/>
      <c r="U2582" s="15"/>
      <c r="V2582" s="15"/>
      <c r="W2582" s="15"/>
      <c r="X2582" s="15"/>
      <c r="Y2582" s="15"/>
      <c r="Z2582" s="15"/>
      <c r="AA2582" s="15"/>
      <c r="AB2582" s="15"/>
      <c r="AC2582" s="15"/>
      <c r="AD2582" s="15"/>
      <c r="AE2582" s="15"/>
      <c r="AF2582" s="15"/>
      <c r="AG2582" s="15"/>
      <c r="AH2582" s="15"/>
      <c r="AI2582" s="15"/>
      <c r="AJ2582" s="15"/>
      <c r="AK2582" s="15"/>
      <c r="AL2582" s="15"/>
      <c r="AM2582" s="15"/>
      <c r="AN2582" s="15"/>
      <c r="AO2582" s="15"/>
      <c r="AP2582" s="15"/>
      <c r="AQ2582" s="15"/>
      <c r="AR2582" s="15"/>
      <c r="AS2582" s="15"/>
      <c r="AT2582" s="15"/>
      <c r="AU2582" s="15"/>
    </row>
    <row r="2583" ht="24.0" customHeight="1">
      <c r="A2583" s="95"/>
      <c r="B2583" s="15"/>
      <c r="C2583" s="15"/>
      <c r="D2583" s="15"/>
      <c r="E2583" s="15"/>
      <c r="F2583" s="96"/>
      <c r="G2583" s="15"/>
      <c r="H2583" s="15"/>
      <c r="I2583" s="15"/>
      <c r="J2583" s="15"/>
      <c r="K2583" s="15"/>
      <c r="L2583" s="15"/>
      <c r="M2583" s="15"/>
      <c r="N2583" s="15"/>
      <c r="O2583" s="97"/>
      <c r="P2583" s="97"/>
      <c r="Q2583" s="15"/>
      <c r="R2583" s="15"/>
      <c r="S2583" s="15"/>
      <c r="T2583" s="15"/>
      <c r="U2583" s="15"/>
      <c r="V2583" s="15"/>
      <c r="W2583" s="15"/>
      <c r="X2583" s="15"/>
      <c r="Y2583" s="15"/>
      <c r="Z2583" s="15"/>
      <c r="AA2583" s="15"/>
      <c r="AB2583" s="15"/>
      <c r="AC2583" s="15"/>
      <c r="AD2583" s="15"/>
      <c r="AE2583" s="15"/>
      <c r="AF2583" s="15"/>
      <c r="AG2583" s="15"/>
      <c r="AH2583" s="15"/>
      <c r="AI2583" s="15"/>
      <c r="AJ2583" s="15"/>
      <c r="AK2583" s="15"/>
      <c r="AL2583" s="15"/>
      <c r="AM2583" s="15"/>
      <c r="AN2583" s="15"/>
      <c r="AO2583" s="15"/>
      <c r="AP2583" s="15"/>
      <c r="AQ2583" s="15"/>
      <c r="AR2583" s="15"/>
      <c r="AS2583" s="15"/>
      <c r="AT2583" s="15"/>
      <c r="AU2583" s="15"/>
    </row>
    <row r="2584" ht="24.0" customHeight="1">
      <c r="A2584" s="95"/>
      <c r="B2584" s="15"/>
      <c r="C2584" s="15"/>
      <c r="D2584" s="15"/>
      <c r="E2584" s="15"/>
      <c r="F2584" s="96"/>
      <c r="G2584" s="15"/>
      <c r="H2584" s="15"/>
      <c r="I2584" s="15"/>
      <c r="J2584" s="15"/>
      <c r="K2584" s="15"/>
      <c r="L2584" s="15"/>
      <c r="M2584" s="15"/>
      <c r="N2584" s="15"/>
      <c r="O2584" s="99"/>
      <c r="P2584" s="99"/>
      <c r="Q2584" s="15"/>
      <c r="R2584" s="15"/>
      <c r="S2584" s="15"/>
      <c r="T2584" s="15"/>
      <c r="U2584" s="15"/>
      <c r="V2584" s="15"/>
      <c r="W2584" s="15"/>
      <c r="X2584" s="15"/>
      <c r="Y2584" s="15"/>
      <c r="Z2584" s="15"/>
      <c r="AA2584" s="15"/>
      <c r="AB2584" s="15"/>
      <c r="AC2584" s="15"/>
      <c r="AD2584" s="15"/>
      <c r="AE2584" s="15"/>
      <c r="AF2584" s="15"/>
      <c r="AG2584" s="15"/>
      <c r="AH2584" s="15"/>
      <c r="AI2584" s="15"/>
      <c r="AJ2584" s="15"/>
      <c r="AK2584" s="15"/>
      <c r="AL2584" s="15"/>
      <c r="AM2584" s="15"/>
      <c r="AN2584" s="15"/>
      <c r="AO2584" s="15"/>
      <c r="AP2584" s="15"/>
      <c r="AQ2584" s="15"/>
      <c r="AR2584" s="15"/>
      <c r="AS2584" s="15"/>
      <c r="AT2584" s="15"/>
      <c r="AU2584" s="15"/>
    </row>
    <row r="2585" ht="24.0" customHeight="1">
      <c r="A2585" s="95"/>
      <c r="B2585" s="15"/>
      <c r="C2585" s="15"/>
      <c r="D2585" s="15"/>
      <c r="E2585" s="15"/>
      <c r="F2585" s="96"/>
      <c r="G2585" s="15"/>
      <c r="H2585" s="15"/>
      <c r="I2585" s="15"/>
      <c r="J2585" s="15"/>
      <c r="K2585" s="15"/>
      <c r="L2585" s="15"/>
      <c r="M2585" s="15"/>
      <c r="N2585" s="15"/>
      <c r="O2585" s="97"/>
      <c r="P2585" s="97"/>
      <c r="Q2585" s="15"/>
      <c r="R2585" s="15"/>
      <c r="S2585" s="15"/>
      <c r="T2585" s="15"/>
      <c r="U2585" s="15"/>
      <c r="V2585" s="15"/>
      <c r="W2585" s="15"/>
      <c r="X2585" s="15"/>
      <c r="Y2585" s="15"/>
      <c r="Z2585" s="15"/>
      <c r="AA2585" s="15"/>
      <c r="AB2585" s="15"/>
      <c r="AC2585" s="15"/>
      <c r="AD2585" s="15"/>
      <c r="AE2585" s="15"/>
      <c r="AF2585" s="15"/>
      <c r="AG2585" s="15"/>
      <c r="AH2585" s="15"/>
      <c r="AI2585" s="15"/>
      <c r="AJ2585" s="15"/>
      <c r="AK2585" s="15"/>
      <c r="AL2585" s="15"/>
      <c r="AM2585" s="15"/>
      <c r="AN2585" s="15"/>
      <c r="AO2585" s="15"/>
      <c r="AP2585" s="15"/>
      <c r="AQ2585" s="15"/>
      <c r="AR2585" s="15"/>
      <c r="AS2585" s="15"/>
      <c r="AT2585" s="15"/>
      <c r="AU2585" s="15"/>
    </row>
    <row r="2586">
      <c r="A2586" s="100"/>
      <c r="H2586" s="101"/>
      <c r="I2586" s="101"/>
      <c r="Q2586" s="101"/>
      <c r="R2586" s="101"/>
    </row>
    <row r="2587">
      <c r="A2587" s="100"/>
      <c r="H2587" s="101"/>
      <c r="I2587" s="101"/>
      <c r="Q2587" s="101"/>
      <c r="R2587" s="101"/>
    </row>
    <row r="2588">
      <c r="A2588" s="100"/>
      <c r="H2588" s="101"/>
      <c r="I2588" s="101"/>
      <c r="Q2588" s="101"/>
      <c r="R2588" s="101"/>
    </row>
    <row r="2589">
      <c r="A2589" s="100"/>
      <c r="H2589" s="101"/>
      <c r="I2589" s="101"/>
      <c r="Q2589" s="101"/>
      <c r="R2589" s="101"/>
    </row>
    <row r="2590">
      <c r="A2590" s="100"/>
      <c r="H2590" s="101"/>
      <c r="I2590" s="101"/>
      <c r="Q2590" s="101"/>
      <c r="R2590" s="101"/>
    </row>
    <row r="2591">
      <c r="A2591" s="100"/>
      <c r="H2591" s="101"/>
      <c r="I2591" s="101"/>
      <c r="Q2591" s="101"/>
      <c r="R2591" s="101"/>
    </row>
    <row r="2592">
      <c r="A2592" s="100"/>
      <c r="H2592" s="101"/>
      <c r="I2592" s="101"/>
      <c r="Q2592" s="101"/>
      <c r="R2592" s="101"/>
    </row>
    <row r="2593">
      <c r="A2593" s="100"/>
      <c r="H2593" s="101"/>
      <c r="I2593" s="101"/>
      <c r="Q2593" s="101"/>
      <c r="R2593" s="101"/>
    </row>
    <row r="2594">
      <c r="A2594" s="100"/>
      <c r="H2594" s="101"/>
      <c r="I2594" s="101"/>
      <c r="Q2594" s="101"/>
      <c r="R2594" s="101"/>
    </row>
    <row r="2595">
      <c r="A2595" s="100"/>
      <c r="H2595" s="101"/>
      <c r="I2595" s="101"/>
      <c r="Q2595" s="101"/>
      <c r="R2595" s="101"/>
    </row>
    <row r="2596">
      <c r="A2596" s="100"/>
      <c r="H2596" s="101"/>
      <c r="I2596" s="101"/>
      <c r="Q2596" s="101"/>
      <c r="R2596" s="101"/>
    </row>
    <row r="2597">
      <c r="A2597" s="100"/>
      <c r="H2597" s="101"/>
      <c r="I2597" s="101"/>
      <c r="Q2597" s="101"/>
      <c r="R2597" s="101"/>
    </row>
    <row r="2598">
      <c r="A2598" s="100"/>
      <c r="H2598" s="101"/>
      <c r="I2598" s="101"/>
      <c r="Q2598" s="101"/>
      <c r="R2598" s="101"/>
    </row>
    <row r="2599">
      <c r="A2599" s="100"/>
      <c r="H2599" s="101"/>
      <c r="I2599" s="101"/>
      <c r="Q2599" s="101"/>
      <c r="R2599" s="101"/>
    </row>
    <row r="2600">
      <c r="A2600" s="100"/>
      <c r="H2600" s="101"/>
      <c r="I2600" s="101"/>
      <c r="Q2600" s="101"/>
      <c r="R2600" s="101"/>
    </row>
    <row r="2601">
      <c r="A2601" s="100"/>
      <c r="H2601" s="101"/>
      <c r="I2601" s="101"/>
      <c r="Q2601" s="101"/>
      <c r="R2601" s="101"/>
    </row>
    <row r="2602">
      <c r="A2602" s="100"/>
      <c r="H2602" s="101"/>
      <c r="I2602" s="101"/>
      <c r="Q2602" s="101"/>
      <c r="R2602" s="101"/>
    </row>
    <row r="2603">
      <c r="A2603" s="100"/>
      <c r="H2603" s="101"/>
      <c r="I2603" s="101"/>
      <c r="Q2603" s="101"/>
      <c r="R2603" s="101"/>
    </row>
    <row r="2604">
      <c r="A2604" s="100"/>
      <c r="H2604" s="101"/>
      <c r="I2604" s="101"/>
      <c r="Q2604" s="101"/>
      <c r="R2604" s="101"/>
    </row>
    <row r="2605">
      <c r="A2605" s="100"/>
      <c r="H2605" s="101"/>
      <c r="I2605" s="101"/>
      <c r="Q2605" s="101"/>
      <c r="R2605" s="101"/>
    </row>
    <row r="2606">
      <c r="A2606" s="100"/>
      <c r="H2606" s="101"/>
      <c r="I2606" s="101"/>
      <c r="Q2606" s="101"/>
      <c r="R2606" s="101"/>
    </row>
    <row r="2607">
      <c r="A2607" s="100"/>
      <c r="H2607" s="101"/>
      <c r="I2607" s="101"/>
      <c r="Q2607" s="101"/>
      <c r="R2607" s="101"/>
    </row>
    <row r="2608">
      <c r="A2608" s="100"/>
      <c r="H2608" s="101"/>
      <c r="I2608" s="101"/>
      <c r="Q2608" s="101"/>
      <c r="R2608" s="101"/>
    </row>
    <row r="2609">
      <c r="A2609" s="100"/>
      <c r="H2609" s="101"/>
      <c r="I2609" s="101"/>
      <c r="Q2609" s="101"/>
      <c r="R2609" s="101"/>
    </row>
    <row r="2610">
      <c r="A2610" s="100"/>
      <c r="H2610" s="101"/>
      <c r="I2610" s="101"/>
      <c r="Q2610" s="101"/>
      <c r="R2610" s="101"/>
    </row>
    <row r="2611">
      <c r="A2611" s="100"/>
      <c r="H2611" s="101"/>
      <c r="I2611" s="101"/>
      <c r="Q2611" s="101"/>
      <c r="R2611" s="101"/>
    </row>
    <row r="2612">
      <c r="A2612" s="100"/>
      <c r="H2612" s="101"/>
      <c r="I2612" s="101"/>
      <c r="Q2612" s="101"/>
      <c r="R2612" s="101"/>
    </row>
    <row r="2613">
      <c r="A2613" s="100"/>
      <c r="H2613" s="101"/>
      <c r="I2613" s="101"/>
      <c r="Q2613" s="101"/>
      <c r="R2613" s="101"/>
    </row>
    <row r="2614">
      <c r="A2614" s="100"/>
      <c r="H2614" s="101"/>
      <c r="I2614" s="101"/>
      <c r="Q2614" s="101"/>
      <c r="R2614" s="101"/>
    </row>
    <row r="2615">
      <c r="A2615" s="100"/>
      <c r="H2615" s="101"/>
      <c r="I2615" s="101"/>
      <c r="Q2615" s="101"/>
      <c r="R2615" s="101"/>
    </row>
    <row r="2616">
      <c r="A2616" s="100"/>
      <c r="H2616" s="101"/>
      <c r="I2616" s="101"/>
      <c r="Q2616" s="101"/>
      <c r="R2616" s="101"/>
    </row>
    <row r="2617">
      <c r="A2617" s="100"/>
      <c r="H2617" s="101"/>
      <c r="I2617" s="101"/>
      <c r="Q2617" s="101"/>
      <c r="R2617" s="101"/>
    </row>
    <row r="2618">
      <c r="A2618" s="100"/>
      <c r="H2618" s="101"/>
      <c r="I2618" s="101"/>
      <c r="Q2618" s="101"/>
      <c r="R2618" s="101"/>
    </row>
    <row r="2619">
      <c r="A2619" s="100"/>
      <c r="H2619" s="101"/>
      <c r="I2619" s="101"/>
      <c r="Q2619" s="101"/>
      <c r="R2619" s="101"/>
    </row>
    <row r="2620">
      <c r="A2620" s="100"/>
      <c r="H2620" s="101"/>
      <c r="I2620" s="101"/>
      <c r="Q2620" s="101"/>
      <c r="R2620" s="101"/>
    </row>
    <row r="2621">
      <c r="A2621" s="100"/>
      <c r="H2621" s="101"/>
      <c r="I2621" s="101"/>
      <c r="Q2621" s="101"/>
      <c r="R2621" s="101"/>
    </row>
    <row r="2622">
      <c r="A2622" s="100"/>
      <c r="H2622" s="101"/>
      <c r="I2622" s="101"/>
      <c r="Q2622" s="101"/>
      <c r="R2622" s="101"/>
    </row>
    <row r="2623">
      <c r="A2623" s="100"/>
      <c r="H2623" s="101"/>
      <c r="I2623" s="101"/>
      <c r="Q2623" s="101"/>
      <c r="R2623" s="101"/>
    </row>
    <row r="2624">
      <c r="A2624" s="100"/>
      <c r="H2624" s="101"/>
      <c r="I2624" s="101"/>
      <c r="Q2624" s="101"/>
      <c r="R2624" s="101"/>
    </row>
    <row r="2625">
      <c r="A2625" s="100"/>
      <c r="H2625" s="101"/>
      <c r="I2625" s="101"/>
      <c r="Q2625" s="101"/>
      <c r="R2625" s="101"/>
    </row>
    <row r="2626">
      <c r="A2626" s="100"/>
      <c r="H2626" s="101"/>
      <c r="I2626" s="101"/>
      <c r="Q2626" s="101"/>
      <c r="R2626" s="101"/>
    </row>
    <row r="2627">
      <c r="A2627" s="100"/>
      <c r="H2627" s="101"/>
      <c r="I2627" s="101"/>
      <c r="Q2627" s="101"/>
      <c r="R2627" s="101"/>
    </row>
    <row r="2628">
      <c r="A2628" s="100"/>
      <c r="H2628" s="101"/>
      <c r="I2628" s="101"/>
      <c r="Q2628" s="101"/>
      <c r="R2628" s="101"/>
    </row>
    <row r="2629">
      <c r="A2629" s="100"/>
      <c r="H2629" s="101"/>
      <c r="I2629" s="101"/>
      <c r="Q2629" s="101"/>
      <c r="R2629" s="101"/>
    </row>
    <row r="2630">
      <c r="A2630" s="100"/>
      <c r="H2630" s="101"/>
      <c r="I2630" s="101"/>
      <c r="Q2630" s="101"/>
      <c r="R2630" s="101"/>
    </row>
    <row r="2631">
      <c r="A2631" s="100"/>
      <c r="H2631" s="101"/>
      <c r="I2631" s="101"/>
      <c r="Q2631" s="101"/>
      <c r="R2631" s="101"/>
    </row>
    <row r="2632">
      <c r="A2632" s="100"/>
      <c r="H2632" s="101"/>
      <c r="I2632" s="101"/>
      <c r="Q2632" s="101"/>
      <c r="R2632" s="101"/>
    </row>
    <row r="2633">
      <c r="A2633" s="100"/>
      <c r="H2633" s="101"/>
      <c r="I2633" s="101"/>
      <c r="Q2633" s="101"/>
      <c r="R2633" s="101"/>
    </row>
    <row r="2634">
      <c r="A2634" s="100"/>
      <c r="H2634" s="101"/>
      <c r="I2634" s="101"/>
      <c r="Q2634" s="101"/>
      <c r="R2634" s="101"/>
    </row>
    <row r="2635">
      <c r="A2635" s="100"/>
      <c r="H2635" s="101"/>
      <c r="I2635" s="101"/>
      <c r="Q2635" s="101"/>
      <c r="R2635" s="101"/>
    </row>
    <row r="2636">
      <c r="A2636" s="100"/>
      <c r="H2636" s="101"/>
      <c r="I2636" s="101"/>
      <c r="Q2636" s="101"/>
      <c r="R2636" s="101"/>
    </row>
    <row r="2637">
      <c r="A2637" s="100"/>
      <c r="H2637" s="101"/>
      <c r="I2637" s="101"/>
      <c r="Q2637" s="101"/>
      <c r="R2637" s="101"/>
    </row>
    <row r="2638">
      <c r="A2638" s="100"/>
      <c r="H2638" s="101"/>
      <c r="I2638" s="101"/>
      <c r="Q2638" s="101"/>
      <c r="R2638" s="101"/>
    </row>
    <row r="2639">
      <c r="A2639" s="100"/>
      <c r="H2639" s="101"/>
      <c r="I2639" s="101"/>
      <c r="Q2639" s="101"/>
      <c r="R2639" s="101"/>
    </row>
    <row r="2640">
      <c r="A2640" s="100"/>
      <c r="H2640" s="101"/>
      <c r="I2640" s="101"/>
      <c r="Q2640" s="101"/>
      <c r="R2640" s="101"/>
    </row>
    <row r="2641">
      <c r="A2641" s="100"/>
      <c r="H2641" s="101"/>
      <c r="I2641" s="101"/>
      <c r="Q2641" s="101"/>
      <c r="R2641" s="101"/>
    </row>
    <row r="2642">
      <c r="A2642" s="100"/>
      <c r="H2642" s="101"/>
      <c r="I2642" s="101"/>
      <c r="Q2642" s="101"/>
      <c r="R2642" s="101"/>
    </row>
    <row r="2643">
      <c r="A2643" s="100"/>
      <c r="H2643" s="101"/>
      <c r="I2643" s="101"/>
      <c r="Q2643" s="101"/>
      <c r="R2643" s="101"/>
    </row>
    <row r="2644">
      <c r="A2644" s="100"/>
      <c r="H2644" s="101"/>
      <c r="I2644" s="101"/>
      <c r="Q2644" s="101"/>
      <c r="R2644" s="101"/>
    </row>
    <row r="2645">
      <c r="A2645" s="100"/>
      <c r="H2645" s="101"/>
      <c r="I2645" s="101"/>
      <c r="Q2645" s="101"/>
      <c r="R2645" s="101"/>
    </row>
    <row r="2646">
      <c r="A2646" s="100"/>
      <c r="H2646" s="101"/>
      <c r="I2646" s="101"/>
      <c r="Q2646" s="101"/>
      <c r="R2646" s="101"/>
    </row>
    <row r="2647">
      <c r="A2647" s="100"/>
      <c r="H2647" s="101"/>
      <c r="I2647" s="101"/>
      <c r="Q2647" s="101"/>
      <c r="R2647" s="101"/>
    </row>
    <row r="2648">
      <c r="A2648" s="100"/>
      <c r="H2648" s="101"/>
      <c r="I2648" s="101"/>
      <c r="Q2648" s="101"/>
      <c r="R2648" s="101"/>
    </row>
    <row r="2649">
      <c r="A2649" s="100"/>
      <c r="H2649" s="101"/>
      <c r="I2649" s="101"/>
      <c r="Q2649" s="101"/>
      <c r="R2649" s="101"/>
    </row>
    <row r="2650">
      <c r="A2650" s="100"/>
      <c r="H2650" s="101"/>
      <c r="I2650" s="101"/>
      <c r="Q2650" s="101"/>
      <c r="R2650" s="101"/>
    </row>
    <row r="2651">
      <c r="A2651" s="100"/>
      <c r="H2651" s="101"/>
      <c r="I2651" s="101"/>
      <c r="Q2651" s="101"/>
      <c r="R2651" s="101"/>
    </row>
    <row r="2652">
      <c r="A2652" s="100"/>
      <c r="H2652" s="101"/>
      <c r="I2652" s="101"/>
      <c r="Q2652" s="101"/>
      <c r="R2652" s="101"/>
    </row>
    <row r="2653">
      <c r="A2653" s="100"/>
      <c r="H2653" s="101"/>
      <c r="I2653" s="101"/>
      <c r="Q2653" s="101"/>
      <c r="R2653" s="101"/>
    </row>
    <row r="2654">
      <c r="A2654" s="100"/>
      <c r="H2654" s="101"/>
      <c r="I2654" s="101"/>
      <c r="Q2654" s="101"/>
      <c r="R2654" s="101"/>
    </row>
    <row r="2655">
      <c r="A2655" s="100"/>
      <c r="H2655" s="101"/>
      <c r="I2655" s="101"/>
      <c r="Q2655" s="101"/>
      <c r="R2655" s="101"/>
    </row>
    <row r="2656">
      <c r="A2656" s="100"/>
      <c r="H2656" s="101"/>
      <c r="I2656" s="101"/>
      <c r="Q2656" s="101"/>
      <c r="R2656" s="101"/>
    </row>
    <row r="2657">
      <c r="A2657" s="100"/>
      <c r="H2657" s="101"/>
      <c r="I2657" s="101"/>
      <c r="Q2657" s="101"/>
      <c r="R2657" s="101"/>
    </row>
    <row r="2658">
      <c r="A2658" s="100"/>
      <c r="H2658" s="101"/>
      <c r="I2658" s="101"/>
      <c r="Q2658" s="101"/>
      <c r="R2658" s="101"/>
    </row>
    <row r="2659">
      <c r="A2659" s="100"/>
      <c r="H2659" s="101"/>
      <c r="I2659" s="101"/>
      <c r="Q2659" s="101"/>
      <c r="R2659" s="101"/>
    </row>
    <row r="2660">
      <c r="A2660" s="100"/>
      <c r="H2660" s="101"/>
      <c r="I2660" s="101"/>
      <c r="Q2660" s="101"/>
      <c r="R2660" s="101"/>
    </row>
    <row r="2661">
      <c r="A2661" s="100"/>
      <c r="H2661" s="101"/>
      <c r="I2661" s="101"/>
      <c r="Q2661" s="101"/>
      <c r="R2661" s="101"/>
    </row>
    <row r="2662">
      <c r="A2662" s="100"/>
      <c r="H2662" s="101"/>
      <c r="I2662" s="101"/>
      <c r="Q2662" s="101"/>
      <c r="R2662" s="101"/>
    </row>
    <row r="2663">
      <c r="A2663" s="100"/>
      <c r="H2663" s="101"/>
      <c r="I2663" s="101"/>
      <c r="Q2663" s="101"/>
      <c r="R2663" s="101"/>
    </row>
    <row r="2664">
      <c r="A2664" s="100"/>
      <c r="H2664" s="101"/>
      <c r="I2664" s="101"/>
      <c r="Q2664" s="101"/>
      <c r="R2664" s="101"/>
    </row>
    <row r="2665">
      <c r="A2665" s="100"/>
      <c r="H2665" s="101"/>
      <c r="I2665" s="101"/>
      <c r="Q2665" s="101"/>
      <c r="R2665" s="101"/>
    </row>
    <row r="2666">
      <c r="A2666" s="100"/>
      <c r="H2666" s="101"/>
      <c r="I2666" s="101"/>
      <c r="Q2666" s="101"/>
      <c r="R2666" s="101"/>
    </row>
    <row r="2667">
      <c r="A2667" s="100"/>
      <c r="H2667" s="101"/>
      <c r="I2667" s="101"/>
      <c r="Q2667" s="101"/>
      <c r="R2667" s="101"/>
    </row>
    <row r="2668">
      <c r="A2668" s="100"/>
      <c r="H2668" s="101"/>
      <c r="I2668" s="101"/>
      <c r="Q2668" s="101"/>
      <c r="R2668" s="101"/>
    </row>
    <row r="2669">
      <c r="A2669" s="100"/>
      <c r="H2669" s="101"/>
      <c r="I2669" s="101"/>
      <c r="Q2669" s="101"/>
      <c r="R2669" s="101"/>
    </row>
    <row r="2670">
      <c r="A2670" s="100"/>
      <c r="H2670" s="101"/>
      <c r="I2670" s="101"/>
      <c r="Q2670" s="101"/>
      <c r="R2670" s="101"/>
    </row>
    <row r="2671">
      <c r="A2671" s="100"/>
      <c r="H2671" s="101"/>
      <c r="I2671" s="101"/>
      <c r="Q2671" s="101"/>
      <c r="R2671" s="101"/>
    </row>
    <row r="2672">
      <c r="A2672" s="100"/>
      <c r="H2672" s="101"/>
      <c r="I2672" s="101"/>
      <c r="Q2672" s="101"/>
      <c r="R2672" s="101"/>
    </row>
    <row r="2673">
      <c r="A2673" s="100"/>
      <c r="H2673" s="101"/>
      <c r="I2673" s="101"/>
      <c r="Q2673" s="101"/>
      <c r="R2673" s="101"/>
    </row>
    <row r="2674">
      <c r="A2674" s="100"/>
      <c r="H2674" s="101"/>
      <c r="I2674" s="101"/>
      <c r="Q2674" s="101"/>
      <c r="R2674" s="101"/>
    </row>
    <row r="2675">
      <c r="A2675" s="100"/>
      <c r="H2675" s="101"/>
      <c r="I2675" s="101"/>
      <c r="Q2675" s="101"/>
      <c r="R2675" s="101"/>
    </row>
    <row r="2676">
      <c r="A2676" s="100"/>
      <c r="H2676" s="101"/>
      <c r="I2676" s="101"/>
      <c r="Q2676" s="101"/>
      <c r="R2676" s="101"/>
    </row>
    <row r="2677">
      <c r="A2677" s="100"/>
      <c r="H2677" s="101"/>
      <c r="I2677" s="101"/>
      <c r="Q2677" s="101"/>
      <c r="R2677" s="101"/>
    </row>
    <row r="2678">
      <c r="A2678" s="100"/>
      <c r="H2678" s="101"/>
      <c r="I2678" s="101"/>
      <c r="Q2678" s="101"/>
      <c r="R2678" s="101"/>
    </row>
    <row r="2679">
      <c r="A2679" s="100"/>
      <c r="H2679" s="101"/>
      <c r="I2679" s="101"/>
      <c r="Q2679" s="101"/>
      <c r="R2679" s="101"/>
    </row>
    <row r="2680">
      <c r="A2680" s="100"/>
      <c r="H2680" s="101"/>
      <c r="I2680" s="101"/>
      <c r="Q2680" s="101"/>
      <c r="R2680" s="101"/>
    </row>
    <row r="2681">
      <c r="A2681" s="100"/>
      <c r="H2681" s="101"/>
      <c r="I2681" s="101"/>
      <c r="Q2681" s="101"/>
      <c r="R2681" s="101"/>
    </row>
    <row r="2682">
      <c r="A2682" s="100"/>
      <c r="H2682" s="101"/>
      <c r="I2682" s="101"/>
      <c r="Q2682" s="101"/>
      <c r="R2682" s="101"/>
    </row>
    <row r="2683">
      <c r="A2683" s="100"/>
      <c r="H2683" s="101"/>
      <c r="I2683" s="101"/>
      <c r="Q2683" s="101"/>
      <c r="R2683" s="101"/>
    </row>
    <row r="2684">
      <c r="A2684" s="100"/>
      <c r="H2684" s="101"/>
      <c r="I2684" s="101"/>
      <c r="Q2684" s="101"/>
      <c r="R2684" s="101"/>
    </row>
    <row r="2685">
      <c r="A2685" s="100"/>
      <c r="H2685" s="101"/>
      <c r="I2685" s="101"/>
      <c r="Q2685" s="101"/>
      <c r="R2685" s="101"/>
    </row>
    <row r="2686">
      <c r="A2686" s="100"/>
      <c r="H2686" s="101"/>
      <c r="I2686" s="101"/>
      <c r="Q2686" s="101"/>
      <c r="R2686" s="101"/>
    </row>
    <row r="2687">
      <c r="A2687" s="100"/>
      <c r="H2687" s="101"/>
      <c r="I2687" s="101"/>
      <c r="Q2687" s="101"/>
      <c r="R2687" s="101"/>
    </row>
    <row r="2688">
      <c r="A2688" s="100"/>
      <c r="H2688" s="101"/>
      <c r="I2688" s="101"/>
      <c r="Q2688" s="101"/>
      <c r="R2688" s="101"/>
    </row>
    <row r="2689">
      <c r="A2689" s="100"/>
      <c r="H2689" s="101"/>
      <c r="I2689" s="101"/>
      <c r="Q2689" s="101"/>
      <c r="R2689" s="101"/>
    </row>
    <row r="2690">
      <c r="A2690" s="100"/>
      <c r="H2690" s="101"/>
      <c r="I2690" s="101"/>
      <c r="Q2690" s="101"/>
      <c r="R2690" s="101"/>
    </row>
    <row r="2691">
      <c r="A2691" s="100"/>
      <c r="H2691" s="101"/>
      <c r="I2691" s="101"/>
      <c r="Q2691" s="101"/>
      <c r="R2691" s="101"/>
    </row>
    <row r="2692">
      <c r="A2692" s="100"/>
      <c r="H2692" s="101"/>
      <c r="I2692" s="101"/>
      <c r="Q2692" s="101"/>
      <c r="R2692" s="101"/>
    </row>
    <row r="2693">
      <c r="A2693" s="100"/>
      <c r="H2693" s="101"/>
      <c r="I2693" s="101"/>
      <c r="Q2693" s="101"/>
      <c r="R2693" s="101"/>
    </row>
    <row r="2694">
      <c r="A2694" s="100"/>
      <c r="H2694" s="101"/>
      <c r="I2694" s="101"/>
      <c r="Q2694" s="101"/>
      <c r="R2694" s="101"/>
    </row>
    <row r="2695">
      <c r="A2695" s="100"/>
      <c r="H2695" s="101"/>
      <c r="I2695" s="101"/>
      <c r="Q2695" s="101"/>
      <c r="R2695" s="101"/>
    </row>
    <row r="2696">
      <c r="A2696" s="100"/>
      <c r="H2696" s="101"/>
      <c r="I2696" s="101"/>
      <c r="Q2696" s="101"/>
      <c r="R2696" s="101"/>
    </row>
    <row r="2697">
      <c r="A2697" s="100"/>
      <c r="H2697" s="101"/>
      <c r="I2697" s="101"/>
      <c r="Q2697" s="101"/>
      <c r="R2697" s="101"/>
    </row>
    <row r="2698">
      <c r="A2698" s="100"/>
      <c r="H2698" s="101"/>
      <c r="I2698" s="101"/>
      <c r="Q2698" s="101"/>
      <c r="R2698" s="101"/>
    </row>
    <row r="2699">
      <c r="A2699" s="100"/>
      <c r="H2699" s="101"/>
      <c r="I2699" s="101"/>
      <c r="Q2699" s="101"/>
      <c r="R2699" s="101"/>
    </row>
    <row r="2700">
      <c r="A2700" s="100"/>
      <c r="H2700" s="101"/>
      <c r="I2700" s="101"/>
      <c r="Q2700" s="101"/>
      <c r="R2700" s="101"/>
    </row>
    <row r="2701">
      <c r="A2701" s="100"/>
      <c r="H2701" s="101"/>
      <c r="I2701" s="101"/>
      <c r="Q2701" s="101"/>
      <c r="R2701" s="101"/>
    </row>
    <row r="2702">
      <c r="A2702" s="100"/>
      <c r="H2702" s="101"/>
      <c r="I2702" s="101"/>
      <c r="Q2702" s="101"/>
      <c r="R2702" s="101"/>
    </row>
    <row r="2703">
      <c r="A2703" s="100"/>
      <c r="H2703" s="101"/>
      <c r="I2703" s="101"/>
      <c r="Q2703" s="101"/>
      <c r="R2703" s="101"/>
    </row>
    <row r="2704">
      <c r="A2704" s="100"/>
      <c r="H2704" s="101"/>
      <c r="I2704" s="101"/>
      <c r="Q2704" s="101"/>
      <c r="R2704" s="101"/>
    </row>
    <row r="2705">
      <c r="A2705" s="100"/>
      <c r="H2705" s="101"/>
      <c r="I2705" s="101"/>
      <c r="Q2705" s="101"/>
      <c r="R2705" s="101"/>
    </row>
    <row r="2706">
      <c r="A2706" s="100"/>
      <c r="H2706" s="101"/>
      <c r="I2706" s="101"/>
      <c r="Q2706" s="101"/>
      <c r="R2706" s="101"/>
    </row>
    <row r="2707">
      <c r="A2707" s="100"/>
      <c r="H2707" s="101"/>
      <c r="I2707" s="101"/>
      <c r="Q2707" s="101"/>
      <c r="R2707" s="101"/>
    </row>
    <row r="2708">
      <c r="A2708" s="100"/>
      <c r="H2708" s="101"/>
      <c r="I2708" s="101"/>
      <c r="Q2708" s="101"/>
      <c r="R2708" s="101"/>
    </row>
    <row r="2709">
      <c r="A2709" s="100"/>
      <c r="H2709" s="101"/>
      <c r="I2709" s="101"/>
      <c r="Q2709" s="101"/>
      <c r="R2709" s="101"/>
    </row>
    <row r="2710">
      <c r="A2710" s="100"/>
      <c r="H2710" s="101"/>
      <c r="I2710" s="101"/>
      <c r="Q2710" s="101"/>
      <c r="R2710" s="101"/>
    </row>
    <row r="2711">
      <c r="A2711" s="100"/>
      <c r="H2711" s="101"/>
      <c r="I2711" s="101"/>
      <c r="Q2711" s="101"/>
      <c r="R2711" s="101"/>
    </row>
    <row r="2712">
      <c r="A2712" s="100"/>
      <c r="H2712" s="101"/>
      <c r="I2712" s="101"/>
      <c r="Q2712" s="101"/>
      <c r="R2712" s="101"/>
    </row>
    <row r="2713">
      <c r="A2713" s="100"/>
      <c r="H2713" s="101"/>
      <c r="I2713" s="101"/>
      <c r="Q2713" s="101"/>
      <c r="R2713" s="101"/>
    </row>
    <row r="2714">
      <c r="A2714" s="100"/>
      <c r="H2714" s="101"/>
      <c r="I2714" s="101"/>
      <c r="Q2714" s="101"/>
      <c r="R2714" s="101"/>
    </row>
    <row r="2715">
      <c r="A2715" s="100"/>
      <c r="H2715" s="101"/>
      <c r="I2715" s="101"/>
      <c r="Q2715" s="101"/>
      <c r="R2715" s="101"/>
    </row>
    <row r="2716">
      <c r="A2716" s="100"/>
      <c r="H2716" s="101"/>
      <c r="I2716" s="101"/>
      <c r="Q2716" s="101"/>
      <c r="R2716" s="101"/>
    </row>
    <row r="2717">
      <c r="A2717" s="100"/>
      <c r="H2717" s="101"/>
      <c r="I2717" s="101"/>
      <c r="Q2717" s="101"/>
      <c r="R2717" s="101"/>
    </row>
    <row r="2718">
      <c r="A2718" s="100"/>
      <c r="H2718" s="101"/>
      <c r="I2718" s="101"/>
      <c r="Q2718" s="101"/>
      <c r="R2718" s="101"/>
    </row>
    <row r="2719">
      <c r="A2719" s="100"/>
      <c r="H2719" s="101"/>
      <c r="I2719" s="101"/>
      <c r="Q2719" s="101"/>
      <c r="R2719" s="101"/>
    </row>
    <row r="2720">
      <c r="A2720" s="100"/>
      <c r="H2720" s="101"/>
      <c r="I2720" s="101"/>
      <c r="Q2720" s="101"/>
      <c r="R2720" s="101"/>
    </row>
    <row r="2721">
      <c r="A2721" s="100"/>
      <c r="H2721" s="101"/>
      <c r="I2721" s="101"/>
      <c r="Q2721" s="101"/>
      <c r="R2721" s="101"/>
    </row>
    <row r="2722">
      <c r="A2722" s="100"/>
      <c r="H2722" s="101"/>
      <c r="I2722" s="101"/>
      <c r="Q2722" s="101"/>
      <c r="R2722" s="101"/>
    </row>
    <row r="2723">
      <c r="A2723" s="100"/>
      <c r="H2723" s="101"/>
      <c r="I2723" s="101"/>
      <c r="Q2723" s="101"/>
      <c r="R2723" s="101"/>
    </row>
    <row r="2724">
      <c r="A2724" s="100"/>
      <c r="H2724" s="101"/>
      <c r="I2724" s="101"/>
      <c r="Q2724" s="101"/>
      <c r="R2724" s="101"/>
    </row>
    <row r="2725">
      <c r="A2725" s="100"/>
      <c r="H2725" s="101"/>
      <c r="I2725" s="101"/>
      <c r="Q2725" s="101"/>
      <c r="R2725" s="101"/>
    </row>
    <row r="2726">
      <c r="A2726" s="100"/>
      <c r="H2726" s="101"/>
      <c r="I2726" s="101"/>
      <c r="Q2726" s="101"/>
      <c r="R2726" s="101"/>
    </row>
    <row r="2727">
      <c r="A2727" s="100"/>
      <c r="H2727" s="101"/>
      <c r="I2727" s="101"/>
      <c r="Q2727" s="101"/>
      <c r="R2727" s="101"/>
    </row>
    <row r="2728">
      <c r="A2728" s="100"/>
      <c r="H2728" s="101"/>
      <c r="I2728" s="101"/>
      <c r="Q2728" s="101"/>
      <c r="R2728" s="101"/>
    </row>
    <row r="2729">
      <c r="A2729" s="100"/>
      <c r="H2729" s="101"/>
      <c r="I2729" s="101"/>
      <c r="Q2729" s="101"/>
      <c r="R2729" s="101"/>
    </row>
    <row r="2730">
      <c r="A2730" s="100"/>
      <c r="H2730" s="101"/>
      <c r="I2730" s="101"/>
      <c r="Q2730" s="101"/>
      <c r="R2730" s="101"/>
    </row>
    <row r="2731">
      <c r="A2731" s="100"/>
      <c r="H2731" s="101"/>
      <c r="I2731" s="101"/>
      <c r="Q2731" s="101"/>
      <c r="R2731" s="101"/>
    </row>
    <row r="2732">
      <c r="A2732" s="100"/>
      <c r="H2732" s="101"/>
      <c r="I2732" s="101"/>
      <c r="Q2732" s="101"/>
      <c r="R2732" s="101"/>
    </row>
    <row r="2733">
      <c r="A2733" s="100"/>
      <c r="H2733" s="101"/>
      <c r="I2733" s="101"/>
      <c r="Q2733" s="101"/>
      <c r="R2733" s="101"/>
    </row>
    <row r="2734">
      <c r="A2734" s="100"/>
      <c r="H2734" s="101"/>
      <c r="I2734" s="101"/>
      <c r="Q2734" s="101"/>
      <c r="R2734" s="101"/>
    </row>
    <row r="2735">
      <c r="A2735" s="100"/>
      <c r="H2735" s="101"/>
      <c r="I2735" s="101"/>
      <c r="Q2735" s="101"/>
      <c r="R2735" s="101"/>
    </row>
    <row r="2736">
      <c r="A2736" s="100"/>
      <c r="H2736" s="101"/>
      <c r="I2736" s="101"/>
      <c r="Q2736" s="101"/>
      <c r="R2736" s="101"/>
    </row>
    <row r="2737">
      <c r="A2737" s="100"/>
      <c r="H2737" s="101"/>
      <c r="I2737" s="101"/>
      <c r="Q2737" s="101"/>
      <c r="R2737" s="101"/>
    </row>
    <row r="2738">
      <c r="A2738" s="100"/>
      <c r="H2738" s="101"/>
      <c r="I2738" s="101"/>
      <c r="Q2738" s="101"/>
      <c r="R2738" s="101"/>
    </row>
    <row r="2739">
      <c r="A2739" s="100"/>
      <c r="H2739" s="101"/>
      <c r="I2739" s="101"/>
      <c r="Q2739" s="101"/>
      <c r="R2739" s="101"/>
    </row>
    <row r="2740">
      <c r="A2740" s="100"/>
      <c r="H2740" s="101"/>
      <c r="I2740" s="101"/>
      <c r="Q2740" s="101"/>
      <c r="R2740" s="101"/>
    </row>
    <row r="2741">
      <c r="A2741" s="100"/>
      <c r="H2741" s="101"/>
      <c r="I2741" s="101"/>
      <c r="Q2741" s="101"/>
      <c r="R2741" s="101"/>
    </row>
    <row r="2742">
      <c r="A2742" s="100"/>
      <c r="H2742" s="101"/>
      <c r="I2742" s="101"/>
      <c r="Q2742" s="101"/>
      <c r="R2742" s="101"/>
    </row>
    <row r="2743">
      <c r="A2743" s="100"/>
      <c r="H2743" s="101"/>
      <c r="I2743" s="101"/>
      <c r="Q2743" s="101"/>
      <c r="R2743" s="101"/>
    </row>
    <row r="2744">
      <c r="A2744" s="100"/>
      <c r="H2744" s="101"/>
      <c r="I2744" s="101"/>
      <c r="Q2744" s="101"/>
      <c r="R2744" s="101"/>
    </row>
    <row r="2745">
      <c r="A2745" s="100"/>
      <c r="H2745" s="101"/>
      <c r="I2745" s="101"/>
      <c r="Q2745" s="101"/>
      <c r="R2745" s="101"/>
    </row>
    <row r="2746">
      <c r="A2746" s="100"/>
      <c r="H2746" s="101"/>
      <c r="I2746" s="101"/>
      <c r="Q2746" s="101"/>
      <c r="R2746" s="101"/>
    </row>
    <row r="2747">
      <c r="A2747" s="100"/>
      <c r="H2747" s="101"/>
      <c r="I2747" s="101"/>
      <c r="Q2747" s="101"/>
      <c r="R2747" s="101"/>
    </row>
    <row r="2748">
      <c r="A2748" s="100"/>
      <c r="H2748" s="101"/>
      <c r="I2748" s="101"/>
      <c r="Q2748" s="101"/>
      <c r="R2748" s="101"/>
    </row>
    <row r="2749">
      <c r="A2749" s="100"/>
      <c r="H2749" s="101"/>
      <c r="I2749" s="101"/>
      <c r="Q2749" s="101"/>
      <c r="R2749" s="101"/>
    </row>
    <row r="2750">
      <c r="A2750" s="100"/>
      <c r="H2750" s="101"/>
      <c r="I2750" s="101"/>
      <c r="Q2750" s="101"/>
      <c r="R2750" s="101"/>
    </row>
    <row r="2751">
      <c r="A2751" s="100"/>
      <c r="H2751" s="101"/>
      <c r="I2751" s="101"/>
      <c r="Q2751" s="101"/>
      <c r="R2751" s="101"/>
    </row>
    <row r="2752">
      <c r="A2752" s="100"/>
      <c r="H2752" s="101"/>
      <c r="I2752" s="101"/>
      <c r="Q2752" s="101"/>
      <c r="R2752" s="101"/>
    </row>
    <row r="2753">
      <c r="A2753" s="100"/>
      <c r="H2753" s="101"/>
      <c r="I2753" s="101"/>
      <c r="Q2753" s="101"/>
      <c r="R2753" s="101"/>
    </row>
    <row r="2754">
      <c r="A2754" s="100"/>
      <c r="H2754" s="101"/>
      <c r="I2754" s="101"/>
      <c r="Q2754" s="101"/>
      <c r="R2754" s="101"/>
    </row>
    <row r="2755">
      <c r="A2755" s="100"/>
      <c r="H2755" s="101"/>
      <c r="I2755" s="101"/>
      <c r="Q2755" s="101"/>
      <c r="R2755" s="101"/>
    </row>
    <row r="2756">
      <c r="A2756" s="100"/>
      <c r="H2756" s="101"/>
      <c r="I2756" s="101"/>
      <c r="Q2756" s="101"/>
      <c r="R2756" s="101"/>
    </row>
    <row r="2757">
      <c r="A2757" s="100"/>
      <c r="H2757" s="101"/>
      <c r="I2757" s="101"/>
      <c r="Q2757" s="101"/>
      <c r="R2757" s="101"/>
    </row>
    <row r="2758">
      <c r="A2758" s="100"/>
      <c r="H2758" s="101"/>
      <c r="I2758" s="101"/>
      <c r="Q2758" s="101"/>
      <c r="R2758" s="101"/>
    </row>
    <row r="2759">
      <c r="A2759" s="100"/>
      <c r="H2759" s="101"/>
      <c r="I2759" s="101"/>
      <c r="Q2759" s="101"/>
      <c r="R2759" s="101"/>
    </row>
    <row r="2760">
      <c r="A2760" s="100"/>
      <c r="H2760" s="101"/>
      <c r="I2760" s="101"/>
      <c r="Q2760" s="101"/>
      <c r="R2760" s="101"/>
    </row>
    <row r="2761">
      <c r="A2761" s="100"/>
      <c r="H2761" s="101"/>
      <c r="I2761" s="101"/>
      <c r="Q2761" s="101"/>
      <c r="R2761" s="101"/>
    </row>
    <row r="2762">
      <c r="A2762" s="100"/>
      <c r="H2762" s="101"/>
      <c r="I2762" s="101"/>
      <c r="Q2762" s="101"/>
      <c r="R2762" s="101"/>
    </row>
    <row r="2763">
      <c r="A2763" s="100"/>
      <c r="H2763" s="101"/>
      <c r="I2763" s="101"/>
      <c r="Q2763" s="101"/>
      <c r="R2763" s="101"/>
    </row>
    <row r="2764">
      <c r="A2764" s="100"/>
      <c r="H2764" s="101"/>
      <c r="I2764" s="101"/>
      <c r="Q2764" s="101"/>
      <c r="R2764" s="101"/>
    </row>
    <row r="2765">
      <c r="A2765" s="100"/>
      <c r="H2765" s="101"/>
      <c r="I2765" s="101"/>
      <c r="Q2765" s="101"/>
      <c r="R2765" s="101"/>
    </row>
    <row r="2766">
      <c r="A2766" s="100"/>
      <c r="H2766" s="101"/>
      <c r="I2766" s="101"/>
      <c r="Q2766" s="101"/>
      <c r="R2766" s="101"/>
    </row>
    <row r="2767">
      <c r="A2767" s="100"/>
      <c r="H2767" s="101"/>
      <c r="I2767" s="101"/>
      <c r="Q2767" s="101"/>
      <c r="R2767" s="101"/>
    </row>
    <row r="2768">
      <c r="A2768" s="100"/>
      <c r="H2768" s="101"/>
      <c r="I2768" s="101"/>
      <c r="Q2768" s="101"/>
      <c r="R2768" s="101"/>
    </row>
    <row r="2769">
      <c r="A2769" s="100"/>
      <c r="H2769" s="101"/>
      <c r="I2769" s="101"/>
      <c r="Q2769" s="101"/>
      <c r="R2769" s="101"/>
    </row>
    <row r="2770">
      <c r="A2770" s="100"/>
      <c r="H2770" s="101"/>
      <c r="I2770" s="101"/>
      <c r="Q2770" s="101"/>
      <c r="R2770" s="101"/>
    </row>
    <row r="2771">
      <c r="A2771" s="100"/>
      <c r="H2771" s="101"/>
      <c r="I2771" s="101"/>
      <c r="Q2771" s="101"/>
      <c r="R2771" s="101"/>
    </row>
    <row r="2772">
      <c r="A2772" s="100"/>
      <c r="H2772" s="101"/>
      <c r="I2772" s="101"/>
      <c r="Q2772" s="101"/>
      <c r="R2772" s="101"/>
    </row>
    <row r="2773">
      <c r="A2773" s="100"/>
      <c r="H2773" s="101"/>
      <c r="I2773" s="101"/>
      <c r="Q2773" s="101"/>
      <c r="R2773" s="101"/>
    </row>
    <row r="2774">
      <c r="A2774" s="100"/>
      <c r="H2774" s="101"/>
      <c r="I2774" s="101"/>
      <c r="Q2774" s="101"/>
      <c r="R2774" s="101"/>
    </row>
    <row r="2775">
      <c r="A2775" s="100"/>
      <c r="H2775" s="101"/>
      <c r="I2775" s="101"/>
      <c r="Q2775" s="101"/>
      <c r="R2775" s="101"/>
    </row>
    <row r="2776">
      <c r="A2776" s="100"/>
      <c r="H2776" s="101"/>
      <c r="I2776" s="101"/>
      <c r="Q2776" s="101"/>
      <c r="R2776" s="101"/>
    </row>
    <row r="2777">
      <c r="A2777" s="100"/>
      <c r="H2777" s="101"/>
      <c r="I2777" s="101"/>
      <c r="Q2777" s="101"/>
      <c r="R2777" s="101"/>
    </row>
    <row r="2778">
      <c r="A2778" s="100"/>
      <c r="H2778" s="101"/>
      <c r="I2778" s="101"/>
      <c r="Q2778" s="101"/>
      <c r="R2778" s="101"/>
    </row>
    <row r="2779">
      <c r="A2779" s="100"/>
      <c r="H2779" s="101"/>
      <c r="I2779" s="101"/>
      <c r="Q2779" s="101"/>
      <c r="R2779" s="101"/>
    </row>
    <row r="2780">
      <c r="A2780" s="100"/>
      <c r="H2780" s="101"/>
      <c r="I2780" s="101"/>
      <c r="Q2780" s="101"/>
      <c r="R2780" s="101"/>
    </row>
    <row r="2781">
      <c r="A2781" s="100"/>
      <c r="H2781" s="101"/>
      <c r="I2781" s="101"/>
      <c r="Q2781" s="101"/>
      <c r="R2781" s="101"/>
    </row>
    <row r="2782">
      <c r="A2782" s="100"/>
      <c r="H2782" s="101"/>
      <c r="I2782" s="101"/>
      <c r="Q2782" s="101"/>
      <c r="R2782" s="101"/>
    </row>
    <row r="2783">
      <c r="A2783" s="100"/>
      <c r="H2783" s="101"/>
      <c r="I2783" s="101"/>
      <c r="Q2783" s="101"/>
      <c r="R2783" s="101"/>
    </row>
    <row r="2784">
      <c r="A2784" s="100"/>
      <c r="H2784" s="101"/>
      <c r="I2784" s="101"/>
      <c r="Q2784" s="101"/>
      <c r="R2784" s="101"/>
    </row>
    <row r="2785">
      <c r="A2785" s="100"/>
      <c r="H2785" s="101"/>
      <c r="I2785" s="101"/>
      <c r="Q2785" s="101"/>
      <c r="R2785" s="101"/>
    </row>
    <row r="2786">
      <c r="A2786" s="100"/>
      <c r="H2786" s="101"/>
      <c r="I2786" s="101"/>
      <c r="Q2786" s="101"/>
      <c r="R2786" s="101"/>
    </row>
    <row r="2787">
      <c r="A2787" s="100"/>
      <c r="H2787" s="101"/>
      <c r="I2787" s="101"/>
      <c r="Q2787" s="101"/>
      <c r="R2787" s="101"/>
    </row>
    <row r="2788">
      <c r="A2788" s="100"/>
      <c r="H2788" s="101"/>
      <c r="I2788" s="101"/>
      <c r="Q2788" s="101"/>
      <c r="R2788" s="101"/>
    </row>
    <row r="2789">
      <c r="A2789" s="100"/>
      <c r="H2789" s="101"/>
      <c r="I2789" s="101"/>
      <c r="Q2789" s="101"/>
      <c r="R2789" s="101"/>
    </row>
    <row r="2790">
      <c r="A2790" s="100"/>
      <c r="H2790" s="101"/>
      <c r="I2790" s="101"/>
      <c r="Q2790" s="101"/>
      <c r="R2790" s="101"/>
    </row>
    <row r="2791">
      <c r="A2791" s="100"/>
      <c r="H2791" s="101"/>
      <c r="I2791" s="101"/>
      <c r="Q2791" s="101"/>
      <c r="R2791" s="101"/>
    </row>
    <row r="2792">
      <c r="A2792" s="100"/>
      <c r="H2792" s="101"/>
      <c r="I2792" s="101"/>
      <c r="Q2792" s="101"/>
      <c r="R2792" s="101"/>
    </row>
    <row r="2793">
      <c r="A2793" s="100"/>
      <c r="H2793" s="101"/>
      <c r="I2793" s="101"/>
      <c r="Q2793" s="101"/>
      <c r="R2793" s="101"/>
    </row>
    <row r="2794">
      <c r="A2794" s="100"/>
      <c r="H2794" s="101"/>
      <c r="I2794" s="101"/>
      <c r="Q2794" s="101"/>
      <c r="R2794" s="101"/>
    </row>
    <row r="2795">
      <c r="A2795" s="100"/>
      <c r="H2795" s="101"/>
      <c r="I2795" s="101"/>
      <c r="Q2795" s="101"/>
      <c r="R2795" s="101"/>
    </row>
    <row r="2796">
      <c r="A2796" s="100"/>
      <c r="H2796" s="101"/>
      <c r="I2796" s="101"/>
      <c r="Q2796" s="101"/>
      <c r="R2796" s="101"/>
    </row>
    <row r="2797">
      <c r="A2797" s="100"/>
      <c r="H2797" s="101"/>
      <c r="I2797" s="101"/>
      <c r="Q2797" s="101"/>
      <c r="R2797" s="101"/>
    </row>
    <row r="2798">
      <c r="A2798" s="100"/>
      <c r="H2798" s="101"/>
      <c r="I2798" s="101"/>
      <c r="Q2798" s="101"/>
      <c r="R2798" s="101"/>
    </row>
    <row r="2799">
      <c r="A2799" s="100"/>
      <c r="H2799" s="101"/>
      <c r="I2799" s="101"/>
      <c r="Q2799" s="101"/>
      <c r="R2799" s="101"/>
    </row>
    <row r="2800">
      <c r="A2800" s="100"/>
      <c r="H2800" s="101"/>
      <c r="I2800" s="101"/>
      <c r="Q2800" s="101"/>
      <c r="R2800" s="101"/>
    </row>
    <row r="2801">
      <c r="A2801" s="100"/>
      <c r="H2801" s="101"/>
      <c r="I2801" s="101"/>
      <c r="Q2801" s="101"/>
      <c r="R2801" s="101"/>
    </row>
    <row r="2802">
      <c r="A2802" s="100"/>
      <c r="H2802" s="101"/>
      <c r="I2802" s="101"/>
      <c r="Q2802" s="101"/>
      <c r="R2802" s="101"/>
    </row>
    <row r="2803">
      <c r="A2803" s="100"/>
      <c r="H2803" s="101"/>
      <c r="I2803" s="101"/>
      <c r="Q2803" s="101"/>
      <c r="R2803" s="101"/>
    </row>
    <row r="2804">
      <c r="A2804" s="100"/>
      <c r="H2804" s="101"/>
      <c r="I2804" s="101"/>
      <c r="Q2804" s="101"/>
      <c r="R2804" s="101"/>
    </row>
    <row r="2805">
      <c r="A2805" s="100"/>
      <c r="H2805" s="101"/>
      <c r="I2805" s="101"/>
      <c r="Q2805" s="101"/>
      <c r="R2805" s="101"/>
    </row>
    <row r="2806">
      <c r="A2806" s="100"/>
      <c r="H2806" s="101"/>
      <c r="I2806" s="101"/>
      <c r="Q2806" s="101"/>
      <c r="R2806" s="101"/>
    </row>
    <row r="2807">
      <c r="A2807" s="100"/>
      <c r="H2807" s="101"/>
      <c r="I2807" s="101"/>
      <c r="Q2807" s="101"/>
      <c r="R2807" s="101"/>
    </row>
    <row r="2808">
      <c r="A2808" s="100"/>
      <c r="H2808" s="101"/>
      <c r="I2808" s="101"/>
      <c r="Q2808" s="101"/>
      <c r="R2808" s="101"/>
    </row>
    <row r="2809">
      <c r="A2809" s="100"/>
      <c r="H2809" s="101"/>
      <c r="I2809" s="101"/>
      <c r="Q2809" s="101"/>
      <c r="R2809" s="101"/>
    </row>
    <row r="2810">
      <c r="A2810" s="100"/>
      <c r="H2810" s="101"/>
      <c r="I2810" s="101"/>
      <c r="Q2810" s="101"/>
      <c r="R2810" s="101"/>
    </row>
    <row r="2811">
      <c r="A2811" s="100"/>
      <c r="H2811" s="101"/>
      <c r="I2811" s="101"/>
      <c r="Q2811" s="101"/>
      <c r="R2811" s="101"/>
    </row>
    <row r="2812">
      <c r="A2812" s="100"/>
      <c r="H2812" s="101"/>
      <c r="I2812" s="101"/>
      <c r="Q2812" s="101"/>
      <c r="R2812" s="101"/>
    </row>
    <row r="2813">
      <c r="A2813" s="100"/>
      <c r="H2813" s="101"/>
      <c r="I2813" s="101"/>
      <c r="Q2813" s="101"/>
      <c r="R2813" s="101"/>
    </row>
    <row r="2814">
      <c r="A2814" s="100"/>
      <c r="H2814" s="101"/>
      <c r="I2814" s="101"/>
      <c r="Q2814" s="101"/>
      <c r="R2814" s="101"/>
    </row>
    <row r="2815">
      <c r="A2815" s="100"/>
      <c r="H2815" s="101"/>
      <c r="I2815" s="101"/>
      <c r="Q2815" s="101"/>
      <c r="R2815" s="101"/>
    </row>
    <row r="2816">
      <c r="A2816" s="100"/>
      <c r="H2816" s="101"/>
      <c r="I2816" s="101"/>
      <c r="Q2816" s="101"/>
      <c r="R2816" s="101"/>
    </row>
    <row r="2817">
      <c r="A2817" s="100"/>
      <c r="H2817" s="101"/>
      <c r="I2817" s="101"/>
      <c r="Q2817" s="101"/>
      <c r="R2817" s="101"/>
    </row>
    <row r="2818">
      <c r="A2818" s="100"/>
      <c r="H2818" s="101"/>
      <c r="I2818" s="101"/>
      <c r="Q2818" s="101"/>
      <c r="R2818" s="101"/>
    </row>
    <row r="2819">
      <c r="A2819" s="100"/>
      <c r="H2819" s="101"/>
      <c r="I2819" s="101"/>
      <c r="Q2819" s="101"/>
      <c r="R2819" s="101"/>
    </row>
    <row r="2820">
      <c r="A2820" s="100"/>
      <c r="H2820" s="101"/>
      <c r="I2820" s="101"/>
      <c r="Q2820" s="101"/>
      <c r="R2820" s="101"/>
    </row>
    <row r="2821">
      <c r="A2821" s="100"/>
      <c r="H2821" s="101"/>
      <c r="I2821" s="101"/>
      <c r="Q2821" s="101"/>
      <c r="R2821" s="101"/>
    </row>
    <row r="2822">
      <c r="A2822" s="100"/>
      <c r="H2822" s="101"/>
      <c r="I2822" s="101"/>
      <c r="Q2822" s="101"/>
      <c r="R2822" s="101"/>
    </row>
    <row r="2823">
      <c r="A2823" s="100"/>
      <c r="H2823" s="101"/>
      <c r="I2823" s="101"/>
      <c r="Q2823" s="101"/>
      <c r="R2823" s="101"/>
    </row>
    <row r="2824">
      <c r="A2824" s="100"/>
      <c r="H2824" s="101"/>
      <c r="I2824" s="101"/>
      <c r="Q2824" s="101"/>
      <c r="R2824" s="101"/>
    </row>
    <row r="2825">
      <c r="A2825" s="100"/>
      <c r="H2825" s="101"/>
      <c r="I2825" s="101"/>
      <c r="Q2825" s="101"/>
      <c r="R2825" s="101"/>
    </row>
    <row r="2826">
      <c r="A2826" s="100"/>
      <c r="H2826" s="101"/>
      <c r="I2826" s="101"/>
      <c r="Q2826" s="101"/>
      <c r="R2826" s="101"/>
    </row>
    <row r="2827">
      <c r="A2827" s="100"/>
      <c r="H2827" s="101"/>
      <c r="I2827" s="101"/>
      <c r="Q2827" s="101"/>
      <c r="R2827" s="101"/>
    </row>
    <row r="2828">
      <c r="A2828" s="100"/>
      <c r="H2828" s="101"/>
      <c r="I2828" s="101"/>
      <c r="Q2828" s="101"/>
      <c r="R2828" s="101"/>
    </row>
    <row r="2829">
      <c r="A2829" s="100"/>
      <c r="H2829" s="101"/>
      <c r="I2829" s="101"/>
      <c r="Q2829" s="101"/>
      <c r="R2829" s="101"/>
    </row>
    <row r="2830">
      <c r="A2830" s="100"/>
      <c r="H2830" s="101"/>
      <c r="I2830" s="101"/>
      <c r="Q2830" s="101"/>
      <c r="R2830" s="101"/>
    </row>
    <row r="2831">
      <c r="A2831" s="100"/>
      <c r="H2831" s="101"/>
      <c r="I2831" s="101"/>
      <c r="Q2831" s="101"/>
      <c r="R2831" s="101"/>
    </row>
    <row r="2832">
      <c r="A2832" s="100"/>
      <c r="H2832" s="101"/>
      <c r="I2832" s="101"/>
      <c r="Q2832" s="101"/>
      <c r="R2832" s="101"/>
    </row>
    <row r="2833">
      <c r="A2833" s="100"/>
      <c r="H2833" s="101"/>
      <c r="I2833" s="101"/>
      <c r="Q2833" s="101"/>
      <c r="R2833" s="101"/>
    </row>
    <row r="2834">
      <c r="A2834" s="100"/>
      <c r="H2834" s="101"/>
      <c r="I2834" s="101"/>
      <c r="Q2834" s="101"/>
      <c r="R2834" s="101"/>
    </row>
    <row r="2835">
      <c r="A2835" s="100"/>
      <c r="H2835" s="101"/>
      <c r="I2835" s="101"/>
      <c r="Q2835" s="101"/>
      <c r="R2835" s="101"/>
    </row>
    <row r="2836">
      <c r="A2836" s="100"/>
      <c r="H2836" s="101"/>
      <c r="I2836" s="101"/>
      <c r="Q2836" s="101"/>
      <c r="R2836" s="101"/>
    </row>
    <row r="2837">
      <c r="A2837" s="100"/>
      <c r="H2837" s="101"/>
      <c r="I2837" s="101"/>
      <c r="Q2837" s="101"/>
      <c r="R2837" s="101"/>
    </row>
    <row r="2838">
      <c r="A2838" s="100"/>
      <c r="H2838" s="101"/>
      <c r="I2838" s="101"/>
      <c r="Q2838" s="101"/>
      <c r="R2838" s="101"/>
    </row>
    <row r="2839">
      <c r="A2839" s="100"/>
      <c r="H2839" s="101"/>
      <c r="I2839" s="101"/>
      <c r="Q2839" s="101"/>
      <c r="R2839" s="101"/>
    </row>
    <row r="2840">
      <c r="A2840" s="100"/>
      <c r="H2840" s="101"/>
      <c r="I2840" s="101"/>
      <c r="Q2840" s="101"/>
      <c r="R2840" s="101"/>
    </row>
    <row r="2841">
      <c r="A2841" s="100"/>
      <c r="H2841" s="101"/>
      <c r="I2841" s="101"/>
      <c r="Q2841" s="101"/>
      <c r="R2841" s="101"/>
    </row>
    <row r="2842">
      <c r="A2842" s="100"/>
      <c r="H2842" s="101"/>
      <c r="I2842" s="101"/>
      <c r="Q2842" s="101"/>
      <c r="R2842" s="101"/>
    </row>
    <row r="2843">
      <c r="A2843" s="100"/>
      <c r="H2843" s="101"/>
      <c r="I2843" s="101"/>
      <c r="Q2843" s="101"/>
      <c r="R2843" s="101"/>
    </row>
    <row r="2844">
      <c r="A2844" s="100"/>
      <c r="H2844" s="101"/>
      <c r="I2844" s="101"/>
      <c r="Q2844" s="101"/>
      <c r="R2844" s="101"/>
    </row>
    <row r="2845">
      <c r="A2845" s="100"/>
      <c r="H2845" s="101"/>
      <c r="I2845" s="101"/>
      <c r="Q2845" s="101"/>
      <c r="R2845" s="101"/>
    </row>
    <row r="2846">
      <c r="A2846" s="100"/>
      <c r="H2846" s="101"/>
      <c r="I2846" s="101"/>
      <c r="Q2846" s="101"/>
      <c r="R2846" s="101"/>
    </row>
    <row r="2847">
      <c r="A2847" s="100"/>
      <c r="H2847" s="101"/>
      <c r="I2847" s="101"/>
      <c r="Q2847" s="101"/>
      <c r="R2847" s="101"/>
    </row>
    <row r="2848">
      <c r="A2848" s="100"/>
      <c r="H2848" s="101"/>
      <c r="I2848" s="101"/>
      <c r="Q2848" s="101"/>
      <c r="R2848" s="101"/>
    </row>
    <row r="2849">
      <c r="A2849" s="100"/>
      <c r="H2849" s="101"/>
      <c r="I2849" s="101"/>
      <c r="Q2849" s="101"/>
      <c r="R2849" s="101"/>
    </row>
    <row r="2850">
      <c r="A2850" s="100"/>
      <c r="H2850" s="101"/>
      <c r="I2850" s="101"/>
      <c r="Q2850" s="101"/>
      <c r="R2850" s="101"/>
    </row>
    <row r="2851">
      <c r="A2851" s="100"/>
      <c r="H2851" s="101"/>
      <c r="I2851" s="101"/>
      <c r="Q2851" s="101"/>
      <c r="R2851" s="101"/>
    </row>
    <row r="2852">
      <c r="A2852" s="100"/>
      <c r="H2852" s="101"/>
      <c r="I2852" s="101"/>
      <c r="Q2852" s="101"/>
      <c r="R2852" s="101"/>
    </row>
    <row r="2853">
      <c r="A2853" s="100"/>
      <c r="H2853" s="101"/>
      <c r="I2853" s="101"/>
      <c r="Q2853" s="101"/>
      <c r="R2853" s="101"/>
    </row>
    <row r="2854">
      <c r="A2854" s="100"/>
      <c r="H2854" s="101"/>
      <c r="I2854" s="101"/>
      <c r="Q2854" s="101"/>
      <c r="R2854" s="101"/>
    </row>
    <row r="2855">
      <c r="A2855" s="100"/>
      <c r="H2855" s="101"/>
      <c r="I2855" s="101"/>
      <c r="Q2855" s="101"/>
      <c r="R2855" s="101"/>
    </row>
    <row r="2856">
      <c r="A2856" s="100"/>
      <c r="H2856" s="101"/>
      <c r="I2856" s="101"/>
      <c r="Q2856" s="101"/>
      <c r="R2856" s="101"/>
    </row>
    <row r="2857">
      <c r="A2857" s="100"/>
      <c r="H2857" s="101"/>
      <c r="I2857" s="101"/>
      <c r="Q2857" s="101"/>
      <c r="R2857" s="101"/>
    </row>
    <row r="2858">
      <c r="A2858" s="100"/>
      <c r="H2858" s="101"/>
      <c r="I2858" s="101"/>
      <c r="Q2858" s="101"/>
      <c r="R2858" s="101"/>
    </row>
    <row r="2859">
      <c r="A2859" s="100"/>
      <c r="H2859" s="101"/>
      <c r="I2859" s="101"/>
      <c r="Q2859" s="101"/>
      <c r="R2859" s="101"/>
    </row>
    <row r="2860">
      <c r="A2860" s="100"/>
      <c r="H2860" s="101"/>
      <c r="I2860" s="101"/>
      <c r="Q2860" s="101"/>
      <c r="R2860" s="101"/>
    </row>
    <row r="2861">
      <c r="A2861" s="100"/>
      <c r="H2861" s="101"/>
      <c r="I2861" s="101"/>
      <c r="Q2861" s="101"/>
      <c r="R2861" s="101"/>
    </row>
    <row r="2862">
      <c r="A2862" s="100"/>
      <c r="H2862" s="101"/>
      <c r="I2862" s="101"/>
      <c r="Q2862" s="101"/>
      <c r="R2862" s="101"/>
    </row>
    <row r="2863">
      <c r="A2863" s="100"/>
      <c r="H2863" s="101"/>
      <c r="I2863" s="101"/>
      <c r="Q2863" s="101"/>
      <c r="R2863" s="101"/>
    </row>
    <row r="2864">
      <c r="A2864" s="100"/>
      <c r="H2864" s="101"/>
      <c r="I2864" s="101"/>
      <c r="Q2864" s="101"/>
      <c r="R2864" s="101"/>
    </row>
    <row r="2865">
      <c r="A2865" s="100"/>
      <c r="H2865" s="101"/>
      <c r="I2865" s="101"/>
      <c r="Q2865" s="101"/>
      <c r="R2865" s="101"/>
    </row>
    <row r="2866">
      <c r="A2866" s="100"/>
      <c r="H2866" s="101"/>
      <c r="I2866" s="101"/>
      <c r="Q2866" s="101"/>
      <c r="R2866" s="101"/>
    </row>
    <row r="2867">
      <c r="A2867" s="100"/>
      <c r="H2867" s="101"/>
      <c r="I2867" s="101"/>
      <c r="Q2867" s="101"/>
      <c r="R2867" s="101"/>
    </row>
    <row r="2868">
      <c r="A2868" s="100"/>
      <c r="H2868" s="101"/>
      <c r="I2868" s="101"/>
      <c r="Q2868" s="101"/>
      <c r="R2868" s="101"/>
    </row>
    <row r="2869">
      <c r="A2869" s="100"/>
      <c r="H2869" s="101"/>
      <c r="I2869" s="101"/>
      <c r="Q2869" s="101"/>
      <c r="R2869" s="101"/>
    </row>
    <row r="2870">
      <c r="A2870" s="100"/>
      <c r="H2870" s="101"/>
      <c r="I2870" s="101"/>
      <c r="Q2870" s="101"/>
      <c r="R2870" s="101"/>
    </row>
    <row r="2871">
      <c r="A2871" s="100"/>
      <c r="H2871" s="101"/>
      <c r="I2871" s="101"/>
      <c r="Q2871" s="101"/>
      <c r="R2871" s="101"/>
    </row>
    <row r="2872">
      <c r="A2872" s="100"/>
      <c r="H2872" s="101"/>
      <c r="I2872" s="101"/>
      <c r="Q2872" s="101"/>
      <c r="R2872" s="101"/>
    </row>
    <row r="2873">
      <c r="A2873" s="100"/>
      <c r="H2873" s="101"/>
      <c r="I2873" s="101"/>
      <c r="Q2873" s="101"/>
      <c r="R2873" s="101"/>
    </row>
    <row r="2874">
      <c r="A2874" s="100"/>
      <c r="H2874" s="101"/>
      <c r="I2874" s="101"/>
      <c r="Q2874" s="101"/>
      <c r="R2874" s="101"/>
    </row>
    <row r="2875">
      <c r="A2875" s="100"/>
      <c r="H2875" s="101"/>
      <c r="I2875" s="101"/>
      <c r="Q2875" s="101"/>
      <c r="R2875" s="101"/>
    </row>
    <row r="2876">
      <c r="A2876" s="100"/>
      <c r="H2876" s="101"/>
      <c r="I2876" s="101"/>
      <c r="Q2876" s="101"/>
      <c r="R2876" s="101"/>
    </row>
    <row r="2877">
      <c r="A2877" s="100"/>
      <c r="H2877" s="101"/>
      <c r="I2877" s="101"/>
      <c r="Q2877" s="101"/>
      <c r="R2877" s="101"/>
    </row>
    <row r="2878">
      <c r="A2878" s="100"/>
      <c r="H2878" s="101"/>
      <c r="I2878" s="101"/>
      <c r="Q2878" s="101"/>
      <c r="R2878" s="101"/>
    </row>
    <row r="2879">
      <c r="A2879" s="100"/>
      <c r="H2879" s="101"/>
      <c r="I2879" s="101"/>
      <c r="Q2879" s="101"/>
      <c r="R2879" s="101"/>
    </row>
    <row r="2880">
      <c r="A2880" s="100"/>
      <c r="H2880" s="101"/>
      <c r="I2880" s="101"/>
      <c r="Q2880" s="101"/>
      <c r="R2880" s="101"/>
    </row>
    <row r="2881">
      <c r="A2881" s="100"/>
      <c r="H2881" s="101"/>
      <c r="I2881" s="101"/>
      <c r="Q2881" s="101"/>
      <c r="R2881" s="101"/>
    </row>
    <row r="2882">
      <c r="A2882" s="100"/>
      <c r="H2882" s="101"/>
      <c r="I2882" s="101"/>
      <c r="Q2882" s="101"/>
      <c r="R2882" s="101"/>
    </row>
    <row r="2883">
      <c r="A2883" s="100"/>
      <c r="H2883" s="101"/>
      <c r="I2883" s="101"/>
      <c r="Q2883" s="101"/>
      <c r="R2883" s="101"/>
    </row>
    <row r="2884">
      <c r="A2884" s="100"/>
      <c r="H2884" s="101"/>
      <c r="I2884" s="101"/>
      <c r="Q2884" s="101"/>
      <c r="R2884" s="101"/>
    </row>
    <row r="2885">
      <c r="A2885" s="100"/>
      <c r="H2885" s="101"/>
      <c r="I2885" s="101"/>
      <c r="Q2885" s="101"/>
      <c r="R2885" s="101"/>
    </row>
    <row r="2886">
      <c r="A2886" s="100"/>
      <c r="H2886" s="101"/>
      <c r="I2886" s="101"/>
      <c r="Q2886" s="101"/>
      <c r="R2886" s="101"/>
    </row>
    <row r="2887">
      <c r="A2887" s="100"/>
      <c r="H2887" s="101"/>
      <c r="I2887" s="101"/>
      <c r="Q2887" s="101"/>
      <c r="R2887" s="101"/>
    </row>
    <row r="2888">
      <c r="A2888" s="100"/>
      <c r="H2888" s="101"/>
      <c r="I2888" s="101"/>
      <c r="Q2888" s="101"/>
      <c r="R2888" s="101"/>
    </row>
    <row r="2889">
      <c r="A2889" s="100"/>
      <c r="H2889" s="101"/>
      <c r="I2889" s="101"/>
      <c r="Q2889" s="101"/>
      <c r="R2889" s="101"/>
    </row>
    <row r="2890">
      <c r="A2890" s="100"/>
      <c r="H2890" s="101"/>
      <c r="I2890" s="101"/>
      <c r="Q2890" s="101"/>
      <c r="R2890" s="101"/>
    </row>
    <row r="2891">
      <c r="A2891" s="100"/>
      <c r="H2891" s="101"/>
      <c r="I2891" s="101"/>
      <c r="Q2891" s="101"/>
      <c r="R2891" s="101"/>
    </row>
    <row r="2892">
      <c r="A2892" s="100"/>
      <c r="H2892" s="101"/>
      <c r="I2892" s="101"/>
      <c r="Q2892" s="101"/>
      <c r="R2892" s="101"/>
    </row>
    <row r="2893">
      <c r="A2893" s="100"/>
      <c r="H2893" s="101"/>
      <c r="I2893" s="101"/>
      <c r="Q2893" s="101"/>
      <c r="R2893" s="101"/>
    </row>
    <row r="2894">
      <c r="A2894" s="100"/>
      <c r="H2894" s="101"/>
      <c r="I2894" s="101"/>
      <c r="Q2894" s="101"/>
      <c r="R2894" s="101"/>
    </row>
    <row r="2895">
      <c r="A2895" s="100"/>
      <c r="H2895" s="101"/>
      <c r="I2895" s="101"/>
      <c r="Q2895" s="101"/>
      <c r="R2895" s="101"/>
    </row>
    <row r="2896">
      <c r="A2896" s="100"/>
      <c r="H2896" s="101"/>
      <c r="I2896" s="101"/>
      <c r="Q2896" s="101"/>
      <c r="R2896" s="101"/>
    </row>
    <row r="2897">
      <c r="A2897" s="100"/>
      <c r="H2897" s="101"/>
      <c r="I2897" s="101"/>
      <c r="Q2897" s="101"/>
      <c r="R2897" s="101"/>
    </row>
    <row r="2898">
      <c r="A2898" s="100"/>
      <c r="H2898" s="101"/>
      <c r="I2898" s="101"/>
      <c r="Q2898" s="101"/>
      <c r="R2898" s="101"/>
    </row>
    <row r="2899">
      <c r="A2899" s="100"/>
      <c r="H2899" s="101"/>
      <c r="I2899" s="101"/>
      <c r="Q2899" s="101"/>
      <c r="R2899" s="101"/>
    </row>
    <row r="2900">
      <c r="A2900" s="100"/>
      <c r="H2900" s="101"/>
      <c r="I2900" s="101"/>
      <c r="Q2900" s="101"/>
      <c r="R2900" s="101"/>
    </row>
    <row r="2901">
      <c r="A2901" s="100"/>
      <c r="H2901" s="101"/>
      <c r="I2901" s="101"/>
      <c r="Q2901" s="101"/>
      <c r="R2901" s="101"/>
    </row>
    <row r="2902">
      <c r="A2902" s="100"/>
      <c r="H2902" s="101"/>
      <c r="I2902" s="101"/>
      <c r="Q2902" s="101"/>
      <c r="R2902" s="101"/>
    </row>
    <row r="2903">
      <c r="A2903" s="100"/>
      <c r="H2903" s="101"/>
      <c r="I2903" s="101"/>
      <c r="Q2903" s="101"/>
      <c r="R2903" s="101"/>
    </row>
    <row r="2904">
      <c r="A2904" s="100"/>
      <c r="H2904" s="101"/>
      <c r="I2904" s="101"/>
      <c r="Q2904" s="101"/>
      <c r="R2904" s="101"/>
    </row>
    <row r="2905">
      <c r="A2905" s="100"/>
      <c r="H2905" s="101"/>
      <c r="I2905" s="101"/>
      <c r="Q2905" s="101"/>
      <c r="R2905" s="101"/>
    </row>
    <row r="2906">
      <c r="A2906" s="100"/>
      <c r="H2906" s="101"/>
      <c r="I2906" s="101"/>
      <c r="Q2906" s="101"/>
      <c r="R2906" s="101"/>
    </row>
    <row r="2907">
      <c r="A2907" s="100"/>
      <c r="H2907" s="101"/>
      <c r="I2907" s="101"/>
      <c r="Q2907" s="101"/>
      <c r="R2907" s="101"/>
    </row>
    <row r="2908">
      <c r="A2908" s="100"/>
      <c r="H2908" s="101"/>
      <c r="I2908" s="101"/>
      <c r="Q2908" s="101"/>
      <c r="R2908" s="101"/>
    </row>
    <row r="2909">
      <c r="A2909" s="100"/>
      <c r="H2909" s="101"/>
      <c r="I2909" s="101"/>
      <c r="Q2909" s="101"/>
      <c r="R2909" s="101"/>
    </row>
    <row r="2910">
      <c r="A2910" s="100"/>
      <c r="H2910" s="101"/>
      <c r="I2910" s="101"/>
      <c r="Q2910" s="101"/>
      <c r="R2910" s="101"/>
    </row>
    <row r="2911">
      <c r="A2911" s="100"/>
      <c r="H2911" s="101"/>
      <c r="I2911" s="101"/>
      <c r="Q2911" s="101"/>
      <c r="R2911" s="101"/>
    </row>
    <row r="2912">
      <c r="A2912" s="100"/>
      <c r="H2912" s="101"/>
      <c r="I2912" s="101"/>
      <c r="Q2912" s="101"/>
      <c r="R2912" s="101"/>
    </row>
    <row r="2913">
      <c r="A2913" s="100"/>
      <c r="H2913" s="101"/>
      <c r="I2913" s="101"/>
      <c r="Q2913" s="101"/>
      <c r="R2913" s="101"/>
    </row>
    <row r="2914">
      <c r="A2914" s="100"/>
      <c r="H2914" s="101"/>
      <c r="I2914" s="101"/>
      <c r="Q2914" s="101"/>
      <c r="R2914" s="101"/>
    </row>
    <row r="2915">
      <c r="A2915" s="100"/>
      <c r="H2915" s="101"/>
      <c r="I2915" s="101"/>
      <c r="Q2915" s="101"/>
      <c r="R2915" s="101"/>
    </row>
    <row r="2916">
      <c r="A2916" s="100"/>
      <c r="H2916" s="101"/>
      <c r="I2916" s="101"/>
      <c r="Q2916" s="101"/>
      <c r="R2916" s="101"/>
    </row>
    <row r="2917">
      <c r="A2917" s="100"/>
      <c r="H2917" s="101"/>
      <c r="I2917" s="101"/>
      <c r="Q2917" s="101"/>
      <c r="R2917" s="101"/>
    </row>
    <row r="2918">
      <c r="A2918" s="100"/>
      <c r="H2918" s="101"/>
      <c r="I2918" s="101"/>
      <c r="Q2918" s="101"/>
      <c r="R2918" s="101"/>
    </row>
    <row r="2919">
      <c r="A2919" s="100"/>
      <c r="H2919" s="101"/>
      <c r="I2919" s="101"/>
      <c r="Q2919" s="101"/>
      <c r="R2919" s="101"/>
    </row>
    <row r="2920">
      <c r="A2920" s="100"/>
      <c r="H2920" s="101"/>
      <c r="I2920" s="101"/>
      <c r="Q2920" s="101"/>
      <c r="R2920" s="101"/>
    </row>
    <row r="2921">
      <c r="A2921" s="100"/>
      <c r="H2921" s="101"/>
      <c r="I2921" s="101"/>
      <c r="Q2921" s="101"/>
      <c r="R2921" s="101"/>
    </row>
    <row r="2922">
      <c r="A2922" s="100"/>
      <c r="H2922" s="101"/>
      <c r="I2922" s="101"/>
      <c r="Q2922" s="101"/>
      <c r="R2922" s="101"/>
    </row>
    <row r="2923">
      <c r="A2923" s="100"/>
      <c r="H2923" s="101"/>
      <c r="I2923" s="101"/>
      <c r="Q2923" s="101"/>
      <c r="R2923" s="101"/>
    </row>
    <row r="2924">
      <c r="A2924" s="100"/>
      <c r="H2924" s="101"/>
      <c r="I2924" s="101"/>
      <c r="Q2924" s="101"/>
      <c r="R2924" s="101"/>
    </row>
    <row r="2925">
      <c r="A2925" s="100"/>
      <c r="H2925" s="101"/>
      <c r="I2925" s="101"/>
      <c r="Q2925" s="101"/>
      <c r="R2925" s="101"/>
    </row>
    <row r="2926">
      <c r="A2926" s="100"/>
      <c r="H2926" s="101"/>
      <c r="I2926" s="101"/>
      <c r="Q2926" s="101"/>
      <c r="R2926" s="101"/>
    </row>
    <row r="2927">
      <c r="A2927" s="100"/>
      <c r="H2927" s="101"/>
      <c r="I2927" s="101"/>
      <c r="Q2927" s="101"/>
      <c r="R2927" s="101"/>
    </row>
    <row r="2928">
      <c r="A2928" s="100"/>
      <c r="H2928" s="101"/>
      <c r="I2928" s="101"/>
      <c r="Q2928" s="101"/>
      <c r="R2928" s="101"/>
    </row>
    <row r="2929">
      <c r="A2929" s="100"/>
      <c r="H2929" s="101"/>
      <c r="I2929" s="101"/>
      <c r="Q2929" s="101"/>
      <c r="R2929" s="101"/>
    </row>
    <row r="2930">
      <c r="A2930" s="100"/>
      <c r="H2930" s="101"/>
      <c r="I2930" s="101"/>
      <c r="Q2930" s="101"/>
      <c r="R2930" s="101"/>
    </row>
    <row r="2931">
      <c r="A2931" s="100"/>
      <c r="H2931" s="101"/>
      <c r="I2931" s="101"/>
      <c r="Q2931" s="101"/>
      <c r="R2931" s="101"/>
    </row>
    <row r="2932">
      <c r="A2932" s="100"/>
      <c r="H2932" s="101"/>
      <c r="I2932" s="101"/>
      <c r="Q2932" s="101"/>
      <c r="R2932" s="101"/>
    </row>
    <row r="2933">
      <c r="A2933" s="100"/>
      <c r="H2933" s="101"/>
      <c r="I2933" s="101"/>
      <c r="Q2933" s="101"/>
      <c r="R2933" s="101"/>
    </row>
    <row r="2934">
      <c r="A2934" s="100"/>
      <c r="H2934" s="101"/>
      <c r="I2934" s="101"/>
      <c r="Q2934" s="101"/>
      <c r="R2934" s="101"/>
    </row>
    <row r="2935">
      <c r="A2935" s="100"/>
      <c r="H2935" s="101"/>
      <c r="I2935" s="101"/>
      <c r="Q2935" s="101"/>
      <c r="R2935" s="101"/>
    </row>
    <row r="2936">
      <c r="A2936" s="100"/>
      <c r="H2936" s="101"/>
      <c r="I2936" s="101"/>
      <c r="Q2936" s="101"/>
      <c r="R2936" s="101"/>
    </row>
    <row r="2937">
      <c r="A2937" s="100"/>
      <c r="H2937" s="101"/>
      <c r="I2937" s="101"/>
      <c r="Q2937" s="101"/>
      <c r="R2937" s="101"/>
    </row>
    <row r="2938">
      <c r="A2938" s="100"/>
      <c r="H2938" s="101"/>
      <c r="I2938" s="101"/>
      <c r="Q2938" s="101"/>
      <c r="R2938" s="101"/>
    </row>
    <row r="2939">
      <c r="A2939" s="100"/>
      <c r="H2939" s="101"/>
      <c r="I2939" s="101"/>
      <c r="Q2939" s="101"/>
      <c r="R2939" s="101"/>
    </row>
    <row r="2940">
      <c r="A2940" s="100"/>
      <c r="H2940" s="101"/>
      <c r="I2940" s="101"/>
      <c r="Q2940" s="101"/>
      <c r="R2940" s="101"/>
    </row>
    <row r="2941">
      <c r="A2941" s="100"/>
      <c r="H2941" s="101"/>
      <c r="I2941" s="101"/>
      <c r="Q2941" s="101"/>
      <c r="R2941" s="101"/>
    </row>
    <row r="2942">
      <c r="A2942" s="100"/>
      <c r="H2942" s="101"/>
      <c r="I2942" s="101"/>
      <c r="Q2942" s="101"/>
      <c r="R2942" s="101"/>
    </row>
    <row r="2943">
      <c r="A2943" s="100"/>
      <c r="H2943" s="101"/>
      <c r="I2943" s="101"/>
      <c r="Q2943" s="101"/>
      <c r="R2943" s="101"/>
    </row>
    <row r="2944">
      <c r="A2944" s="100"/>
      <c r="H2944" s="101"/>
      <c r="I2944" s="101"/>
      <c r="Q2944" s="101"/>
      <c r="R2944" s="101"/>
    </row>
    <row r="2945">
      <c r="A2945" s="100"/>
      <c r="H2945" s="101"/>
      <c r="I2945" s="101"/>
      <c r="Q2945" s="101"/>
      <c r="R2945" s="101"/>
    </row>
    <row r="2946">
      <c r="A2946" s="100"/>
      <c r="H2946" s="101"/>
      <c r="I2946" s="101"/>
      <c r="Q2946" s="101"/>
      <c r="R2946" s="101"/>
    </row>
    <row r="2947">
      <c r="A2947" s="100"/>
      <c r="H2947" s="101"/>
      <c r="I2947" s="101"/>
      <c r="Q2947" s="101"/>
      <c r="R2947" s="101"/>
    </row>
    <row r="2948">
      <c r="A2948" s="100"/>
      <c r="H2948" s="101"/>
      <c r="I2948" s="101"/>
      <c r="Q2948" s="101"/>
      <c r="R2948" s="101"/>
    </row>
    <row r="2949">
      <c r="A2949" s="100"/>
      <c r="H2949" s="101"/>
      <c r="I2949" s="101"/>
      <c r="Q2949" s="101"/>
      <c r="R2949" s="101"/>
    </row>
    <row r="2950">
      <c r="A2950" s="100"/>
      <c r="H2950" s="101"/>
      <c r="I2950" s="101"/>
      <c r="Q2950" s="101"/>
      <c r="R2950" s="101"/>
    </row>
    <row r="2951">
      <c r="A2951" s="100"/>
      <c r="H2951" s="101"/>
      <c r="I2951" s="101"/>
      <c r="Q2951" s="101"/>
      <c r="R2951" s="101"/>
    </row>
    <row r="2952">
      <c r="A2952" s="100"/>
      <c r="H2952" s="101"/>
      <c r="I2952" s="101"/>
      <c r="Q2952" s="101"/>
      <c r="R2952" s="101"/>
    </row>
    <row r="2953">
      <c r="A2953" s="100"/>
      <c r="H2953" s="101"/>
      <c r="I2953" s="101"/>
      <c r="Q2953" s="101"/>
      <c r="R2953" s="101"/>
    </row>
    <row r="2954">
      <c r="A2954" s="100"/>
      <c r="H2954" s="101"/>
      <c r="I2954" s="101"/>
      <c r="Q2954" s="101"/>
      <c r="R2954" s="101"/>
    </row>
    <row r="2955">
      <c r="A2955" s="100"/>
      <c r="H2955" s="101"/>
      <c r="I2955" s="101"/>
      <c r="Q2955" s="101"/>
      <c r="R2955" s="101"/>
    </row>
    <row r="2956">
      <c r="A2956" s="100"/>
      <c r="H2956" s="101"/>
      <c r="I2956" s="101"/>
      <c r="Q2956" s="101"/>
      <c r="R2956" s="101"/>
    </row>
    <row r="2957">
      <c r="A2957" s="100"/>
      <c r="H2957" s="101"/>
      <c r="I2957" s="101"/>
      <c r="Q2957" s="101"/>
      <c r="R2957" s="101"/>
    </row>
    <row r="2958">
      <c r="A2958" s="100"/>
      <c r="H2958" s="101"/>
      <c r="I2958" s="101"/>
      <c r="Q2958" s="101"/>
      <c r="R2958" s="101"/>
    </row>
    <row r="2959">
      <c r="A2959" s="100"/>
      <c r="H2959" s="101"/>
      <c r="I2959" s="101"/>
      <c r="Q2959" s="101"/>
      <c r="R2959" s="101"/>
    </row>
    <row r="2960">
      <c r="A2960" s="100"/>
      <c r="H2960" s="101"/>
      <c r="I2960" s="101"/>
      <c r="Q2960" s="101"/>
      <c r="R2960" s="101"/>
    </row>
    <row r="2961">
      <c r="A2961" s="100"/>
      <c r="H2961" s="101"/>
      <c r="I2961" s="101"/>
      <c r="Q2961" s="101"/>
      <c r="R2961" s="101"/>
    </row>
    <row r="2962">
      <c r="A2962" s="100"/>
      <c r="H2962" s="101"/>
      <c r="I2962" s="101"/>
      <c r="Q2962" s="101"/>
      <c r="R2962" s="101"/>
    </row>
    <row r="2963">
      <c r="A2963" s="100"/>
      <c r="H2963" s="101"/>
      <c r="I2963" s="101"/>
      <c r="Q2963" s="101"/>
      <c r="R2963" s="101"/>
    </row>
    <row r="2964">
      <c r="A2964" s="100"/>
      <c r="H2964" s="101"/>
      <c r="I2964" s="101"/>
      <c r="Q2964" s="101"/>
      <c r="R2964" s="101"/>
    </row>
    <row r="2965">
      <c r="A2965" s="100"/>
      <c r="H2965" s="101"/>
      <c r="I2965" s="101"/>
      <c r="Q2965" s="101"/>
      <c r="R2965" s="101"/>
    </row>
    <row r="2966">
      <c r="A2966" s="100"/>
      <c r="H2966" s="101"/>
      <c r="I2966" s="101"/>
      <c r="Q2966" s="101"/>
      <c r="R2966" s="101"/>
    </row>
    <row r="2967">
      <c r="A2967" s="100"/>
      <c r="H2967" s="101"/>
      <c r="I2967" s="101"/>
      <c r="Q2967" s="101"/>
      <c r="R2967" s="101"/>
    </row>
    <row r="2968">
      <c r="A2968" s="100"/>
      <c r="H2968" s="101"/>
      <c r="I2968" s="101"/>
      <c r="Q2968" s="101"/>
      <c r="R2968" s="101"/>
    </row>
    <row r="2969">
      <c r="A2969" s="100"/>
      <c r="H2969" s="101"/>
      <c r="I2969" s="101"/>
      <c r="Q2969" s="101"/>
      <c r="R2969" s="101"/>
    </row>
    <row r="2970">
      <c r="A2970" s="100"/>
      <c r="H2970" s="101"/>
      <c r="I2970" s="101"/>
      <c r="Q2970" s="101"/>
      <c r="R2970" s="101"/>
    </row>
    <row r="2971">
      <c r="A2971" s="100"/>
      <c r="H2971" s="101"/>
      <c r="I2971" s="101"/>
      <c r="Q2971" s="101"/>
      <c r="R2971" s="101"/>
    </row>
    <row r="2972">
      <c r="A2972" s="100"/>
      <c r="H2972" s="101"/>
      <c r="I2972" s="101"/>
      <c r="Q2972" s="101"/>
      <c r="R2972" s="101"/>
    </row>
    <row r="2973">
      <c r="A2973" s="100"/>
      <c r="H2973" s="101"/>
      <c r="I2973" s="101"/>
      <c r="Q2973" s="101"/>
      <c r="R2973" s="101"/>
    </row>
    <row r="2974">
      <c r="A2974" s="100"/>
      <c r="H2974" s="101"/>
      <c r="I2974" s="101"/>
      <c r="Q2974" s="101"/>
      <c r="R2974" s="101"/>
    </row>
    <row r="2975">
      <c r="A2975" s="100"/>
      <c r="H2975" s="101"/>
      <c r="I2975" s="101"/>
      <c r="Q2975" s="101"/>
      <c r="R2975" s="101"/>
    </row>
    <row r="2976">
      <c r="A2976" s="100"/>
      <c r="H2976" s="101"/>
      <c r="I2976" s="101"/>
      <c r="Q2976" s="101"/>
      <c r="R2976" s="101"/>
    </row>
    <row r="2977">
      <c r="A2977" s="100"/>
      <c r="H2977" s="101"/>
      <c r="I2977" s="101"/>
      <c r="Q2977" s="101"/>
      <c r="R2977" s="101"/>
    </row>
    <row r="2978">
      <c r="A2978" s="100"/>
      <c r="H2978" s="101"/>
      <c r="I2978" s="101"/>
      <c r="Q2978" s="101"/>
      <c r="R2978" s="101"/>
    </row>
    <row r="2979">
      <c r="A2979" s="100"/>
      <c r="H2979" s="101"/>
      <c r="I2979" s="101"/>
      <c r="Q2979" s="101"/>
      <c r="R2979" s="101"/>
    </row>
    <row r="2980">
      <c r="A2980" s="100"/>
      <c r="H2980" s="101"/>
      <c r="I2980" s="101"/>
      <c r="Q2980" s="101"/>
      <c r="R2980" s="101"/>
    </row>
    <row r="2981">
      <c r="A2981" s="100"/>
      <c r="H2981" s="101"/>
      <c r="I2981" s="101"/>
      <c r="Q2981" s="101"/>
      <c r="R2981" s="101"/>
    </row>
    <row r="2982">
      <c r="A2982" s="100"/>
      <c r="H2982" s="101"/>
      <c r="I2982" s="101"/>
      <c r="Q2982" s="101"/>
      <c r="R2982" s="101"/>
    </row>
    <row r="2983">
      <c r="A2983" s="100"/>
      <c r="H2983" s="101"/>
      <c r="I2983" s="101"/>
      <c r="Q2983" s="101"/>
      <c r="R2983" s="101"/>
    </row>
    <row r="2984">
      <c r="A2984" s="100"/>
      <c r="H2984" s="101"/>
      <c r="I2984" s="101"/>
      <c r="Q2984" s="101"/>
      <c r="R2984" s="101"/>
    </row>
    <row r="2985">
      <c r="A2985" s="100"/>
      <c r="H2985" s="101"/>
      <c r="I2985" s="101"/>
      <c r="Q2985" s="101"/>
      <c r="R2985" s="101"/>
    </row>
    <row r="2986">
      <c r="A2986" s="100"/>
      <c r="H2986" s="101"/>
      <c r="I2986" s="101"/>
      <c r="Q2986" s="101"/>
      <c r="R2986" s="101"/>
    </row>
    <row r="2987">
      <c r="A2987" s="100"/>
      <c r="H2987" s="101"/>
      <c r="I2987" s="101"/>
      <c r="Q2987" s="101"/>
      <c r="R2987" s="101"/>
    </row>
    <row r="2988">
      <c r="A2988" s="100"/>
      <c r="H2988" s="101"/>
      <c r="I2988" s="101"/>
      <c r="Q2988" s="101"/>
      <c r="R2988" s="101"/>
    </row>
    <row r="2989">
      <c r="A2989" s="100"/>
      <c r="H2989" s="101"/>
      <c r="I2989" s="101"/>
      <c r="Q2989" s="101"/>
      <c r="R2989" s="101"/>
    </row>
    <row r="2990">
      <c r="A2990" s="100"/>
      <c r="H2990" s="101"/>
      <c r="I2990" s="101"/>
      <c r="Q2990" s="101"/>
      <c r="R2990" s="101"/>
    </row>
    <row r="2991">
      <c r="A2991" s="100"/>
      <c r="H2991" s="101"/>
      <c r="I2991" s="101"/>
      <c r="Q2991" s="101"/>
      <c r="R2991" s="101"/>
    </row>
    <row r="2992">
      <c r="A2992" s="100"/>
      <c r="H2992" s="101"/>
      <c r="I2992" s="101"/>
      <c r="Q2992" s="101"/>
      <c r="R2992" s="101"/>
    </row>
    <row r="2993">
      <c r="A2993" s="100"/>
      <c r="H2993" s="101"/>
      <c r="I2993" s="101"/>
      <c r="Q2993" s="101"/>
      <c r="R2993" s="101"/>
    </row>
    <row r="2994">
      <c r="A2994" s="100"/>
      <c r="H2994" s="101"/>
      <c r="I2994" s="101"/>
      <c r="Q2994" s="101"/>
      <c r="R2994" s="101"/>
    </row>
    <row r="2995">
      <c r="A2995" s="100"/>
      <c r="H2995" s="101"/>
      <c r="I2995" s="101"/>
      <c r="Q2995" s="101"/>
      <c r="R2995" s="101"/>
    </row>
    <row r="2996">
      <c r="A2996" s="100"/>
      <c r="H2996" s="101"/>
      <c r="I2996" s="101"/>
      <c r="Q2996" s="101"/>
      <c r="R2996" s="101"/>
    </row>
    <row r="2997">
      <c r="A2997" s="100"/>
      <c r="H2997" s="101"/>
      <c r="I2997" s="101"/>
      <c r="Q2997" s="101"/>
      <c r="R2997" s="101"/>
    </row>
    <row r="2998">
      <c r="A2998" s="100"/>
      <c r="H2998" s="101"/>
      <c r="I2998" s="101"/>
      <c r="Q2998" s="101"/>
      <c r="R2998" s="101"/>
    </row>
    <row r="2999">
      <c r="A2999" s="100"/>
      <c r="H2999" s="101"/>
      <c r="I2999" s="101"/>
      <c r="Q2999" s="101"/>
      <c r="R2999" s="101"/>
    </row>
    <row r="3000">
      <c r="A3000" s="100"/>
      <c r="H3000" s="101"/>
      <c r="I3000" s="101"/>
      <c r="Q3000" s="101"/>
      <c r="R3000" s="101"/>
    </row>
    <row r="3001">
      <c r="A3001" s="100"/>
      <c r="H3001" s="101"/>
      <c r="I3001" s="101"/>
      <c r="Q3001" s="101"/>
      <c r="R3001" s="101"/>
    </row>
    <row r="3002">
      <c r="A3002" s="100"/>
      <c r="H3002" s="101"/>
      <c r="I3002" s="101"/>
      <c r="Q3002" s="101"/>
      <c r="R3002" s="101"/>
    </row>
    <row r="3003">
      <c r="A3003" s="100"/>
      <c r="H3003" s="101"/>
      <c r="I3003" s="101"/>
      <c r="Q3003" s="101"/>
      <c r="R3003" s="101"/>
    </row>
    <row r="3004">
      <c r="A3004" s="100"/>
      <c r="H3004" s="101"/>
      <c r="I3004" s="101"/>
      <c r="Q3004" s="101"/>
      <c r="R3004" s="101"/>
    </row>
    <row r="3005">
      <c r="A3005" s="100"/>
      <c r="H3005" s="101"/>
      <c r="I3005" s="101"/>
      <c r="Q3005" s="101"/>
      <c r="R3005" s="101"/>
    </row>
    <row r="3006">
      <c r="A3006" s="100"/>
      <c r="H3006" s="101"/>
      <c r="I3006" s="101"/>
      <c r="Q3006" s="101"/>
      <c r="R3006" s="101"/>
    </row>
    <row r="3007">
      <c r="A3007" s="100"/>
      <c r="H3007" s="101"/>
      <c r="I3007" s="101"/>
      <c r="Q3007" s="101"/>
      <c r="R3007" s="101"/>
    </row>
    <row r="3008">
      <c r="A3008" s="100"/>
      <c r="H3008" s="101"/>
      <c r="I3008" s="101"/>
      <c r="Q3008" s="101"/>
      <c r="R3008" s="101"/>
    </row>
    <row r="3009">
      <c r="A3009" s="100"/>
      <c r="H3009" s="101"/>
      <c r="I3009" s="101"/>
      <c r="Q3009" s="101"/>
      <c r="R3009" s="101"/>
    </row>
    <row r="3010">
      <c r="A3010" s="100"/>
      <c r="H3010" s="101"/>
      <c r="I3010" s="101"/>
      <c r="Q3010" s="101"/>
      <c r="R3010" s="101"/>
    </row>
    <row r="3011">
      <c r="A3011" s="100"/>
      <c r="H3011" s="101"/>
      <c r="I3011" s="101"/>
      <c r="Q3011" s="101"/>
      <c r="R3011" s="101"/>
    </row>
    <row r="3012">
      <c r="A3012" s="100"/>
      <c r="H3012" s="101"/>
      <c r="I3012" s="101"/>
      <c r="Q3012" s="101"/>
      <c r="R3012" s="101"/>
    </row>
    <row r="3013">
      <c r="A3013" s="100"/>
      <c r="H3013" s="101"/>
      <c r="I3013" s="101"/>
      <c r="Q3013" s="101"/>
      <c r="R3013" s="101"/>
    </row>
    <row r="3014">
      <c r="A3014" s="100"/>
      <c r="H3014" s="101"/>
      <c r="I3014" s="101"/>
      <c r="Q3014" s="101"/>
      <c r="R3014" s="101"/>
    </row>
    <row r="3015">
      <c r="A3015" s="100"/>
      <c r="H3015" s="101"/>
      <c r="I3015" s="101"/>
      <c r="Q3015" s="101"/>
      <c r="R3015" s="101"/>
    </row>
    <row r="3016">
      <c r="A3016" s="100"/>
      <c r="H3016" s="101"/>
      <c r="I3016" s="101"/>
      <c r="Q3016" s="101"/>
      <c r="R3016" s="101"/>
    </row>
    <row r="3017">
      <c r="A3017" s="100"/>
      <c r="H3017" s="101"/>
      <c r="I3017" s="101"/>
      <c r="Q3017" s="101"/>
      <c r="R3017" s="101"/>
    </row>
    <row r="3018">
      <c r="A3018" s="100"/>
      <c r="H3018" s="101"/>
      <c r="I3018" s="101"/>
      <c r="Q3018" s="101"/>
      <c r="R3018" s="101"/>
    </row>
    <row r="3019">
      <c r="A3019" s="100"/>
      <c r="H3019" s="101"/>
      <c r="I3019" s="101"/>
      <c r="Q3019" s="101"/>
      <c r="R3019" s="101"/>
    </row>
    <row r="3020">
      <c r="A3020" s="100"/>
      <c r="H3020" s="101"/>
      <c r="I3020" s="101"/>
      <c r="Q3020" s="101"/>
      <c r="R3020" s="101"/>
    </row>
    <row r="3021">
      <c r="A3021" s="100"/>
      <c r="H3021" s="101"/>
      <c r="I3021" s="101"/>
      <c r="Q3021" s="101"/>
      <c r="R3021" s="101"/>
    </row>
    <row r="3022">
      <c r="A3022" s="100"/>
      <c r="H3022" s="101"/>
      <c r="I3022" s="101"/>
      <c r="Q3022" s="101"/>
      <c r="R3022" s="101"/>
    </row>
    <row r="3023">
      <c r="A3023" s="100"/>
      <c r="H3023" s="101"/>
      <c r="I3023" s="101"/>
      <c r="Q3023" s="101"/>
      <c r="R3023" s="101"/>
    </row>
    <row r="3024">
      <c r="A3024" s="100"/>
      <c r="H3024" s="101"/>
      <c r="I3024" s="101"/>
      <c r="Q3024" s="101"/>
      <c r="R3024" s="101"/>
    </row>
    <row r="3025">
      <c r="A3025" s="100"/>
      <c r="H3025" s="101"/>
      <c r="I3025" s="101"/>
      <c r="Q3025" s="101"/>
      <c r="R3025" s="101"/>
    </row>
    <row r="3026">
      <c r="A3026" s="100"/>
      <c r="H3026" s="101"/>
      <c r="I3026" s="101"/>
      <c r="Q3026" s="101"/>
      <c r="R3026" s="101"/>
    </row>
    <row r="3027">
      <c r="A3027" s="100"/>
      <c r="H3027" s="101"/>
      <c r="I3027" s="101"/>
      <c r="Q3027" s="101"/>
      <c r="R3027" s="101"/>
    </row>
    <row r="3028">
      <c r="A3028" s="100"/>
      <c r="H3028" s="101"/>
      <c r="I3028" s="101"/>
      <c r="Q3028" s="101"/>
      <c r="R3028" s="101"/>
    </row>
    <row r="3029">
      <c r="A3029" s="100"/>
      <c r="H3029" s="101"/>
      <c r="I3029" s="101"/>
      <c r="Q3029" s="101"/>
      <c r="R3029" s="101"/>
    </row>
    <row r="3030">
      <c r="A3030" s="100"/>
      <c r="H3030" s="101"/>
      <c r="I3030" s="101"/>
      <c r="Q3030" s="101"/>
      <c r="R3030" s="101"/>
    </row>
    <row r="3031">
      <c r="A3031" s="100"/>
      <c r="H3031" s="101"/>
      <c r="I3031" s="101"/>
      <c r="Q3031" s="101"/>
      <c r="R3031" s="101"/>
    </row>
    <row r="3032">
      <c r="A3032" s="100"/>
      <c r="H3032" s="101"/>
      <c r="I3032" s="101"/>
      <c r="Q3032" s="101"/>
      <c r="R3032" s="101"/>
    </row>
    <row r="3033">
      <c r="A3033" s="100"/>
      <c r="H3033" s="101"/>
      <c r="I3033" s="101"/>
      <c r="Q3033" s="101"/>
      <c r="R3033" s="101"/>
    </row>
    <row r="3034">
      <c r="A3034" s="100"/>
      <c r="H3034" s="101"/>
      <c r="I3034" s="101"/>
      <c r="Q3034" s="101"/>
      <c r="R3034" s="101"/>
    </row>
    <row r="3035">
      <c r="A3035" s="100"/>
      <c r="H3035" s="101"/>
      <c r="I3035" s="101"/>
      <c r="Q3035" s="101"/>
      <c r="R3035" s="101"/>
    </row>
    <row r="3036">
      <c r="A3036" s="100"/>
      <c r="H3036" s="101"/>
      <c r="I3036" s="101"/>
      <c r="Q3036" s="101"/>
      <c r="R3036" s="101"/>
    </row>
    <row r="3037">
      <c r="A3037" s="100"/>
      <c r="H3037" s="101"/>
      <c r="I3037" s="101"/>
      <c r="Q3037" s="101"/>
      <c r="R3037" s="101"/>
    </row>
    <row r="3038">
      <c r="A3038" s="100"/>
      <c r="H3038" s="101"/>
      <c r="I3038" s="101"/>
      <c r="Q3038" s="101"/>
      <c r="R3038" s="101"/>
    </row>
    <row r="3039">
      <c r="A3039" s="100"/>
      <c r="H3039" s="101"/>
      <c r="I3039" s="101"/>
      <c r="Q3039" s="101"/>
      <c r="R3039" s="101"/>
    </row>
    <row r="3040">
      <c r="A3040" s="100"/>
      <c r="H3040" s="101"/>
      <c r="I3040" s="101"/>
      <c r="Q3040" s="101"/>
      <c r="R3040" s="101"/>
    </row>
    <row r="3041">
      <c r="A3041" s="100"/>
      <c r="H3041" s="101"/>
      <c r="I3041" s="101"/>
      <c r="Q3041" s="101"/>
      <c r="R3041" s="101"/>
    </row>
    <row r="3042">
      <c r="A3042" s="100"/>
      <c r="H3042" s="101"/>
      <c r="I3042" s="101"/>
      <c r="Q3042" s="101"/>
      <c r="R3042" s="101"/>
    </row>
    <row r="3043">
      <c r="A3043" s="100"/>
      <c r="H3043" s="101"/>
      <c r="I3043" s="101"/>
      <c r="Q3043" s="101"/>
      <c r="R3043" s="101"/>
    </row>
    <row r="3044">
      <c r="A3044" s="100"/>
      <c r="H3044" s="101"/>
      <c r="I3044" s="101"/>
      <c r="Q3044" s="101"/>
      <c r="R3044" s="101"/>
    </row>
    <row r="3045">
      <c r="A3045" s="100"/>
      <c r="H3045" s="101"/>
      <c r="I3045" s="101"/>
      <c r="Q3045" s="101"/>
      <c r="R3045" s="101"/>
    </row>
    <row r="3046">
      <c r="A3046" s="100"/>
      <c r="H3046" s="101"/>
      <c r="I3046" s="101"/>
      <c r="Q3046" s="101"/>
      <c r="R3046" s="101"/>
    </row>
    <row r="3047">
      <c r="A3047" s="100"/>
      <c r="H3047" s="101"/>
      <c r="I3047" s="101"/>
      <c r="Q3047" s="101"/>
      <c r="R3047" s="101"/>
    </row>
    <row r="3048">
      <c r="A3048" s="100"/>
      <c r="H3048" s="101"/>
      <c r="I3048" s="101"/>
      <c r="Q3048" s="101"/>
      <c r="R3048" s="101"/>
    </row>
    <row r="3049">
      <c r="A3049" s="100"/>
      <c r="H3049" s="101"/>
      <c r="I3049" s="101"/>
      <c r="Q3049" s="101"/>
      <c r="R3049" s="101"/>
    </row>
    <row r="3050">
      <c r="A3050" s="100"/>
      <c r="H3050" s="101"/>
      <c r="I3050" s="101"/>
      <c r="Q3050" s="101"/>
      <c r="R3050" s="101"/>
    </row>
    <row r="3051">
      <c r="A3051" s="100"/>
      <c r="H3051" s="101"/>
      <c r="I3051" s="101"/>
      <c r="Q3051" s="101"/>
      <c r="R3051" s="101"/>
    </row>
    <row r="3052">
      <c r="A3052" s="100"/>
      <c r="H3052" s="101"/>
      <c r="I3052" s="101"/>
      <c r="Q3052" s="101"/>
      <c r="R3052" s="101"/>
    </row>
    <row r="3053">
      <c r="A3053" s="100"/>
      <c r="H3053" s="101"/>
      <c r="I3053" s="101"/>
      <c r="Q3053" s="101"/>
      <c r="R3053" s="101"/>
    </row>
    <row r="3054">
      <c r="A3054" s="100"/>
      <c r="H3054" s="101"/>
      <c r="I3054" s="101"/>
      <c r="Q3054" s="101"/>
      <c r="R3054" s="101"/>
    </row>
    <row r="3055">
      <c r="A3055" s="100"/>
      <c r="H3055" s="101"/>
      <c r="I3055" s="101"/>
      <c r="Q3055" s="101"/>
      <c r="R3055" s="101"/>
    </row>
    <row r="3056">
      <c r="A3056" s="100"/>
      <c r="H3056" s="101"/>
      <c r="I3056" s="101"/>
      <c r="Q3056" s="101"/>
      <c r="R3056" s="101"/>
    </row>
    <row r="3057">
      <c r="A3057" s="100"/>
      <c r="H3057" s="101"/>
      <c r="I3057" s="101"/>
      <c r="Q3057" s="101"/>
      <c r="R3057" s="101"/>
    </row>
    <row r="3058">
      <c r="A3058" s="100"/>
      <c r="H3058" s="101"/>
      <c r="I3058" s="101"/>
      <c r="Q3058" s="101"/>
      <c r="R3058" s="101"/>
    </row>
    <row r="3059">
      <c r="A3059" s="100"/>
      <c r="H3059" s="101"/>
      <c r="I3059" s="101"/>
      <c r="Q3059" s="101"/>
      <c r="R3059" s="101"/>
    </row>
    <row r="3060">
      <c r="A3060" s="100"/>
      <c r="H3060" s="101"/>
      <c r="I3060" s="101"/>
      <c r="Q3060" s="101"/>
      <c r="R3060" s="101"/>
    </row>
    <row r="3061">
      <c r="A3061" s="100"/>
      <c r="H3061" s="101"/>
      <c r="I3061" s="101"/>
      <c r="Q3061" s="101"/>
      <c r="R3061" s="101"/>
    </row>
    <row r="3062">
      <c r="A3062" s="100"/>
      <c r="H3062" s="101"/>
      <c r="I3062" s="101"/>
      <c r="Q3062" s="101"/>
      <c r="R3062" s="101"/>
    </row>
    <row r="3063">
      <c r="A3063" s="100"/>
      <c r="H3063" s="101"/>
      <c r="I3063" s="101"/>
      <c r="Q3063" s="101"/>
      <c r="R3063" s="101"/>
    </row>
    <row r="3064">
      <c r="A3064" s="100"/>
      <c r="H3064" s="101"/>
      <c r="I3064" s="101"/>
      <c r="Q3064" s="101"/>
      <c r="R3064" s="101"/>
    </row>
    <row r="3065">
      <c r="A3065" s="100"/>
      <c r="H3065" s="101"/>
      <c r="I3065" s="101"/>
      <c r="Q3065" s="101"/>
      <c r="R3065" s="101"/>
    </row>
    <row r="3066">
      <c r="A3066" s="100"/>
      <c r="H3066" s="101"/>
      <c r="I3066" s="101"/>
      <c r="Q3066" s="101"/>
      <c r="R3066" s="101"/>
    </row>
    <row r="3067">
      <c r="A3067" s="100"/>
      <c r="H3067" s="101"/>
      <c r="I3067" s="101"/>
      <c r="Q3067" s="101"/>
      <c r="R3067" s="101"/>
    </row>
    <row r="3068">
      <c r="A3068" s="100"/>
      <c r="H3068" s="101"/>
      <c r="I3068" s="101"/>
      <c r="Q3068" s="101"/>
      <c r="R3068" s="101"/>
    </row>
    <row r="3069">
      <c r="A3069" s="100"/>
      <c r="H3069" s="101"/>
      <c r="I3069" s="101"/>
      <c r="Q3069" s="101"/>
      <c r="R3069" s="101"/>
    </row>
    <row r="3070">
      <c r="A3070" s="100"/>
      <c r="H3070" s="101"/>
      <c r="I3070" s="101"/>
      <c r="Q3070" s="101"/>
      <c r="R3070" s="101"/>
    </row>
    <row r="3071">
      <c r="A3071" s="100"/>
      <c r="H3071" s="101"/>
      <c r="I3071" s="101"/>
      <c r="Q3071" s="101"/>
      <c r="R3071" s="101"/>
    </row>
    <row r="3072">
      <c r="A3072" s="100"/>
      <c r="H3072" s="101"/>
      <c r="I3072" s="101"/>
      <c r="Q3072" s="101"/>
      <c r="R3072" s="101"/>
    </row>
    <row r="3073">
      <c r="A3073" s="100"/>
      <c r="H3073" s="101"/>
      <c r="I3073" s="101"/>
      <c r="Q3073" s="101"/>
      <c r="R3073" s="101"/>
    </row>
    <row r="3074">
      <c r="A3074" s="100"/>
      <c r="H3074" s="101"/>
      <c r="I3074" s="101"/>
      <c r="Q3074" s="101"/>
      <c r="R3074" s="101"/>
    </row>
    <row r="3075">
      <c r="A3075" s="100"/>
      <c r="H3075" s="101"/>
      <c r="I3075" s="101"/>
      <c r="Q3075" s="101"/>
      <c r="R3075" s="101"/>
    </row>
    <row r="3076">
      <c r="A3076" s="100"/>
      <c r="H3076" s="101"/>
      <c r="I3076" s="101"/>
      <c r="Q3076" s="101"/>
      <c r="R3076" s="101"/>
    </row>
    <row r="3077">
      <c r="A3077" s="100"/>
      <c r="H3077" s="101"/>
      <c r="I3077" s="101"/>
      <c r="Q3077" s="101"/>
      <c r="R3077" s="101"/>
    </row>
    <row r="3078">
      <c r="A3078" s="100"/>
      <c r="H3078" s="101"/>
      <c r="I3078" s="101"/>
      <c r="Q3078" s="101"/>
      <c r="R3078" s="101"/>
    </row>
    <row r="3079">
      <c r="A3079" s="100"/>
      <c r="H3079" s="101"/>
      <c r="I3079" s="101"/>
      <c r="Q3079" s="101"/>
      <c r="R3079" s="101"/>
    </row>
    <row r="3080">
      <c r="A3080" s="100"/>
      <c r="H3080" s="101"/>
      <c r="I3080" s="101"/>
      <c r="Q3080" s="101"/>
      <c r="R3080" s="101"/>
    </row>
    <row r="3081">
      <c r="A3081" s="100"/>
      <c r="H3081" s="101"/>
      <c r="I3081" s="101"/>
      <c r="Q3081" s="101"/>
      <c r="R3081" s="101"/>
    </row>
    <row r="3082">
      <c r="A3082" s="100"/>
      <c r="H3082" s="101"/>
      <c r="I3082" s="101"/>
      <c r="Q3082" s="101"/>
      <c r="R3082" s="101"/>
    </row>
    <row r="3083">
      <c r="A3083" s="100"/>
      <c r="H3083" s="101"/>
      <c r="I3083" s="101"/>
      <c r="Q3083" s="101"/>
      <c r="R3083" s="101"/>
    </row>
    <row r="3084">
      <c r="A3084" s="100"/>
      <c r="H3084" s="101"/>
      <c r="I3084" s="101"/>
      <c r="Q3084" s="101"/>
      <c r="R3084" s="101"/>
    </row>
    <row r="3085">
      <c r="A3085" s="100"/>
      <c r="H3085" s="101"/>
      <c r="I3085" s="101"/>
      <c r="Q3085" s="101"/>
      <c r="R3085" s="101"/>
    </row>
    <row r="3086">
      <c r="A3086" s="100"/>
      <c r="H3086" s="101"/>
      <c r="I3086" s="101"/>
      <c r="Q3086" s="101"/>
      <c r="R3086" s="101"/>
    </row>
    <row r="3087">
      <c r="A3087" s="100"/>
      <c r="H3087" s="101"/>
      <c r="I3087" s="101"/>
      <c r="Q3087" s="101"/>
      <c r="R3087" s="101"/>
    </row>
    <row r="3088">
      <c r="A3088" s="100"/>
      <c r="H3088" s="101"/>
      <c r="I3088" s="101"/>
      <c r="Q3088" s="101"/>
      <c r="R3088" s="101"/>
    </row>
    <row r="3089">
      <c r="A3089" s="100"/>
      <c r="H3089" s="101"/>
      <c r="I3089" s="101"/>
      <c r="Q3089" s="101"/>
      <c r="R3089" s="101"/>
    </row>
    <row r="3090">
      <c r="A3090" s="100"/>
      <c r="H3090" s="101"/>
      <c r="I3090" s="101"/>
      <c r="Q3090" s="101"/>
      <c r="R3090" s="101"/>
    </row>
    <row r="3091">
      <c r="A3091" s="100"/>
      <c r="H3091" s="101"/>
      <c r="I3091" s="101"/>
      <c r="Q3091" s="101"/>
      <c r="R3091" s="101"/>
    </row>
    <row r="3092">
      <c r="A3092" s="100"/>
      <c r="H3092" s="101"/>
      <c r="I3092" s="101"/>
      <c r="Q3092" s="101"/>
      <c r="R3092" s="101"/>
    </row>
    <row r="3093">
      <c r="A3093" s="100"/>
      <c r="H3093" s="101"/>
      <c r="I3093" s="101"/>
      <c r="Q3093" s="101"/>
      <c r="R3093" s="101"/>
    </row>
    <row r="3094">
      <c r="A3094" s="100"/>
      <c r="H3094" s="101"/>
      <c r="I3094" s="101"/>
      <c r="Q3094" s="101"/>
      <c r="R3094" s="101"/>
    </row>
    <row r="3095">
      <c r="A3095" s="100"/>
      <c r="H3095" s="101"/>
      <c r="I3095" s="101"/>
      <c r="Q3095" s="101"/>
      <c r="R3095" s="101"/>
    </row>
    <row r="3096">
      <c r="A3096" s="100"/>
      <c r="H3096" s="101"/>
      <c r="I3096" s="101"/>
      <c r="Q3096" s="101"/>
      <c r="R3096" s="101"/>
    </row>
    <row r="3097">
      <c r="A3097" s="100"/>
      <c r="H3097" s="101"/>
      <c r="I3097" s="101"/>
      <c r="Q3097" s="101"/>
      <c r="R3097" s="101"/>
    </row>
    <row r="3098">
      <c r="A3098" s="100"/>
      <c r="H3098" s="101"/>
      <c r="I3098" s="101"/>
      <c r="Q3098" s="101"/>
      <c r="R3098" s="101"/>
    </row>
    <row r="3099">
      <c r="A3099" s="100"/>
      <c r="H3099" s="101"/>
      <c r="I3099" s="101"/>
      <c r="Q3099" s="101"/>
      <c r="R3099" s="101"/>
    </row>
    <row r="3100">
      <c r="A3100" s="100"/>
      <c r="H3100" s="101"/>
      <c r="I3100" s="101"/>
      <c r="Q3100" s="101"/>
      <c r="R3100" s="101"/>
    </row>
    <row r="3101">
      <c r="A3101" s="100"/>
      <c r="H3101" s="101"/>
      <c r="I3101" s="101"/>
      <c r="Q3101" s="101"/>
      <c r="R3101" s="101"/>
    </row>
    <row r="3102">
      <c r="A3102" s="100"/>
      <c r="H3102" s="101"/>
      <c r="I3102" s="101"/>
      <c r="Q3102" s="101"/>
      <c r="R3102" s="101"/>
    </row>
    <row r="3103">
      <c r="A3103" s="100"/>
      <c r="H3103" s="101"/>
      <c r="I3103" s="101"/>
      <c r="Q3103" s="101"/>
      <c r="R3103" s="101"/>
    </row>
    <row r="3104">
      <c r="A3104" s="100"/>
      <c r="H3104" s="101"/>
      <c r="I3104" s="101"/>
      <c r="Q3104" s="101"/>
      <c r="R3104" s="101"/>
    </row>
    <row r="3105">
      <c r="A3105" s="100"/>
      <c r="H3105" s="101"/>
      <c r="I3105" s="101"/>
      <c r="Q3105" s="101"/>
      <c r="R3105" s="101"/>
    </row>
    <row r="3106">
      <c r="A3106" s="100"/>
      <c r="H3106" s="101"/>
      <c r="I3106" s="101"/>
      <c r="Q3106" s="101"/>
      <c r="R3106" s="101"/>
    </row>
    <row r="3107">
      <c r="A3107" s="100"/>
      <c r="H3107" s="101"/>
      <c r="I3107" s="101"/>
      <c r="Q3107" s="101"/>
      <c r="R3107" s="101"/>
    </row>
    <row r="3108">
      <c r="A3108" s="100"/>
      <c r="H3108" s="101"/>
      <c r="I3108" s="101"/>
      <c r="Q3108" s="101"/>
      <c r="R3108" s="101"/>
    </row>
    <row r="3109">
      <c r="A3109" s="100"/>
      <c r="H3109" s="101"/>
      <c r="I3109" s="101"/>
      <c r="Q3109" s="101"/>
      <c r="R3109" s="101"/>
    </row>
    <row r="3110">
      <c r="A3110" s="100"/>
      <c r="H3110" s="101"/>
      <c r="I3110" s="101"/>
      <c r="Q3110" s="101"/>
      <c r="R3110" s="101"/>
    </row>
    <row r="3111">
      <c r="A3111" s="100"/>
      <c r="H3111" s="101"/>
      <c r="I3111" s="101"/>
      <c r="Q3111" s="101"/>
      <c r="R3111" s="101"/>
    </row>
    <row r="3112">
      <c r="A3112" s="100"/>
      <c r="H3112" s="101"/>
      <c r="I3112" s="101"/>
      <c r="Q3112" s="101"/>
      <c r="R3112" s="101"/>
    </row>
    <row r="3113">
      <c r="A3113" s="100"/>
      <c r="H3113" s="101"/>
      <c r="I3113" s="101"/>
      <c r="Q3113" s="101"/>
      <c r="R3113" s="101"/>
    </row>
    <row r="3114">
      <c r="A3114" s="100"/>
      <c r="H3114" s="101"/>
      <c r="I3114" s="101"/>
      <c r="Q3114" s="101"/>
      <c r="R3114" s="101"/>
    </row>
    <row r="3115">
      <c r="A3115" s="100"/>
      <c r="H3115" s="101"/>
      <c r="I3115" s="101"/>
      <c r="Q3115" s="101"/>
      <c r="R3115" s="101"/>
    </row>
    <row r="3116">
      <c r="A3116" s="100"/>
      <c r="H3116" s="101"/>
      <c r="I3116" s="101"/>
      <c r="Q3116" s="101"/>
      <c r="R3116" s="101"/>
    </row>
    <row r="3117">
      <c r="A3117" s="100"/>
      <c r="H3117" s="101"/>
      <c r="I3117" s="101"/>
      <c r="Q3117" s="101"/>
      <c r="R3117" s="101"/>
    </row>
    <row r="3118">
      <c r="A3118" s="100"/>
      <c r="H3118" s="101"/>
      <c r="I3118" s="101"/>
      <c r="Q3118" s="101"/>
      <c r="R3118" s="101"/>
    </row>
    <row r="3119">
      <c r="A3119" s="100"/>
      <c r="H3119" s="101"/>
      <c r="I3119" s="101"/>
      <c r="Q3119" s="101"/>
      <c r="R3119" s="101"/>
    </row>
    <row r="3120">
      <c r="A3120" s="100"/>
      <c r="H3120" s="101"/>
      <c r="I3120" s="101"/>
      <c r="Q3120" s="101"/>
      <c r="R3120" s="101"/>
    </row>
    <row r="3121">
      <c r="A3121" s="100"/>
      <c r="H3121" s="101"/>
      <c r="I3121" s="101"/>
      <c r="Q3121" s="101"/>
      <c r="R3121" s="101"/>
    </row>
    <row r="3122">
      <c r="A3122" s="100"/>
      <c r="H3122" s="101"/>
      <c r="I3122" s="101"/>
      <c r="Q3122" s="101"/>
      <c r="R3122" s="101"/>
    </row>
    <row r="3123">
      <c r="A3123" s="100"/>
      <c r="H3123" s="101"/>
      <c r="I3123" s="101"/>
      <c r="Q3123" s="101"/>
      <c r="R3123" s="101"/>
    </row>
    <row r="3124">
      <c r="A3124" s="100"/>
      <c r="H3124" s="101"/>
      <c r="I3124" s="101"/>
      <c r="Q3124" s="101"/>
      <c r="R3124" s="101"/>
    </row>
    <row r="3125">
      <c r="A3125" s="100"/>
      <c r="H3125" s="101"/>
      <c r="I3125" s="101"/>
      <c r="Q3125" s="101"/>
      <c r="R3125" s="101"/>
    </row>
    <row r="3126">
      <c r="A3126" s="100"/>
      <c r="H3126" s="101"/>
      <c r="I3126" s="101"/>
      <c r="Q3126" s="101"/>
      <c r="R3126" s="101"/>
    </row>
    <row r="3127">
      <c r="A3127" s="100"/>
      <c r="H3127" s="101"/>
      <c r="I3127" s="101"/>
      <c r="Q3127" s="101"/>
      <c r="R3127" s="101"/>
    </row>
    <row r="3128">
      <c r="A3128" s="100"/>
      <c r="H3128" s="101"/>
      <c r="I3128" s="101"/>
      <c r="Q3128" s="101"/>
      <c r="R3128" s="101"/>
    </row>
    <row r="3129">
      <c r="A3129" s="100"/>
      <c r="H3129" s="101"/>
      <c r="I3129" s="101"/>
      <c r="Q3129" s="101"/>
      <c r="R3129" s="101"/>
    </row>
    <row r="3130">
      <c r="A3130" s="100"/>
      <c r="H3130" s="101"/>
      <c r="I3130" s="101"/>
      <c r="Q3130" s="101"/>
      <c r="R3130" s="101"/>
    </row>
    <row r="3131">
      <c r="A3131" s="100"/>
      <c r="H3131" s="101"/>
      <c r="I3131" s="101"/>
      <c r="Q3131" s="101"/>
      <c r="R3131" s="101"/>
    </row>
    <row r="3132">
      <c r="A3132" s="100"/>
      <c r="H3132" s="101"/>
      <c r="I3132" s="101"/>
      <c r="Q3132" s="101"/>
      <c r="R3132" s="101"/>
    </row>
    <row r="3133">
      <c r="A3133" s="100"/>
      <c r="H3133" s="101"/>
      <c r="I3133" s="101"/>
      <c r="Q3133" s="101"/>
      <c r="R3133" s="101"/>
    </row>
    <row r="3134">
      <c r="A3134" s="100"/>
      <c r="H3134" s="101"/>
      <c r="I3134" s="101"/>
      <c r="Q3134" s="101"/>
      <c r="R3134" s="101"/>
    </row>
    <row r="3135">
      <c r="A3135" s="100"/>
      <c r="H3135" s="101"/>
      <c r="I3135" s="101"/>
      <c r="Q3135" s="101"/>
      <c r="R3135" s="101"/>
    </row>
    <row r="3136">
      <c r="A3136" s="100"/>
      <c r="H3136" s="101"/>
      <c r="I3136" s="101"/>
      <c r="Q3136" s="101"/>
      <c r="R3136" s="101"/>
    </row>
    <row r="3137">
      <c r="A3137" s="100"/>
      <c r="H3137" s="101"/>
      <c r="I3137" s="101"/>
      <c r="Q3137" s="101"/>
      <c r="R3137" s="101"/>
    </row>
    <row r="3138">
      <c r="A3138" s="100"/>
      <c r="H3138" s="101"/>
      <c r="I3138" s="101"/>
      <c r="Q3138" s="101"/>
      <c r="R3138" s="101"/>
    </row>
    <row r="3139">
      <c r="A3139" s="100"/>
      <c r="H3139" s="101"/>
      <c r="I3139" s="101"/>
      <c r="Q3139" s="101"/>
      <c r="R3139" s="101"/>
    </row>
    <row r="3140">
      <c r="A3140" s="100"/>
      <c r="H3140" s="101"/>
      <c r="I3140" s="101"/>
      <c r="Q3140" s="101"/>
      <c r="R3140" s="101"/>
    </row>
    <row r="3141">
      <c r="A3141" s="100"/>
      <c r="H3141" s="101"/>
      <c r="I3141" s="101"/>
      <c r="Q3141" s="101"/>
      <c r="R3141" s="101"/>
    </row>
    <row r="3142">
      <c r="A3142" s="100"/>
      <c r="H3142" s="101"/>
      <c r="I3142" s="101"/>
      <c r="Q3142" s="101"/>
      <c r="R3142" s="101"/>
    </row>
    <row r="3143">
      <c r="A3143" s="100"/>
      <c r="H3143" s="101"/>
      <c r="I3143" s="101"/>
      <c r="Q3143" s="101"/>
      <c r="R3143" s="101"/>
    </row>
    <row r="3144">
      <c r="A3144" s="100"/>
      <c r="H3144" s="101"/>
      <c r="I3144" s="101"/>
      <c r="Q3144" s="101"/>
      <c r="R3144" s="101"/>
    </row>
    <row r="3145">
      <c r="A3145" s="100"/>
      <c r="H3145" s="101"/>
      <c r="I3145" s="101"/>
      <c r="Q3145" s="101"/>
      <c r="R3145" s="101"/>
    </row>
    <row r="3146">
      <c r="A3146" s="100"/>
      <c r="H3146" s="101"/>
      <c r="I3146" s="101"/>
      <c r="Q3146" s="101"/>
      <c r="R3146" s="101"/>
    </row>
    <row r="3147">
      <c r="A3147" s="100"/>
      <c r="H3147" s="101"/>
      <c r="I3147" s="101"/>
      <c r="Q3147" s="101"/>
      <c r="R3147" s="101"/>
    </row>
    <row r="3148">
      <c r="A3148" s="100"/>
      <c r="H3148" s="101"/>
      <c r="I3148" s="101"/>
      <c r="Q3148" s="101"/>
      <c r="R3148" s="101"/>
    </row>
    <row r="3149">
      <c r="A3149" s="100"/>
      <c r="H3149" s="101"/>
      <c r="I3149" s="101"/>
      <c r="Q3149" s="101"/>
      <c r="R3149" s="101"/>
    </row>
    <row r="3150">
      <c r="A3150" s="100"/>
      <c r="H3150" s="101"/>
      <c r="I3150" s="101"/>
      <c r="Q3150" s="101"/>
      <c r="R3150" s="101"/>
    </row>
    <row r="3151">
      <c r="A3151" s="100"/>
      <c r="H3151" s="101"/>
      <c r="I3151" s="101"/>
      <c r="Q3151" s="101"/>
      <c r="R3151" s="101"/>
    </row>
    <row r="3152">
      <c r="A3152" s="100"/>
      <c r="H3152" s="101"/>
      <c r="I3152" s="101"/>
      <c r="Q3152" s="101"/>
      <c r="R3152" s="101"/>
    </row>
    <row r="3153">
      <c r="A3153" s="100"/>
      <c r="H3153" s="101"/>
      <c r="I3153" s="101"/>
      <c r="Q3153" s="101"/>
      <c r="R3153" s="101"/>
    </row>
    <row r="3154">
      <c r="A3154" s="100"/>
      <c r="H3154" s="101"/>
      <c r="I3154" s="101"/>
      <c r="Q3154" s="101"/>
      <c r="R3154" s="101"/>
    </row>
    <row r="3155">
      <c r="A3155" s="100"/>
      <c r="H3155" s="101"/>
      <c r="I3155" s="101"/>
      <c r="Q3155" s="101"/>
      <c r="R3155" s="101"/>
    </row>
    <row r="3156">
      <c r="A3156" s="100"/>
      <c r="H3156" s="101"/>
      <c r="I3156" s="101"/>
      <c r="Q3156" s="101"/>
      <c r="R3156" s="101"/>
    </row>
    <row r="3157">
      <c r="A3157" s="100"/>
      <c r="H3157" s="101"/>
      <c r="I3157" s="101"/>
      <c r="Q3157" s="101"/>
      <c r="R3157" s="101"/>
    </row>
    <row r="3158">
      <c r="A3158" s="100"/>
      <c r="H3158" s="101"/>
      <c r="I3158" s="101"/>
      <c r="Q3158" s="101"/>
      <c r="R3158" s="101"/>
    </row>
    <row r="3159">
      <c r="A3159" s="100"/>
      <c r="H3159" s="101"/>
      <c r="I3159" s="101"/>
      <c r="Q3159" s="101"/>
      <c r="R3159" s="101"/>
    </row>
    <row r="3160">
      <c r="A3160" s="100"/>
      <c r="H3160" s="101"/>
      <c r="I3160" s="101"/>
      <c r="Q3160" s="101"/>
      <c r="R3160" s="101"/>
    </row>
    <row r="3161">
      <c r="A3161" s="100"/>
      <c r="H3161" s="101"/>
      <c r="I3161" s="101"/>
      <c r="Q3161" s="101"/>
      <c r="R3161" s="101"/>
    </row>
    <row r="3162">
      <c r="A3162" s="100"/>
      <c r="H3162" s="101"/>
      <c r="I3162" s="101"/>
      <c r="Q3162" s="101"/>
      <c r="R3162" s="101"/>
    </row>
    <row r="3163">
      <c r="A3163" s="100"/>
      <c r="H3163" s="101"/>
      <c r="I3163" s="101"/>
      <c r="Q3163" s="101"/>
      <c r="R3163" s="101"/>
    </row>
    <row r="3164">
      <c r="A3164" s="100"/>
      <c r="H3164" s="101"/>
      <c r="I3164" s="101"/>
      <c r="Q3164" s="101"/>
      <c r="R3164" s="101"/>
    </row>
    <row r="3165">
      <c r="A3165" s="100"/>
      <c r="H3165" s="101"/>
      <c r="I3165" s="101"/>
      <c r="Q3165" s="101"/>
      <c r="R3165" s="101"/>
    </row>
    <row r="3166">
      <c r="A3166" s="100"/>
      <c r="H3166" s="101"/>
      <c r="I3166" s="101"/>
      <c r="Q3166" s="101"/>
      <c r="R3166" s="101"/>
    </row>
    <row r="3167">
      <c r="A3167" s="100"/>
      <c r="H3167" s="101"/>
      <c r="I3167" s="101"/>
      <c r="Q3167" s="101"/>
      <c r="R3167" s="101"/>
    </row>
    <row r="3168">
      <c r="A3168" s="100"/>
      <c r="H3168" s="101"/>
      <c r="I3168" s="101"/>
      <c r="Q3168" s="101"/>
      <c r="R3168" s="101"/>
    </row>
    <row r="3169">
      <c r="A3169" s="100"/>
      <c r="H3169" s="101"/>
      <c r="I3169" s="101"/>
      <c r="Q3169" s="101"/>
      <c r="R3169" s="101"/>
    </row>
    <row r="3170">
      <c r="A3170" s="100"/>
      <c r="H3170" s="101"/>
      <c r="I3170" s="101"/>
      <c r="Q3170" s="101"/>
      <c r="R3170" s="101"/>
    </row>
    <row r="3171">
      <c r="A3171" s="100"/>
      <c r="H3171" s="101"/>
      <c r="I3171" s="101"/>
      <c r="Q3171" s="101"/>
      <c r="R3171" s="101"/>
    </row>
    <row r="3172">
      <c r="A3172" s="100"/>
      <c r="H3172" s="101"/>
      <c r="I3172" s="101"/>
      <c r="Q3172" s="101"/>
      <c r="R3172" s="101"/>
    </row>
    <row r="3173">
      <c r="A3173" s="100"/>
      <c r="H3173" s="101"/>
      <c r="I3173" s="101"/>
      <c r="Q3173" s="101"/>
      <c r="R3173" s="101"/>
    </row>
    <row r="3174">
      <c r="A3174" s="100"/>
      <c r="H3174" s="101"/>
      <c r="I3174" s="101"/>
      <c r="Q3174" s="101"/>
      <c r="R3174" s="101"/>
    </row>
    <row r="3175">
      <c r="A3175" s="100"/>
      <c r="H3175" s="101"/>
      <c r="I3175" s="101"/>
      <c r="Q3175" s="101"/>
      <c r="R3175" s="101"/>
    </row>
    <row r="3176">
      <c r="A3176" s="100"/>
      <c r="H3176" s="101"/>
      <c r="I3176" s="101"/>
      <c r="Q3176" s="101"/>
      <c r="R3176" s="101"/>
    </row>
    <row r="3177">
      <c r="A3177" s="100"/>
      <c r="H3177" s="101"/>
      <c r="I3177" s="101"/>
      <c r="Q3177" s="101"/>
      <c r="R3177" s="101"/>
    </row>
    <row r="3178">
      <c r="A3178" s="100"/>
      <c r="H3178" s="101"/>
      <c r="I3178" s="101"/>
      <c r="Q3178" s="101"/>
      <c r="R3178" s="101"/>
    </row>
    <row r="3179">
      <c r="A3179" s="100"/>
      <c r="H3179" s="101"/>
      <c r="I3179" s="101"/>
      <c r="Q3179" s="101"/>
      <c r="R3179" s="101"/>
    </row>
    <row r="3180">
      <c r="A3180" s="100"/>
      <c r="H3180" s="101"/>
      <c r="I3180" s="101"/>
      <c r="Q3180" s="101"/>
      <c r="R3180" s="101"/>
    </row>
    <row r="3181">
      <c r="A3181" s="100"/>
      <c r="H3181" s="101"/>
      <c r="I3181" s="101"/>
      <c r="Q3181" s="101"/>
      <c r="R3181" s="101"/>
    </row>
    <row r="3182">
      <c r="A3182" s="100"/>
      <c r="H3182" s="101"/>
      <c r="I3182" s="101"/>
      <c r="Q3182" s="101"/>
      <c r="R3182" s="101"/>
    </row>
    <row r="3183">
      <c r="A3183" s="100"/>
      <c r="H3183" s="101"/>
      <c r="I3183" s="101"/>
      <c r="Q3183" s="101"/>
      <c r="R3183" s="101"/>
    </row>
    <row r="3184">
      <c r="A3184" s="100"/>
      <c r="H3184" s="101"/>
      <c r="I3184" s="101"/>
      <c r="Q3184" s="101"/>
      <c r="R3184" s="101"/>
    </row>
    <row r="3185">
      <c r="A3185" s="100"/>
      <c r="H3185" s="101"/>
      <c r="I3185" s="101"/>
      <c r="Q3185" s="101"/>
      <c r="R3185" s="101"/>
    </row>
    <row r="3186">
      <c r="A3186" s="100"/>
      <c r="H3186" s="101"/>
      <c r="I3186" s="101"/>
      <c r="Q3186" s="101"/>
      <c r="R3186" s="101"/>
    </row>
    <row r="3187">
      <c r="A3187" s="100"/>
      <c r="H3187" s="101"/>
      <c r="I3187" s="101"/>
      <c r="Q3187" s="101"/>
      <c r="R3187" s="101"/>
    </row>
    <row r="3188">
      <c r="A3188" s="100"/>
      <c r="H3188" s="101"/>
      <c r="I3188" s="101"/>
      <c r="Q3188" s="101"/>
      <c r="R3188" s="101"/>
    </row>
    <row r="3189">
      <c r="A3189" s="100"/>
      <c r="H3189" s="101"/>
      <c r="I3189" s="101"/>
      <c r="Q3189" s="101"/>
      <c r="R3189" s="101"/>
    </row>
    <row r="3190">
      <c r="A3190" s="100"/>
      <c r="H3190" s="101"/>
      <c r="I3190" s="101"/>
      <c r="Q3190" s="101"/>
      <c r="R3190" s="101"/>
    </row>
    <row r="3191">
      <c r="A3191" s="100"/>
      <c r="H3191" s="101"/>
      <c r="I3191" s="101"/>
      <c r="Q3191" s="101"/>
      <c r="R3191" s="101"/>
    </row>
    <row r="3192">
      <c r="A3192" s="100"/>
      <c r="H3192" s="101"/>
      <c r="I3192" s="101"/>
      <c r="Q3192" s="101"/>
      <c r="R3192" s="101"/>
    </row>
    <row r="3193">
      <c r="A3193" s="100"/>
      <c r="H3193" s="101"/>
      <c r="I3193" s="101"/>
      <c r="Q3193" s="101"/>
      <c r="R3193" s="101"/>
    </row>
    <row r="3194">
      <c r="A3194" s="100"/>
      <c r="H3194" s="101"/>
      <c r="I3194" s="101"/>
      <c r="Q3194" s="101"/>
      <c r="R3194" s="101"/>
    </row>
    <row r="3195">
      <c r="A3195" s="100"/>
      <c r="H3195" s="101"/>
      <c r="I3195" s="101"/>
      <c r="Q3195" s="101"/>
      <c r="R3195" s="101"/>
    </row>
    <row r="3196">
      <c r="A3196" s="100"/>
      <c r="H3196" s="101"/>
      <c r="I3196" s="101"/>
      <c r="Q3196" s="101"/>
      <c r="R3196" s="101"/>
    </row>
    <row r="3197">
      <c r="A3197" s="100"/>
      <c r="H3197" s="101"/>
      <c r="I3197" s="101"/>
      <c r="Q3197" s="101"/>
      <c r="R3197" s="101"/>
    </row>
    <row r="3198">
      <c r="A3198" s="100"/>
      <c r="H3198" s="101"/>
      <c r="I3198" s="101"/>
      <c r="Q3198" s="101"/>
      <c r="R3198" s="101"/>
    </row>
    <row r="3199">
      <c r="A3199" s="100"/>
      <c r="H3199" s="101"/>
      <c r="I3199" s="101"/>
      <c r="Q3199" s="101"/>
      <c r="R3199" s="101"/>
    </row>
    <row r="3200">
      <c r="A3200" s="100"/>
      <c r="H3200" s="101"/>
      <c r="I3200" s="101"/>
      <c r="Q3200" s="101"/>
      <c r="R3200" s="101"/>
    </row>
    <row r="3201">
      <c r="A3201" s="100"/>
      <c r="H3201" s="101"/>
      <c r="I3201" s="101"/>
      <c r="Q3201" s="101"/>
      <c r="R3201" s="101"/>
    </row>
    <row r="3202">
      <c r="A3202" s="100"/>
      <c r="H3202" s="101"/>
      <c r="I3202" s="101"/>
      <c r="Q3202" s="101"/>
      <c r="R3202" s="101"/>
    </row>
    <row r="3203">
      <c r="A3203" s="100"/>
      <c r="H3203" s="101"/>
      <c r="I3203" s="101"/>
      <c r="Q3203" s="101"/>
      <c r="R3203" s="101"/>
    </row>
    <row r="3204">
      <c r="A3204" s="100"/>
      <c r="H3204" s="101"/>
      <c r="I3204" s="101"/>
      <c r="Q3204" s="101"/>
      <c r="R3204" s="101"/>
    </row>
    <row r="3205">
      <c r="A3205" s="100"/>
      <c r="H3205" s="101"/>
      <c r="I3205" s="101"/>
      <c r="Q3205" s="101"/>
      <c r="R3205" s="101"/>
    </row>
    <row r="3206">
      <c r="A3206" s="100"/>
      <c r="H3206" s="101"/>
      <c r="I3206" s="101"/>
      <c r="Q3206" s="101"/>
      <c r="R3206" s="101"/>
    </row>
    <row r="3207">
      <c r="A3207" s="100"/>
      <c r="H3207" s="101"/>
      <c r="I3207" s="101"/>
      <c r="Q3207" s="101"/>
      <c r="R3207" s="101"/>
    </row>
    <row r="3208">
      <c r="A3208" s="100"/>
      <c r="H3208" s="101"/>
      <c r="I3208" s="101"/>
      <c r="Q3208" s="101"/>
      <c r="R3208" s="101"/>
    </row>
    <row r="3209">
      <c r="A3209" s="100"/>
      <c r="H3209" s="101"/>
      <c r="I3209" s="101"/>
      <c r="Q3209" s="101"/>
      <c r="R3209" s="101"/>
    </row>
    <row r="3210">
      <c r="A3210" s="100"/>
      <c r="H3210" s="101"/>
      <c r="I3210" s="101"/>
      <c r="Q3210" s="101"/>
      <c r="R3210" s="101"/>
    </row>
    <row r="3211">
      <c r="A3211" s="100"/>
      <c r="H3211" s="101"/>
      <c r="I3211" s="101"/>
      <c r="Q3211" s="101"/>
      <c r="R3211" s="101"/>
    </row>
    <row r="3212">
      <c r="A3212" s="100"/>
      <c r="H3212" s="101"/>
      <c r="I3212" s="101"/>
      <c r="Q3212" s="101"/>
      <c r="R3212" s="101"/>
    </row>
    <row r="3213">
      <c r="A3213" s="100"/>
      <c r="H3213" s="101"/>
      <c r="I3213" s="101"/>
      <c r="Q3213" s="101"/>
      <c r="R3213" s="101"/>
    </row>
    <row r="3214">
      <c r="A3214" s="100"/>
      <c r="H3214" s="101"/>
      <c r="I3214" s="101"/>
      <c r="Q3214" s="101"/>
      <c r="R3214" s="101"/>
    </row>
    <row r="3215">
      <c r="A3215" s="100"/>
      <c r="H3215" s="101"/>
      <c r="I3215" s="101"/>
      <c r="Q3215" s="101"/>
      <c r="R3215" s="101"/>
    </row>
    <row r="3216">
      <c r="A3216" s="100"/>
      <c r="H3216" s="101"/>
      <c r="I3216" s="101"/>
      <c r="Q3216" s="101"/>
      <c r="R3216" s="101"/>
    </row>
    <row r="3217">
      <c r="A3217" s="100"/>
      <c r="H3217" s="101"/>
      <c r="I3217" s="101"/>
      <c r="Q3217" s="101"/>
      <c r="R3217" s="101"/>
    </row>
    <row r="3218">
      <c r="A3218" s="100"/>
      <c r="H3218" s="101"/>
      <c r="I3218" s="101"/>
      <c r="Q3218" s="101"/>
      <c r="R3218" s="101"/>
    </row>
    <row r="3219">
      <c r="A3219" s="100"/>
      <c r="H3219" s="101"/>
      <c r="I3219" s="101"/>
      <c r="Q3219" s="101"/>
      <c r="R3219" s="101"/>
    </row>
    <row r="3220">
      <c r="A3220" s="100"/>
      <c r="H3220" s="101"/>
      <c r="I3220" s="101"/>
      <c r="Q3220" s="101"/>
      <c r="R3220" s="101"/>
    </row>
    <row r="3221">
      <c r="A3221" s="100"/>
      <c r="H3221" s="101"/>
      <c r="I3221" s="101"/>
      <c r="Q3221" s="101"/>
      <c r="R3221" s="101"/>
    </row>
    <row r="3222">
      <c r="A3222" s="100"/>
      <c r="H3222" s="101"/>
      <c r="I3222" s="101"/>
      <c r="Q3222" s="101"/>
      <c r="R3222" s="101"/>
    </row>
    <row r="3223">
      <c r="A3223" s="100"/>
      <c r="H3223" s="101"/>
      <c r="I3223" s="101"/>
      <c r="Q3223" s="101"/>
      <c r="R3223" s="101"/>
    </row>
    <row r="3224">
      <c r="A3224" s="100"/>
      <c r="H3224" s="101"/>
      <c r="I3224" s="101"/>
      <c r="Q3224" s="101"/>
      <c r="R3224" s="101"/>
    </row>
    <row r="3225">
      <c r="A3225" s="100"/>
      <c r="H3225" s="101"/>
      <c r="I3225" s="101"/>
      <c r="Q3225" s="101"/>
      <c r="R3225" s="101"/>
    </row>
    <row r="3226">
      <c r="A3226" s="100"/>
      <c r="H3226" s="101"/>
      <c r="I3226" s="101"/>
      <c r="Q3226" s="101"/>
      <c r="R3226" s="101"/>
    </row>
    <row r="3227">
      <c r="A3227" s="100"/>
      <c r="H3227" s="101"/>
      <c r="I3227" s="101"/>
      <c r="Q3227" s="101"/>
      <c r="R3227" s="101"/>
    </row>
    <row r="3228">
      <c r="A3228" s="100"/>
      <c r="H3228" s="101"/>
      <c r="I3228" s="101"/>
      <c r="Q3228" s="101"/>
      <c r="R3228" s="101"/>
    </row>
    <row r="3229">
      <c r="A3229" s="100"/>
      <c r="H3229" s="101"/>
      <c r="I3229" s="101"/>
      <c r="Q3229" s="101"/>
      <c r="R3229" s="101"/>
    </row>
    <row r="3230">
      <c r="A3230" s="100"/>
      <c r="H3230" s="101"/>
      <c r="I3230" s="101"/>
      <c r="Q3230" s="101"/>
      <c r="R3230" s="101"/>
    </row>
    <row r="3231">
      <c r="A3231" s="100"/>
      <c r="H3231" s="101"/>
      <c r="I3231" s="101"/>
      <c r="Q3231" s="101"/>
      <c r="R3231" s="101"/>
    </row>
    <row r="3232">
      <c r="A3232" s="100"/>
      <c r="H3232" s="101"/>
      <c r="I3232" s="101"/>
      <c r="Q3232" s="101"/>
      <c r="R3232" s="101"/>
    </row>
    <row r="3233">
      <c r="A3233" s="100"/>
      <c r="H3233" s="101"/>
      <c r="I3233" s="101"/>
      <c r="Q3233" s="101"/>
      <c r="R3233" s="101"/>
    </row>
    <row r="3234">
      <c r="A3234" s="100"/>
      <c r="H3234" s="101"/>
      <c r="I3234" s="101"/>
      <c r="Q3234" s="101"/>
      <c r="R3234" s="101"/>
    </row>
    <row r="3235">
      <c r="A3235" s="100"/>
      <c r="H3235" s="101"/>
      <c r="I3235" s="101"/>
      <c r="Q3235" s="101"/>
      <c r="R3235" s="101"/>
    </row>
    <row r="3236">
      <c r="A3236" s="100"/>
      <c r="H3236" s="101"/>
      <c r="I3236" s="101"/>
      <c r="Q3236" s="101"/>
      <c r="R3236" s="101"/>
    </row>
    <row r="3237">
      <c r="A3237" s="100"/>
      <c r="H3237" s="101"/>
      <c r="I3237" s="101"/>
      <c r="Q3237" s="101"/>
      <c r="R3237" s="101"/>
    </row>
    <row r="3238">
      <c r="A3238" s="100"/>
      <c r="H3238" s="101"/>
      <c r="I3238" s="101"/>
      <c r="Q3238" s="101"/>
      <c r="R3238" s="101"/>
    </row>
    <row r="3239">
      <c r="A3239" s="100"/>
      <c r="H3239" s="101"/>
      <c r="I3239" s="101"/>
      <c r="Q3239" s="101"/>
      <c r="R3239" s="101"/>
    </row>
    <row r="3240">
      <c r="A3240" s="100"/>
      <c r="H3240" s="101"/>
      <c r="I3240" s="101"/>
      <c r="Q3240" s="101"/>
      <c r="R3240" s="101"/>
    </row>
    <row r="3241">
      <c r="A3241" s="100"/>
      <c r="H3241" s="101"/>
      <c r="I3241" s="101"/>
      <c r="Q3241" s="101"/>
      <c r="R3241" s="101"/>
    </row>
    <row r="3242">
      <c r="A3242" s="100"/>
      <c r="H3242" s="101"/>
      <c r="I3242" s="101"/>
      <c r="Q3242" s="101"/>
      <c r="R3242" s="101"/>
    </row>
    <row r="3243">
      <c r="A3243" s="100"/>
      <c r="H3243" s="101"/>
      <c r="I3243" s="101"/>
      <c r="Q3243" s="101"/>
      <c r="R3243" s="101"/>
    </row>
    <row r="3244">
      <c r="A3244" s="100"/>
      <c r="H3244" s="101"/>
      <c r="I3244" s="101"/>
      <c r="Q3244" s="101"/>
      <c r="R3244" s="101"/>
    </row>
    <row r="3245">
      <c r="A3245" s="100"/>
      <c r="H3245" s="101"/>
      <c r="I3245" s="101"/>
      <c r="Q3245" s="101"/>
      <c r="R3245" s="101"/>
    </row>
    <row r="3246">
      <c r="A3246" s="100"/>
      <c r="H3246" s="101"/>
      <c r="I3246" s="101"/>
      <c r="Q3246" s="101"/>
      <c r="R3246" s="101"/>
    </row>
    <row r="3247">
      <c r="A3247" s="100"/>
      <c r="H3247" s="101"/>
      <c r="I3247" s="101"/>
      <c r="Q3247" s="101"/>
      <c r="R3247" s="101"/>
    </row>
    <row r="3248">
      <c r="A3248" s="100"/>
      <c r="H3248" s="101"/>
      <c r="I3248" s="101"/>
      <c r="Q3248" s="101"/>
      <c r="R3248" s="101"/>
    </row>
    <row r="3249">
      <c r="A3249" s="100"/>
      <c r="H3249" s="101"/>
      <c r="I3249" s="101"/>
      <c r="Q3249" s="101"/>
      <c r="R3249" s="101"/>
    </row>
    <row r="3250">
      <c r="A3250" s="100"/>
      <c r="H3250" s="101"/>
      <c r="I3250" s="101"/>
      <c r="Q3250" s="101"/>
      <c r="R3250" s="101"/>
    </row>
    <row r="3251">
      <c r="A3251" s="100"/>
      <c r="H3251" s="101"/>
      <c r="I3251" s="101"/>
      <c r="Q3251" s="101"/>
      <c r="R3251" s="101"/>
    </row>
    <row r="3252">
      <c r="A3252" s="100"/>
      <c r="H3252" s="101"/>
      <c r="I3252" s="101"/>
      <c r="Q3252" s="101"/>
      <c r="R3252" s="101"/>
    </row>
    <row r="3253">
      <c r="A3253" s="100"/>
      <c r="H3253" s="101"/>
      <c r="I3253" s="101"/>
      <c r="Q3253" s="101"/>
      <c r="R3253" s="101"/>
    </row>
    <row r="3254">
      <c r="A3254" s="100"/>
      <c r="H3254" s="101"/>
      <c r="I3254" s="101"/>
      <c r="Q3254" s="101"/>
      <c r="R3254" s="101"/>
    </row>
    <row r="3255">
      <c r="A3255" s="100"/>
      <c r="H3255" s="101"/>
      <c r="I3255" s="101"/>
      <c r="Q3255" s="101"/>
      <c r="R3255" s="101"/>
    </row>
    <row r="3256">
      <c r="A3256" s="100"/>
      <c r="H3256" s="101"/>
      <c r="I3256" s="101"/>
      <c r="Q3256" s="101"/>
      <c r="R3256" s="101"/>
    </row>
    <row r="3257">
      <c r="A3257" s="100"/>
      <c r="H3257" s="101"/>
      <c r="I3257" s="101"/>
      <c r="Q3257" s="101"/>
      <c r="R3257" s="101"/>
    </row>
    <row r="3258">
      <c r="A3258" s="100"/>
      <c r="H3258" s="101"/>
      <c r="I3258" s="101"/>
      <c r="Q3258" s="101"/>
      <c r="R3258" s="101"/>
    </row>
    <row r="3259">
      <c r="A3259" s="100"/>
      <c r="H3259" s="101"/>
      <c r="I3259" s="101"/>
      <c r="Q3259" s="101"/>
      <c r="R3259" s="101"/>
    </row>
    <row r="3260">
      <c r="A3260" s="100"/>
      <c r="H3260" s="101"/>
      <c r="I3260" s="101"/>
      <c r="Q3260" s="101"/>
      <c r="R3260" s="101"/>
    </row>
    <row r="3261">
      <c r="A3261" s="100"/>
      <c r="H3261" s="101"/>
      <c r="I3261" s="101"/>
      <c r="Q3261" s="101"/>
      <c r="R3261" s="101"/>
    </row>
    <row r="3262">
      <c r="A3262" s="100"/>
      <c r="H3262" s="101"/>
      <c r="I3262" s="101"/>
      <c r="Q3262" s="101"/>
      <c r="R3262" s="101"/>
    </row>
    <row r="3263">
      <c r="A3263" s="100"/>
      <c r="H3263" s="101"/>
      <c r="I3263" s="101"/>
      <c r="Q3263" s="101"/>
      <c r="R3263" s="101"/>
    </row>
    <row r="3264">
      <c r="A3264" s="100"/>
      <c r="H3264" s="101"/>
      <c r="I3264" s="101"/>
      <c r="Q3264" s="101"/>
      <c r="R3264" s="101"/>
    </row>
    <row r="3265">
      <c r="A3265" s="100"/>
      <c r="H3265" s="101"/>
      <c r="I3265" s="101"/>
      <c r="Q3265" s="101"/>
      <c r="R3265" s="101"/>
    </row>
    <row r="3266">
      <c r="A3266" s="100"/>
      <c r="H3266" s="101"/>
      <c r="I3266" s="101"/>
      <c r="Q3266" s="101"/>
      <c r="R3266" s="101"/>
    </row>
    <row r="3267">
      <c r="A3267" s="100"/>
      <c r="H3267" s="101"/>
      <c r="I3267" s="101"/>
      <c r="Q3267" s="101"/>
      <c r="R3267" s="101"/>
    </row>
    <row r="3268">
      <c r="A3268" s="100"/>
      <c r="H3268" s="101"/>
      <c r="I3268" s="101"/>
      <c r="Q3268" s="101"/>
      <c r="R3268" s="101"/>
    </row>
    <row r="3269">
      <c r="A3269" s="100"/>
      <c r="H3269" s="101"/>
      <c r="I3269" s="101"/>
      <c r="Q3269" s="101"/>
      <c r="R3269" s="101"/>
    </row>
    <row r="3270">
      <c r="A3270" s="100"/>
      <c r="H3270" s="101"/>
      <c r="I3270" s="101"/>
      <c r="Q3270" s="101"/>
      <c r="R3270" s="101"/>
    </row>
    <row r="3271">
      <c r="A3271" s="100"/>
      <c r="H3271" s="101"/>
      <c r="I3271" s="101"/>
      <c r="Q3271" s="101"/>
      <c r="R3271" s="101"/>
    </row>
    <row r="3272">
      <c r="A3272" s="100"/>
      <c r="H3272" s="101"/>
      <c r="I3272" s="101"/>
      <c r="Q3272" s="101"/>
      <c r="R3272" s="101"/>
    </row>
    <row r="3273">
      <c r="A3273" s="100"/>
      <c r="H3273" s="101"/>
      <c r="I3273" s="101"/>
      <c r="Q3273" s="101"/>
      <c r="R3273" s="101"/>
    </row>
    <row r="3274">
      <c r="A3274" s="100"/>
      <c r="H3274" s="101"/>
      <c r="I3274" s="101"/>
      <c r="Q3274" s="101"/>
      <c r="R3274" s="101"/>
    </row>
    <row r="3275">
      <c r="A3275" s="100"/>
      <c r="H3275" s="101"/>
      <c r="I3275" s="101"/>
      <c r="Q3275" s="101"/>
      <c r="R3275" s="101"/>
    </row>
    <row r="3276">
      <c r="A3276" s="100"/>
      <c r="H3276" s="101"/>
      <c r="I3276" s="101"/>
      <c r="Q3276" s="101"/>
      <c r="R3276" s="101"/>
    </row>
    <row r="3277">
      <c r="A3277" s="100"/>
      <c r="H3277" s="101"/>
      <c r="I3277" s="101"/>
      <c r="Q3277" s="101"/>
      <c r="R3277" s="101"/>
    </row>
    <row r="3278">
      <c r="A3278" s="100"/>
      <c r="H3278" s="101"/>
      <c r="I3278" s="101"/>
      <c r="Q3278" s="101"/>
      <c r="R3278" s="101"/>
    </row>
    <row r="3279">
      <c r="A3279" s="100"/>
      <c r="H3279" s="101"/>
      <c r="I3279" s="101"/>
      <c r="Q3279" s="101"/>
      <c r="R3279" s="101"/>
    </row>
    <row r="3280">
      <c r="A3280" s="100"/>
      <c r="H3280" s="101"/>
      <c r="I3280" s="101"/>
      <c r="Q3280" s="101"/>
      <c r="R3280" s="101"/>
    </row>
    <row r="3281">
      <c r="A3281" s="100"/>
      <c r="H3281" s="101"/>
      <c r="I3281" s="101"/>
      <c r="Q3281" s="101"/>
      <c r="R3281" s="101"/>
    </row>
    <row r="3282">
      <c r="A3282" s="100"/>
      <c r="H3282" s="101"/>
      <c r="I3282" s="101"/>
      <c r="Q3282" s="101"/>
      <c r="R3282" s="101"/>
    </row>
    <row r="3283">
      <c r="A3283" s="100"/>
      <c r="H3283" s="101"/>
      <c r="I3283" s="101"/>
      <c r="Q3283" s="101"/>
      <c r="R3283" s="101"/>
    </row>
    <row r="3284">
      <c r="A3284" s="100"/>
      <c r="H3284" s="101"/>
      <c r="I3284" s="101"/>
      <c r="Q3284" s="101"/>
      <c r="R3284" s="101"/>
    </row>
    <row r="3285">
      <c r="A3285" s="100"/>
      <c r="H3285" s="101"/>
      <c r="I3285" s="101"/>
      <c r="Q3285" s="101"/>
      <c r="R3285" s="101"/>
    </row>
    <row r="3286">
      <c r="A3286" s="100"/>
      <c r="H3286" s="101"/>
      <c r="I3286" s="101"/>
      <c r="Q3286" s="101"/>
      <c r="R3286" s="101"/>
    </row>
    <row r="3287">
      <c r="A3287" s="100"/>
      <c r="H3287" s="101"/>
      <c r="I3287" s="101"/>
      <c r="Q3287" s="101"/>
      <c r="R3287" s="101"/>
    </row>
    <row r="3288">
      <c r="A3288" s="100"/>
      <c r="H3288" s="101"/>
      <c r="I3288" s="101"/>
      <c r="Q3288" s="101"/>
      <c r="R3288" s="101"/>
    </row>
    <row r="3289">
      <c r="A3289" s="100"/>
      <c r="H3289" s="101"/>
      <c r="I3289" s="101"/>
      <c r="Q3289" s="101"/>
      <c r="R3289" s="101"/>
    </row>
    <row r="3290">
      <c r="A3290" s="100"/>
      <c r="H3290" s="101"/>
      <c r="I3290" s="101"/>
      <c r="Q3290" s="101"/>
      <c r="R3290" s="101"/>
    </row>
    <row r="3291">
      <c r="A3291" s="100"/>
      <c r="H3291" s="101"/>
      <c r="I3291" s="101"/>
      <c r="Q3291" s="101"/>
      <c r="R3291" s="101"/>
    </row>
    <row r="3292">
      <c r="A3292" s="100"/>
      <c r="H3292" s="101"/>
      <c r="I3292" s="101"/>
      <c r="Q3292" s="101"/>
      <c r="R3292" s="101"/>
    </row>
    <row r="3293">
      <c r="A3293" s="100"/>
      <c r="H3293" s="101"/>
      <c r="I3293" s="101"/>
      <c r="Q3293" s="101"/>
      <c r="R3293" s="101"/>
    </row>
    <row r="3294">
      <c r="A3294" s="100"/>
      <c r="H3294" s="101"/>
      <c r="I3294" s="101"/>
      <c r="Q3294" s="101"/>
      <c r="R3294" s="101"/>
    </row>
    <row r="3295">
      <c r="A3295" s="100"/>
      <c r="H3295" s="101"/>
      <c r="I3295" s="101"/>
      <c r="Q3295" s="101"/>
      <c r="R3295" s="101"/>
    </row>
    <row r="3296">
      <c r="A3296" s="100"/>
      <c r="H3296" s="101"/>
      <c r="I3296" s="101"/>
      <c r="Q3296" s="101"/>
      <c r="R3296" s="101"/>
    </row>
    <row r="3297">
      <c r="A3297" s="100"/>
      <c r="H3297" s="101"/>
      <c r="I3297" s="101"/>
      <c r="Q3297" s="101"/>
      <c r="R3297" s="101"/>
    </row>
    <row r="3298">
      <c r="A3298" s="100"/>
      <c r="H3298" s="101"/>
      <c r="I3298" s="101"/>
      <c r="Q3298" s="101"/>
      <c r="R3298" s="101"/>
    </row>
    <row r="3299">
      <c r="A3299" s="100"/>
      <c r="H3299" s="101"/>
      <c r="I3299" s="101"/>
      <c r="Q3299" s="101"/>
      <c r="R3299" s="101"/>
    </row>
    <row r="3300">
      <c r="A3300" s="100"/>
      <c r="H3300" s="101"/>
      <c r="I3300" s="101"/>
      <c r="Q3300" s="101"/>
      <c r="R3300" s="101"/>
    </row>
    <row r="3301">
      <c r="A3301" s="100"/>
      <c r="H3301" s="101"/>
      <c r="I3301" s="101"/>
      <c r="Q3301" s="101"/>
      <c r="R3301" s="101"/>
    </row>
    <row r="3302">
      <c r="A3302" s="100"/>
      <c r="H3302" s="101"/>
      <c r="I3302" s="101"/>
      <c r="Q3302" s="101"/>
      <c r="R3302" s="101"/>
    </row>
    <row r="3303">
      <c r="A3303" s="100"/>
      <c r="H3303" s="101"/>
      <c r="I3303" s="101"/>
      <c r="Q3303" s="101"/>
      <c r="R3303" s="101"/>
    </row>
    <row r="3304">
      <c r="A3304" s="100"/>
      <c r="H3304" s="101"/>
      <c r="I3304" s="101"/>
      <c r="Q3304" s="101"/>
      <c r="R3304" s="101"/>
    </row>
    <row r="3305">
      <c r="A3305" s="100"/>
      <c r="H3305" s="101"/>
      <c r="I3305" s="101"/>
      <c r="Q3305" s="101"/>
      <c r="R3305" s="101"/>
    </row>
    <row r="3306">
      <c r="A3306" s="100"/>
      <c r="H3306" s="101"/>
      <c r="I3306" s="101"/>
      <c r="Q3306" s="101"/>
      <c r="R3306" s="101"/>
    </row>
    <row r="3307">
      <c r="A3307" s="100"/>
      <c r="H3307" s="101"/>
      <c r="I3307" s="101"/>
      <c r="Q3307" s="101"/>
      <c r="R3307" s="101"/>
    </row>
    <row r="3308">
      <c r="A3308" s="100"/>
      <c r="H3308" s="101"/>
      <c r="I3308" s="101"/>
      <c r="Q3308" s="101"/>
      <c r="R3308" s="101"/>
    </row>
    <row r="3309">
      <c r="A3309" s="100"/>
      <c r="H3309" s="101"/>
      <c r="I3309" s="101"/>
      <c r="Q3309" s="101"/>
      <c r="R3309" s="101"/>
    </row>
    <row r="3310">
      <c r="A3310" s="100"/>
      <c r="H3310" s="101"/>
      <c r="I3310" s="101"/>
      <c r="Q3310" s="101"/>
      <c r="R3310" s="101"/>
    </row>
    <row r="3311">
      <c r="A3311" s="100"/>
      <c r="H3311" s="101"/>
      <c r="I3311" s="101"/>
      <c r="Q3311" s="101"/>
      <c r="R3311" s="101"/>
    </row>
    <row r="3312">
      <c r="A3312" s="100"/>
      <c r="H3312" s="101"/>
      <c r="I3312" s="101"/>
      <c r="Q3312" s="101"/>
      <c r="R3312" s="101"/>
    </row>
    <row r="3313">
      <c r="A3313" s="100"/>
      <c r="H3313" s="101"/>
      <c r="I3313" s="101"/>
      <c r="Q3313" s="101"/>
      <c r="R3313" s="101"/>
    </row>
    <row r="3314">
      <c r="A3314" s="100"/>
      <c r="H3314" s="101"/>
      <c r="I3314" s="101"/>
      <c r="Q3314" s="101"/>
      <c r="R3314" s="101"/>
    </row>
    <row r="3315">
      <c r="A3315" s="100"/>
      <c r="H3315" s="101"/>
      <c r="I3315" s="101"/>
      <c r="Q3315" s="101"/>
      <c r="R3315" s="101"/>
    </row>
    <row r="3316">
      <c r="A3316" s="100"/>
      <c r="H3316" s="101"/>
      <c r="I3316" s="101"/>
      <c r="Q3316" s="101"/>
      <c r="R3316" s="101"/>
    </row>
    <row r="3317">
      <c r="A3317" s="100"/>
      <c r="H3317" s="101"/>
      <c r="I3317" s="101"/>
      <c r="Q3317" s="101"/>
      <c r="R3317" s="101"/>
    </row>
    <row r="3318">
      <c r="A3318" s="100"/>
      <c r="H3318" s="101"/>
      <c r="I3318" s="101"/>
      <c r="Q3318" s="101"/>
      <c r="R3318" s="101"/>
    </row>
    <row r="3319">
      <c r="A3319" s="100"/>
      <c r="H3319" s="101"/>
      <c r="I3319" s="101"/>
      <c r="Q3319" s="101"/>
      <c r="R3319" s="101"/>
    </row>
    <row r="3320">
      <c r="A3320" s="100"/>
      <c r="H3320" s="101"/>
      <c r="I3320" s="101"/>
      <c r="Q3320" s="101"/>
      <c r="R3320" s="101"/>
    </row>
    <row r="3321">
      <c r="A3321" s="100"/>
      <c r="H3321" s="101"/>
      <c r="I3321" s="101"/>
      <c r="Q3321" s="101"/>
      <c r="R3321" s="101"/>
    </row>
    <row r="3322">
      <c r="A3322" s="100"/>
      <c r="H3322" s="101"/>
      <c r="I3322" s="101"/>
      <c r="Q3322" s="101"/>
      <c r="R3322" s="101"/>
    </row>
    <row r="3323">
      <c r="A3323" s="100"/>
      <c r="H3323" s="101"/>
      <c r="I3323" s="101"/>
      <c r="Q3323" s="101"/>
      <c r="R3323" s="101"/>
    </row>
    <row r="3324">
      <c r="A3324" s="100"/>
      <c r="H3324" s="101"/>
      <c r="I3324" s="101"/>
      <c r="Q3324" s="101"/>
      <c r="R3324" s="101"/>
    </row>
    <row r="3325">
      <c r="A3325" s="100"/>
      <c r="H3325" s="101"/>
      <c r="I3325" s="101"/>
      <c r="Q3325" s="101"/>
      <c r="R3325" s="101"/>
    </row>
    <row r="3326">
      <c r="A3326" s="100"/>
      <c r="H3326" s="101"/>
      <c r="I3326" s="101"/>
      <c r="Q3326" s="101"/>
      <c r="R3326" s="101"/>
    </row>
    <row r="3327">
      <c r="A3327" s="100"/>
      <c r="H3327" s="101"/>
      <c r="I3327" s="101"/>
      <c r="Q3327" s="101"/>
      <c r="R3327" s="101"/>
    </row>
    <row r="3328">
      <c r="A3328" s="100"/>
      <c r="H3328" s="101"/>
      <c r="I3328" s="101"/>
      <c r="Q3328" s="101"/>
      <c r="R3328" s="101"/>
    </row>
    <row r="3329">
      <c r="A3329" s="100"/>
      <c r="H3329" s="101"/>
      <c r="I3329" s="101"/>
      <c r="Q3329" s="101"/>
      <c r="R3329" s="101"/>
    </row>
    <row r="3330">
      <c r="A3330" s="100"/>
      <c r="H3330" s="101"/>
      <c r="I3330" s="101"/>
      <c r="Q3330" s="101"/>
      <c r="R3330" s="101"/>
    </row>
    <row r="3331">
      <c r="A3331" s="100"/>
      <c r="H3331" s="101"/>
      <c r="I3331" s="101"/>
      <c r="Q3331" s="101"/>
      <c r="R3331" s="101"/>
    </row>
    <row r="3332">
      <c r="A3332" s="100"/>
      <c r="H3332" s="101"/>
      <c r="I3332" s="101"/>
      <c r="Q3332" s="101"/>
      <c r="R3332" s="101"/>
    </row>
    <row r="3333">
      <c r="A3333" s="100"/>
      <c r="H3333" s="101"/>
      <c r="I3333" s="101"/>
      <c r="Q3333" s="101"/>
      <c r="R3333" s="101"/>
    </row>
    <row r="3334">
      <c r="A3334" s="100"/>
      <c r="H3334" s="101"/>
      <c r="I3334" s="101"/>
      <c r="Q3334" s="101"/>
      <c r="R3334" s="101"/>
    </row>
    <row r="3335">
      <c r="A3335" s="100"/>
      <c r="H3335" s="101"/>
      <c r="I3335" s="101"/>
      <c r="Q3335" s="101"/>
      <c r="R3335" s="101"/>
    </row>
    <row r="3336">
      <c r="A3336" s="100"/>
      <c r="H3336" s="101"/>
      <c r="I3336" s="101"/>
      <c r="Q3336" s="101"/>
      <c r="R3336" s="101"/>
    </row>
    <row r="3337">
      <c r="A3337" s="100"/>
      <c r="H3337" s="101"/>
      <c r="I3337" s="101"/>
      <c r="Q3337" s="101"/>
      <c r="R3337" s="101"/>
    </row>
    <row r="3338">
      <c r="A3338" s="100"/>
      <c r="H3338" s="101"/>
      <c r="I3338" s="101"/>
      <c r="Q3338" s="101"/>
      <c r="R3338" s="101"/>
    </row>
    <row r="3339">
      <c r="A3339" s="100"/>
      <c r="H3339" s="101"/>
      <c r="I3339" s="101"/>
      <c r="Q3339" s="101"/>
      <c r="R3339" s="101"/>
    </row>
    <row r="3340">
      <c r="A3340" s="100"/>
      <c r="H3340" s="101"/>
      <c r="I3340" s="101"/>
      <c r="Q3340" s="101"/>
      <c r="R3340" s="101"/>
    </row>
    <row r="3341">
      <c r="A3341" s="100"/>
      <c r="H3341" s="101"/>
      <c r="I3341" s="101"/>
      <c r="Q3341" s="101"/>
      <c r="R3341" s="101"/>
    </row>
    <row r="3342">
      <c r="A3342" s="100"/>
      <c r="H3342" s="101"/>
      <c r="I3342" s="101"/>
      <c r="Q3342" s="101"/>
      <c r="R3342" s="101"/>
    </row>
    <row r="3343">
      <c r="A3343" s="100"/>
      <c r="H3343" s="101"/>
      <c r="I3343" s="101"/>
      <c r="Q3343" s="101"/>
      <c r="R3343" s="101"/>
    </row>
    <row r="3344">
      <c r="A3344" s="100"/>
      <c r="H3344" s="101"/>
      <c r="I3344" s="101"/>
      <c r="Q3344" s="101"/>
      <c r="R3344" s="101"/>
    </row>
    <row r="3345">
      <c r="A3345" s="100"/>
      <c r="H3345" s="101"/>
      <c r="I3345" s="101"/>
      <c r="Q3345" s="101"/>
      <c r="R3345" s="101"/>
    </row>
    <row r="3346">
      <c r="A3346" s="100"/>
      <c r="H3346" s="101"/>
      <c r="I3346" s="101"/>
      <c r="Q3346" s="101"/>
      <c r="R3346" s="101"/>
    </row>
    <row r="3347">
      <c r="A3347" s="100"/>
      <c r="H3347" s="101"/>
      <c r="I3347" s="101"/>
      <c r="Q3347" s="101"/>
      <c r="R3347" s="101"/>
    </row>
    <row r="3348">
      <c r="A3348" s="100"/>
      <c r="H3348" s="101"/>
      <c r="I3348" s="101"/>
      <c r="Q3348" s="101"/>
      <c r="R3348" s="101"/>
    </row>
    <row r="3349">
      <c r="A3349" s="100"/>
      <c r="H3349" s="101"/>
      <c r="I3349" s="101"/>
      <c r="Q3349" s="101"/>
      <c r="R3349" s="101"/>
    </row>
    <row r="3350">
      <c r="A3350" s="100"/>
      <c r="H3350" s="101"/>
      <c r="I3350" s="101"/>
      <c r="Q3350" s="101"/>
      <c r="R3350" s="101"/>
    </row>
    <row r="3351">
      <c r="A3351" s="100"/>
      <c r="H3351" s="101"/>
      <c r="I3351" s="101"/>
      <c r="Q3351" s="101"/>
      <c r="R3351" s="101"/>
    </row>
    <row r="3352">
      <c r="A3352" s="100"/>
      <c r="H3352" s="101"/>
      <c r="I3352" s="101"/>
      <c r="Q3352" s="101"/>
      <c r="R3352" s="101"/>
    </row>
    <row r="3353">
      <c r="A3353" s="100"/>
      <c r="H3353" s="101"/>
      <c r="I3353" s="101"/>
      <c r="Q3353" s="101"/>
      <c r="R3353" s="101"/>
    </row>
    <row r="3354">
      <c r="A3354" s="100"/>
      <c r="H3354" s="101"/>
      <c r="I3354" s="101"/>
      <c r="Q3354" s="101"/>
      <c r="R3354" s="101"/>
    </row>
    <row r="3355">
      <c r="A3355" s="100"/>
      <c r="H3355" s="101"/>
      <c r="I3355" s="101"/>
      <c r="Q3355" s="101"/>
      <c r="R3355" s="101"/>
    </row>
    <row r="3356">
      <c r="A3356" s="100"/>
      <c r="H3356" s="101"/>
      <c r="I3356" s="101"/>
      <c r="Q3356" s="101"/>
      <c r="R3356" s="101"/>
    </row>
    <row r="3357">
      <c r="A3357" s="100"/>
      <c r="H3357" s="101"/>
      <c r="I3357" s="101"/>
      <c r="Q3357" s="101"/>
      <c r="R3357" s="101"/>
    </row>
    <row r="3358">
      <c r="A3358" s="100"/>
      <c r="H3358" s="101"/>
      <c r="I3358" s="101"/>
      <c r="Q3358" s="101"/>
      <c r="R3358" s="101"/>
    </row>
    <row r="3359">
      <c r="A3359" s="100"/>
      <c r="H3359" s="101"/>
      <c r="I3359" s="101"/>
      <c r="Q3359" s="101"/>
      <c r="R3359" s="101"/>
    </row>
    <row r="3360">
      <c r="A3360" s="100"/>
      <c r="H3360" s="101"/>
      <c r="I3360" s="101"/>
      <c r="Q3360" s="101"/>
      <c r="R3360" s="101"/>
    </row>
    <row r="3361">
      <c r="A3361" s="100"/>
      <c r="H3361" s="101"/>
      <c r="I3361" s="101"/>
      <c r="Q3361" s="101"/>
      <c r="R3361" s="101"/>
    </row>
    <row r="3362">
      <c r="A3362" s="100"/>
      <c r="H3362" s="101"/>
      <c r="I3362" s="101"/>
      <c r="Q3362" s="101"/>
      <c r="R3362" s="101"/>
    </row>
    <row r="3363">
      <c r="A3363" s="100"/>
      <c r="H3363" s="101"/>
      <c r="I3363" s="101"/>
      <c r="Q3363" s="101"/>
      <c r="R3363" s="101"/>
    </row>
    <row r="3364">
      <c r="A3364" s="100"/>
      <c r="H3364" s="101"/>
      <c r="I3364" s="101"/>
      <c r="Q3364" s="101"/>
      <c r="R3364" s="101"/>
    </row>
    <row r="3365">
      <c r="A3365" s="100"/>
      <c r="H3365" s="101"/>
      <c r="I3365" s="101"/>
      <c r="Q3365" s="101"/>
      <c r="R3365" s="101"/>
    </row>
    <row r="3366">
      <c r="A3366" s="100"/>
      <c r="H3366" s="101"/>
      <c r="I3366" s="101"/>
      <c r="Q3366" s="101"/>
      <c r="R3366" s="101"/>
    </row>
    <row r="3367">
      <c r="A3367" s="100"/>
      <c r="H3367" s="101"/>
      <c r="I3367" s="101"/>
      <c r="Q3367" s="101"/>
      <c r="R3367" s="101"/>
    </row>
    <row r="3368">
      <c r="A3368" s="100"/>
      <c r="H3368" s="101"/>
      <c r="I3368" s="101"/>
      <c r="Q3368" s="101"/>
      <c r="R3368" s="101"/>
    </row>
    <row r="3369">
      <c r="A3369" s="100"/>
      <c r="H3369" s="101"/>
      <c r="I3369" s="101"/>
      <c r="Q3369" s="101"/>
      <c r="R3369" s="101"/>
    </row>
    <row r="3370">
      <c r="A3370" s="100"/>
      <c r="H3370" s="101"/>
      <c r="I3370" s="101"/>
      <c r="Q3370" s="101"/>
      <c r="R3370" s="101"/>
    </row>
    <row r="3371">
      <c r="A3371" s="100"/>
      <c r="H3371" s="101"/>
      <c r="I3371" s="101"/>
      <c r="Q3371" s="101"/>
      <c r="R3371" s="101"/>
    </row>
    <row r="3372">
      <c r="A3372" s="100"/>
      <c r="H3372" s="101"/>
      <c r="I3372" s="101"/>
      <c r="Q3372" s="101"/>
      <c r="R3372" s="101"/>
    </row>
    <row r="3373">
      <c r="A3373" s="100"/>
      <c r="H3373" s="101"/>
      <c r="I3373" s="101"/>
      <c r="Q3373" s="101"/>
      <c r="R3373" s="101"/>
    </row>
    <row r="3374">
      <c r="A3374" s="100"/>
      <c r="H3374" s="101"/>
      <c r="I3374" s="101"/>
      <c r="Q3374" s="101"/>
      <c r="R3374" s="101"/>
    </row>
    <row r="3375">
      <c r="A3375" s="100"/>
      <c r="H3375" s="101"/>
      <c r="I3375" s="101"/>
      <c r="Q3375" s="101"/>
      <c r="R3375" s="101"/>
    </row>
    <row r="3376">
      <c r="A3376" s="100"/>
      <c r="H3376" s="101"/>
      <c r="I3376" s="101"/>
      <c r="Q3376" s="101"/>
      <c r="R3376" s="101"/>
    </row>
    <row r="3377">
      <c r="A3377" s="100"/>
      <c r="H3377" s="101"/>
      <c r="I3377" s="101"/>
      <c r="Q3377" s="101"/>
      <c r="R3377" s="101"/>
    </row>
    <row r="3378">
      <c r="A3378" s="100"/>
      <c r="H3378" s="101"/>
      <c r="I3378" s="101"/>
      <c r="Q3378" s="101"/>
      <c r="R3378" s="101"/>
    </row>
    <row r="3379">
      <c r="A3379" s="100"/>
      <c r="H3379" s="101"/>
      <c r="I3379" s="101"/>
      <c r="Q3379" s="101"/>
      <c r="R3379" s="101"/>
    </row>
    <row r="3380">
      <c r="A3380" s="100"/>
      <c r="H3380" s="101"/>
      <c r="I3380" s="101"/>
      <c r="Q3380" s="101"/>
      <c r="R3380" s="101"/>
    </row>
    <row r="3381">
      <c r="A3381" s="100"/>
      <c r="H3381" s="101"/>
      <c r="I3381" s="101"/>
      <c r="Q3381" s="101"/>
      <c r="R3381" s="101"/>
    </row>
    <row r="3382">
      <c r="A3382" s="100"/>
      <c r="H3382" s="101"/>
      <c r="I3382" s="101"/>
      <c r="Q3382" s="101"/>
      <c r="R3382" s="101"/>
    </row>
    <row r="3383">
      <c r="A3383" s="100"/>
      <c r="H3383" s="101"/>
      <c r="I3383" s="101"/>
      <c r="Q3383" s="101"/>
      <c r="R3383" s="101"/>
    </row>
    <row r="3384">
      <c r="A3384" s="100"/>
      <c r="H3384" s="101"/>
      <c r="I3384" s="101"/>
      <c r="Q3384" s="101"/>
      <c r="R3384" s="101"/>
    </row>
    <row r="3385">
      <c r="A3385" s="100"/>
      <c r="H3385" s="101"/>
      <c r="I3385" s="101"/>
      <c r="Q3385" s="101"/>
      <c r="R3385" s="101"/>
    </row>
    <row r="3386">
      <c r="A3386" s="100"/>
      <c r="H3386" s="101"/>
      <c r="I3386" s="101"/>
      <c r="Q3386" s="101"/>
      <c r="R3386" s="101"/>
    </row>
    <row r="3387">
      <c r="A3387" s="100"/>
      <c r="H3387" s="101"/>
      <c r="I3387" s="101"/>
      <c r="Q3387" s="101"/>
      <c r="R3387" s="101"/>
    </row>
    <row r="3388">
      <c r="A3388" s="100"/>
      <c r="H3388" s="101"/>
      <c r="I3388" s="101"/>
      <c r="Q3388" s="101"/>
      <c r="R3388" s="101"/>
    </row>
    <row r="3389">
      <c r="A3389" s="100"/>
      <c r="H3389" s="101"/>
      <c r="I3389" s="101"/>
      <c r="Q3389" s="101"/>
      <c r="R3389" s="101"/>
    </row>
    <row r="3390">
      <c r="A3390" s="100"/>
      <c r="H3390" s="101"/>
      <c r="I3390" s="101"/>
      <c r="Q3390" s="101"/>
      <c r="R3390" s="101"/>
    </row>
    <row r="3391">
      <c r="A3391" s="100"/>
      <c r="H3391" s="101"/>
      <c r="I3391" s="101"/>
      <c r="Q3391" s="101"/>
      <c r="R3391" s="101"/>
    </row>
    <row r="3392">
      <c r="A3392" s="100"/>
      <c r="H3392" s="101"/>
      <c r="I3392" s="101"/>
      <c r="Q3392" s="101"/>
      <c r="R3392" s="101"/>
    </row>
    <row r="3393">
      <c r="A3393" s="100"/>
      <c r="H3393" s="101"/>
      <c r="I3393" s="101"/>
      <c r="Q3393" s="101"/>
      <c r="R3393" s="101"/>
    </row>
    <row r="3394">
      <c r="A3394" s="100"/>
      <c r="H3394" s="101"/>
      <c r="I3394" s="101"/>
      <c r="Q3394" s="101"/>
      <c r="R3394" s="101"/>
    </row>
    <row r="3395">
      <c r="A3395" s="100"/>
      <c r="H3395" s="101"/>
      <c r="I3395" s="101"/>
      <c r="Q3395" s="101"/>
      <c r="R3395" s="101"/>
    </row>
    <row r="3396">
      <c r="A3396" s="100"/>
      <c r="H3396" s="101"/>
      <c r="I3396" s="101"/>
      <c r="Q3396" s="101"/>
      <c r="R3396" s="101"/>
    </row>
    <row r="3397">
      <c r="A3397" s="100"/>
      <c r="H3397" s="101"/>
      <c r="I3397" s="101"/>
      <c r="Q3397" s="101"/>
      <c r="R3397" s="101"/>
    </row>
    <row r="3398">
      <c r="A3398" s="100"/>
      <c r="H3398" s="101"/>
      <c r="I3398" s="101"/>
      <c r="Q3398" s="101"/>
      <c r="R3398" s="101"/>
    </row>
    <row r="3399">
      <c r="A3399" s="100"/>
      <c r="H3399" s="101"/>
      <c r="I3399" s="101"/>
      <c r="Q3399" s="101"/>
      <c r="R3399" s="101"/>
    </row>
    <row r="3400">
      <c r="A3400" s="100"/>
      <c r="H3400" s="101"/>
      <c r="I3400" s="101"/>
      <c r="Q3400" s="101"/>
      <c r="R3400" s="101"/>
    </row>
    <row r="3401">
      <c r="A3401" s="100"/>
      <c r="H3401" s="101"/>
      <c r="I3401" s="101"/>
      <c r="Q3401" s="101"/>
      <c r="R3401" s="101"/>
    </row>
    <row r="3402">
      <c r="A3402" s="100"/>
      <c r="H3402" s="101"/>
      <c r="I3402" s="101"/>
      <c r="Q3402" s="101"/>
      <c r="R3402" s="101"/>
    </row>
    <row r="3403">
      <c r="A3403" s="100"/>
      <c r="H3403" s="101"/>
      <c r="I3403" s="101"/>
      <c r="Q3403" s="101"/>
      <c r="R3403" s="101"/>
    </row>
    <row r="3404">
      <c r="A3404" s="100"/>
      <c r="H3404" s="101"/>
      <c r="I3404" s="101"/>
      <c r="Q3404" s="101"/>
      <c r="R3404" s="101"/>
    </row>
    <row r="3405">
      <c r="A3405" s="100"/>
      <c r="H3405" s="101"/>
      <c r="I3405" s="101"/>
      <c r="Q3405" s="101"/>
      <c r="R3405" s="101"/>
    </row>
    <row r="3406">
      <c r="A3406" s="100"/>
      <c r="H3406" s="101"/>
      <c r="I3406" s="101"/>
      <c r="Q3406" s="101"/>
      <c r="R3406" s="101"/>
    </row>
    <row r="3407">
      <c r="A3407" s="100"/>
      <c r="H3407" s="101"/>
      <c r="I3407" s="101"/>
      <c r="Q3407" s="101"/>
      <c r="R3407" s="101"/>
    </row>
    <row r="3408">
      <c r="A3408" s="100"/>
      <c r="H3408" s="101"/>
      <c r="I3408" s="101"/>
      <c r="Q3408" s="101"/>
      <c r="R3408" s="101"/>
    </row>
    <row r="3409">
      <c r="A3409" s="100"/>
      <c r="H3409" s="101"/>
      <c r="I3409" s="101"/>
      <c r="Q3409" s="101"/>
      <c r="R3409" s="101"/>
    </row>
    <row r="3410">
      <c r="A3410" s="100"/>
      <c r="H3410" s="101"/>
      <c r="I3410" s="101"/>
      <c r="Q3410" s="101"/>
      <c r="R3410" s="101"/>
    </row>
    <row r="3411">
      <c r="A3411" s="100"/>
      <c r="H3411" s="101"/>
      <c r="I3411" s="101"/>
      <c r="Q3411" s="101"/>
      <c r="R3411" s="101"/>
    </row>
    <row r="3412">
      <c r="A3412" s="100"/>
      <c r="H3412" s="101"/>
      <c r="I3412" s="101"/>
      <c r="Q3412" s="101"/>
      <c r="R3412" s="101"/>
    </row>
    <row r="3413">
      <c r="A3413" s="100"/>
      <c r="H3413" s="101"/>
      <c r="I3413" s="101"/>
      <c r="Q3413" s="101"/>
      <c r="R3413" s="101"/>
    </row>
    <row r="3414">
      <c r="A3414" s="100"/>
      <c r="H3414" s="101"/>
      <c r="I3414" s="101"/>
      <c r="Q3414" s="101"/>
      <c r="R3414" s="101"/>
    </row>
    <row r="3415">
      <c r="A3415" s="100"/>
      <c r="H3415" s="101"/>
      <c r="I3415" s="101"/>
      <c r="Q3415" s="101"/>
      <c r="R3415" s="101"/>
    </row>
    <row r="3416">
      <c r="A3416" s="100"/>
      <c r="H3416" s="101"/>
      <c r="I3416" s="101"/>
      <c r="Q3416" s="101"/>
      <c r="R3416" s="101"/>
    </row>
    <row r="3417">
      <c r="A3417" s="100"/>
      <c r="H3417" s="101"/>
      <c r="I3417" s="101"/>
      <c r="Q3417" s="101"/>
      <c r="R3417" s="101"/>
    </row>
    <row r="3418">
      <c r="A3418" s="100"/>
      <c r="H3418" s="101"/>
      <c r="I3418" s="101"/>
      <c r="Q3418" s="101"/>
      <c r="R3418" s="101"/>
    </row>
    <row r="3419">
      <c r="A3419" s="100"/>
      <c r="H3419" s="101"/>
      <c r="I3419" s="101"/>
      <c r="Q3419" s="101"/>
      <c r="R3419" s="101"/>
    </row>
    <row r="3420">
      <c r="A3420" s="100"/>
      <c r="H3420" s="101"/>
      <c r="I3420" s="101"/>
      <c r="Q3420" s="101"/>
      <c r="R3420" s="101"/>
    </row>
    <row r="3421">
      <c r="A3421" s="100"/>
      <c r="H3421" s="101"/>
      <c r="I3421" s="101"/>
      <c r="Q3421" s="101"/>
      <c r="R3421" s="101"/>
    </row>
    <row r="3422">
      <c r="A3422" s="100"/>
      <c r="H3422" s="101"/>
      <c r="I3422" s="101"/>
      <c r="Q3422" s="101"/>
      <c r="R3422" s="101"/>
    </row>
    <row r="3423">
      <c r="A3423" s="100"/>
      <c r="H3423" s="101"/>
      <c r="I3423" s="101"/>
      <c r="Q3423" s="101"/>
      <c r="R3423" s="101"/>
    </row>
    <row r="3424">
      <c r="A3424" s="100"/>
      <c r="H3424" s="101"/>
      <c r="I3424" s="101"/>
      <c r="Q3424" s="101"/>
      <c r="R3424" s="101"/>
    </row>
    <row r="3425">
      <c r="A3425" s="100"/>
      <c r="H3425" s="101"/>
      <c r="I3425" s="101"/>
      <c r="Q3425" s="101"/>
      <c r="R3425" s="101"/>
    </row>
    <row r="3426">
      <c r="A3426" s="100"/>
      <c r="H3426" s="101"/>
      <c r="I3426" s="101"/>
      <c r="Q3426" s="101"/>
      <c r="R3426" s="101"/>
    </row>
    <row r="3427">
      <c r="A3427" s="100"/>
      <c r="H3427" s="101"/>
      <c r="I3427" s="101"/>
      <c r="Q3427" s="101"/>
      <c r="R3427" s="101"/>
    </row>
    <row r="3428">
      <c r="A3428" s="100"/>
      <c r="H3428" s="101"/>
      <c r="I3428" s="101"/>
      <c r="Q3428" s="101"/>
      <c r="R3428" s="101"/>
    </row>
    <row r="3429">
      <c r="A3429" s="100"/>
      <c r="H3429" s="101"/>
      <c r="I3429" s="101"/>
      <c r="Q3429" s="101"/>
      <c r="R3429" s="101"/>
    </row>
    <row r="3430">
      <c r="A3430" s="100"/>
      <c r="H3430" s="101"/>
      <c r="I3430" s="101"/>
      <c r="Q3430" s="101"/>
      <c r="R3430" s="101"/>
    </row>
    <row r="3431">
      <c r="A3431" s="100"/>
      <c r="H3431" s="101"/>
      <c r="I3431" s="101"/>
      <c r="Q3431" s="101"/>
      <c r="R3431" s="101"/>
    </row>
    <row r="3432">
      <c r="A3432" s="100"/>
      <c r="H3432" s="101"/>
      <c r="I3432" s="101"/>
      <c r="Q3432" s="101"/>
      <c r="R3432" s="101"/>
    </row>
    <row r="3433">
      <c r="A3433" s="100"/>
      <c r="H3433" s="101"/>
      <c r="I3433" s="101"/>
      <c r="Q3433" s="101"/>
      <c r="R3433" s="101"/>
    </row>
    <row r="3434">
      <c r="A3434" s="100"/>
      <c r="H3434" s="101"/>
      <c r="I3434" s="101"/>
      <c r="Q3434" s="101"/>
      <c r="R3434" s="101"/>
    </row>
    <row r="3435">
      <c r="A3435" s="100"/>
      <c r="H3435" s="101"/>
      <c r="I3435" s="101"/>
      <c r="Q3435" s="101"/>
      <c r="R3435" s="101"/>
    </row>
    <row r="3436">
      <c r="A3436" s="100"/>
      <c r="H3436" s="101"/>
      <c r="I3436" s="101"/>
      <c r="Q3436" s="101"/>
      <c r="R3436" s="101"/>
    </row>
    <row r="3437">
      <c r="A3437" s="100"/>
      <c r="H3437" s="101"/>
      <c r="I3437" s="101"/>
      <c r="Q3437" s="101"/>
      <c r="R3437" s="101"/>
    </row>
    <row r="3438">
      <c r="A3438" s="100"/>
      <c r="H3438" s="101"/>
      <c r="I3438" s="101"/>
      <c r="Q3438" s="101"/>
      <c r="R3438" s="101"/>
    </row>
    <row r="3439">
      <c r="A3439" s="100"/>
      <c r="H3439" s="101"/>
      <c r="I3439" s="101"/>
      <c r="Q3439" s="101"/>
      <c r="R3439" s="101"/>
    </row>
    <row r="3440">
      <c r="A3440" s="100"/>
      <c r="H3440" s="101"/>
      <c r="I3440" s="101"/>
      <c r="Q3440" s="101"/>
      <c r="R3440" s="101"/>
    </row>
    <row r="3441">
      <c r="A3441" s="100"/>
      <c r="H3441" s="101"/>
      <c r="I3441" s="101"/>
      <c r="Q3441" s="101"/>
      <c r="R3441" s="101"/>
    </row>
    <row r="3442">
      <c r="A3442" s="100"/>
      <c r="H3442" s="101"/>
      <c r="I3442" s="101"/>
      <c r="Q3442" s="101"/>
      <c r="R3442" s="101"/>
    </row>
    <row r="3443">
      <c r="A3443" s="100"/>
      <c r="H3443" s="101"/>
      <c r="I3443" s="101"/>
      <c r="Q3443" s="101"/>
      <c r="R3443" s="101"/>
    </row>
    <row r="3444">
      <c r="A3444" s="100"/>
      <c r="H3444" s="101"/>
      <c r="I3444" s="101"/>
      <c r="Q3444" s="101"/>
      <c r="R3444" s="101"/>
    </row>
    <row r="3445">
      <c r="A3445" s="100"/>
      <c r="H3445" s="101"/>
      <c r="I3445" s="101"/>
      <c r="Q3445" s="101"/>
      <c r="R3445" s="101"/>
    </row>
    <row r="3446">
      <c r="A3446" s="100"/>
      <c r="H3446" s="101"/>
      <c r="I3446" s="101"/>
      <c r="Q3446" s="101"/>
      <c r="R3446" s="101"/>
    </row>
    <row r="3447">
      <c r="A3447" s="100"/>
      <c r="H3447" s="101"/>
      <c r="I3447" s="101"/>
      <c r="Q3447" s="101"/>
      <c r="R3447" s="101"/>
    </row>
    <row r="3448">
      <c r="A3448" s="100"/>
      <c r="H3448" s="101"/>
      <c r="I3448" s="101"/>
      <c r="Q3448" s="101"/>
      <c r="R3448" s="101"/>
    </row>
    <row r="3449">
      <c r="A3449" s="100"/>
      <c r="H3449" s="101"/>
      <c r="I3449" s="101"/>
      <c r="Q3449" s="101"/>
      <c r="R3449" s="101"/>
    </row>
    <row r="3450">
      <c r="A3450" s="100"/>
      <c r="H3450" s="101"/>
      <c r="I3450" s="101"/>
      <c r="Q3450" s="101"/>
      <c r="R3450" s="101"/>
    </row>
    <row r="3451">
      <c r="A3451" s="100"/>
      <c r="H3451" s="101"/>
      <c r="I3451" s="101"/>
      <c r="Q3451" s="101"/>
      <c r="R3451" s="101"/>
    </row>
    <row r="3452">
      <c r="A3452" s="100"/>
      <c r="H3452" s="101"/>
      <c r="I3452" s="101"/>
      <c r="Q3452" s="101"/>
      <c r="R3452" s="101"/>
    </row>
    <row r="3453">
      <c r="A3453" s="100"/>
      <c r="H3453" s="101"/>
      <c r="I3453" s="101"/>
      <c r="Q3453" s="101"/>
      <c r="R3453" s="101"/>
    </row>
    <row r="3454">
      <c r="A3454" s="100"/>
      <c r="H3454" s="101"/>
      <c r="I3454" s="101"/>
      <c r="Q3454" s="101"/>
      <c r="R3454" s="101"/>
    </row>
    <row r="3455">
      <c r="A3455" s="100"/>
      <c r="H3455" s="101"/>
      <c r="I3455" s="101"/>
      <c r="Q3455" s="101"/>
      <c r="R3455" s="101"/>
    </row>
    <row r="3456">
      <c r="A3456" s="100"/>
      <c r="H3456" s="101"/>
      <c r="I3456" s="101"/>
      <c r="Q3456" s="101"/>
      <c r="R3456" s="101"/>
    </row>
    <row r="3457">
      <c r="A3457" s="100"/>
      <c r="H3457" s="101"/>
      <c r="I3457" s="101"/>
      <c r="Q3457" s="101"/>
      <c r="R3457" s="101"/>
    </row>
    <row r="3458">
      <c r="A3458" s="100"/>
      <c r="H3458" s="101"/>
      <c r="I3458" s="101"/>
      <c r="Q3458" s="101"/>
      <c r="R3458" s="101"/>
    </row>
    <row r="3459">
      <c r="A3459" s="100"/>
      <c r="H3459" s="101"/>
      <c r="I3459" s="101"/>
      <c r="Q3459" s="101"/>
      <c r="R3459" s="101"/>
    </row>
    <row r="3460">
      <c r="A3460" s="100"/>
      <c r="H3460" s="101"/>
      <c r="I3460" s="101"/>
      <c r="Q3460" s="101"/>
      <c r="R3460" s="101"/>
    </row>
    <row r="3461">
      <c r="A3461" s="100"/>
      <c r="H3461" s="101"/>
      <c r="I3461" s="101"/>
      <c r="Q3461" s="101"/>
      <c r="R3461" s="101"/>
    </row>
    <row r="3462">
      <c r="A3462" s="100"/>
      <c r="H3462" s="101"/>
      <c r="I3462" s="101"/>
      <c r="Q3462" s="101"/>
      <c r="R3462" s="101"/>
    </row>
    <row r="3463">
      <c r="A3463" s="100"/>
      <c r="H3463" s="101"/>
      <c r="I3463" s="101"/>
      <c r="Q3463" s="101"/>
      <c r="R3463" s="101"/>
    </row>
    <row r="3464">
      <c r="A3464" s="100"/>
      <c r="H3464" s="101"/>
      <c r="I3464" s="101"/>
      <c r="Q3464" s="101"/>
      <c r="R3464" s="101"/>
    </row>
    <row r="3465">
      <c r="A3465" s="100"/>
      <c r="H3465" s="101"/>
      <c r="I3465" s="101"/>
      <c r="Q3465" s="101"/>
      <c r="R3465" s="101"/>
    </row>
    <row r="3466">
      <c r="A3466" s="100"/>
      <c r="H3466" s="101"/>
      <c r="I3466" s="101"/>
      <c r="Q3466" s="101"/>
      <c r="R3466" s="101"/>
    </row>
    <row r="3467">
      <c r="A3467" s="100"/>
      <c r="H3467" s="101"/>
      <c r="I3467" s="101"/>
      <c r="Q3467" s="101"/>
      <c r="R3467" s="101"/>
    </row>
    <row r="3468">
      <c r="A3468" s="100"/>
      <c r="H3468" s="101"/>
      <c r="I3468" s="101"/>
      <c r="Q3468" s="101"/>
      <c r="R3468" s="101"/>
    </row>
    <row r="3469">
      <c r="A3469" s="100"/>
      <c r="H3469" s="101"/>
      <c r="I3469" s="101"/>
      <c r="Q3469" s="101"/>
      <c r="R3469" s="101"/>
    </row>
    <row r="3470">
      <c r="A3470" s="100"/>
      <c r="H3470" s="101"/>
      <c r="I3470" s="101"/>
      <c r="Q3470" s="101"/>
      <c r="R3470" s="101"/>
    </row>
    <row r="3471">
      <c r="A3471" s="100"/>
      <c r="H3471" s="101"/>
      <c r="I3471" s="101"/>
      <c r="Q3471" s="101"/>
      <c r="R3471" s="101"/>
    </row>
    <row r="3472">
      <c r="A3472" s="100"/>
      <c r="H3472" s="101"/>
      <c r="I3472" s="101"/>
      <c r="Q3472" s="101"/>
      <c r="R3472" s="101"/>
    </row>
    <row r="3473">
      <c r="A3473" s="100"/>
      <c r="H3473" s="101"/>
      <c r="I3473" s="101"/>
      <c r="Q3473" s="101"/>
      <c r="R3473" s="101"/>
    </row>
    <row r="3474">
      <c r="A3474" s="100"/>
      <c r="H3474" s="101"/>
      <c r="I3474" s="101"/>
      <c r="Q3474" s="101"/>
      <c r="R3474" s="101"/>
    </row>
    <row r="3475">
      <c r="A3475" s="100"/>
      <c r="H3475" s="101"/>
      <c r="I3475" s="101"/>
      <c r="Q3475" s="101"/>
      <c r="R3475" s="101"/>
    </row>
    <row r="3476">
      <c r="A3476" s="100"/>
      <c r="H3476" s="101"/>
      <c r="I3476" s="101"/>
      <c r="Q3476" s="101"/>
      <c r="R3476" s="101"/>
    </row>
    <row r="3477">
      <c r="A3477" s="100"/>
      <c r="H3477" s="101"/>
      <c r="I3477" s="101"/>
      <c r="Q3477" s="101"/>
      <c r="R3477" s="101"/>
    </row>
    <row r="3478">
      <c r="A3478" s="100"/>
      <c r="H3478" s="101"/>
      <c r="I3478" s="101"/>
      <c r="Q3478" s="101"/>
      <c r="R3478" s="101"/>
    </row>
    <row r="3479">
      <c r="A3479" s="100"/>
      <c r="H3479" s="101"/>
      <c r="I3479" s="101"/>
      <c r="Q3479" s="101"/>
      <c r="R3479" s="101"/>
    </row>
    <row r="3480">
      <c r="A3480" s="100"/>
      <c r="H3480" s="101"/>
      <c r="I3480" s="101"/>
      <c r="Q3480" s="101"/>
      <c r="R3480" s="101"/>
    </row>
    <row r="3481">
      <c r="A3481" s="100"/>
      <c r="H3481" s="101"/>
      <c r="I3481" s="101"/>
      <c r="Q3481" s="101"/>
      <c r="R3481" s="101"/>
    </row>
    <row r="3482">
      <c r="A3482" s="100"/>
      <c r="H3482" s="101"/>
      <c r="I3482" s="101"/>
      <c r="Q3482" s="101"/>
      <c r="R3482" s="101"/>
    </row>
    <row r="3483">
      <c r="A3483" s="100"/>
      <c r="H3483" s="101"/>
      <c r="I3483" s="101"/>
      <c r="Q3483" s="101"/>
      <c r="R3483" s="101"/>
    </row>
    <row r="3484">
      <c r="A3484" s="100"/>
      <c r="H3484" s="101"/>
      <c r="I3484" s="101"/>
      <c r="Q3484" s="101"/>
      <c r="R3484" s="101"/>
    </row>
    <row r="3485">
      <c r="A3485" s="100"/>
      <c r="H3485" s="101"/>
      <c r="I3485" s="101"/>
      <c r="Q3485" s="101"/>
      <c r="R3485" s="101"/>
    </row>
    <row r="3486">
      <c r="A3486" s="100"/>
      <c r="H3486" s="101"/>
      <c r="I3486" s="101"/>
      <c r="Q3486" s="101"/>
      <c r="R3486" s="101"/>
    </row>
    <row r="3487">
      <c r="A3487" s="100"/>
      <c r="H3487" s="101"/>
      <c r="I3487" s="101"/>
      <c r="Q3487" s="101"/>
      <c r="R3487" s="101"/>
    </row>
    <row r="3488">
      <c r="A3488" s="100"/>
      <c r="H3488" s="101"/>
      <c r="I3488" s="101"/>
      <c r="Q3488" s="101"/>
      <c r="R3488" s="101"/>
    </row>
    <row r="3489">
      <c r="A3489" s="100"/>
      <c r="H3489" s="101"/>
      <c r="I3489" s="101"/>
      <c r="Q3489" s="101"/>
      <c r="R3489" s="101"/>
    </row>
    <row r="3490">
      <c r="A3490" s="100"/>
      <c r="H3490" s="101"/>
      <c r="I3490" s="101"/>
      <c r="Q3490" s="101"/>
      <c r="R3490" s="101"/>
    </row>
    <row r="3491">
      <c r="A3491" s="100"/>
      <c r="H3491" s="101"/>
      <c r="I3491" s="101"/>
      <c r="Q3491" s="101"/>
      <c r="R3491" s="101"/>
    </row>
    <row r="3492">
      <c r="A3492" s="100"/>
      <c r="H3492" s="101"/>
      <c r="I3492" s="101"/>
      <c r="Q3492" s="101"/>
      <c r="R3492" s="101"/>
    </row>
    <row r="3493">
      <c r="A3493" s="100"/>
      <c r="H3493" s="101"/>
      <c r="I3493" s="101"/>
      <c r="Q3493" s="101"/>
      <c r="R3493" s="101"/>
    </row>
    <row r="3494">
      <c r="A3494" s="100"/>
      <c r="H3494" s="101"/>
      <c r="I3494" s="101"/>
      <c r="Q3494" s="101"/>
      <c r="R3494" s="101"/>
    </row>
    <row r="3495">
      <c r="A3495" s="100"/>
      <c r="H3495" s="101"/>
      <c r="I3495" s="101"/>
      <c r="Q3495" s="101"/>
      <c r="R3495" s="101"/>
    </row>
    <row r="3496">
      <c r="A3496" s="100"/>
      <c r="H3496" s="101"/>
      <c r="I3496" s="101"/>
      <c r="Q3496" s="101"/>
      <c r="R3496" s="101"/>
    </row>
    <row r="3497">
      <c r="A3497" s="100"/>
      <c r="H3497" s="101"/>
      <c r="I3497" s="101"/>
      <c r="Q3497" s="101"/>
      <c r="R3497" s="101"/>
    </row>
    <row r="3498">
      <c r="A3498" s="100"/>
      <c r="H3498" s="101"/>
      <c r="I3498" s="101"/>
      <c r="Q3498" s="101"/>
      <c r="R3498" s="101"/>
    </row>
    <row r="3499">
      <c r="A3499" s="100"/>
      <c r="H3499" s="101"/>
      <c r="I3499" s="101"/>
      <c r="Q3499" s="101"/>
      <c r="R3499" s="101"/>
    </row>
    <row r="3500">
      <c r="A3500" s="100"/>
      <c r="H3500" s="101"/>
      <c r="I3500" s="101"/>
      <c r="Q3500" s="101"/>
      <c r="R3500" s="101"/>
    </row>
    <row r="3501">
      <c r="A3501" s="100"/>
      <c r="H3501" s="101"/>
      <c r="I3501" s="101"/>
      <c r="Q3501" s="101"/>
      <c r="R3501" s="101"/>
    </row>
    <row r="3502">
      <c r="A3502" s="100"/>
      <c r="H3502" s="101"/>
      <c r="I3502" s="101"/>
      <c r="Q3502" s="101"/>
      <c r="R3502" s="101"/>
    </row>
    <row r="3503">
      <c r="A3503" s="100"/>
      <c r="H3503" s="101"/>
      <c r="I3503" s="101"/>
      <c r="Q3503" s="101"/>
      <c r="R3503" s="101"/>
    </row>
    <row r="3504">
      <c r="A3504" s="100"/>
      <c r="H3504" s="101"/>
      <c r="I3504" s="101"/>
      <c r="Q3504" s="101"/>
      <c r="R3504" s="101"/>
    </row>
    <row r="3505">
      <c r="A3505" s="100"/>
      <c r="H3505" s="101"/>
      <c r="I3505" s="101"/>
      <c r="Q3505" s="101"/>
      <c r="R3505" s="101"/>
    </row>
    <row r="3506">
      <c r="A3506" s="100"/>
      <c r="H3506" s="101"/>
      <c r="I3506" s="101"/>
      <c r="Q3506" s="101"/>
      <c r="R3506" s="101"/>
    </row>
    <row r="3507">
      <c r="A3507" s="100"/>
      <c r="H3507" s="101"/>
      <c r="I3507" s="101"/>
      <c r="Q3507" s="101"/>
      <c r="R3507" s="101"/>
    </row>
    <row r="3508">
      <c r="A3508" s="100"/>
      <c r="H3508" s="101"/>
      <c r="I3508" s="101"/>
      <c r="Q3508" s="101"/>
      <c r="R3508" s="101"/>
    </row>
    <row r="3509">
      <c r="A3509" s="100"/>
      <c r="H3509" s="101"/>
      <c r="I3509" s="101"/>
      <c r="Q3509" s="101"/>
      <c r="R3509" s="101"/>
    </row>
    <row r="3510">
      <c r="A3510" s="100"/>
      <c r="H3510" s="101"/>
      <c r="I3510" s="101"/>
      <c r="Q3510" s="101"/>
      <c r="R3510" s="101"/>
    </row>
    <row r="3511">
      <c r="A3511" s="100"/>
      <c r="H3511" s="101"/>
      <c r="I3511" s="101"/>
      <c r="Q3511" s="101"/>
      <c r="R3511" s="101"/>
    </row>
    <row r="3512">
      <c r="A3512" s="100"/>
      <c r="H3512" s="101"/>
      <c r="I3512" s="101"/>
      <c r="Q3512" s="101"/>
      <c r="R3512" s="101"/>
    </row>
    <row r="3513">
      <c r="A3513" s="100"/>
      <c r="H3513" s="101"/>
      <c r="I3513" s="101"/>
      <c r="Q3513" s="101"/>
      <c r="R3513" s="101"/>
    </row>
    <row r="3514">
      <c r="A3514" s="100"/>
      <c r="H3514" s="101"/>
      <c r="I3514" s="101"/>
      <c r="Q3514" s="101"/>
      <c r="R3514" s="101"/>
    </row>
    <row r="3515">
      <c r="A3515" s="100"/>
      <c r="H3515" s="101"/>
      <c r="I3515" s="101"/>
      <c r="Q3515" s="101"/>
      <c r="R3515" s="101"/>
    </row>
    <row r="3516">
      <c r="A3516" s="100"/>
      <c r="H3516" s="101"/>
      <c r="I3516" s="101"/>
      <c r="Q3516" s="101"/>
      <c r="R3516" s="101"/>
    </row>
    <row r="3517">
      <c r="A3517" s="100"/>
      <c r="H3517" s="101"/>
      <c r="I3517" s="101"/>
      <c r="Q3517" s="101"/>
      <c r="R3517" s="101"/>
    </row>
    <row r="3518">
      <c r="A3518" s="100"/>
      <c r="H3518" s="101"/>
      <c r="I3518" s="101"/>
      <c r="Q3518" s="101"/>
      <c r="R3518" s="101"/>
    </row>
    <row r="3519">
      <c r="A3519" s="100"/>
      <c r="H3519" s="101"/>
      <c r="I3519" s="101"/>
      <c r="Q3519" s="101"/>
      <c r="R3519" s="101"/>
    </row>
    <row r="3520">
      <c r="A3520" s="100"/>
      <c r="H3520" s="101"/>
      <c r="I3520" s="101"/>
      <c r="Q3520" s="101"/>
      <c r="R3520" s="101"/>
    </row>
    <row r="3521">
      <c r="A3521" s="100"/>
      <c r="H3521" s="101"/>
      <c r="I3521" s="101"/>
      <c r="Q3521" s="101"/>
      <c r="R3521" s="101"/>
    </row>
    <row r="3522">
      <c r="A3522" s="100"/>
      <c r="H3522" s="101"/>
      <c r="I3522" s="101"/>
      <c r="Q3522" s="101"/>
      <c r="R3522" s="101"/>
    </row>
    <row r="3523">
      <c r="A3523" s="100"/>
      <c r="H3523" s="101"/>
      <c r="I3523" s="101"/>
      <c r="Q3523" s="101"/>
      <c r="R3523" s="101"/>
    </row>
    <row r="3524">
      <c r="A3524" s="100"/>
      <c r="H3524" s="101"/>
      <c r="I3524" s="101"/>
      <c r="Q3524" s="101"/>
      <c r="R3524" s="101"/>
    </row>
    <row r="3525">
      <c r="A3525" s="100"/>
      <c r="H3525" s="101"/>
      <c r="I3525" s="101"/>
      <c r="Q3525" s="101"/>
      <c r="R3525" s="101"/>
    </row>
    <row r="3526">
      <c r="A3526" s="100"/>
      <c r="H3526" s="101"/>
      <c r="I3526" s="101"/>
      <c r="Q3526" s="101"/>
      <c r="R3526" s="101"/>
    </row>
    <row r="3527">
      <c r="A3527" s="100"/>
      <c r="H3527" s="101"/>
      <c r="I3527" s="101"/>
      <c r="Q3527" s="101"/>
      <c r="R3527" s="101"/>
    </row>
    <row r="3528">
      <c r="A3528" s="100"/>
      <c r="H3528" s="101"/>
      <c r="I3528" s="101"/>
      <c r="Q3528" s="101"/>
      <c r="R3528" s="101"/>
    </row>
    <row r="3529">
      <c r="A3529" s="100"/>
      <c r="H3529" s="101"/>
      <c r="I3529" s="101"/>
      <c r="Q3529" s="101"/>
      <c r="R3529" s="101"/>
    </row>
    <row r="3530">
      <c r="A3530" s="100"/>
      <c r="H3530" s="101"/>
      <c r="I3530" s="101"/>
      <c r="Q3530" s="101"/>
      <c r="R3530" s="101"/>
    </row>
    <row r="3531">
      <c r="A3531" s="100"/>
      <c r="H3531" s="101"/>
      <c r="I3531" s="101"/>
      <c r="Q3531" s="101"/>
      <c r="R3531" s="101"/>
    </row>
    <row r="3532">
      <c r="A3532" s="100"/>
      <c r="H3532" s="101"/>
      <c r="I3532" s="101"/>
      <c r="Q3532" s="101"/>
      <c r="R3532" s="101"/>
    </row>
    <row r="3533">
      <c r="A3533" s="100"/>
      <c r="H3533" s="101"/>
      <c r="I3533" s="101"/>
      <c r="Q3533" s="101"/>
      <c r="R3533" s="101"/>
    </row>
    <row r="3534">
      <c r="A3534" s="100"/>
      <c r="H3534" s="101"/>
      <c r="I3534" s="101"/>
      <c r="Q3534" s="101"/>
      <c r="R3534" s="101"/>
    </row>
    <row r="3535">
      <c r="A3535" s="100"/>
      <c r="H3535" s="101"/>
      <c r="I3535" s="101"/>
      <c r="Q3535" s="101"/>
      <c r="R3535" s="101"/>
    </row>
    <row r="3536">
      <c r="A3536" s="100"/>
      <c r="H3536" s="101"/>
      <c r="I3536" s="101"/>
      <c r="Q3536" s="101"/>
      <c r="R3536" s="101"/>
    </row>
    <row r="3537">
      <c r="A3537" s="100"/>
      <c r="H3537" s="101"/>
      <c r="I3537" s="101"/>
      <c r="Q3537" s="101"/>
      <c r="R3537" s="101"/>
    </row>
    <row r="3538">
      <c r="A3538" s="100"/>
      <c r="H3538" s="101"/>
      <c r="I3538" s="101"/>
      <c r="Q3538" s="101"/>
      <c r="R3538" s="101"/>
    </row>
    <row r="3539">
      <c r="A3539" s="100"/>
      <c r="H3539" s="101"/>
      <c r="I3539" s="101"/>
      <c r="Q3539" s="101"/>
      <c r="R3539" s="101"/>
    </row>
    <row r="3540">
      <c r="A3540" s="100"/>
      <c r="H3540" s="101"/>
      <c r="I3540" s="101"/>
      <c r="Q3540" s="101"/>
      <c r="R3540" s="101"/>
    </row>
    <row r="3541">
      <c r="A3541" s="100"/>
      <c r="H3541" s="101"/>
      <c r="I3541" s="101"/>
      <c r="Q3541" s="101"/>
      <c r="R3541" s="101"/>
    </row>
    <row r="3542">
      <c r="A3542" s="100"/>
      <c r="H3542" s="101"/>
      <c r="I3542" s="101"/>
      <c r="Q3542" s="101"/>
      <c r="R3542" s="101"/>
    </row>
    <row r="3543">
      <c r="A3543" s="100"/>
      <c r="H3543" s="101"/>
      <c r="I3543" s="101"/>
      <c r="Q3543" s="101"/>
      <c r="R3543" s="101"/>
    </row>
    <row r="3544">
      <c r="A3544" s="100"/>
      <c r="H3544" s="101"/>
      <c r="I3544" s="101"/>
      <c r="Q3544" s="101"/>
      <c r="R3544" s="101"/>
    </row>
    <row r="3545">
      <c r="A3545" s="100"/>
      <c r="H3545" s="101"/>
      <c r="I3545" s="101"/>
      <c r="Q3545" s="101"/>
      <c r="R3545" s="101"/>
    </row>
    <row r="3546">
      <c r="A3546" s="100"/>
      <c r="H3546" s="101"/>
      <c r="I3546" s="101"/>
      <c r="Q3546" s="101"/>
      <c r="R3546" s="101"/>
    </row>
    <row r="3547">
      <c r="A3547" s="100"/>
      <c r="H3547" s="101"/>
      <c r="I3547" s="101"/>
      <c r="Q3547" s="101"/>
      <c r="R3547" s="101"/>
    </row>
    <row r="3548">
      <c r="A3548" s="100"/>
      <c r="H3548" s="101"/>
      <c r="I3548" s="101"/>
      <c r="Q3548" s="101"/>
      <c r="R3548" s="101"/>
    </row>
    <row r="3549">
      <c r="A3549" s="100"/>
      <c r="H3549" s="101"/>
      <c r="I3549" s="101"/>
      <c r="Q3549" s="101"/>
      <c r="R3549" s="101"/>
    </row>
    <row r="3550">
      <c r="A3550" s="100"/>
      <c r="H3550" s="101"/>
      <c r="I3550" s="101"/>
      <c r="Q3550" s="101"/>
      <c r="R3550" s="101"/>
    </row>
    <row r="3551">
      <c r="A3551" s="100"/>
      <c r="H3551" s="101"/>
      <c r="I3551" s="101"/>
      <c r="Q3551" s="101"/>
      <c r="R3551" s="101"/>
    </row>
    <row r="3552">
      <c r="A3552" s="100"/>
      <c r="H3552" s="101"/>
      <c r="I3552" s="101"/>
      <c r="Q3552" s="101"/>
      <c r="R3552" s="101"/>
    </row>
    <row r="3553">
      <c r="A3553" s="100"/>
      <c r="H3553" s="101"/>
      <c r="I3553" s="101"/>
      <c r="Q3553" s="101"/>
      <c r="R3553" s="101"/>
    </row>
    <row r="3554">
      <c r="A3554" s="100"/>
      <c r="H3554" s="101"/>
      <c r="I3554" s="101"/>
      <c r="Q3554" s="101"/>
      <c r="R3554" s="101"/>
    </row>
    <row r="3555">
      <c r="A3555" s="100"/>
      <c r="H3555" s="101"/>
      <c r="I3555" s="101"/>
      <c r="Q3555" s="101"/>
      <c r="R3555" s="101"/>
    </row>
    <row r="3556">
      <c r="A3556" s="100"/>
      <c r="H3556" s="101"/>
      <c r="I3556" s="101"/>
      <c r="Q3556" s="101"/>
      <c r="R3556" s="101"/>
    </row>
    <row r="3557">
      <c r="A3557" s="100"/>
      <c r="H3557" s="101"/>
      <c r="I3557" s="101"/>
      <c r="Q3557" s="101"/>
      <c r="R3557" s="101"/>
    </row>
    <row r="3558">
      <c r="A3558" s="100"/>
      <c r="H3558" s="101"/>
      <c r="I3558" s="101"/>
      <c r="Q3558" s="101"/>
      <c r="R3558" s="101"/>
    </row>
    <row r="3559">
      <c r="A3559" s="100"/>
      <c r="H3559" s="101"/>
      <c r="I3559" s="101"/>
      <c r="Q3559" s="101"/>
      <c r="R3559" s="101"/>
    </row>
    <row r="3560">
      <c r="A3560" s="100"/>
      <c r="H3560" s="101"/>
      <c r="I3560" s="101"/>
      <c r="Q3560" s="101"/>
      <c r="R3560" s="101"/>
    </row>
    <row r="3561">
      <c r="A3561" s="100"/>
      <c r="H3561" s="101"/>
      <c r="I3561" s="101"/>
      <c r="Q3561" s="101"/>
      <c r="R3561" s="101"/>
    </row>
    <row r="3562">
      <c r="A3562" s="100"/>
      <c r="H3562" s="101"/>
      <c r="I3562" s="101"/>
      <c r="Q3562" s="101"/>
      <c r="R3562" s="101"/>
    </row>
    <row r="3563">
      <c r="A3563" s="100"/>
      <c r="H3563" s="101"/>
      <c r="I3563" s="101"/>
      <c r="Q3563" s="101"/>
      <c r="R3563" s="101"/>
    </row>
    <row r="3564">
      <c r="A3564" s="100"/>
      <c r="H3564" s="101"/>
      <c r="I3564" s="101"/>
      <c r="Q3564" s="101"/>
      <c r="R3564" s="101"/>
    </row>
    <row r="3565">
      <c r="A3565" s="100"/>
      <c r="H3565" s="101"/>
      <c r="I3565" s="101"/>
      <c r="Q3565" s="101"/>
      <c r="R3565" s="101"/>
    </row>
    <row r="3566">
      <c r="A3566" s="100"/>
      <c r="H3566" s="101"/>
      <c r="I3566" s="101"/>
      <c r="Q3566" s="101"/>
      <c r="R3566" s="101"/>
    </row>
    <row r="3567">
      <c r="A3567" s="100"/>
      <c r="H3567" s="101"/>
      <c r="I3567" s="101"/>
      <c r="Q3567" s="101"/>
      <c r="R3567" s="101"/>
    </row>
    <row r="3568">
      <c r="A3568" s="100"/>
      <c r="H3568" s="101"/>
      <c r="I3568" s="101"/>
      <c r="Q3568" s="101"/>
      <c r="R3568" s="101"/>
    </row>
    <row r="3569">
      <c r="A3569" s="100"/>
      <c r="H3569" s="101"/>
      <c r="I3569" s="101"/>
      <c r="Q3569" s="101"/>
      <c r="R3569" s="101"/>
    </row>
    <row r="3570">
      <c r="A3570" s="100"/>
      <c r="H3570" s="101"/>
      <c r="I3570" s="101"/>
      <c r="Q3570" s="101"/>
      <c r="R3570" s="101"/>
    </row>
    <row r="3571">
      <c r="A3571" s="100"/>
      <c r="H3571" s="101"/>
      <c r="I3571" s="101"/>
      <c r="Q3571" s="101"/>
      <c r="R3571" s="101"/>
    </row>
    <row r="3572">
      <c r="A3572" s="100"/>
      <c r="H3572" s="101"/>
      <c r="I3572" s="101"/>
      <c r="Q3572" s="101"/>
      <c r="R3572" s="101"/>
    </row>
    <row r="3573">
      <c r="A3573" s="100"/>
      <c r="H3573" s="101"/>
      <c r="I3573" s="101"/>
      <c r="Q3573" s="101"/>
      <c r="R3573" s="101"/>
    </row>
    <row r="3574">
      <c r="A3574" s="100"/>
      <c r="H3574" s="101"/>
      <c r="I3574" s="101"/>
      <c r="Q3574" s="101"/>
      <c r="R3574" s="101"/>
    </row>
    <row r="3575">
      <c r="A3575" s="100"/>
      <c r="H3575" s="101"/>
      <c r="I3575" s="101"/>
      <c r="Q3575" s="101"/>
      <c r="R3575" s="101"/>
    </row>
    <row r="3576">
      <c r="A3576" s="100"/>
      <c r="H3576" s="101"/>
      <c r="I3576" s="101"/>
      <c r="Q3576" s="101"/>
      <c r="R3576" s="101"/>
    </row>
    <row r="3577">
      <c r="A3577" s="100"/>
      <c r="H3577" s="101"/>
      <c r="I3577" s="101"/>
      <c r="Q3577" s="101"/>
      <c r="R3577" s="101"/>
    </row>
    <row r="3578">
      <c r="A3578" s="100"/>
      <c r="H3578" s="101"/>
      <c r="I3578" s="101"/>
      <c r="Q3578" s="101"/>
      <c r="R3578" s="101"/>
    </row>
    <row r="3579">
      <c r="A3579" s="100"/>
      <c r="H3579" s="101"/>
      <c r="I3579" s="101"/>
      <c r="Q3579" s="101"/>
      <c r="R3579" s="101"/>
    </row>
    <row r="3580">
      <c r="A3580" s="100"/>
      <c r="H3580" s="101"/>
      <c r="I3580" s="101"/>
      <c r="Q3580" s="101"/>
      <c r="R3580" s="101"/>
    </row>
    <row r="3581">
      <c r="A3581" s="100"/>
      <c r="H3581" s="101"/>
      <c r="I3581" s="101"/>
      <c r="Q3581" s="101"/>
      <c r="R3581" s="101"/>
    </row>
    <row r="3582">
      <c r="A3582" s="100"/>
      <c r="H3582" s="101"/>
      <c r="I3582" s="101"/>
      <c r="Q3582" s="101"/>
      <c r="R3582" s="101"/>
    </row>
    <row r="3583">
      <c r="A3583" s="100"/>
      <c r="H3583" s="101"/>
      <c r="I3583" s="101"/>
      <c r="Q3583" s="101"/>
      <c r="R3583" s="101"/>
    </row>
    <row r="3584">
      <c r="A3584" s="100"/>
      <c r="H3584" s="101"/>
      <c r="I3584" s="101"/>
      <c r="Q3584" s="101"/>
      <c r="R3584" s="101"/>
    </row>
    <row r="3585">
      <c r="A3585" s="100"/>
      <c r="H3585" s="101"/>
      <c r="I3585" s="101"/>
      <c r="Q3585" s="101"/>
      <c r="R3585" s="101"/>
    </row>
    <row r="3586">
      <c r="A3586" s="100"/>
      <c r="H3586" s="101"/>
      <c r="I3586" s="101"/>
      <c r="Q3586" s="101"/>
      <c r="R3586" s="101"/>
    </row>
    <row r="3587">
      <c r="A3587" s="100"/>
      <c r="H3587" s="101"/>
      <c r="I3587" s="101"/>
      <c r="Q3587" s="101"/>
      <c r="R3587" s="101"/>
    </row>
    <row r="3588">
      <c r="A3588" s="100"/>
      <c r="H3588" s="101"/>
      <c r="I3588" s="101"/>
      <c r="Q3588" s="101"/>
      <c r="R3588" s="101"/>
    </row>
    <row r="3589">
      <c r="A3589" s="100"/>
      <c r="H3589" s="101"/>
      <c r="I3589" s="101"/>
      <c r="Q3589" s="101"/>
      <c r="R3589" s="101"/>
    </row>
    <row r="3590">
      <c r="A3590" s="100"/>
      <c r="H3590" s="101"/>
      <c r="I3590" s="101"/>
      <c r="Q3590" s="101"/>
      <c r="R3590" s="101"/>
    </row>
    <row r="3591">
      <c r="A3591" s="100"/>
      <c r="H3591" s="101"/>
      <c r="I3591" s="101"/>
      <c r="Q3591" s="101"/>
      <c r="R3591" s="101"/>
    </row>
    <row r="3592">
      <c r="A3592" s="100"/>
      <c r="H3592" s="101"/>
      <c r="I3592" s="101"/>
      <c r="Q3592" s="101"/>
      <c r="R3592" s="101"/>
    </row>
    <row r="3593">
      <c r="A3593" s="100"/>
      <c r="H3593" s="101"/>
      <c r="I3593" s="101"/>
      <c r="Q3593" s="101"/>
      <c r="R3593" s="101"/>
    </row>
    <row r="3594">
      <c r="A3594" s="100"/>
      <c r="H3594" s="101"/>
      <c r="I3594" s="101"/>
      <c r="Q3594" s="101"/>
      <c r="R3594" s="101"/>
    </row>
    <row r="3595">
      <c r="A3595" s="100"/>
      <c r="H3595" s="101"/>
      <c r="I3595" s="101"/>
      <c r="Q3595" s="101"/>
      <c r="R3595" s="101"/>
    </row>
    <row r="3596">
      <c r="A3596" s="100"/>
      <c r="H3596" s="101"/>
      <c r="I3596" s="101"/>
      <c r="Q3596" s="101"/>
      <c r="R3596" s="101"/>
    </row>
    <row r="3597">
      <c r="A3597" s="100"/>
      <c r="H3597" s="101"/>
      <c r="I3597" s="101"/>
      <c r="Q3597" s="101"/>
      <c r="R3597" s="101"/>
    </row>
    <row r="3598">
      <c r="A3598" s="100"/>
      <c r="H3598" s="101"/>
      <c r="I3598" s="101"/>
      <c r="Q3598" s="101"/>
      <c r="R3598" s="101"/>
    </row>
    <row r="3599">
      <c r="A3599" s="100"/>
      <c r="H3599" s="101"/>
      <c r="I3599" s="101"/>
      <c r="Q3599" s="101"/>
      <c r="R3599" s="101"/>
    </row>
    <row r="3600">
      <c r="A3600" s="100"/>
      <c r="H3600" s="101"/>
      <c r="I3600" s="101"/>
      <c r="Q3600" s="101"/>
      <c r="R3600" s="101"/>
    </row>
    <row r="3601">
      <c r="A3601" s="100"/>
      <c r="H3601" s="101"/>
      <c r="I3601" s="101"/>
      <c r="Q3601" s="101"/>
      <c r="R3601" s="101"/>
    </row>
    <row r="3602">
      <c r="A3602" s="100"/>
      <c r="H3602" s="101"/>
      <c r="I3602" s="101"/>
      <c r="Q3602" s="101"/>
      <c r="R3602" s="101"/>
    </row>
    <row r="3603">
      <c r="A3603" s="100"/>
      <c r="H3603" s="101"/>
      <c r="I3603" s="101"/>
      <c r="Q3603" s="101"/>
      <c r="R3603" s="101"/>
    </row>
    <row r="3604">
      <c r="A3604" s="100"/>
      <c r="H3604" s="101"/>
      <c r="I3604" s="101"/>
      <c r="Q3604" s="101"/>
      <c r="R3604" s="101"/>
    </row>
    <row r="3605">
      <c r="A3605" s="100"/>
      <c r="H3605" s="101"/>
      <c r="I3605" s="101"/>
      <c r="Q3605" s="101"/>
      <c r="R3605" s="101"/>
    </row>
    <row r="3606">
      <c r="A3606" s="100"/>
      <c r="H3606" s="101"/>
      <c r="I3606" s="101"/>
      <c r="Q3606" s="101"/>
      <c r="R3606" s="101"/>
    </row>
    <row r="3607">
      <c r="A3607" s="100"/>
      <c r="H3607" s="101"/>
      <c r="I3607" s="101"/>
      <c r="Q3607" s="101"/>
      <c r="R3607" s="101"/>
    </row>
    <row r="3608">
      <c r="A3608" s="100"/>
      <c r="H3608" s="101"/>
      <c r="I3608" s="101"/>
      <c r="Q3608" s="101"/>
      <c r="R3608" s="101"/>
    </row>
    <row r="3609">
      <c r="A3609" s="100"/>
      <c r="H3609" s="101"/>
      <c r="I3609" s="101"/>
      <c r="Q3609" s="101"/>
      <c r="R3609" s="101"/>
    </row>
    <row r="3610">
      <c r="A3610" s="100"/>
      <c r="H3610" s="101"/>
      <c r="I3610" s="101"/>
      <c r="Q3610" s="101"/>
      <c r="R3610" s="101"/>
    </row>
    <row r="3611">
      <c r="A3611" s="100"/>
      <c r="H3611" s="101"/>
      <c r="I3611" s="101"/>
      <c r="Q3611" s="101"/>
      <c r="R3611" s="101"/>
    </row>
    <row r="3612">
      <c r="A3612" s="100"/>
      <c r="H3612" s="101"/>
      <c r="I3612" s="101"/>
      <c r="Q3612" s="101"/>
      <c r="R3612" s="101"/>
    </row>
    <row r="3613">
      <c r="A3613" s="100"/>
      <c r="H3613" s="101"/>
      <c r="I3613" s="101"/>
      <c r="Q3613" s="101"/>
      <c r="R3613" s="101"/>
    </row>
    <row r="3614">
      <c r="A3614" s="100"/>
      <c r="H3614" s="101"/>
      <c r="I3614" s="101"/>
      <c r="Q3614" s="101"/>
      <c r="R3614" s="101"/>
    </row>
    <row r="3615">
      <c r="A3615" s="100"/>
      <c r="H3615" s="101"/>
      <c r="I3615" s="101"/>
      <c r="Q3615" s="101"/>
      <c r="R3615" s="101"/>
    </row>
    <row r="3616">
      <c r="A3616" s="100"/>
      <c r="H3616" s="101"/>
      <c r="I3616" s="101"/>
      <c r="Q3616" s="101"/>
      <c r="R3616" s="101"/>
    </row>
    <row r="3617">
      <c r="A3617" s="100"/>
      <c r="H3617" s="101"/>
      <c r="I3617" s="101"/>
      <c r="Q3617" s="101"/>
      <c r="R3617" s="101"/>
    </row>
    <row r="3618">
      <c r="A3618" s="100"/>
      <c r="H3618" s="101"/>
      <c r="I3618" s="101"/>
      <c r="Q3618" s="101"/>
      <c r="R3618" s="101"/>
    </row>
    <row r="3619">
      <c r="A3619" s="100"/>
      <c r="H3619" s="101"/>
      <c r="I3619" s="101"/>
      <c r="Q3619" s="101"/>
      <c r="R3619" s="101"/>
    </row>
    <row r="3620">
      <c r="A3620" s="100"/>
      <c r="H3620" s="101"/>
      <c r="I3620" s="101"/>
      <c r="Q3620" s="101"/>
      <c r="R3620" s="101"/>
    </row>
    <row r="3621">
      <c r="A3621" s="100"/>
      <c r="H3621" s="101"/>
      <c r="I3621" s="101"/>
      <c r="Q3621" s="101"/>
      <c r="R3621" s="101"/>
    </row>
    <row r="3622">
      <c r="A3622" s="100"/>
      <c r="H3622" s="101"/>
      <c r="I3622" s="101"/>
      <c r="Q3622" s="101"/>
      <c r="R3622" s="101"/>
    </row>
    <row r="3623">
      <c r="A3623" s="100"/>
      <c r="H3623" s="101"/>
      <c r="I3623" s="101"/>
      <c r="Q3623" s="101"/>
      <c r="R3623" s="101"/>
    </row>
    <row r="3624">
      <c r="A3624" s="100"/>
      <c r="H3624" s="101"/>
      <c r="I3624" s="101"/>
      <c r="Q3624" s="101"/>
      <c r="R3624" s="101"/>
    </row>
    <row r="3625">
      <c r="A3625" s="100"/>
      <c r="H3625" s="101"/>
      <c r="I3625" s="101"/>
      <c r="Q3625" s="101"/>
      <c r="R3625" s="101"/>
    </row>
    <row r="3626">
      <c r="A3626" s="100"/>
      <c r="H3626" s="101"/>
      <c r="I3626" s="101"/>
      <c r="Q3626" s="101"/>
      <c r="R3626" s="101"/>
    </row>
    <row r="3627">
      <c r="A3627" s="100"/>
      <c r="H3627" s="101"/>
      <c r="I3627" s="101"/>
      <c r="Q3627" s="101"/>
      <c r="R3627" s="101"/>
    </row>
    <row r="3628">
      <c r="A3628" s="100"/>
      <c r="H3628" s="101"/>
      <c r="I3628" s="101"/>
      <c r="Q3628" s="101"/>
      <c r="R3628" s="101"/>
    </row>
    <row r="3629">
      <c r="A3629" s="100"/>
      <c r="H3629" s="101"/>
      <c r="I3629" s="101"/>
      <c r="Q3629" s="101"/>
      <c r="R3629" s="101"/>
    </row>
    <row r="3630">
      <c r="A3630" s="100"/>
      <c r="H3630" s="101"/>
      <c r="I3630" s="101"/>
      <c r="Q3630" s="101"/>
      <c r="R3630" s="101"/>
    </row>
    <row r="3631">
      <c r="A3631" s="100"/>
      <c r="H3631" s="101"/>
      <c r="I3631" s="101"/>
      <c r="Q3631" s="101"/>
      <c r="R3631" s="101"/>
    </row>
    <row r="3632">
      <c r="A3632" s="100"/>
      <c r="H3632" s="101"/>
      <c r="I3632" s="101"/>
      <c r="Q3632" s="101"/>
      <c r="R3632" s="101"/>
    </row>
    <row r="3633">
      <c r="A3633" s="100"/>
      <c r="H3633" s="101"/>
      <c r="I3633" s="101"/>
      <c r="Q3633" s="101"/>
      <c r="R3633" s="101"/>
    </row>
    <row r="3634">
      <c r="A3634" s="100"/>
      <c r="H3634" s="101"/>
      <c r="I3634" s="101"/>
      <c r="Q3634" s="101"/>
      <c r="R3634" s="101"/>
    </row>
    <row r="3635">
      <c r="A3635" s="100"/>
      <c r="H3635" s="101"/>
      <c r="I3635" s="101"/>
      <c r="Q3635" s="101"/>
      <c r="R3635" s="101"/>
    </row>
    <row r="3636">
      <c r="A3636" s="100"/>
      <c r="H3636" s="101"/>
      <c r="I3636" s="101"/>
      <c r="Q3636" s="101"/>
      <c r="R3636" s="101"/>
    </row>
    <row r="3637">
      <c r="A3637" s="100"/>
      <c r="H3637" s="101"/>
      <c r="I3637" s="101"/>
      <c r="Q3637" s="101"/>
      <c r="R3637" s="101"/>
    </row>
    <row r="3638">
      <c r="A3638" s="100"/>
      <c r="H3638" s="101"/>
      <c r="I3638" s="101"/>
      <c r="Q3638" s="101"/>
      <c r="R3638" s="101"/>
    </row>
    <row r="3639">
      <c r="A3639" s="100"/>
      <c r="H3639" s="101"/>
      <c r="I3639" s="101"/>
      <c r="Q3639" s="101"/>
      <c r="R3639" s="101"/>
    </row>
    <row r="3640">
      <c r="A3640" s="100"/>
      <c r="H3640" s="101"/>
      <c r="I3640" s="101"/>
      <c r="Q3640" s="101"/>
      <c r="R3640" s="101"/>
    </row>
    <row r="3641">
      <c r="A3641" s="100"/>
      <c r="H3641" s="101"/>
      <c r="I3641" s="101"/>
      <c r="Q3641" s="101"/>
      <c r="R3641" s="101"/>
    </row>
    <row r="3642">
      <c r="A3642" s="100"/>
      <c r="H3642" s="101"/>
      <c r="I3642" s="101"/>
      <c r="Q3642" s="101"/>
      <c r="R3642" s="101"/>
    </row>
    <row r="3643">
      <c r="A3643" s="100"/>
      <c r="H3643" s="101"/>
      <c r="I3643" s="101"/>
      <c r="Q3643" s="101"/>
      <c r="R3643" s="101"/>
    </row>
    <row r="3644">
      <c r="A3644" s="100"/>
      <c r="H3644" s="101"/>
      <c r="I3644" s="101"/>
      <c r="Q3644" s="101"/>
      <c r="R3644" s="101"/>
    </row>
    <row r="3645">
      <c r="A3645" s="100"/>
      <c r="H3645" s="101"/>
      <c r="I3645" s="101"/>
      <c r="Q3645" s="101"/>
      <c r="R3645" s="101"/>
    </row>
    <row r="3646">
      <c r="A3646" s="100"/>
      <c r="H3646" s="101"/>
      <c r="I3646" s="101"/>
      <c r="Q3646" s="101"/>
      <c r="R3646" s="101"/>
    </row>
    <row r="3647">
      <c r="A3647" s="100"/>
      <c r="H3647" s="101"/>
      <c r="I3647" s="101"/>
      <c r="Q3647" s="101"/>
      <c r="R3647" s="101"/>
    </row>
    <row r="3648">
      <c r="A3648" s="100"/>
      <c r="H3648" s="101"/>
      <c r="I3648" s="101"/>
      <c r="Q3648" s="101"/>
      <c r="R3648" s="101"/>
    </row>
    <row r="3649">
      <c r="A3649" s="100"/>
      <c r="H3649" s="101"/>
      <c r="I3649" s="101"/>
      <c r="Q3649" s="101"/>
      <c r="R3649" s="101"/>
    </row>
    <row r="3650">
      <c r="A3650" s="100"/>
      <c r="H3650" s="101"/>
      <c r="I3650" s="101"/>
      <c r="Q3650" s="101"/>
      <c r="R3650" s="101"/>
    </row>
    <row r="3651">
      <c r="A3651" s="100"/>
      <c r="H3651" s="101"/>
      <c r="I3651" s="101"/>
      <c r="Q3651" s="101"/>
      <c r="R3651" s="101"/>
    </row>
    <row r="3652">
      <c r="A3652" s="100"/>
      <c r="H3652" s="101"/>
      <c r="I3652" s="101"/>
      <c r="Q3652" s="101"/>
      <c r="R3652" s="101"/>
    </row>
    <row r="3653">
      <c r="A3653" s="100"/>
      <c r="H3653" s="101"/>
      <c r="I3653" s="101"/>
      <c r="Q3653" s="101"/>
      <c r="R3653" s="101"/>
    </row>
    <row r="3654">
      <c r="A3654" s="100"/>
      <c r="H3654" s="101"/>
      <c r="I3654" s="101"/>
      <c r="Q3654" s="101"/>
      <c r="R3654" s="101"/>
    </row>
    <row r="3655">
      <c r="A3655" s="100"/>
      <c r="H3655" s="101"/>
      <c r="I3655" s="101"/>
      <c r="Q3655" s="101"/>
      <c r="R3655" s="101"/>
    </row>
    <row r="3656">
      <c r="A3656" s="100"/>
      <c r="H3656" s="101"/>
      <c r="I3656" s="101"/>
      <c r="Q3656" s="101"/>
      <c r="R3656" s="101"/>
    </row>
    <row r="3657">
      <c r="A3657" s="100"/>
      <c r="H3657" s="101"/>
      <c r="I3657" s="101"/>
      <c r="Q3657" s="101"/>
      <c r="R3657" s="101"/>
    </row>
    <row r="3658">
      <c r="A3658" s="100"/>
      <c r="H3658" s="101"/>
      <c r="I3658" s="101"/>
      <c r="Q3658" s="101"/>
      <c r="R3658" s="101"/>
    </row>
    <row r="3659">
      <c r="A3659" s="100"/>
      <c r="H3659" s="101"/>
      <c r="I3659" s="101"/>
      <c r="Q3659" s="101"/>
      <c r="R3659" s="101"/>
    </row>
    <row r="3660">
      <c r="A3660" s="100"/>
      <c r="H3660" s="101"/>
      <c r="I3660" s="101"/>
      <c r="Q3660" s="101"/>
      <c r="R3660" s="101"/>
    </row>
    <row r="3661">
      <c r="A3661" s="100"/>
      <c r="H3661" s="101"/>
      <c r="I3661" s="101"/>
      <c r="Q3661" s="101"/>
      <c r="R3661" s="101"/>
    </row>
    <row r="3662">
      <c r="A3662" s="100"/>
      <c r="H3662" s="101"/>
      <c r="I3662" s="101"/>
      <c r="Q3662" s="101"/>
      <c r="R3662" s="101"/>
    </row>
    <row r="3663">
      <c r="A3663" s="100"/>
      <c r="H3663" s="101"/>
      <c r="I3663" s="101"/>
      <c r="Q3663" s="101"/>
      <c r="R3663" s="101"/>
    </row>
    <row r="3664">
      <c r="A3664" s="100"/>
      <c r="H3664" s="101"/>
      <c r="I3664" s="101"/>
      <c r="Q3664" s="101"/>
      <c r="R3664" s="101"/>
    </row>
    <row r="3665">
      <c r="A3665" s="100"/>
      <c r="H3665" s="101"/>
      <c r="I3665" s="101"/>
      <c r="Q3665" s="101"/>
      <c r="R3665" s="101"/>
    </row>
    <row r="3666">
      <c r="A3666" s="100"/>
      <c r="H3666" s="101"/>
      <c r="I3666" s="101"/>
      <c r="Q3666" s="101"/>
      <c r="R3666" s="101"/>
    </row>
    <row r="3667">
      <c r="A3667" s="100"/>
      <c r="H3667" s="101"/>
      <c r="I3667" s="101"/>
      <c r="Q3667" s="101"/>
      <c r="R3667" s="101"/>
    </row>
    <row r="3668">
      <c r="A3668" s="100"/>
      <c r="H3668" s="101"/>
      <c r="I3668" s="101"/>
      <c r="Q3668" s="101"/>
      <c r="R3668" s="101"/>
    </row>
    <row r="3669">
      <c r="A3669" s="100"/>
      <c r="H3669" s="101"/>
      <c r="I3669" s="101"/>
      <c r="Q3669" s="101"/>
      <c r="R3669" s="101"/>
    </row>
    <row r="3670">
      <c r="A3670" s="100"/>
      <c r="H3670" s="101"/>
      <c r="I3670" s="101"/>
      <c r="Q3670" s="101"/>
      <c r="R3670" s="101"/>
    </row>
    <row r="3671">
      <c r="A3671" s="100"/>
      <c r="H3671" s="101"/>
      <c r="I3671" s="101"/>
      <c r="Q3671" s="101"/>
      <c r="R3671" s="101"/>
    </row>
    <row r="3672">
      <c r="A3672" s="100"/>
      <c r="H3672" s="101"/>
      <c r="I3672" s="101"/>
      <c r="Q3672" s="101"/>
      <c r="R3672" s="101"/>
    </row>
    <row r="3673">
      <c r="A3673" s="100"/>
      <c r="H3673" s="101"/>
      <c r="I3673" s="101"/>
      <c r="Q3673" s="101"/>
      <c r="R3673" s="101"/>
    </row>
    <row r="3674">
      <c r="A3674" s="100"/>
      <c r="H3674" s="101"/>
      <c r="I3674" s="101"/>
      <c r="Q3674" s="101"/>
      <c r="R3674" s="101"/>
    </row>
    <row r="3675">
      <c r="A3675" s="100"/>
      <c r="H3675" s="101"/>
      <c r="I3675" s="101"/>
      <c r="Q3675" s="101"/>
      <c r="R3675" s="101"/>
    </row>
    <row r="3676">
      <c r="A3676" s="100"/>
      <c r="H3676" s="101"/>
      <c r="I3676" s="101"/>
      <c r="Q3676" s="101"/>
      <c r="R3676" s="101"/>
    </row>
    <row r="3677">
      <c r="A3677" s="100"/>
      <c r="H3677" s="101"/>
      <c r="I3677" s="101"/>
      <c r="Q3677" s="101"/>
      <c r="R3677" s="101"/>
    </row>
    <row r="3678">
      <c r="A3678" s="100"/>
      <c r="H3678" s="101"/>
      <c r="I3678" s="101"/>
      <c r="Q3678" s="101"/>
      <c r="R3678" s="101"/>
    </row>
    <row r="3679">
      <c r="A3679" s="100"/>
      <c r="H3679" s="101"/>
      <c r="I3679" s="101"/>
      <c r="Q3679" s="101"/>
      <c r="R3679" s="101"/>
    </row>
    <row r="3680">
      <c r="A3680" s="100"/>
      <c r="H3680" s="101"/>
      <c r="I3680" s="101"/>
      <c r="Q3680" s="101"/>
      <c r="R3680" s="101"/>
    </row>
    <row r="3681">
      <c r="A3681" s="100"/>
      <c r="H3681" s="101"/>
      <c r="I3681" s="101"/>
      <c r="Q3681" s="101"/>
      <c r="R3681" s="101"/>
    </row>
    <row r="3682">
      <c r="A3682" s="100"/>
      <c r="H3682" s="101"/>
      <c r="I3682" s="101"/>
      <c r="Q3682" s="101"/>
      <c r="R3682" s="101"/>
    </row>
    <row r="3683">
      <c r="A3683" s="100"/>
      <c r="H3683" s="101"/>
      <c r="I3683" s="101"/>
      <c r="Q3683" s="101"/>
      <c r="R3683" s="101"/>
    </row>
    <row r="3684">
      <c r="A3684" s="100"/>
      <c r="H3684" s="101"/>
      <c r="I3684" s="101"/>
      <c r="Q3684" s="101"/>
      <c r="R3684" s="101"/>
    </row>
    <row r="3685">
      <c r="A3685" s="100"/>
      <c r="H3685" s="101"/>
      <c r="I3685" s="101"/>
      <c r="Q3685" s="101"/>
      <c r="R3685" s="101"/>
    </row>
    <row r="3686">
      <c r="A3686" s="100"/>
      <c r="H3686" s="101"/>
      <c r="I3686" s="101"/>
      <c r="Q3686" s="101"/>
      <c r="R3686" s="101"/>
    </row>
    <row r="3687">
      <c r="A3687" s="100"/>
      <c r="H3687" s="101"/>
      <c r="I3687" s="101"/>
      <c r="Q3687" s="101"/>
      <c r="R3687" s="101"/>
    </row>
    <row r="3688">
      <c r="A3688" s="100"/>
      <c r="H3688" s="101"/>
      <c r="I3688" s="101"/>
      <c r="Q3688" s="101"/>
      <c r="R3688" s="101"/>
    </row>
    <row r="3689">
      <c r="A3689" s="100"/>
      <c r="H3689" s="101"/>
      <c r="I3689" s="101"/>
      <c r="Q3689" s="101"/>
      <c r="R3689" s="101"/>
    </row>
    <row r="3690">
      <c r="A3690" s="100"/>
      <c r="H3690" s="101"/>
      <c r="I3690" s="101"/>
      <c r="Q3690" s="101"/>
      <c r="R3690" s="101"/>
    </row>
    <row r="3691">
      <c r="A3691" s="100"/>
      <c r="H3691" s="101"/>
      <c r="I3691" s="101"/>
      <c r="Q3691" s="101"/>
      <c r="R3691" s="101"/>
    </row>
    <row r="3692">
      <c r="A3692" s="100"/>
      <c r="H3692" s="101"/>
      <c r="I3692" s="101"/>
      <c r="Q3692" s="101"/>
      <c r="R3692" s="101"/>
    </row>
    <row r="3693">
      <c r="A3693" s="100"/>
      <c r="H3693" s="101"/>
      <c r="I3693" s="101"/>
      <c r="Q3693" s="101"/>
      <c r="R3693" s="101"/>
    </row>
    <row r="3694">
      <c r="A3694" s="100"/>
      <c r="H3694" s="101"/>
      <c r="I3694" s="101"/>
      <c r="Q3694" s="101"/>
      <c r="R3694" s="101"/>
    </row>
    <row r="3695">
      <c r="A3695" s="100"/>
      <c r="H3695" s="101"/>
      <c r="I3695" s="101"/>
      <c r="Q3695" s="101"/>
      <c r="R3695" s="101"/>
    </row>
    <row r="3696">
      <c r="A3696" s="100"/>
      <c r="H3696" s="101"/>
      <c r="I3696" s="101"/>
      <c r="Q3696" s="101"/>
      <c r="R3696" s="101"/>
    </row>
    <row r="3697">
      <c r="A3697" s="100"/>
      <c r="H3697" s="101"/>
      <c r="I3697" s="101"/>
      <c r="Q3697" s="101"/>
      <c r="R3697" s="101"/>
    </row>
    <row r="3698">
      <c r="A3698" s="100"/>
      <c r="H3698" s="101"/>
      <c r="I3698" s="101"/>
      <c r="Q3698" s="101"/>
      <c r="R3698" s="101"/>
    </row>
    <row r="3699">
      <c r="A3699" s="100"/>
      <c r="H3699" s="101"/>
      <c r="I3699" s="101"/>
      <c r="Q3699" s="101"/>
      <c r="R3699" s="101"/>
    </row>
    <row r="3700">
      <c r="A3700" s="100"/>
      <c r="H3700" s="101"/>
      <c r="I3700" s="101"/>
      <c r="Q3700" s="101"/>
      <c r="R3700" s="101"/>
    </row>
    <row r="3701">
      <c r="A3701" s="100"/>
      <c r="H3701" s="101"/>
      <c r="I3701" s="101"/>
      <c r="Q3701" s="101"/>
      <c r="R3701" s="101"/>
    </row>
    <row r="3702">
      <c r="A3702" s="100"/>
      <c r="H3702" s="101"/>
      <c r="I3702" s="101"/>
      <c r="Q3702" s="101"/>
      <c r="R3702" s="101"/>
    </row>
    <row r="3703">
      <c r="A3703" s="100"/>
      <c r="H3703" s="101"/>
      <c r="I3703" s="101"/>
      <c r="Q3703" s="101"/>
      <c r="R3703" s="101"/>
    </row>
    <row r="3704">
      <c r="A3704" s="100"/>
      <c r="H3704" s="101"/>
      <c r="I3704" s="101"/>
      <c r="Q3704" s="101"/>
      <c r="R3704" s="101"/>
    </row>
    <row r="3705">
      <c r="A3705" s="100"/>
      <c r="H3705" s="101"/>
      <c r="I3705" s="101"/>
      <c r="Q3705" s="101"/>
      <c r="R3705" s="101"/>
    </row>
    <row r="3706">
      <c r="A3706" s="100"/>
      <c r="H3706" s="101"/>
      <c r="I3706" s="101"/>
      <c r="Q3706" s="101"/>
      <c r="R3706" s="101"/>
    </row>
    <row r="3707">
      <c r="A3707" s="100"/>
      <c r="H3707" s="101"/>
      <c r="I3707" s="101"/>
      <c r="Q3707" s="101"/>
      <c r="R3707" s="101"/>
    </row>
    <row r="3708">
      <c r="A3708" s="100"/>
      <c r="H3708" s="101"/>
      <c r="I3708" s="101"/>
      <c r="Q3708" s="101"/>
      <c r="R3708" s="101"/>
    </row>
    <row r="3709">
      <c r="A3709" s="100"/>
      <c r="H3709" s="101"/>
      <c r="I3709" s="101"/>
      <c r="Q3709" s="101"/>
      <c r="R3709" s="101"/>
    </row>
    <row r="3710">
      <c r="A3710" s="100"/>
      <c r="H3710" s="101"/>
      <c r="I3710" s="101"/>
      <c r="Q3710" s="101"/>
      <c r="R3710" s="101"/>
    </row>
    <row r="3711">
      <c r="A3711" s="100"/>
      <c r="H3711" s="101"/>
      <c r="I3711" s="101"/>
      <c r="Q3711" s="101"/>
      <c r="R3711" s="101"/>
    </row>
    <row r="3712">
      <c r="A3712" s="100"/>
      <c r="H3712" s="101"/>
      <c r="I3712" s="101"/>
      <c r="Q3712" s="101"/>
      <c r="R3712" s="101"/>
    </row>
    <row r="3713">
      <c r="A3713" s="100"/>
      <c r="H3713" s="101"/>
      <c r="I3713" s="101"/>
      <c r="Q3713" s="101"/>
      <c r="R3713" s="101"/>
    </row>
    <row r="3714">
      <c r="A3714" s="100"/>
      <c r="H3714" s="101"/>
      <c r="I3714" s="101"/>
      <c r="Q3714" s="101"/>
      <c r="R3714" s="101"/>
    </row>
    <row r="3715">
      <c r="A3715" s="100"/>
      <c r="H3715" s="101"/>
      <c r="I3715" s="101"/>
      <c r="Q3715" s="101"/>
      <c r="R3715" s="101"/>
    </row>
    <row r="3716">
      <c r="A3716" s="100"/>
      <c r="H3716" s="101"/>
      <c r="I3716" s="101"/>
      <c r="Q3716" s="101"/>
      <c r="R3716" s="101"/>
    </row>
    <row r="3717">
      <c r="A3717" s="100"/>
      <c r="H3717" s="101"/>
      <c r="I3717" s="101"/>
      <c r="Q3717" s="101"/>
      <c r="R3717" s="101"/>
    </row>
    <row r="3718">
      <c r="A3718" s="100"/>
      <c r="H3718" s="101"/>
      <c r="I3718" s="101"/>
      <c r="Q3718" s="101"/>
      <c r="R3718" s="101"/>
    </row>
    <row r="3719">
      <c r="A3719" s="100"/>
      <c r="H3719" s="101"/>
      <c r="I3719" s="101"/>
      <c r="Q3719" s="101"/>
      <c r="R3719" s="101"/>
    </row>
    <row r="3720">
      <c r="A3720" s="100"/>
      <c r="H3720" s="101"/>
      <c r="I3720" s="101"/>
      <c r="Q3720" s="101"/>
      <c r="R3720" s="101"/>
    </row>
    <row r="3721">
      <c r="A3721" s="100"/>
      <c r="H3721" s="101"/>
      <c r="I3721" s="101"/>
      <c r="Q3721" s="101"/>
      <c r="R3721" s="101"/>
    </row>
    <row r="3722">
      <c r="A3722" s="100"/>
      <c r="H3722" s="101"/>
      <c r="I3722" s="101"/>
      <c r="Q3722" s="101"/>
      <c r="R3722" s="101"/>
    </row>
    <row r="3723">
      <c r="A3723" s="100"/>
      <c r="H3723" s="101"/>
      <c r="I3723" s="101"/>
      <c r="Q3723" s="101"/>
      <c r="R3723" s="101"/>
    </row>
    <row r="3724">
      <c r="A3724" s="100"/>
      <c r="H3724" s="101"/>
      <c r="I3724" s="101"/>
      <c r="Q3724" s="101"/>
      <c r="R3724" s="101"/>
    </row>
    <row r="3725">
      <c r="A3725" s="100"/>
      <c r="H3725" s="101"/>
      <c r="I3725" s="101"/>
      <c r="Q3725" s="101"/>
      <c r="R3725" s="101"/>
    </row>
    <row r="3726">
      <c r="A3726" s="100"/>
      <c r="H3726" s="101"/>
      <c r="I3726" s="101"/>
      <c r="Q3726" s="101"/>
      <c r="R3726" s="101"/>
    </row>
    <row r="3727">
      <c r="A3727" s="100"/>
      <c r="H3727" s="101"/>
      <c r="I3727" s="101"/>
      <c r="Q3727" s="101"/>
      <c r="R3727" s="101"/>
    </row>
    <row r="3728">
      <c r="A3728" s="100"/>
      <c r="H3728" s="101"/>
      <c r="I3728" s="101"/>
      <c r="Q3728" s="101"/>
      <c r="R3728" s="101"/>
    </row>
    <row r="3729">
      <c r="A3729" s="100"/>
      <c r="H3729" s="101"/>
      <c r="I3729" s="101"/>
      <c r="Q3729" s="101"/>
      <c r="R3729" s="101"/>
    </row>
    <row r="3730">
      <c r="A3730" s="100"/>
      <c r="H3730" s="101"/>
      <c r="I3730" s="101"/>
      <c r="Q3730" s="101"/>
      <c r="R3730" s="101"/>
    </row>
    <row r="3731">
      <c r="A3731" s="100"/>
      <c r="H3731" s="101"/>
      <c r="I3731" s="101"/>
      <c r="Q3731" s="101"/>
      <c r="R3731" s="101"/>
    </row>
    <row r="3732">
      <c r="A3732" s="100"/>
      <c r="H3732" s="101"/>
      <c r="I3732" s="101"/>
      <c r="Q3732" s="101"/>
      <c r="R3732" s="101"/>
    </row>
    <row r="3733">
      <c r="A3733" s="100"/>
      <c r="H3733" s="101"/>
      <c r="I3733" s="101"/>
      <c r="Q3733" s="101"/>
      <c r="R3733" s="101"/>
    </row>
    <row r="3734">
      <c r="A3734" s="100"/>
      <c r="H3734" s="101"/>
      <c r="I3734" s="101"/>
      <c r="Q3734" s="101"/>
      <c r="R3734" s="101"/>
    </row>
    <row r="3735">
      <c r="A3735" s="100"/>
      <c r="H3735" s="101"/>
      <c r="I3735" s="101"/>
      <c r="Q3735" s="101"/>
      <c r="R3735" s="101"/>
    </row>
    <row r="3736">
      <c r="A3736" s="100"/>
      <c r="H3736" s="101"/>
      <c r="I3736" s="101"/>
      <c r="Q3736" s="101"/>
      <c r="R3736" s="101"/>
    </row>
    <row r="3737">
      <c r="A3737" s="100"/>
      <c r="H3737" s="101"/>
      <c r="I3737" s="101"/>
      <c r="Q3737" s="101"/>
      <c r="R3737" s="101"/>
    </row>
    <row r="3738">
      <c r="A3738" s="100"/>
      <c r="H3738" s="101"/>
      <c r="I3738" s="101"/>
      <c r="Q3738" s="101"/>
      <c r="R3738" s="101"/>
    </row>
    <row r="3739">
      <c r="A3739" s="100"/>
      <c r="H3739" s="101"/>
      <c r="I3739" s="101"/>
      <c r="Q3739" s="101"/>
      <c r="R3739" s="101"/>
    </row>
    <row r="3740">
      <c r="A3740" s="100"/>
      <c r="H3740" s="101"/>
      <c r="I3740" s="101"/>
      <c r="Q3740" s="101"/>
      <c r="R3740" s="101"/>
    </row>
    <row r="3741">
      <c r="A3741" s="100"/>
      <c r="H3741" s="101"/>
      <c r="I3741" s="101"/>
      <c r="Q3741" s="101"/>
      <c r="R3741" s="101"/>
    </row>
    <row r="3742">
      <c r="A3742" s="100"/>
      <c r="H3742" s="101"/>
      <c r="I3742" s="101"/>
      <c r="Q3742" s="101"/>
      <c r="R3742" s="101"/>
    </row>
    <row r="3743">
      <c r="A3743" s="100"/>
      <c r="H3743" s="101"/>
      <c r="I3743" s="101"/>
      <c r="Q3743" s="101"/>
      <c r="R3743" s="101"/>
    </row>
    <row r="3744">
      <c r="A3744" s="100"/>
      <c r="H3744" s="101"/>
      <c r="I3744" s="101"/>
      <c r="Q3744" s="101"/>
      <c r="R3744" s="101"/>
    </row>
    <row r="3745">
      <c r="A3745" s="100"/>
      <c r="H3745" s="101"/>
      <c r="I3745" s="101"/>
      <c r="Q3745" s="101"/>
      <c r="R3745" s="101"/>
    </row>
    <row r="3746">
      <c r="A3746" s="100"/>
      <c r="H3746" s="101"/>
      <c r="I3746" s="101"/>
      <c r="Q3746" s="101"/>
      <c r="R3746" s="101"/>
    </row>
    <row r="3747">
      <c r="A3747" s="100"/>
      <c r="H3747" s="101"/>
      <c r="I3747" s="101"/>
      <c r="Q3747" s="101"/>
      <c r="R3747" s="101"/>
    </row>
    <row r="3748">
      <c r="A3748" s="100"/>
      <c r="H3748" s="101"/>
      <c r="I3748" s="101"/>
      <c r="Q3748" s="101"/>
      <c r="R3748" s="101"/>
    </row>
    <row r="3749">
      <c r="A3749" s="100"/>
      <c r="H3749" s="101"/>
      <c r="I3749" s="101"/>
      <c r="Q3749" s="101"/>
      <c r="R3749" s="101"/>
    </row>
    <row r="3750">
      <c r="A3750" s="100"/>
      <c r="H3750" s="101"/>
      <c r="I3750" s="101"/>
      <c r="Q3750" s="101"/>
      <c r="R3750" s="101"/>
    </row>
    <row r="3751">
      <c r="A3751" s="100"/>
      <c r="H3751" s="101"/>
      <c r="I3751" s="101"/>
      <c r="Q3751" s="101"/>
      <c r="R3751" s="101"/>
    </row>
    <row r="3752">
      <c r="A3752" s="100"/>
      <c r="H3752" s="101"/>
      <c r="I3752" s="101"/>
      <c r="Q3752" s="101"/>
      <c r="R3752" s="101"/>
    </row>
    <row r="3753">
      <c r="A3753" s="100"/>
      <c r="H3753" s="101"/>
      <c r="I3753" s="101"/>
      <c r="Q3753" s="101"/>
      <c r="R3753" s="101"/>
    </row>
    <row r="3754">
      <c r="A3754" s="100"/>
      <c r="H3754" s="101"/>
      <c r="I3754" s="101"/>
      <c r="Q3754" s="101"/>
      <c r="R3754" s="101"/>
    </row>
    <row r="3755">
      <c r="A3755" s="100"/>
      <c r="H3755" s="101"/>
      <c r="I3755" s="101"/>
      <c r="Q3755" s="101"/>
      <c r="R3755" s="101"/>
    </row>
    <row r="3756">
      <c r="A3756" s="100"/>
      <c r="H3756" s="101"/>
      <c r="I3756" s="101"/>
      <c r="Q3756" s="101"/>
      <c r="R3756" s="101"/>
    </row>
    <row r="3757">
      <c r="A3757" s="100"/>
      <c r="H3757" s="101"/>
      <c r="I3757" s="101"/>
      <c r="Q3757" s="101"/>
      <c r="R3757" s="101"/>
    </row>
    <row r="3758">
      <c r="A3758" s="100"/>
      <c r="H3758" s="101"/>
      <c r="I3758" s="101"/>
      <c r="Q3758" s="101"/>
      <c r="R3758" s="101"/>
    </row>
    <row r="3759">
      <c r="A3759" s="100"/>
      <c r="H3759" s="101"/>
      <c r="I3759" s="101"/>
      <c r="Q3759" s="101"/>
      <c r="R3759" s="101"/>
    </row>
    <row r="3760">
      <c r="A3760" s="100"/>
      <c r="H3760" s="101"/>
      <c r="I3760" s="101"/>
      <c r="Q3760" s="101"/>
      <c r="R3760" s="101"/>
    </row>
    <row r="3761">
      <c r="A3761" s="100"/>
      <c r="H3761" s="101"/>
      <c r="I3761" s="101"/>
      <c r="Q3761" s="101"/>
      <c r="R3761" s="101"/>
    </row>
    <row r="3762">
      <c r="A3762" s="100"/>
      <c r="H3762" s="101"/>
      <c r="I3762" s="101"/>
      <c r="Q3762" s="101"/>
      <c r="R3762" s="101"/>
    </row>
    <row r="3763">
      <c r="A3763" s="100"/>
      <c r="H3763" s="101"/>
      <c r="I3763" s="101"/>
      <c r="Q3763" s="101"/>
      <c r="R3763" s="101"/>
    </row>
    <row r="3764">
      <c r="A3764" s="100"/>
      <c r="H3764" s="101"/>
      <c r="I3764" s="101"/>
      <c r="Q3764" s="101"/>
      <c r="R3764" s="101"/>
    </row>
    <row r="3765">
      <c r="A3765" s="100"/>
      <c r="H3765" s="101"/>
      <c r="I3765" s="101"/>
      <c r="Q3765" s="101"/>
      <c r="R3765" s="101"/>
    </row>
    <row r="3766">
      <c r="A3766" s="100"/>
      <c r="H3766" s="101"/>
      <c r="I3766" s="101"/>
      <c r="Q3766" s="101"/>
      <c r="R3766" s="101"/>
    </row>
    <row r="3767">
      <c r="A3767" s="100"/>
      <c r="H3767" s="101"/>
      <c r="I3767" s="101"/>
      <c r="Q3767" s="101"/>
      <c r="R3767" s="101"/>
    </row>
    <row r="3768">
      <c r="A3768" s="100"/>
      <c r="H3768" s="101"/>
      <c r="I3768" s="101"/>
      <c r="Q3768" s="101"/>
      <c r="R3768" s="101"/>
    </row>
    <row r="3769">
      <c r="A3769" s="100"/>
      <c r="H3769" s="101"/>
      <c r="I3769" s="101"/>
      <c r="Q3769" s="101"/>
      <c r="R3769" s="101"/>
    </row>
    <row r="3770">
      <c r="A3770" s="100"/>
      <c r="H3770" s="101"/>
      <c r="I3770" s="101"/>
      <c r="Q3770" s="101"/>
      <c r="R3770" s="101"/>
    </row>
    <row r="3771">
      <c r="A3771" s="100"/>
      <c r="H3771" s="101"/>
      <c r="I3771" s="101"/>
      <c r="Q3771" s="101"/>
      <c r="R3771" s="101"/>
    </row>
    <row r="3772">
      <c r="A3772" s="100"/>
      <c r="H3772" s="101"/>
      <c r="I3772" s="101"/>
      <c r="Q3772" s="101"/>
      <c r="R3772" s="101"/>
    </row>
    <row r="3773">
      <c r="A3773" s="100"/>
      <c r="H3773" s="101"/>
      <c r="I3773" s="101"/>
      <c r="Q3773" s="101"/>
      <c r="R3773" s="101"/>
    </row>
    <row r="3774">
      <c r="A3774" s="100"/>
      <c r="H3774" s="101"/>
      <c r="I3774" s="101"/>
      <c r="Q3774" s="101"/>
      <c r="R3774" s="101"/>
    </row>
    <row r="3775">
      <c r="A3775" s="100"/>
      <c r="H3775" s="101"/>
      <c r="I3775" s="101"/>
      <c r="Q3775" s="101"/>
      <c r="R3775" s="101"/>
    </row>
    <row r="3776">
      <c r="A3776" s="100"/>
      <c r="H3776" s="101"/>
      <c r="I3776" s="101"/>
      <c r="Q3776" s="101"/>
      <c r="R3776" s="101"/>
    </row>
    <row r="3777">
      <c r="A3777" s="100"/>
      <c r="H3777" s="101"/>
      <c r="I3777" s="101"/>
      <c r="Q3777" s="101"/>
      <c r="R3777" s="101"/>
    </row>
    <row r="3778">
      <c r="A3778" s="100"/>
      <c r="H3778" s="101"/>
      <c r="I3778" s="101"/>
      <c r="Q3778" s="101"/>
      <c r="R3778" s="101"/>
    </row>
    <row r="3779">
      <c r="A3779" s="100"/>
      <c r="H3779" s="101"/>
      <c r="I3779" s="101"/>
      <c r="Q3779" s="101"/>
      <c r="R3779" s="101"/>
    </row>
    <row r="3780">
      <c r="A3780" s="100"/>
      <c r="H3780" s="101"/>
      <c r="I3780" s="101"/>
      <c r="Q3780" s="101"/>
      <c r="R3780" s="101"/>
    </row>
    <row r="3781">
      <c r="A3781" s="100"/>
      <c r="H3781" s="101"/>
      <c r="I3781" s="101"/>
      <c r="Q3781" s="101"/>
      <c r="R3781" s="101"/>
    </row>
    <row r="3782">
      <c r="A3782" s="100"/>
      <c r="H3782" s="101"/>
      <c r="I3782" s="101"/>
      <c r="Q3782" s="101"/>
      <c r="R3782" s="101"/>
    </row>
    <row r="3783">
      <c r="A3783" s="100"/>
      <c r="H3783" s="101"/>
      <c r="I3783" s="101"/>
      <c r="Q3783" s="101"/>
      <c r="R3783" s="101"/>
    </row>
    <row r="3784">
      <c r="A3784" s="100"/>
      <c r="H3784" s="101"/>
      <c r="I3784" s="101"/>
      <c r="Q3784" s="101"/>
      <c r="R3784" s="101"/>
    </row>
    <row r="3785">
      <c r="A3785" s="100"/>
      <c r="H3785" s="101"/>
      <c r="I3785" s="101"/>
      <c r="Q3785" s="101"/>
      <c r="R3785" s="101"/>
    </row>
    <row r="3786">
      <c r="A3786" s="100"/>
      <c r="H3786" s="101"/>
      <c r="I3786" s="101"/>
      <c r="Q3786" s="101"/>
      <c r="R3786" s="101"/>
    </row>
    <row r="3787">
      <c r="A3787" s="100"/>
      <c r="H3787" s="101"/>
      <c r="I3787" s="101"/>
      <c r="Q3787" s="101"/>
      <c r="R3787" s="101"/>
    </row>
    <row r="3788">
      <c r="A3788" s="100"/>
      <c r="H3788" s="101"/>
      <c r="I3788" s="101"/>
      <c r="Q3788" s="101"/>
      <c r="R3788" s="101"/>
    </row>
    <row r="3789">
      <c r="A3789" s="100"/>
      <c r="H3789" s="101"/>
      <c r="I3789" s="101"/>
      <c r="Q3789" s="101"/>
      <c r="R3789" s="101"/>
    </row>
    <row r="3790">
      <c r="A3790" s="100"/>
      <c r="H3790" s="101"/>
      <c r="I3790" s="101"/>
      <c r="Q3790" s="101"/>
      <c r="R3790" s="101"/>
    </row>
    <row r="3791">
      <c r="A3791" s="100"/>
      <c r="H3791" s="101"/>
      <c r="I3791" s="101"/>
      <c r="Q3791" s="101"/>
      <c r="R3791" s="101"/>
    </row>
    <row r="3792">
      <c r="A3792" s="100"/>
      <c r="H3792" s="101"/>
      <c r="I3792" s="101"/>
      <c r="Q3792" s="101"/>
      <c r="R3792" s="101"/>
    </row>
    <row r="3793">
      <c r="A3793" s="100"/>
      <c r="H3793" s="101"/>
      <c r="I3793" s="101"/>
      <c r="Q3793" s="101"/>
      <c r="R3793" s="101"/>
    </row>
    <row r="3794">
      <c r="A3794" s="100"/>
      <c r="H3794" s="101"/>
      <c r="I3794" s="101"/>
      <c r="Q3794" s="101"/>
      <c r="R3794" s="101"/>
    </row>
    <row r="3795">
      <c r="A3795" s="100"/>
      <c r="H3795" s="101"/>
      <c r="I3795" s="101"/>
      <c r="Q3795" s="101"/>
      <c r="R3795" s="101"/>
    </row>
    <row r="3796">
      <c r="A3796" s="100"/>
      <c r="H3796" s="101"/>
      <c r="I3796" s="101"/>
      <c r="Q3796" s="101"/>
      <c r="R3796" s="101"/>
    </row>
    <row r="3797">
      <c r="A3797" s="100"/>
      <c r="H3797" s="101"/>
      <c r="I3797" s="101"/>
      <c r="Q3797" s="101"/>
      <c r="R3797" s="101"/>
    </row>
    <row r="3798">
      <c r="A3798" s="100"/>
      <c r="H3798" s="101"/>
      <c r="I3798" s="101"/>
      <c r="Q3798" s="101"/>
      <c r="R3798" s="101"/>
    </row>
    <row r="3799">
      <c r="A3799" s="100"/>
      <c r="H3799" s="101"/>
      <c r="I3799" s="101"/>
      <c r="Q3799" s="101"/>
      <c r="R3799" s="101"/>
    </row>
    <row r="3800">
      <c r="A3800" s="100"/>
      <c r="H3800" s="101"/>
      <c r="I3800" s="101"/>
      <c r="Q3800" s="101"/>
      <c r="R3800" s="101"/>
    </row>
    <row r="3801">
      <c r="A3801" s="100"/>
      <c r="H3801" s="101"/>
      <c r="I3801" s="101"/>
      <c r="Q3801" s="101"/>
      <c r="R3801" s="101"/>
    </row>
    <row r="3802">
      <c r="A3802" s="100"/>
      <c r="H3802" s="101"/>
      <c r="I3802" s="101"/>
      <c r="Q3802" s="101"/>
      <c r="R3802" s="101"/>
    </row>
    <row r="3803">
      <c r="A3803" s="100"/>
      <c r="H3803" s="101"/>
      <c r="I3803" s="101"/>
      <c r="Q3803" s="101"/>
      <c r="R3803" s="101"/>
    </row>
    <row r="3804">
      <c r="A3804" s="100"/>
      <c r="H3804" s="101"/>
      <c r="I3804" s="101"/>
      <c r="Q3804" s="101"/>
      <c r="R3804" s="101"/>
    </row>
    <row r="3805">
      <c r="A3805" s="100"/>
      <c r="H3805" s="101"/>
      <c r="I3805" s="101"/>
      <c r="Q3805" s="101"/>
      <c r="R3805" s="101"/>
    </row>
    <row r="3806">
      <c r="A3806" s="100"/>
      <c r="H3806" s="101"/>
      <c r="I3806" s="101"/>
      <c r="Q3806" s="101"/>
      <c r="R3806" s="101"/>
    </row>
    <row r="3807">
      <c r="A3807" s="100"/>
      <c r="H3807" s="101"/>
      <c r="I3807" s="101"/>
      <c r="Q3807" s="101"/>
      <c r="R3807" s="101"/>
    </row>
    <row r="3808">
      <c r="A3808" s="100"/>
      <c r="H3808" s="101"/>
      <c r="I3808" s="101"/>
      <c r="Q3808" s="101"/>
      <c r="R3808" s="101"/>
    </row>
    <row r="3809">
      <c r="A3809" s="100"/>
      <c r="H3809" s="101"/>
      <c r="I3809" s="101"/>
      <c r="Q3809" s="101"/>
      <c r="R3809" s="101"/>
    </row>
    <row r="3810">
      <c r="A3810" s="100"/>
      <c r="H3810" s="101"/>
      <c r="I3810" s="101"/>
      <c r="Q3810" s="101"/>
      <c r="R3810" s="101"/>
    </row>
    <row r="3811">
      <c r="A3811" s="100"/>
      <c r="H3811" s="101"/>
      <c r="I3811" s="101"/>
      <c r="Q3811" s="101"/>
      <c r="R3811" s="101"/>
    </row>
    <row r="3812">
      <c r="A3812" s="100"/>
      <c r="H3812" s="101"/>
      <c r="I3812" s="101"/>
      <c r="Q3812" s="101"/>
      <c r="R3812" s="101"/>
    </row>
    <row r="3813">
      <c r="A3813" s="100"/>
      <c r="H3813" s="101"/>
      <c r="I3813" s="101"/>
      <c r="Q3813" s="101"/>
      <c r="R3813" s="101"/>
    </row>
    <row r="3814">
      <c r="A3814" s="100"/>
      <c r="H3814" s="101"/>
      <c r="I3814" s="101"/>
      <c r="Q3814" s="101"/>
      <c r="R3814" s="101"/>
    </row>
    <row r="3815">
      <c r="A3815" s="100"/>
      <c r="H3815" s="101"/>
      <c r="I3815" s="101"/>
      <c r="Q3815" s="101"/>
      <c r="R3815" s="101"/>
    </row>
    <row r="3816">
      <c r="A3816" s="100"/>
      <c r="H3816" s="101"/>
      <c r="I3816" s="101"/>
      <c r="Q3816" s="101"/>
      <c r="R3816" s="101"/>
    </row>
    <row r="3817">
      <c r="A3817" s="100"/>
      <c r="H3817" s="101"/>
      <c r="I3817" s="101"/>
      <c r="Q3817" s="101"/>
      <c r="R3817" s="101"/>
    </row>
    <row r="3818">
      <c r="A3818" s="100"/>
      <c r="H3818" s="101"/>
      <c r="I3818" s="101"/>
      <c r="Q3818" s="101"/>
      <c r="R3818" s="101"/>
    </row>
    <row r="3819">
      <c r="A3819" s="100"/>
      <c r="H3819" s="101"/>
      <c r="I3819" s="101"/>
      <c r="Q3819" s="101"/>
      <c r="R3819" s="101"/>
    </row>
    <row r="3820">
      <c r="A3820" s="100"/>
      <c r="H3820" s="101"/>
      <c r="I3820" s="101"/>
      <c r="Q3820" s="101"/>
      <c r="R3820" s="101"/>
    </row>
    <row r="3821">
      <c r="A3821" s="100"/>
      <c r="H3821" s="101"/>
      <c r="I3821" s="101"/>
      <c r="Q3821" s="101"/>
      <c r="R3821" s="101"/>
    </row>
    <row r="3822">
      <c r="A3822" s="100"/>
      <c r="H3822" s="101"/>
      <c r="I3822" s="101"/>
      <c r="Q3822" s="101"/>
      <c r="R3822" s="101"/>
    </row>
    <row r="3823">
      <c r="A3823" s="100"/>
      <c r="H3823" s="101"/>
      <c r="I3823" s="101"/>
      <c r="Q3823" s="101"/>
      <c r="R3823" s="101"/>
    </row>
    <row r="3824">
      <c r="A3824" s="100"/>
      <c r="H3824" s="101"/>
      <c r="I3824" s="101"/>
      <c r="Q3824" s="101"/>
      <c r="R3824" s="101"/>
    </row>
    <row r="3825">
      <c r="A3825" s="100"/>
      <c r="H3825" s="101"/>
      <c r="I3825" s="101"/>
      <c r="Q3825" s="101"/>
      <c r="R3825" s="101"/>
    </row>
    <row r="3826">
      <c r="A3826" s="100"/>
      <c r="H3826" s="101"/>
      <c r="I3826" s="101"/>
      <c r="Q3826" s="101"/>
      <c r="R3826" s="101"/>
    </row>
    <row r="3827">
      <c r="A3827" s="100"/>
      <c r="H3827" s="101"/>
      <c r="I3827" s="101"/>
      <c r="Q3827" s="101"/>
      <c r="R3827" s="101"/>
    </row>
    <row r="3828">
      <c r="A3828" s="100"/>
      <c r="H3828" s="101"/>
      <c r="I3828" s="101"/>
      <c r="Q3828" s="101"/>
      <c r="R3828" s="101"/>
    </row>
    <row r="3829">
      <c r="A3829" s="100"/>
      <c r="H3829" s="101"/>
      <c r="I3829" s="101"/>
      <c r="Q3829" s="101"/>
      <c r="R3829" s="101"/>
    </row>
    <row r="3830">
      <c r="A3830" s="100"/>
      <c r="H3830" s="101"/>
      <c r="I3830" s="101"/>
      <c r="Q3830" s="101"/>
      <c r="R3830" s="101"/>
    </row>
    <row r="3831">
      <c r="A3831" s="100"/>
      <c r="H3831" s="101"/>
      <c r="I3831" s="101"/>
      <c r="Q3831" s="101"/>
      <c r="R3831" s="101"/>
    </row>
    <row r="3832">
      <c r="A3832" s="100"/>
      <c r="H3832" s="101"/>
      <c r="I3832" s="101"/>
      <c r="Q3832" s="101"/>
      <c r="R3832" s="101"/>
    </row>
    <row r="3833">
      <c r="A3833" s="100"/>
      <c r="H3833" s="101"/>
      <c r="I3833" s="101"/>
      <c r="Q3833" s="101"/>
      <c r="R3833" s="101"/>
    </row>
    <row r="3834">
      <c r="A3834" s="100"/>
      <c r="H3834" s="101"/>
      <c r="I3834" s="101"/>
      <c r="Q3834" s="101"/>
      <c r="R3834" s="101"/>
    </row>
    <row r="3835">
      <c r="A3835" s="100"/>
      <c r="H3835" s="101"/>
      <c r="I3835" s="101"/>
      <c r="Q3835" s="101"/>
      <c r="R3835" s="101"/>
    </row>
    <row r="3836">
      <c r="A3836" s="100"/>
      <c r="H3836" s="101"/>
      <c r="I3836" s="101"/>
      <c r="Q3836" s="101"/>
      <c r="R3836" s="101"/>
    </row>
    <row r="3837">
      <c r="A3837" s="100"/>
      <c r="H3837" s="101"/>
      <c r="I3837" s="101"/>
      <c r="Q3837" s="101"/>
      <c r="R3837" s="101"/>
    </row>
    <row r="3838">
      <c r="A3838" s="100"/>
      <c r="H3838" s="101"/>
      <c r="I3838" s="101"/>
      <c r="Q3838" s="101"/>
      <c r="R3838" s="101"/>
    </row>
    <row r="3839">
      <c r="A3839" s="100"/>
      <c r="H3839" s="101"/>
      <c r="I3839" s="101"/>
      <c r="Q3839" s="101"/>
      <c r="R3839" s="101"/>
    </row>
    <row r="3840">
      <c r="A3840" s="100"/>
      <c r="H3840" s="101"/>
      <c r="I3840" s="101"/>
      <c r="Q3840" s="101"/>
      <c r="R3840" s="101"/>
    </row>
    <row r="3841">
      <c r="A3841" s="100"/>
      <c r="H3841" s="101"/>
      <c r="I3841" s="101"/>
      <c r="Q3841" s="101"/>
      <c r="R3841" s="101"/>
    </row>
    <row r="3842">
      <c r="A3842" s="100"/>
      <c r="H3842" s="101"/>
      <c r="I3842" s="101"/>
      <c r="Q3842" s="101"/>
      <c r="R3842" s="101"/>
    </row>
    <row r="3843">
      <c r="A3843" s="100"/>
      <c r="H3843" s="101"/>
      <c r="I3843" s="101"/>
      <c r="Q3843" s="101"/>
      <c r="R3843" s="101"/>
    </row>
    <row r="3844">
      <c r="A3844" s="100"/>
      <c r="H3844" s="101"/>
      <c r="I3844" s="101"/>
      <c r="Q3844" s="101"/>
      <c r="R3844" s="101"/>
    </row>
    <row r="3845">
      <c r="A3845" s="100"/>
      <c r="H3845" s="101"/>
      <c r="I3845" s="101"/>
      <c r="Q3845" s="101"/>
      <c r="R3845" s="101"/>
    </row>
    <row r="3846">
      <c r="A3846" s="100"/>
      <c r="H3846" s="101"/>
      <c r="I3846" s="101"/>
      <c r="Q3846" s="101"/>
      <c r="R3846" s="101"/>
    </row>
    <row r="3847">
      <c r="A3847" s="100"/>
      <c r="H3847" s="101"/>
      <c r="I3847" s="101"/>
      <c r="Q3847" s="101"/>
      <c r="R3847" s="101"/>
    </row>
    <row r="3848">
      <c r="A3848" s="100"/>
      <c r="H3848" s="101"/>
      <c r="I3848" s="101"/>
      <c r="Q3848" s="101"/>
      <c r="R3848" s="101"/>
    </row>
    <row r="3849">
      <c r="A3849" s="100"/>
      <c r="H3849" s="101"/>
      <c r="I3849" s="101"/>
      <c r="Q3849" s="101"/>
      <c r="R3849" s="101"/>
    </row>
    <row r="3850">
      <c r="A3850" s="100"/>
      <c r="H3850" s="101"/>
      <c r="I3850" s="101"/>
      <c r="Q3850" s="101"/>
      <c r="R3850" s="101"/>
    </row>
    <row r="3851">
      <c r="A3851" s="100"/>
      <c r="H3851" s="101"/>
      <c r="I3851" s="101"/>
      <c r="Q3851" s="101"/>
      <c r="R3851" s="101"/>
    </row>
    <row r="3852">
      <c r="A3852" s="100"/>
      <c r="H3852" s="101"/>
      <c r="I3852" s="101"/>
      <c r="Q3852" s="101"/>
      <c r="R3852" s="101"/>
    </row>
    <row r="3853">
      <c r="A3853" s="100"/>
      <c r="H3853" s="101"/>
      <c r="I3853" s="101"/>
      <c r="Q3853" s="101"/>
      <c r="R3853" s="101"/>
    </row>
    <row r="3854">
      <c r="A3854" s="100"/>
      <c r="H3854" s="101"/>
      <c r="I3854" s="101"/>
      <c r="Q3854" s="101"/>
      <c r="R3854" s="101"/>
    </row>
    <row r="3855">
      <c r="A3855" s="100"/>
      <c r="H3855" s="101"/>
      <c r="I3855" s="101"/>
      <c r="Q3855" s="101"/>
      <c r="R3855" s="101"/>
    </row>
    <row r="3856">
      <c r="A3856" s="100"/>
      <c r="H3856" s="101"/>
      <c r="I3856" s="101"/>
      <c r="Q3856" s="101"/>
      <c r="R3856" s="101"/>
    </row>
    <row r="3857">
      <c r="A3857" s="100"/>
      <c r="H3857" s="101"/>
      <c r="I3857" s="101"/>
      <c r="Q3857" s="101"/>
      <c r="R3857" s="101"/>
    </row>
    <row r="3858">
      <c r="A3858" s="100"/>
      <c r="H3858" s="101"/>
      <c r="I3858" s="101"/>
      <c r="Q3858" s="101"/>
      <c r="R3858" s="101"/>
    </row>
    <row r="3859">
      <c r="A3859" s="100"/>
      <c r="H3859" s="101"/>
      <c r="I3859" s="101"/>
      <c r="Q3859" s="101"/>
      <c r="R3859" s="101"/>
    </row>
    <row r="3860">
      <c r="A3860" s="100"/>
      <c r="H3860" s="101"/>
      <c r="I3860" s="101"/>
      <c r="Q3860" s="101"/>
      <c r="R3860" s="101"/>
    </row>
    <row r="3861">
      <c r="A3861" s="100"/>
      <c r="H3861" s="101"/>
      <c r="I3861" s="101"/>
      <c r="Q3861" s="101"/>
      <c r="R3861" s="101"/>
    </row>
    <row r="3862">
      <c r="A3862" s="100"/>
      <c r="H3862" s="101"/>
      <c r="I3862" s="101"/>
      <c r="Q3862" s="101"/>
      <c r="R3862" s="101"/>
    </row>
    <row r="3863">
      <c r="A3863" s="100"/>
      <c r="H3863" s="101"/>
      <c r="I3863" s="101"/>
      <c r="Q3863" s="101"/>
      <c r="R3863" s="101"/>
    </row>
    <row r="3864">
      <c r="A3864" s="100"/>
      <c r="H3864" s="101"/>
      <c r="I3864" s="101"/>
      <c r="Q3864" s="101"/>
      <c r="R3864" s="101"/>
    </row>
    <row r="3865">
      <c r="A3865" s="100"/>
      <c r="H3865" s="101"/>
      <c r="I3865" s="101"/>
      <c r="Q3865" s="101"/>
      <c r="R3865" s="101"/>
    </row>
    <row r="3866">
      <c r="A3866" s="100"/>
      <c r="H3866" s="101"/>
      <c r="I3866" s="101"/>
      <c r="Q3866" s="101"/>
      <c r="R3866" s="101"/>
    </row>
    <row r="3867">
      <c r="A3867" s="100"/>
      <c r="H3867" s="101"/>
      <c r="I3867" s="101"/>
      <c r="Q3867" s="101"/>
      <c r="R3867" s="101"/>
    </row>
    <row r="3868">
      <c r="A3868" s="100"/>
      <c r="H3868" s="101"/>
      <c r="I3868" s="101"/>
      <c r="Q3868" s="101"/>
      <c r="R3868" s="101"/>
    </row>
    <row r="3869">
      <c r="A3869" s="100"/>
      <c r="H3869" s="101"/>
      <c r="I3869" s="101"/>
      <c r="Q3869" s="101"/>
      <c r="R3869" s="101"/>
    </row>
    <row r="3870">
      <c r="A3870" s="100"/>
      <c r="H3870" s="101"/>
      <c r="I3870" s="101"/>
      <c r="Q3870" s="101"/>
      <c r="R3870" s="101"/>
    </row>
    <row r="3871">
      <c r="A3871" s="100"/>
      <c r="H3871" s="101"/>
      <c r="I3871" s="101"/>
      <c r="Q3871" s="101"/>
      <c r="R3871" s="101"/>
    </row>
    <row r="3872">
      <c r="A3872" s="100"/>
      <c r="H3872" s="101"/>
      <c r="I3872" s="101"/>
      <c r="Q3872" s="101"/>
      <c r="R3872" s="101"/>
    </row>
    <row r="3873">
      <c r="A3873" s="100"/>
      <c r="H3873" s="101"/>
      <c r="I3873" s="101"/>
      <c r="Q3873" s="101"/>
      <c r="R3873" s="101"/>
    </row>
    <row r="3874">
      <c r="A3874" s="100"/>
      <c r="H3874" s="101"/>
      <c r="I3874" s="101"/>
      <c r="Q3874" s="101"/>
      <c r="R3874" s="101"/>
    </row>
    <row r="3875">
      <c r="A3875" s="100"/>
      <c r="H3875" s="101"/>
      <c r="I3875" s="101"/>
      <c r="Q3875" s="101"/>
      <c r="R3875" s="101"/>
    </row>
    <row r="3876">
      <c r="A3876" s="100"/>
      <c r="H3876" s="101"/>
      <c r="I3876" s="101"/>
      <c r="Q3876" s="101"/>
      <c r="R3876" s="101"/>
    </row>
    <row r="3877">
      <c r="A3877" s="100"/>
      <c r="H3877" s="101"/>
      <c r="I3877" s="101"/>
      <c r="Q3877" s="101"/>
      <c r="R3877" s="101"/>
    </row>
    <row r="3878">
      <c r="A3878" s="100"/>
      <c r="H3878" s="101"/>
      <c r="I3878" s="101"/>
      <c r="Q3878" s="101"/>
      <c r="R3878" s="101"/>
    </row>
    <row r="3879">
      <c r="A3879" s="100"/>
      <c r="H3879" s="101"/>
      <c r="I3879" s="101"/>
      <c r="Q3879" s="101"/>
      <c r="R3879" s="101"/>
    </row>
    <row r="3880">
      <c r="A3880" s="100"/>
      <c r="H3880" s="101"/>
      <c r="I3880" s="101"/>
      <c r="Q3880" s="101"/>
      <c r="R3880" s="101"/>
    </row>
    <row r="3881">
      <c r="A3881" s="100"/>
      <c r="H3881" s="101"/>
      <c r="I3881" s="101"/>
      <c r="Q3881" s="101"/>
      <c r="R3881" s="101"/>
    </row>
    <row r="3882">
      <c r="A3882" s="100"/>
      <c r="H3882" s="101"/>
      <c r="I3882" s="101"/>
      <c r="Q3882" s="101"/>
      <c r="R3882" s="101"/>
    </row>
    <row r="3883">
      <c r="A3883" s="100"/>
      <c r="H3883" s="101"/>
      <c r="I3883" s="101"/>
      <c r="Q3883" s="101"/>
      <c r="R3883" s="101"/>
    </row>
    <row r="3884">
      <c r="A3884" s="100"/>
      <c r="H3884" s="101"/>
      <c r="I3884" s="101"/>
      <c r="Q3884" s="101"/>
      <c r="R3884" s="101"/>
    </row>
    <row r="3885">
      <c r="A3885" s="100"/>
      <c r="H3885" s="101"/>
      <c r="I3885" s="101"/>
      <c r="Q3885" s="101"/>
      <c r="R3885" s="101"/>
    </row>
    <row r="3886">
      <c r="A3886" s="100"/>
      <c r="H3886" s="101"/>
      <c r="I3886" s="101"/>
      <c r="Q3886" s="101"/>
      <c r="R3886" s="101"/>
    </row>
    <row r="3887">
      <c r="A3887" s="100"/>
      <c r="H3887" s="101"/>
      <c r="I3887" s="101"/>
      <c r="Q3887" s="101"/>
      <c r="R3887" s="101"/>
    </row>
    <row r="3888">
      <c r="A3888" s="100"/>
      <c r="H3888" s="101"/>
      <c r="I3888" s="101"/>
      <c r="Q3888" s="101"/>
      <c r="R3888" s="101"/>
    </row>
    <row r="3889">
      <c r="A3889" s="100"/>
      <c r="H3889" s="101"/>
      <c r="I3889" s="101"/>
      <c r="Q3889" s="101"/>
      <c r="R3889" s="101"/>
    </row>
    <row r="3890">
      <c r="A3890" s="100"/>
      <c r="H3890" s="101"/>
      <c r="I3890" s="101"/>
      <c r="Q3890" s="101"/>
      <c r="R3890" s="101"/>
    </row>
    <row r="3891">
      <c r="A3891" s="100"/>
      <c r="H3891" s="101"/>
      <c r="I3891" s="101"/>
      <c r="Q3891" s="101"/>
      <c r="R3891" s="101"/>
    </row>
    <row r="3892">
      <c r="A3892" s="100"/>
      <c r="H3892" s="101"/>
      <c r="I3892" s="101"/>
      <c r="Q3892" s="101"/>
      <c r="R3892" s="101"/>
    </row>
    <row r="3893">
      <c r="A3893" s="100"/>
      <c r="H3893" s="101"/>
      <c r="I3893" s="101"/>
      <c r="Q3893" s="101"/>
      <c r="R3893" s="101"/>
    </row>
    <row r="3894">
      <c r="A3894" s="100"/>
      <c r="H3894" s="101"/>
      <c r="I3894" s="101"/>
      <c r="Q3894" s="101"/>
      <c r="R3894" s="101"/>
    </row>
    <row r="3895">
      <c r="A3895" s="100"/>
      <c r="H3895" s="101"/>
      <c r="I3895" s="101"/>
      <c r="Q3895" s="101"/>
      <c r="R3895" s="101"/>
    </row>
    <row r="3896">
      <c r="A3896" s="100"/>
      <c r="H3896" s="101"/>
      <c r="I3896" s="101"/>
      <c r="Q3896" s="101"/>
      <c r="R3896" s="101"/>
    </row>
    <row r="3897">
      <c r="A3897" s="100"/>
      <c r="H3897" s="101"/>
      <c r="I3897" s="101"/>
      <c r="Q3897" s="101"/>
      <c r="R3897" s="101"/>
    </row>
    <row r="3898">
      <c r="A3898" s="100"/>
      <c r="H3898" s="101"/>
      <c r="I3898" s="101"/>
      <c r="Q3898" s="101"/>
      <c r="R3898" s="101"/>
    </row>
    <row r="3899">
      <c r="A3899" s="100"/>
      <c r="H3899" s="101"/>
      <c r="I3899" s="101"/>
      <c r="Q3899" s="101"/>
      <c r="R3899" s="101"/>
    </row>
    <row r="3900">
      <c r="A3900" s="100"/>
      <c r="H3900" s="101"/>
      <c r="I3900" s="101"/>
      <c r="Q3900" s="101"/>
      <c r="R3900" s="101"/>
    </row>
    <row r="3901">
      <c r="A3901" s="100"/>
      <c r="H3901" s="101"/>
      <c r="I3901" s="101"/>
      <c r="Q3901" s="101"/>
      <c r="R3901" s="101"/>
    </row>
    <row r="3902">
      <c r="A3902" s="100"/>
      <c r="H3902" s="101"/>
      <c r="I3902" s="101"/>
      <c r="Q3902" s="101"/>
      <c r="R3902" s="101"/>
    </row>
    <row r="3903">
      <c r="A3903" s="100"/>
      <c r="H3903" s="101"/>
      <c r="I3903" s="101"/>
      <c r="Q3903" s="101"/>
      <c r="R3903" s="101"/>
    </row>
    <row r="3904">
      <c r="A3904" s="100"/>
      <c r="H3904" s="101"/>
      <c r="I3904" s="101"/>
      <c r="Q3904" s="101"/>
      <c r="R3904" s="101"/>
    </row>
    <row r="3905">
      <c r="A3905" s="100"/>
      <c r="H3905" s="101"/>
      <c r="I3905" s="101"/>
      <c r="Q3905" s="101"/>
      <c r="R3905" s="101"/>
    </row>
    <row r="3906">
      <c r="A3906" s="100"/>
      <c r="H3906" s="101"/>
      <c r="I3906" s="101"/>
      <c r="Q3906" s="101"/>
      <c r="R3906" s="101"/>
    </row>
    <row r="3907">
      <c r="A3907" s="100"/>
      <c r="H3907" s="101"/>
      <c r="I3907" s="101"/>
      <c r="Q3907" s="101"/>
      <c r="R3907" s="101"/>
    </row>
    <row r="3908">
      <c r="A3908" s="100"/>
      <c r="H3908" s="101"/>
      <c r="I3908" s="101"/>
      <c r="Q3908" s="101"/>
      <c r="R3908" s="101"/>
    </row>
    <row r="3909">
      <c r="A3909" s="100"/>
      <c r="H3909" s="101"/>
      <c r="I3909" s="101"/>
      <c r="Q3909" s="101"/>
      <c r="R3909" s="101"/>
    </row>
    <row r="3910">
      <c r="A3910" s="100"/>
      <c r="H3910" s="101"/>
      <c r="I3910" s="101"/>
      <c r="Q3910" s="101"/>
      <c r="R3910" s="101"/>
    </row>
    <row r="3911">
      <c r="A3911" s="100"/>
      <c r="H3911" s="101"/>
      <c r="I3911" s="101"/>
      <c r="Q3911" s="101"/>
      <c r="R3911" s="101"/>
    </row>
    <row r="3912">
      <c r="A3912" s="100"/>
      <c r="H3912" s="101"/>
      <c r="I3912" s="101"/>
      <c r="Q3912" s="101"/>
      <c r="R3912" s="101"/>
    </row>
    <row r="3913">
      <c r="A3913" s="100"/>
      <c r="H3913" s="101"/>
      <c r="I3913" s="101"/>
      <c r="Q3913" s="101"/>
      <c r="R3913" s="101"/>
    </row>
    <row r="3914">
      <c r="A3914" s="100"/>
      <c r="H3914" s="101"/>
      <c r="I3914" s="101"/>
      <c r="Q3914" s="101"/>
      <c r="R3914" s="101"/>
    </row>
    <row r="3915">
      <c r="A3915" s="100"/>
      <c r="H3915" s="101"/>
      <c r="I3915" s="101"/>
      <c r="Q3915" s="101"/>
      <c r="R3915" s="101"/>
    </row>
    <row r="3916">
      <c r="A3916" s="100"/>
      <c r="H3916" s="101"/>
      <c r="I3916" s="101"/>
      <c r="Q3916" s="101"/>
      <c r="R3916" s="101"/>
    </row>
    <row r="3917">
      <c r="A3917" s="100"/>
      <c r="H3917" s="101"/>
      <c r="I3917" s="101"/>
      <c r="Q3917" s="101"/>
      <c r="R3917" s="101"/>
    </row>
    <row r="3918">
      <c r="A3918" s="100"/>
      <c r="H3918" s="101"/>
      <c r="I3918" s="101"/>
      <c r="Q3918" s="101"/>
      <c r="R3918" s="101"/>
    </row>
    <row r="3919">
      <c r="A3919" s="100"/>
      <c r="H3919" s="101"/>
      <c r="I3919" s="101"/>
      <c r="Q3919" s="101"/>
      <c r="R3919" s="101"/>
    </row>
    <row r="3920">
      <c r="A3920" s="100"/>
      <c r="H3920" s="101"/>
      <c r="I3920" s="101"/>
      <c r="Q3920" s="101"/>
      <c r="R3920" s="101"/>
    </row>
    <row r="3921">
      <c r="A3921" s="100"/>
      <c r="H3921" s="101"/>
      <c r="I3921" s="101"/>
      <c r="Q3921" s="101"/>
      <c r="R3921" s="101"/>
    </row>
    <row r="3922">
      <c r="A3922" s="100"/>
      <c r="H3922" s="101"/>
      <c r="I3922" s="101"/>
      <c r="Q3922" s="101"/>
      <c r="R3922" s="101"/>
    </row>
    <row r="3923">
      <c r="A3923" s="100"/>
      <c r="H3923" s="101"/>
      <c r="I3923" s="101"/>
      <c r="Q3923" s="101"/>
      <c r="R3923" s="101"/>
    </row>
    <row r="3924">
      <c r="A3924" s="100"/>
      <c r="H3924" s="101"/>
      <c r="I3924" s="101"/>
      <c r="Q3924" s="101"/>
      <c r="R3924" s="101"/>
    </row>
    <row r="3925">
      <c r="A3925" s="100"/>
      <c r="H3925" s="101"/>
      <c r="I3925" s="101"/>
      <c r="Q3925" s="101"/>
      <c r="R3925" s="101"/>
    </row>
    <row r="3926">
      <c r="A3926" s="100"/>
      <c r="H3926" s="101"/>
      <c r="I3926" s="101"/>
      <c r="Q3926" s="101"/>
      <c r="R3926" s="101"/>
    </row>
    <row r="3927">
      <c r="A3927" s="100"/>
      <c r="H3927" s="101"/>
      <c r="I3927" s="101"/>
      <c r="Q3927" s="101"/>
      <c r="R3927" s="101"/>
    </row>
    <row r="3928">
      <c r="A3928" s="100"/>
      <c r="H3928" s="101"/>
      <c r="I3928" s="101"/>
      <c r="Q3928" s="101"/>
      <c r="R3928" s="101"/>
    </row>
    <row r="3929">
      <c r="A3929" s="100"/>
      <c r="H3929" s="101"/>
      <c r="I3929" s="101"/>
      <c r="Q3929" s="101"/>
      <c r="R3929" s="101"/>
    </row>
    <row r="3930">
      <c r="A3930" s="100"/>
      <c r="H3930" s="101"/>
      <c r="I3930" s="101"/>
      <c r="Q3930" s="101"/>
      <c r="R3930" s="101"/>
    </row>
    <row r="3931">
      <c r="A3931" s="100"/>
      <c r="H3931" s="101"/>
      <c r="I3931" s="101"/>
      <c r="Q3931" s="101"/>
      <c r="R3931" s="101"/>
    </row>
    <row r="3932">
      <c r="A3932" s="100"/>
      <c r="H3932" s="101"/>
      <c r="I3932" s="101"/>
      <c r="Q3932" s="101"/>
      <c r="R3932" s="101"/>
    </row>
    <row r="3933">
      <c r="A3933" s="100"/>
      <c r="H3933" s="101"/>
      <c r="I3933" s="101"/>
      <c r="Q3933" s="101"/>
      <c r="R3933" s="101"/>
    </row>
    <row r="3934">
      <c r="A3934" s="100"/>
      <c r="H3934" s="101"/>
      <c r="I3934" s="101"/>
      <c r="Q3934" s="101"/>
      <c r="R3934" s="101"/>
    </row>
    <row r="3935">
      <c r="A3935" s="100"/>
      <c r="H3935" s="101"/>
      <c r="I3935" s="101"/>
      <c r="Q3935" s="101"/>
      <c r="R3935" s="101"/>
    </row>
    <row r="3936">
      <c r="A3936" s="100"/>
      <c r="H3936" s="101"/>
      <c r="I3936" s="101"/>
      <c r="Q3936" s="101"/>
      <c r="R3936" s="101"/>
    </row>
    <row r="3937">
      <c r="A3937" s="100"/>
      <c r="H3937" s="101"/>
      <c r="I3937" s="101"/>
      <c r="Q3937" s="101"/>
      <c r="R3937" s="101"/>
    </row>
    <row r="3938">
      <c r="A3938" s="100"/>
      <c r="H3938" s="101"/>
      <c r="I3938" s="101"/>
      <c r="Q3938" s="101"/>
      <c r="R3938" s="101"/>
    </row>
    <row r="3939">
      <c r="A3939" s="100"/>
      <c r="H3939" s="101"/>
      <c r="I3939" s="101"/>
      <c r="Q3939" s="101"/>
      <c r="R3939" s="101"/>
    </row>
    <row r="3940">
      <c r="A3940" s="100"/>
      <c r="H3940" s="101"/>
      <c r="I3940" s="101"/>
      <c r="Q3940" s="101"/>
      <c r="R3940" s="101"/>
    </row>
    <row r="3941">
      <c r="A3941" s="100"/>
      <c r="H3941" s="101"/>
      <c r="I3941" s="101"/>
      <c r="Q3941" s="101"/>
      <c r="R3941" s="101"/>
    </row>
    <row r="3942">
      <c r="A3942" s="100"/>
      <c r="H3942" s="101"/>
      <c r="I3942" s="101"/>
      <c r="Q3942" s="101"/>
      <c r="R3942" s="101"/>
    </row>
    <row r="3943">
      <c r="A3943" s="100"/>
      <c r="H3943" s="101"/>
      <c r="I3943" s="101"/>
      <c r="Q3943" s="101"/>
      <c r="R3943" s="101"/>
    </row>
    <row r="3944">
      <c r="A3944" s="100"/>
      <c r="H3944" s="101"/>
      <c r="I3944" s="101"/>
      <c r="Q3944" s="101"/>
      <c r="R3944" s="101"/>
    </row>
    <row r="3945">
      <c r="A3945" s="100"/>
      <c r="H3945" s="101"/>
      <c r="I3945" s="101"/>
      <c r="Q3945" s="101"/>
      <c r="R3945" s="101"/>
    </row>
    <row r="3946">
      <c r="A3946" s="100"/>
      <c r="H3946" s="101"/>
      <c r="I3946" s="101"/>
      <c r="Q3946" s="101"/>
      <c r="R3946" s="101"/>
    </row>
    <row r="3947">
      <c r="A3947" s="100"/>
      <c r="H3947" s="101"/>
      <c r="I3947" s="101"/>
      <c r="Q3947" s="101"/>
      <c r="R3947" s="101"/>
    </row>
    <row r="3948">
      <c r="A3948" s="100"/>
      <c r="H3948" s="101"/>
      <c r="I3948" s="101"/>
      <c r="Q3948" s="101"/>
      <c r="R3948" s="101"/>
    </row>
    <row r="3949">
      <c r="A3949" s="100"/>
      <c r="H3949" s="101"/>
      <c r="I3949" s="101"/>
      <c r="Q3949" s="101"/>
      <c r="R3949" s="101"/>
    </row>
    <row r="3950">
      <c r="A3950" s="100"/>
      <c r="H3950" s="101"/>
      <c r="I3950" s="101"/>
      <c r="Q3950" s="101"/>
      <c r="R3950" s="101"/>
    </row>
    <row r="3951">
      <c r="A3951" s="100"/>
      <c r="H3951" s="101"/>
      <c r="I3951" s="101"/>
      <c r="Q3951" s="101"/>
      <c r="R3951" s="101"/>
    </row>
    <row r="3952">
      <c r="A3952" s="100"/>
      <c r="H3952" s="101"/>
      <c r="I3952" s="101"/>
      <c r="Q3952" s="101"/>
      <c r="R3952" s="101"/>
    </row>
    <row r="3953">
      <c r="A3953" s="100"/>
      <c r="H3953" s="101"/>
      <c r="I3953" s="101"/>
      <c r="Q3953" s="101"/>
      <c r="R3953" s="101"/>
    </row>
    <row r="3954">
      <c r="A3954" s="100"/>
      <c r="H3954" s="101"/>
      <c r="I3954" s="101"/>
      <c r="Q3954" s="101"/>
      <c r="R3954" s="101"/>
    </row>
    <row r="3955">
      <c r="A3955" s="100"/>
      <c r="H3955" s="101"/>
      <c r="I3955" s="101"/>
      <c r="Q3955" s="101"/>
      <c r="R3955" s="101"/>
    </row>
    <row r="3956">
      <c r="A3956" s="100"/>
      <c r="H3956" s="101"/>
      <c r="I3956" s="101"/>
      <c r="Q3956" s="101"/>
      <c r="R3956" s="101"/>
    </row>
    <row r="3957">
      <c r="A3957" s="100"/>
      <c r="H3957" s="101"/>
      <c r="I3957" s="101"/>
      <c r="Q3957" s="101"/>
      <c r="R3957" s="101"/>
    </row>
    <row r="3958">
      <c r="A3958" s="100"/>
      <c r="H3958" s="101"/>
      <c r="I3958" s="101"/>
      <c r="Q3958" s="101"/>
      <c r="R3958" s="101"/>
    </row>
    <row r="3959">
      <c r="A3959" s="100"/>
      <c r="H3959" s="101"/>
      <c r="I3959" s="101"/>
      <c r="Q3959" s="101"/>
      <c r="R3959" s="101"/>
    </row>
    <row r="3960">
      <c r="A3960" s="100"/>
      <c r="H3960" s="101"/>
      <c r="I3960" s="101"/>
      <c r="Q3960" s="101"/>
      <c r="R3960" s="101"/>
    </row>
    <row r="3961">
      <c r="A3961" s="100"/>
      <c r="H3961" s="101"/>
      <c r="I3961" s="101"/>
      <c r="Q3961" s="101"/>
      <c r="R3961" s="101"/>
    </row>
    <row r="3962">
      <c r="A3962" s="100"/>
      <c r="H3962" s="101"/>
      <c r="I3962" s="101"/>
      <c r="Q3962" s="101"/>
      <c r="R3962" s="101"/>
    </row>
    <row r="3963">
      <c r="A3963" s="100"/>
      <c r="H3963" s="101"/>
      <c r="I3963" s="101"/>
      <c r="Q3963" s="101"/>
      <c r="R3963" s="101"/>
    </row>
    <row r="3964">
      <c r="A3964" s="100"/>
      <c r="H3964" s="101"/>
      <c r="I3964" s="101"/>
      <c r="Q3964" s="101"/>
      <c r="R3964" s="101"/>
    </row>
    <row r="3965">
      <c r="A3965" s="100"/>
      <c r="H3965" s="101"/>
      <c r="I3965" s="101"/>
      <c r="Q3965" s="101"/>
      <c r="R3965" s="101"/>
    </row>
    <row r="3966">
      <c r="A3966" s="100"/>
      <c r="H3966" s="101"/>
      <c r="I3966" s="101"/>
      <c r="Q3966" s="101"/>
      <c r="R3966" s="101"/>
    </row>
    <row r="3967">
      <c r="A3967" s="100"/>
      <c r="H3967" s="101"/>
      <c r="I3967" s="101"/>
      <c r="Q3967" s="101"/>
      <c r="R3967" s="101"/>
    </row>
    <row r="3968">
      <c r="A3968" s="100"/>
      <c r="H3968" s="101"/>
      <c r="I3968" s="101"/>
      <c r="Q3968" s="101"/>
      <c r="R3968" s="101"/>
    </row>
    <row r="3969">
      <c r="A3969" s="100"/>
      <c r="H3969" s="101"/>
      <c r="I3969" s="101"/>
      <c r="Q3969" s="101"/>
      <c r="R3969" s="101"/>
    </row>
    <row r="3970">
      <c r="A3970" s="100"/>
      <c r="H3970" s="101"/>
      <c r="I3970" s="101"/>
      <c r="Q3970" s="101"/>
      <c r="R3970" s="101"/>
    </row>
    <row r="3971">
      <c r="A3971" s="100"/>
      <c r="H3971" s="101"/>
      <c r="I3971" s="101"/>
      <c r="Q3971" s="101"/>
      <c r="R3971" s="101"/>
    </row>
    <row r="3972">
      <c r="A3972" s="100"/>
      <c r="H3972" s="101"/>
      <c r="I3972" s="101"/>
      <c r="Q3972" s="101"/>
      <c r="R3972" s="101"/>
    </row>
    <row r="3973">
      <c r="A3973" s="100"/>
      <c r="H3973" s="101"/>
      <c r="I3973" s="101"/>
      <c r="Q3973" s="101"/>
      <c r="R3973" s="101"/>
    </row>
    <row r="3974">
      <c r="A3974" s="100"/>
      <c r="H3974" s="101"/>
      <c r="I3974" s="101"/>
      <c r="Q3974" s="101"/>
      <c r="R3974" s="101"/>
    </row>
    <row r="3975">
      <c r="A3975" s="100"/>
      <c r="H3975" s="101"/>
      <c r="I3975" s="101"/>
      <c r="Q3975" s="101"/>
      <c r="R3975" s="101"/>
    </row>
    <row r="3976">
      <c r="A3976" s="100"/>
      <c r="H3976" s="101"/>
      <c r="I3976" s="101"/>
      <c r="Q3976" s="101"/>
      <c r="R3976" s="101"/>
    </row>
    <row r="3977">
      <c r="A3977" s="100"/>
      <c r="H3977" s="101"/>
      <c r="I3977" s="101"/>
      <c r="Q3977" s="101"/>
      <c r="R3977" s="101"/>
    </row>
    <row r="3978">
      <c r="A3978" s="100"/>
      <c r="H3978" s="101"/>
      <c r="I3978" s="101"/>
      <c r="Q3978" s="101"/>
      <c r="R3978" s="101"/>
    </row>
    <row r="3979">
      <c r="A3979" s="100"/>
      <c r="H3979" s="101"/>
      <c r="I3979" s="101"/>
      <c r="Q3979" s="101"/>
      <c r="R3979" s="101"/>
    </row>
    <row r="3980">
      <c r="A3980" s="100"/>
      <c r="H3980" s="101"/>
      <c r="I3980" s="101"/>
      <c r="Q3980" s="101"/>
      <c r="R3980" s="101"/>
    </row>
    <row r="3981">
      <c r="A3981" s="100"/>
      <c r="H3981" s="101"/>
      <c r="I3981" s="101"/>
      <c r="Q3981" s="101"/>
      <c r="R3981" s="101"/>
    </row>
    <row r="3982">
      <c r="A3982" s="100"/>
      <c r="H3982" s="101"/>
      <c r="I3982" s="101"/>
      <c r="Q3982" s="101"/>
      <c r="R3982" s="101"/>
    </row>
    <row r="3983">
      <c r="A3983" s="100"/>
      <c r="H3983" s="101"/>
      <c r="I3983" s="101"/>
      <c r="Q3983" s="101"/>
      <c r="R3983" s="101"/>
    </row>
    <row r="3984">
      <c r="A3984" s="100"/>
      <c r="H3984" s="101"/>
      <c r="I3984" s="101"/>
      <c r="Q3984" s="101"/>
      <c r="R3984" s="101"/>
    </row>
    <row r="3985">
      <c r="A3985" s="100"/>
      <c r="H3985" s="101"/>
      <c r="I3985" s="101"/>
      <c r="Q3985" s="101"/>
      <c r="R3985" s="101"/>
    </row>
    <row r="3986">
      <c r="A3986" s="100"/>
      <c r="H3986" s="101"/>
      <c r="I3986" s="101"/>
      <c r="Q3986" s="101"/>
      <c r="R3986" s="101"/>
    </row>
    <row r="3987">
      <c r="A3987" s="100"/>
      <c r="H3987" s="101"/>
      <c r="I3987" s="101"/>
      <c r="Q3987" s="101"/>
      <c r="R3987" s="101"/>
    </row>
    <row r="3988">
      <c r="A3988" s="100"/>
      <c r="H3988" s="101"/>
      <c r="I3988" s="101"/>
      <c r="Q3988" s="101"/>
      <c r="R3988" s="101"/>
    </row>
    <row r="3989">
      <c r="A3989" s="100"/>
      <c r="H3989" s="101"/>
      <c r="I3989" s="101"/>
      <c r="Q3989" s="101"/>
      <c r="R3989" s="101"/>
    </row>
    <row r="3990">
      <c r="A3990" s="100"/>
      <c r="H3990" s="101"/>
      <c r="I3990" s="101"/>
      <c r="Q3990" s="101"/>
      <c r="R3990" s="101"/>
    </row>
    <row r="3991">
      <c r="A3991" s="100"/>
      <c r="H3991" s="101"/>
      <c r="I3991" s="101"/>
      <c r="Q3991" s="101"/>
      <c r="R3991" s="101"/>
    </row>
    <row r="3992">
      <c r="A3992" s="100"/>
      <c r="H3992" s="101"/>
      <c r="I3992" s="101"/>
      <c r="Q3992" s="101"/>
      <c r="R3992" s="101"/>
    </row>
    <row r="3993">
      <c r="A3993" s="100"/>
      <c r="H3993" s="101"/>
      <c r="I3993" s="101"/>
      <c r="Q3993" s="101"/>
      <c r="R3993" s="101"/>
    </row>
    <row r="3994">
      <c r="A3994" s="100"/>
      <c r="H3994" s="101"/>
      <c r="I3994" s="101"/>
      <c r="Q3994" s="101"/>
      <c r="R3994" s="101"/>
    </row>
    <row r="3995">
      <c r="A3995" s="100"/>
      <c r="H3995" s="101"/>
      <c r="I3995" s="101"/>
      <c r="Q3995" s="101"/>
      <c r="R3995" s="101"/>
    </row>
    <row r="3996">
      <c r="A3996" s="100"/>
      <c r="H3996" s="101"/>
      <c r="I3996" s="101"/>
      <c r="Q3996" s="101"/>
      <c r="R3996" s="101"/>
    </row>
    <row r="3997">
      <c r="A3997" s="100"/>
      <c r="H3997" s="101"/>
      <c r="I3997" s="101"/>
      <c r="Q3997" s="101"/>
      <c r="R3997" s="101"/>
    </row>
    <row r="3998">
      <c r="A3998" s="100"/>
      <c r="H3998" s="101"/>
      <c r="I3998" s="101"/>
      <c r="Q3998" s="101"/>
      <c r="R3998" s="101"/>
    </row>
    <row r="3999">
      <c r="A3999" s="100"/>
      <c r="H3999" s="101"/>
      <c r="I3999" s="101"/>
      <c r="Q3999" s="101"/>
      <c r="R3999" s="101"/>
    </row>
    <row r="4000">
      <c r="A4000" s="100"/>
      <c r="H4000" s="101"/>
      <c r="I4000" s="101"/>
      <c r="Q4000" s="101"/>
      <c r="R4000" s="101"/>
    </row>
    <row r="4001">
      <c r="A4001" s="100"/>
      <c r="H4001" s="101"/>
      <c r="I4001" s="101"/>
      <c r="Q4001" s="101"/>
      <c r="R4001" s="101"/>
    </row>
    <row r="4002">
      <c r="A4002" s="100"/>
      <c r="H4002" s="101"/>
      <c r="I4002" s="101"/>
      <c r="Q4002" s="101"/>
      <c r="R4002" s="101"/>
    </row>
    <row r="4003">
      <c r="A4003" s="100"/>
      <c r="H4003" s="101"/>
      <c r="I4003" s="101"/>
      <c r="Q4003" s="101"/>
      <c r="R4003" s="101"/>
    </row>
    <row r="4004">
      <c r="A4004" s="100"/>
      <c r="H4004" s="101"/>
      <c r="I4004" s="101"/>
      <c r="Q4004" s="101"/>
      <c r="R4004" s="101"/>
    </row>
    <row r="4005">
      <c r="A4005" s="100"/>
      <c r="H4005" s="101"/>
      <c r="I4005" s="101"/>
      <c r="Q4005" s="101"/>
      <c r="R4005" s="101"/>
    </row>
    <row r="4006">
      <c r="A4006" s="100"/>
      <c r="H4006" s="101"/>
      <c r="I4006" s="101"/>
      <c r="Q4006" s="101"/>
      <c r="R4006" s="101"/>
    </row>
    <row r="4007">
      <c r="A4007" s="100"/>
      <c r="H4007" s="101"/>
      <c r="I4007" s="101"/>
      <c r="Q4007" s="101"/>
      <c r="R4007" s="101"/>
    </row>
    <row r="4008">
      <c r="A4008" s="100"/>
      <c r="H4008" s="101"/>
      <c r="I4008" s="101"/>
      <c r="Q4008" s="101"/>
      <c r="R4008" s="101"/>
    </row>
    <row r="4009">
      <c r="A4009" s="100"/>
      <c r="H4009" s="101"/>
      <c r="I4009" s="101"/>
      <c r="Q4009" s="101"/>
      <c r="R4009" s="101"/>
    </row>
    <row r="4010">
      <c r="A4010" s="100"/>
      <c r="H4010" s="101"/>
      <c r="I4010" s="101"/>
      <c r="Q4010" s="101"/>
      <c r="R4010" s="101"/>
    </row>
    <row r="4011">
      <c r="A4011" s="100"/>
      <c r="H4011" s="101"/>
      <c r="I4011" s="101"/>
      <c r="Q4011" s="101"/>
      <c r="R4011" s="101"/>
    </row>
  </sheetData>
  <mergeCells count="12">
    <mergeCell ref="A5:B5"/>
    <mergeCell ref="C5:I5"/>
    <mergeCell ref="A6:B6"/>
    <mergeCell ref="C6:I6"/>
    <mergeCell ref="Q6:U6"/>
    <mergeCell ref="A1:I1"/>
    <mergeCell ref="A2:B2"/>
    <mergeCell ref="C2:I2"/>
    <mergeCell ref="A3:B3"/>
    <mergeCell ref="C3:I3"/>
    <mergeCell ref="A4:B4"/>
    <mergeCell ref="C4:I4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43"/>
    <col customWidth="1" min="3" max="3" width="21.43"/>
    <col customWidth="1" min="4" max="4" width="8.71"/>
    <col customWidth="1" min="5" max="5" width="23.86"/>
    <col customWidth="1" min="6" max="6" width="10.43"/>
    <col customWidth="1" min="7" max="7" width="8.71"/>
    <col customWidth="1" min="8" max="8" width="18.43"/>
    <col customWidth="1" min="9" max="9" width="24.71"/>
    <col customWidth="1" min="10" max="10" width="16.0"/>
    <col customWidth="1" min="11" max="11" width="8.71"/>
    <col customWidth="1" min="12" max="12" width="9.0"/>
    <col customWidth="1" min="13" max="15" width="8.71"/>
    <col customWidth="1" min="16" max="16" width="18.14"/>
    <col customWidth="1" min="17" max="17" width="8.71"/>
    <col customWidth="1" min="18" max="18" width="21.43"/>
    <col customWidth="1" min="19" max="19" width="8.71"/>
    <col customWidth="1" min="20" max="20" width="13.43"/>
    <col customWidth="1" min="21" max="26" width="8.71"/>
  </cols>
  <sheetData>
    <row r="1" ht="13.5" customHeight="1">
      <c r="A1" s="102" t="s">
        <v>64</v>
      </c>
      <c r="B1" s="102" t="s">
        <v>2986</v>
      </c>
      <c r="C1" s="102" t="s">
        <v>66</v>
      </c>
      <c r="D1" s="102" t="s">
        <v>67</v>
      </c>
      <c r="E1" s="102" t="s">
        <v>2987</v>
      </c>
      <c r="F1" s="101" t="str">
        <f t="array" ref="F1">_xlws.FILTER(Info!$A$2:$A$14,Info!$A$2:$A$14&lt;&gt;"")</f>
        <v>#NAME?</v>
      </c>
      <c r="G1" s="101" t="str">
        <f t="array" ref="G1">_xlws.FILTER(Info!$B$2:$B$14,Info!$B$2:$B$14&lt;&gt;"")</f>
        <v>#NAME?</v>
      </c>
      <c r="H1" s="101" t="str">
        <f t="array" ref="H1">_xlws.FILTER(Info!$C$2:$C$14,Info!$C$2:$C$14&lt;&gt;"")</f>
        <v>#NAME?</v>
      </c>
      <c r="I1" s="101" t="str">
        <f t="array" ref="I1">_xlws.FILTER(Info!$D$2:$D$14,Info!$D$2:$D$14&lt;&gt;"")</f>
        <v>#NAME?</v>
      </c>
      <c r="J1" s="101" t="str">
        <f t="array" ref="J1">_xlws.FILTER(Info!$E$2:$E$14,Info!$E$2:$E$14&lt;&gt;"")</f>
        <v>#NAME?</v>
      </c>
      <c r="L1" s="102" t="s">
        <v>2988</v>
      </c>
      <c r="N1" s="101" t="str">
        <f t="array" ref="N1">_xlws.FILTER(Info!$L$2:$L$6,Info!$L$2:$L$6&lt;&gt;"")</f>
        <v>#NAME?</v>
      </c>
      <c r="P1" s="102" t="s">
        <v>42</v>
      </c>
      <c r="R1" s="103" t="str">
        <f t="array" ref="R1">_xlws.FILTER(Info!$P$2:$P$21,Info!$P$2:$P$21&lt;&gt;"")</f>
        <v>#NAME?</v>
      </c>
      <c r="T1" s="102" t="s">
        <v>2989</v>
      </c>
      <c r="V1" s="101" t="str">
        <f t="array" ref="V1">_xlws.FILTER(Info!$T$2:$T$14,Info!$T$2:$T$14&lt;&gt;"")</f>
        <v>#NAME?</v>
      </c>
    </row>
    <row r="2" ht="13.5" customHeight="1">
      <c r="A2" s="104" t="s">
        <v>4</v>
      </c>
      <c r="B2" s="104" t="s">
        <v>5</v>
      </c>
      <c r="C2" s="104" t="s">
        <v>6</v>
      </c>
      <c r="D2" s="105" t="s">
        <v>2990</v>
      </c>
      <c r="E2" s="105" t="s">
        <v>2990</v>
      </c>
      <c r="L2" s="104" t="s">
        <v>112</v>
      </c>
      <c r="P2" s="104" t="s">
        <v>2991</v>
      </c>
      <c r="R2" s="103"/>
      <c r="T2" s="104" t="s">
        <v>2992</v>
      </c>
      <c r="U2" s="101" t="s">
        <v>2993</v>
      </c>
    </row>
    <row r="3" ht="13.5" customHeight="1">
      <c r="A3" s="104" t="s">
        <v>16</v>
      </c>
      <c r="B3" s="104" t="s">
        <v>17</v>
      </c>
      <c r="C3" s="104" t="s">
        <v>18</v>
      </c>
      <c r="D3" s="105" t="s">
        <v>2994</v>
      </c>
      <c r="E3" s="105" t="s">
        <v>2995</v>
      </c>
      <c r="L3" s="104" t="s">
        <v>86</v>
      </c>
      <c r="P3" s="104" t="s">
        <v>13</v>
      </c>
      <c r="R3" s="103"/>
      <c r="T3" s="104" t="s">
        <v>2996</v>
      </c>
    </row>
    <row r="4" ht="13.5" customHeight="1">
      <c r="A4" s="104" t="s">
        <v>26</v>
      </c>
      <c r="B4" s="104" t="s">
        <v>27</v>
      </c>
      <c r="C4" s="104" t="s">
        <v>28</v>
      </c>
      <c r="D4" s="105"/>
      <c r="E4" s="105" t="s">
        <v>2997</v>
      </c>
      <c r="L4" s="104"/>
      <c r="P4" s="104" t="s">
        <v>2998</v>
      </c>
      <c r="R4" s="103"/>
      <c r="T4" s="104" t="s">
        <v>2999</v>
      </c>
    </row>
    <row r="5" ht="13.5" customHeight="1">
      <c r="A5" s="106" t="s">
        <v>35</v>
      </c>
      <c r="B5" s="104" t="s">
        <v>36</v>
      </c>
      <c r="C5" s="104" t="s">
        <v>37</v>
      </c>
      <c r="D5" s="105"/>
      <c r="E5" s="105"/>
      <c r="L5" s="104"/>
      <c r="P5" s="104" t="s">
        <v>34</v>
      </c>
      <c r="R5" s="103"/>
      <c r="T5" s="104" t="s">
        <v>3000</v>
      </c>
    </row>
    <row r="6" ht="13.5" customHeight="1">
      <c r="A6" s="104"/>
      <c r="B6" s="104"/>
      <c r="C6" s="104"/>
      <c r="D6" s="105"/>
      <c r="E6" s="105"/>
      <c r="L6" s="104"/>
      <c r="P6" s="104" t="s">
        <v>41</v>
      </c>
      <c r="R6" s="103"/>
      <c r="T6" s="104" t="s">
        <v>3001</v>
      </c>
    </row>
    <row r="7" ht="13.5" customHeight="1">
      <c r="A7" s="104"/>
      <c r="B7" s="104"/>
      <c r="C7" s="104"/>
      <c r="D7" s="105"/>
      <c r="E7" s="105"/>
      <c r="P7" s="104" t="s">
        <v>44</v>
      </c>
      <c r="R7" s="103"/>
      <c r="T7" s="104" t="s">
        <v>3002</v>
      </c>
    </row>
    <row r="8" ht="13.5" customHeight="1">
      <c r="A8" s="104"/>
      <c r="B8" s="104"/>
      <c r="C8" s="104"/>
      <c r="D8" s="105"/>
      <c r="E8" s="105"/>
      <c r="J8" s="101" t="s">
        <v>3003</v>
      </c>
      <c r="P8" s="104" t="s">
        <v>3004</v>
      </c>
      <c r="R8" s="103"/>
      <c r="T8" s="104"/>
    </row>
    <row r="9" ht="13.5" customHeight="1">
      <c r="A9" s="104"/>
      <c r="B9" s="104"/>
      <c r="C9" s="104"/>
      <c r="D9" s="105"/>
      <c r="E9" s="105"/>
      <c r="J9" s="101" t="s">
        <v>3005</v>
      </c>
      <c r="P9" s="104" t="s">
        <v>12</v>
      </c>
      <c r="R9" s="103"/>
      <c r="T9" s="104"/>
    </row>
    <row r="10" ht="13.5" customHeight="1">
      <c r="A10" s="104"/>
      <c r="B10" s="104"/>
      <c r="C10" s="104"/>
      <c r="D10" s="105"/>
      <c r="E10" s="105"/>
      <c r="P10" s="104" t="s">
        <v>24</v>
      </c>
      <c r="R10" s="103"/>
      <c r="T10" s="104"/>
    </row>
    <row r="11" ht="13.5" customHeight="1">
      <c r="A11" s="104"/>
      <c r="B11" s="104"/>
      <c r="C11" s="104"/>
      <c r="D11" s="105"/>
      <c r="E11" s="105"/>
      <c r="P11" s="104" t="s">
        <v>1429</v>
      </c>
      <c r="R11" s="103"/>
      <c r="T11" s="104"/>
    </row>
    <row r="12" ht="13.5" customHeight="1">
      <c r="A12" s="104"/>
      <c r="B12" s="104"/>
      <c r="C12" s="104"/>
      <c r="D12" s="105"/>
      <c r="E12" s="105"/>
      <c r="I12" s="101" t="s">
        <v>91</v>
      </c>
      <c r="P12" s="104" t="s">
        <v>3006</v>
      </c>
      <c r="R12" s="103"/>
      <c r="T12" s="104"/>
    </row>
    <row r="13" ht="13.5" customHeight="1">
      <c r="A13" s="104"/>
      <c r="B13" s="104"/>
      <c r="C13" s="104"/>
      <c r="D13" s="105"/>
      <c r="E13" s="105"/>
      <c r="I13" s="101" t="s">
        <v>2007</v>
      </c>
      <c r="P13" s="104" t="s">
        <v>3007</v>
      </c>
      <c r="R13" s="103"/>
      <c r="T13" s="104"/>
    </row>
    <row r="14" ht="13.5" customHeight="1">
      <c r="A14" s="104"/>
      <c r="B14" s="104"/>
      <c r="C14" s="104"/>
      <c r="D14" s="105"/>
      <c r="E14" s="105"/>
      <c r="P14" s="104"/>
      <c r="R14" s="103"/>
      <c r="T14" s="104"/>
    </row>
    <row r="15" ht="13.5" customHeight="1">
      <c r="P15" s="104"/>
      <c r="R15" s="103"/>
    </row>
    <row r="16" ht="13.5" customHeight="1">
      <c r="P16" s="104"/>
      <c r="R16" s="103"/>
    </row>
    <row r="17" ht="13.5" customHeight="1">
      <c r="P17" s="104"/>
      <c r="R17" s="103"/>
    </row>
    <row r="18" ht="13.5" customHeight="1">
      <c r="P18" s="104"/>
      <c r="R18" s="103"/>
    </row>
    <row r="19" ht="13.5" customHeight="1">
      <c r="P19" s="104"/>
      <c r="R19" s="103"/>
    </row>
    <row r="20" ht="13.5" customHeight="1">
      <c r="P20" s="104"/>
      <c r="R20" s="103"/>
    </row>
    <row r="21" ht="13.5" customHeight="1">
      <c r="R21" s="103"/>
    </row>
    <row r="22" ht="13.5" customHeight="1">
      <c r="R22" s="103"/>
    </row>
    <row r="23" ht="13.5" customHeight="1">
      <c r="R23" s="103"/>
    </row>
    <row r="24" ht="13.5" customHeight="1">
      <c r="R24" s="103"/>
    </row>
    <row r="25" ht="13.5" customHeight="1">
      <c r="R25" s="103"/>
    </row>
    <row r="26" ht="13.5" customHeight="1">
      <c r="R26" s="103"/>
    </row>
    <row r="27" ht="13.5" customHeight="1">
      <c r="R27" s="103"/>
    </row>
    <row r="28" ht="13.5" customHeight="1">
      <c r="R28" s="103"/>
    </row>
    <row r="29" ht="13.5" customHeight="1">
      <c r="R29" s="103"/>
    </row>
    <row r="30" ht="13.5" customHeight="1">
      <c r="R30" s="103"/>
    </row>
    <row r="31" ht="13.5" customHeight="1">
      <c r="R31" s="103"/>
    </row>
    <row r="32" ht="13.5" customHeight="1">
      <c r="R32" s="103"/>
    </row>
    <row r="33" ht="13.5" customHeight="1">
      <c r="R33" s="103"/>
    </row>
    <row r="34" ht="13.5" customHeight="1">
      <c r="R34" s="103"/>
    </row>
    <row r="35" ht="13.5" customHeight="1">
      <c r="R35" s="103"/>
    </row>
    <row r="36" ht="13.5" customHeight="1">
      <c r="R36" s="103"/>
    </row>
    <row r="37" ht="13.5" customHeight="1">
      <c r="R37" s="103"/>
    </row>
    <row r="38" ht="13.5" customHeight="1">
      <c r="R38" s="103"/>
    </row>
    <row r="39" ht="13.5" customHeight="1">
      <c r="R39" s="103"/>
    </row>
    <row r="40" ht="13.5" customHeight="1">
      <c r="R40" s="103"/>
    </row>
    <row r="41" ht="13.5" customHeight="1">
      <c r="R41" s="103"/>
    </row>
    <row r="42" ht="13.5" customHeight="1">
      <c r="R42" s="103"/>
    </row>
    <row r="43" ht="13.5" customHeight="1">
      <c r="R43" s="103"/>
    </row>
    <row r="44" ht="13.5" customHeight="1">
      <c r="R44" s="103"/>
    </row>
    <row r="45" ht="13.5" customHeight="1">
      <c r="R45" s="103"/>
    </row>
    <row r="46" ht="13.5" customHeight="1">
      <c r="R46" s="103"/>
    </row>
    <row r="47" ht="13.5" customHeight="1">
      <c r="R47" s="103"/>
    </row>
    <row r="48" ht="13.5" customHeight="1">
      <c r="R48" s="103"/>
    </row>
    <row r="49" ht="13.5" customHeight="1">
      <c r="R49" s="103"/>
    </row>
    <row r="50" ht="13.5" customHeight="1">
      <c r="R50" s="103"/>
    </row>
    <row r="51" ht="13.5" customHeight="1">
      <c r="R51" s="103"/>
    </row>
    <row r="52" ht="13.5" customHeight="1">
      <c r="R52" s="103"/>
    </row>
    <row r="53" ht="13.5" customHeight="1">
      <c r="R53" s="103"/>
    </row>
    <row r="54" ht="13.5" customHeight="1">
      <c r="R54" s="103"/>
    </row>
    <row r="55" ht="13.5" customHeight="1">
      <c r="R55" s="103"/>
    </row>
    <row r="56" ht="13.5" customHeight="1">
      <c r="R56" s="103"/>
    </row>
    <row r="57" ht="13.5" customHeight="1">
      <c r="R57" s="103"/>
    </row>
    <row r="58" ht="13.5" customHeight="1">
      <c r="R58" s="103"/>
    </row>
    <row r="59" ht="13.5" customHeight="1">
      <c r="R59" s="103"/>
    </row>
    <row r="60" ht="13.5" customHeight="1">
      <c r="R60" s="103"/>
    </row>
    <row r="61" ht="13.5" customHeight="1">
      <c r="R61" s="103"/>
    </row>
    <row r="62" ht="13.5" customHeight="1">
      <c r="R62" s="103"/>
    </row>
    <row r="63" ht="13.5" customHeight="1">
      <c r="R63" s="103"/>
    </row>
    <row r="64" ht="13.5" customHeight="1">
      <c r="R64" s="103"/>
    </row>
    <row r="65" ht="13.5" customHeight="1">
      <c r="R65" s="103"/>
    </row>
    <row r="66" ht="13.5" customHeight="1">
      <c r="R66" s="103"/>
    </row>
    <row r="67" ht="13.5" customHeight="1">
      <c r="R67" s="103"/>
    </row>
    <row r="68" ht="13.5" customHeight="1">
      <c r="R68" s="103"/>
    </row>
    <row r="69" ht="13.5" customHeight="1">
      <c r="R69" s="103"/>
    </row>
    <row r="70" ht="13.5" customHeight="1">
      <c r="R70" s="103"/>
    </row>
    <row r="71" ht="13.5" customHeight="1">
      <c r="R71" s="103"/>
    </row>
    <row r="72" ht="13.5" customHeight="1">
      <c r="R72" s="103"/>
    </row>
    <row r="73" ht="13.5" customHeight="1">
      <c r="R73" s="103"/>
    </row>
    <row r="74" ht="13.5" customHeight="1">
      <c r="R74" s="103"/>
    </row>
    <row r="75" ht="13.5" customHeight="1">
      <c r="R75" s="103"/>
    </row>
    <row r="76" ht="13.5" customHeight="1">
      <c r="R76" s="103"/>
    </row>
    <row r="77" ht="13.5" customHeight="1">
      <c r="R77" s="103"/>
    </row>
    <row r="78" ht="13.5" customHeight="1">
      <c r="R78" s="103"/>
    </row>
    <row r="79" ht="13.5" customHeight="1">
      <c r="R79" s="103"/>
    </row>
    <row r="80" ht="13.5" customHeight="1">
      <c r="R80" s="103"/>
    </row>
    <row r="81" ht="13.5" customHeight="1">
      <c r="R81" s="103"/>
    </row>
    <row r="82" ht="13.5" customHeight="1">
      <c r="R82" s="103"/>
    </row>
    <row r="83" ht="13.5" customHeight="1">
      <c r="R83" s="103"/>
    </row>
    <row r="84" ht="13.5" customHeight="1">
      <c r="R84" s="103"/>
    </row>
    <row r="85" ht="13.5" customHeight="1">
      <c r="R85" s="103"/>
    </row>
    <row r="86" ht="13.5" customHeight="1">
      <c r="R86" s="103"/>
    </row>
    <row r="87" ht="13.5" customHeight="1">
      <c r="R87" s="103"/>
    </row>
    <row r="88" ht="13.5" customHeight="1">
      <c r="R88" s="103"/>
    </row>
    <row r="89" ht="13.5" customHeight="1">
      <c r="R89" s="103"/>
    </row>
    <row r="90" ht="13.5" customHeight="1">
      <c r="R90" s="103"/>
    </row>
    <row r="91" ht="13.5" customHeight="1">
      <c r="R91" s="103"/>
    </row>
    <row r="92" ht="13.5" customHeight="1">
      <c r="R92" s="103"/>
    </row>
    <row r="93" ht="13.5" customHeight="1">
      <c r="R93" s="103"/>
    </row>
    <row r="94" ht="13.5" customHeight="1">
      <c r="R94" s="103"/>
    </row>
    <row r="95" ht="13.5" customHeight="1">
      <c r="R95" s="103"/>
    </row>
    <row r="96" ht="13.5" customHeight="1">
      <c r="R96" s="103"/>
    </row>
    <row r="97" ht="13.5" customHeight="1">
      <c r="R97" s="103"/>
    </row>
    <row r="98" ht="13.5" customHeight="1">
      <c r="R98" s="103"/>
    </row>
    <row r="99" ht="13.5" customHeight="1">
      <c r="R99" s="103"/>
    </row>
    <row r="100" ht="13.5" customHeight="1">
      <c r="R100" s="103"/>
    </row>
    <row r="101" ht="13.5" customHeight="1">
      <c r="R101" s="103"/>
    </row>
    <row r="102" ht="13.5" customHeight="1">
      <c r="R102" s="103"/>
    </row>
    <row r="103" ht="13.5" customHeight="1">
      <c r="R103" s="103"/>
    </row>
    <row r="104" ht="13.5" customHeight="1">
      <c r="R104" s="103"/>
    </row>
    <row r="105" ht="13.5" customHeight="1">
      <c r="R105" s="103"/>
    </row>
    <row r="106" ht="13.5" customHeight="1">
      <c r="R106" s="103"/>
    </row>
    <row r="107" ht="13.5" customHeight="1">
      <c r="R107" s="103"/>
    </row>
    <row r="108" ht="13.5" customHeight="1">
      <c r="R108" s="103"/>
    </row>
    <row r="109" ht="13.5" customHeight="1">
      <c r="R109" s="103"/>
    </row>
    <row r="110" ht="13.5" customHeight="1">
      <c r="R110" s="103"/>
    </row>
    <row r="111" ht="13.5" customHeight="1">
      <c r="R111" s="103"/>
    </row>
    <row r="112" ht="13.5" customHeight="1">
      <c r="R112" s="103"/>
    </row>
    <row r="113" ht="13.5" customHeight="1">
      <c r="R113" s="103"/>
    </row>
    <row r="114" ht="13.5" customHeight="1">
      <c r="R114" s="103"/>
    </row>
    <row r="115" ht="13.5" customHeight="1">
      <c r="R115" s="103"/>
    </row>
    <row r="116" ht="13.5" customHeight="1">
      <c r="R116" s="103"/>
    </row>
    <row r="117" ht="13.5" customHeight="1">
      <c r="R117" s="103"/>
    </row>
    <row r="118" ht="13.5" customHeight="1">
      <c r="R118" s="103"/>
    </row>
    <row r="119" ht="13.5" customHeight="1">
      <c r="R119" s="103"/>
    </row>
    <row r="120" ht="13.5" customHeight="1">
      <c r="R120" s="103"/>
    </row>
    <row r="121" ht="13.5" customHeight="1">
      <c r="R121" s="103"/>
    </row>
    <row r="122" ht="13.5" customHeight="1">
      <c r="R122" s="103"/>
    </row>
    <row r="123" ht="13.5" customHeight="1">
      <c r="R123" s="103"/>
    </row>
    <row r="124" ht="13.5" customHeight="1">
      <c r="R124" s="103"/>
    </row>
    <row r="125" ht="13.5" customHeight="1">
      <c r="R125" s="103"/>
    </row>
    <row r="126" ht="13.5" customHeight="1">
      <c r="R126" s="103"/>
    </row>
    <row r="127" ht="13.5" customHeight="1">
      <c r="R127" s="103"/>
    </row>
    <row r="128" ht="13.5" customHeight="1">
      <c r="R128" s="103"/>
    </row>
    <row r="129" ht="13.5" customHeight="1">
      <c r="R129" s="103"/>
    </row>
    <row r="130" ht="13.5" customHeight="1">
      <c r="R130" s="103"/>
    </row>
    <row r="131" ht="13.5" customHeight="1">
      <c r="R131" s="103"/>
    </row>
    <row r="132" ht="13.5" customHeight="1">
      <c r="R132" s="103"/>
    </row>
    <row r="133" ht="13.5" customHeight="1">
      <c r="R133" s="103"/>
    </row>
    <row r="134" ht="13.5" customHeight="1">
      <c r="R134" s="103"/>
    </row>
    <row r="135" ht="13.5" customHeight="1">
      <c r="R135" s="103"/>
    </row>
    <row r="136" ht="13.5" customHeight="1">
      <c r="R136" s="103"/>
    </row>
    <row r="137" ht="13.5" customHeight="1">
      <c r="R137" s="103"/>
    </row>
    <row r="138" ht="13.5" customHeight="1">
      <c r="R138" s="103"/>
    </row>
    <row r="139" ht="13.5" customHeight="1">
      <c r="R139" s="103"/>
    </row>
    <row r="140" ht="13.5" customHeight="1">
      <c r="R140" s="103"/>
    </row>
    <row r="141" ht="13.5" customHeight="1">
      <c r="R141" s="103"/>
    </row>
    <row r="142" ht="13.5" customHeight="1">
      <c r="R142" s="103"/>
    </row>
    <row r="143" ht="13.5" customHeight="1">
      <c r="R143" s="103"/>
    </row>
    <row r="144" ht="13.5" customHeight="1">
      <c r="R144" s="103"/>
    </row>
    <row r="145" ht="13.5" customHeight="1">
      <c r="R145" s="103"/>
    </row>
    <row r="146" ht="13.5" customHeight="1">
      <c r="R146" s="103"/>
    </row>
    <row r="147" ht="13.5" customHeight="1">
      <c r="R147" s="103"/>
    </row>
    <row r="148" ht="13.5" customHeight="1">
      <c r="R148" s="103"/>
    </row>
    <row r="149" ht="13.5" customHeight="1">
      <c r="R149" s="103"/>
    </row>
    <row r="150" ht="13.5" customHeight="1">
      <c r="R150" s="103"/>
    </row>
    <row r="151" ht="13.5" customHeight="1">
      <c r="R151" s="103"/>
    </row>
    <row r="152" ht="13.5" customHeight="1">
      <c r="R152" s="103"/>
    </row>
    <row r="153" ht="13.5" customHeight="1">
      <c r="R153" s="103"/>
    </row>
    <row r="154" ht="13.5" customHeight="1">
      <c r="R154" s="103"/>
    </row>
    <row r="155" ht="13.5" customHeight="1">
      <c r="R155" s="103"/>
    </row>
    <row r="156" ht="13.5" customHeight="1">
      <c r="R156" s="103"/>
    </row>
    <row r="157" ht="13.5" customHeight="1">
      <c r="R157" s="103"/>
    </row>
    <row r="158" ht="13.5" customHeight="1">
      <c r="R158" s="103"/>
    </row>
    <row r="159" ht="13.5" customHeight="1">
      <c r="R159" s="103"/>
    </row>
    <row r="160" ht="13.5" customHeight="1">
      <c r="R160" s="103"/>
    </row>
    <row r="161" ht="13.5" customHeight="1">
      <c r="R161" s="103"/>
    </row>
    <row r="162" ht="13.5" customHeight="1">
      <c r="R162" s="103"/>
    </row>
    <row r="163" ht="13.5" customHeight="1">
      <c r="R163" s="103"/>
    </row>
    <row r="164" ht="13.5" customHeight="1">
      <c r="R164" s="103"/>
    </row>
    <row r="165" ht="13.5" customHeight="1">
      <c r="R165" s="103"/>
    </row>
    <row r="166" ht="13.5" customHeight="1">
      <c r="R166" s="103"/>
    </row>
    <row r="167" ht="13.5" customHeight="1">
      <c r="R167" s="103"/>
    </row>
    <row r="168" ht="13.5" customHeight="1">
      <c r="R168" s="103"/>
    </row>
    <row r="169" ht="13.5" customHeight="1">
      <c r="R169" s="103"/>
    </row>
    <row r="170" ht="13.5" customHeight="1">
      <c r="R170" s="103"/>
    </row>
    <row r="171" ht="13.5" customHeight="1">
      <c r="R171" s="103"/>
    </row>
    <row r="172" ht="13.5" customHeight="1">
      <c r="R172" s="103"/>
    </row>
    <row r="173" ht="13.5" customHeight="1">
      <c r="R173" s="103"/>
    </row>
    <row r="174" ht="13.5" customHeight="1">
      <c r="R174" s="103"/>
    </row>
    <row r="175" ht="13.5" customHeight="1">
      <c r="R175" s="103"/>
    </row>
    <row r="176" ht="13.5" customHeight="1">
      <c r="R176" s="103"/>
    </row>
    <row r="177" ht="13.5" customHeight="1">
      <c r="R177" s="103"/>
    </row>
    <row r="178" ht="13.5" customHeight="1">
      <c r="R178" s="103"/>
    </row>
    <row r="179" ht="13.5" customHeight="1">
      <c r="R179" s="103"/>
    </row>
    <row r="180" ht="13.5" customHeight="1">
      <c r="R180" s="103"/>
    </row>
    <row r="181" ht="13.5" customHeight="1">
      <c r="R181" s="103"/>
    </row>
    <row r="182" ht="13.5" customHeight="1">
      <c r="R182" s="103"/>
    </row>
    <row r="183" ht="13.5" customHeight="1">
      <c r="R183" s="103"/>
    </row>
    <row r="184" ht="13.5" customHeight="1">
      <c r="R184" s="103"/>
    </row>
    <row r="185" ht="13.5" customHeight="1">
      <c r="R185" s="103"/>
    </row>
    <row r="186" ht="13.5" customHeight="1">
      <c r="R186" s="103"/>
    </row>
    <row r="187" ht="13.5" customHeight="1">
      <c r="R187" s="103"/>
    </row>
    <row r="188" ht="13.5" customHeight="1">
      <c r="R188" s="103"/>
    </row>
    <row r="189" ht="13.5" customHeight="1">
      <c r="R189" s="103"/>
    </row>
    <row r="190" ht="13.5" customHeight="1">
      <c r="R190" s="103"/>
    </row>
    <row r="191" ht="13.5" customHeight="1">
      <c r="R191" s="103"/>
    </row>
    <row r="192" ht="13.5" customHeight="1">
      <c r="R192" s="103"/>
    </row>
    <row r="193" ht="13.5" customHeight="1">
      <c r="R193" s="103"/>
    </row>
    <row r="194" ht="13.5" customHeight="1">
      <c r="R194" s="103"/>
    </row>
    <row r="195" ht="13.5" customHeight="1">
      <c r="R195" s="103"/>
    </row>
    <row r="196" ht="13.5" customHeight="1">
      <c r="R196" s="103"/>
    </row>
    <row r="197" ht="13.5" customHeight="1">
      <c r="R197" s="103"/>
    </row>
    <row r="198" ht="13.5" customHeight="1">
      <c r="R198" s="103"/>
    </row>
    <row r="199" ht="13.5" customHeight="1">
      <c r="R199" s="103"/>
    </row>
    <row r="200" ht="13.5" customHeight="1">
      <c r="R200" s="103"/>
    </row>
    <row r="201" ht="13.5" customHeight="1">
      <c r="R201" s="103"/>
    </row>
    <row r="202" ht="13.5" customHeight="1">
      <c r="R202" s="103"/>
    </row>
    <row r="203" ht="13.5" customHeight="1">
      <c r="R203" s="103"/>
    </row>
    <row r="204" ht="13.5" customHeight="1">
      <c r="R204" s="103"/>
    </row>
    <row r="205" ht="13.5" customHeight="1">
      <c r="R205" s="103"/>
    </row>
    <row r="206" ht="13.5" customHeight="1">
      <c r="R206" s="103"/>
    </row>
    <row r="207" ht="13.5" customHeight="1">
      <c r="R207" s="103"/>
    </row>
    <row r="208" ht="13.5" customHeight="1">
      <c r="R208" s="103"/>
    </row>
    <row r="209" ht="13.5" customHeight="1">
      <c r="R209" s="103"/>
    </row>
    <row r="210" ht="13.5" customHeight="1">
      <c r="R210" s="103"/>
    </row>
    <row r="211" ht="13.5" customHeight="1">
      <c r="R211" s="103"/>
    </row>
    <row r="212" ht="13.5" customHeight="1">
      <c r="R212" s="103"/>
    </row>
    <row r="213" ht="13.5" customHeight="1">
      <c r="R213" s="103"/>
    </row>
    <row r="214" ht="13.5" customHeight="1">
      <c r="R214" s="103"/>
    </row>
    <row r="215" ht="13.5" customHeight="1">
      <c r="R215" s="103"/>
    </row>
    <row r="216" ht="13.5" customHeight="1">
      <c r="R216" s="103"/>
    </row>
    <row r="217" ht="13.5" customHeight="1">
      <c r="R217" s="103"/>
    </row>
    <row r="218" ht="13.5" customHeight="1">
      <c r="R218" s="103"/>
    </row>
    <row r="219" ht="13.5" customHeight="1">
      <c r="R219" s="103"/>
    </row>
    <row r="220" ht="13.5" customHeight="1">
      <c r="R220" s="103"/>
    </row>
    <row r="221" ht="13.5" customHeight="1">
      <c r="R221" s="103"/>
    </row>
    <row r="222" ht="13.5" customHeight="1">
      <c r="R222" s="103"/>
    </row>
    <row r="223" ht="13.5" customHeight="1">
      <c r="R223" s="103"/>
    </row>
    <row r="224" ht="13.5" customHeight="1">
      <c r="R224" s="103"/>
    </row>
    <row r="225" ht="13.5" customHeight="1">
      <c r="R225" s="103"/>
    </row>
    <row r="226" ht="13.5" customHeight="1">
      <c r="R226" s="103"/>
    </row>
    <row r="227" ht="13.5" customHeight="1">
      <c r="R227" s="103"/>
    </row>
    <row r="228" ht="13.5" customHeight="1">
      <c r="R228" s="103"/>
    </row>
    <row r="229" ht="13.5" customHeight="1">
      <c r="R229" s="103"/>
    </row>
    <row r="230" ht="13.5" customHeight="1">
      <c r="R230" s="103"/>
    </row>
    <row r="231" ht="13.5" customHeight="1">
      <c r="R231" s="103"/>
    </row>
    <row r="232" ht="13.5" customHeight="1">
      <c r="R232" s="103"/>
    </row>
    <row r="233" ht="13.5" customHeight="1">
      <c r="R233" s="103"/>
    </row>
    <row r="234" ht="13.5" customHeight="1">
      <c r="R234" s="103"/>
    </row>
    <row r="235" ht="13.5" customHeight="1">
      <c r="R235" s="103"/>
    </row>
    <row r="236" ht="13.5" customHeight="1">
      <c r="R236" s="103"/>
    </row>
    <row r="237" ht="13.5" customHeight="1">
      <c r="R237" s="103"/>
    </row>
    <row r="238" ht="13.5" customHeight="1">
      <c r="R238" s="103"/>
    </row>
    <row r="239" ht="13.5" customHeight="1">
      <c r="R239" s="103"/>
    </row>
    <row r="240" ht="13.5" customHeight="1">
      <c r="R240" s="103"/>
    </row>
    <row r="241" ht="13.5" customHeight="1">
      <c r="R241" s="103"/>
    </row>
    <row r="242" ht="13.5" customHeight="1">
      <c r="R242" s="103"/>
    </row>
    <row r="243" ht="13.5" customHeight="1">
      <c r="R243" s="103"/>
    </row>
    <row r="244" ht="13.5" customHeight="1">
      <c r="R244" s="103"/>
    </row>
    <row r="245" ht="13.5" customHeight="1">
      <c r="R245" s="103"/>
    </row>
    <row r="246" ht="13.5" customHeight="1">
      <c r="R246" s="103"/>
    </row>
    <row r="247" ht="13.5" customHeight="1">
      <c r="R247" s="103"/>
    </row>
    <row r="248" ht="13.5" customHeight="1">
      <c r="R248" s="103"/>
    </row>
    <row r="249" ht="13.5" customHeight="1">
      <c r="R249" s="103"/>
    </row>
    <row r="250" ht="13.5" customHeight="1">
      <c r="R250" s="103"/>
    </row>
    <row r="251" ht="13.5" customHeight="1">
      <c r="R251" s="103"/>
    </row>
    <row r="252" ht="13.5" customHeight="1">
      <c r="R252" s="103"/>
    </row>
    <row r="253" ht="13.5" customHeight="1">
      <c r="R253" s="103"/>
    </row>
    <row r="254" ht="13.5" customHeight="1">
      <c r="R254" s="103"/>
    </row>
    <row r="255" ht="13.5" customHeight="1">
      <c r="R255" s="103"/>
    </row>
    <row r="256" ht="13.5" customHeight="1">
      <c r="R256" s="103"/>
    </row>
    <row r="257" ht="13.5" customHeight="1">
      <c r="R257" s="103"/>
    </row>
    <row r="258" ht="13.5" customHeight="1">
      <c r="R258" s="103"/>
    </row>
    <row r="259" ht="13.5" customHeight="1">
      <c r="R259" s="103"/>
    </row>
    <row r="260" ht="13.5" customHeight="1">
      <c r="R260" s="103"/>
    </row>
    <row r="261" ht="13.5" customHeight="1">
      <c r="R261" s="103"/>
    </row>
    <row r="262" ht="13.5" customHeight="1">
      <c r="R262" s="103"/>
    </row>
    <row r="263" ht="13.5" customHeight="1">
      <c r="R263" s="103"/>
    </row>
    <row r="264" ht="13.5" customHeight="1">
      <c r="R264" s="103"/>
    </row>
    <row r="265" ht="13.5" customHeight="1">
      <c r="R265" s="103"/>
    </row>
    <row r="266" ht="13.5" customHeight="1">
      <c r="R266" s="103"/>
    </row>
    <row r="267" ht="13.5" customHeight="1">
      <c r="R267" s="103"/>
    </row>
    <row r="268" ht="13.5" customHeight="1">
      <c r="R268" s="103"/>
    </row>
    <row r="269" ht="13.5" customHeight="1">
      <c r="R269" s="103"/>
    </row>
    <row r="270" ht="13.5" customHeight="1">
      <c r="R270" s="103"/>
    </row>
    <row r="271" ht="13.5" customHeight="1">
      <c r="R271" s="103"/>
    </row>
    <row r="272" ht="13.5" customHeight="1">
      <c r="R272" s="103"/>
    </row>
    <row r="273" ht="13.5" customHeight="1">
      <c r="R273" s="103"/>
    </row>
    <row r="274" ht="13.5" customHeight="1">
      <c r="R274" s="103"/>
    </row>
    <row r="275" ht="13.5" customHeight="1">
      <c r="R275" s="103"/>
    </row>
    <row r="276" ht="13.5" customHeight="1">
      <c r="R276" s="103"/>
    </row>
    <row r="277" ht="13.5" customHeight="1">
      <c r="R277" s="103"/>
    </row>
    <row r="278" ht="13.5" customHeight="1">
      <c r="R278" s="103"/>
    </row>
    <row r="279" ht="13.5" customHeight="1">
      <c r="R279" s="103"/>
    </row>
    <row r="280" ht="13.5" customHeight="1">
      <c r="R280" s="103"/>
    </row>
    <row r="281" ht="13.5" customHeight="1">
      <c r="R281" s="103"/>
    </row>
    <row r="282" ht="13.5" customHeight="1">
      <c r="R282" s="103"/>
    </row>
    <row r="283" ht="13.5" customHeight="1">
      <c r="R283" s="103"/>
    </row>
    <row r="284" ht="13.5" customHeight="1">
      <c r="R284" s="103"/>
    </row>
    <row r="285" ht="13.5" customHeight="1">
      <c r="R285" s="103"/>
    </row>
    <row r="286" ht="13.5" customHeight="1">
      <c r="R286" s="103"/>
    </row>
    <row r="287" ht="13.5" customHeight="1">
      <c r="R287" s="103"/>
    </row>
    <row r="288" ht="13.5" customHeight="1">
      <c r="R288" s="103"/>
    </row>
    <row r="289" ht="13.5" customHeight="1">
      <c r="R289" s="103"/>
    </row>
    <row r="290" ht="13.5" customHeight="1">
      <c r="R290" s="103"/>
    </row>
    <row r="291" ht="13.5" customHeight="1">
      <c r="R291" s="103"/>
    </row>
    <row r="292" ht="13.5" customHeight="1">
      <c r="R292" s="103"/>
    </row>
    <row r="293" ht="13.5" customHeight="1">
      <c r="R293" s="103"/>
    </row>
    <row r="294" ht="13.5" customHeight="1">
      <c r="R294" s="103"/>
    </row>
    <row r="295" ht="13.5" customHeight="1">
      <c r="R295" s="103"/>
    </row>
    <row r="296" ht="13.5" customHeight="1">
      <c r="R296" s="103"/>
    </row>
    <row r="297" ht="13.5" customHeight="1">
      <c r="R297" s="103"/>
    </row>
    <row r="298" ht="13.5" customHeight="1">
      <c r="R298" s="103"/>
    </row>
    <row r="299" ht="13.5" customHeight="1">
      <c r="R299" s="103"/>
    </row>
    <row r="300" ht="13.5" customHeight="1">
      <c r="R300" s="103"/>
    </row>
    <row r="301" ht="13.5" customHeight="1">
      <c r="R301" s="103"/>
    </row>
    <row r="302" ht="13.5" customHeight="1">
      <c r="R302" s="103"/>
    </row>
    <row r="303" ht="13.5" customHeight="1">
      <c r="R303" s="103"/>
    </row>
    <row r="304" ht="13.5" customHeight="1">
      <c r="R304" s="103"/>
    </row>
    <row r="305" ht="13.5" customHeight="1">
      <c r="R305" s="103"/>
    </row>
    <row r="306" ht="13.5" customHeight="1">
      <c r="R306" s="103"/>
    </row>
    <row r="307" ht="13.5" customHeight="1">
      <c r="R307" s="103"/>
    </row>
    <row r="308" ht="13.5" customHeight="1">
      <c r="R308" s="103"/>
    </row>
    <row r="309" ht="13.5" customHeight="1">
      <c r="R309" s="103"/>
    </row>
    <row r="310" ht="13.5" customHeight="1">
      <c r="R310" s="103"/>
    </row>
    <row r="311" ht="13.5" customHeight="1">
      <c r="R311" s="103"/>
    </row>
    <row r="312" ht="13.5" customHeight="1">
      <c r="R312" s="103"/>
    </row>
    <row r="313" ht="13.5" customHeight="1">
      <c r="R313" s="103"/>
    </row>
    <row r="314" ht="13.5" customHeight="1">
      <c r="R314" s="103"/>
    </row>
    <row r="315" ht="13.5" customHeight="1">
      <c r="R315" s="103"/>
    </row>
    <row r="316" ht="13.5" customHeight="1">
      <c r="R316" s="103"/>
    </row>
    <row r="317" ht="13.5" customHeight="1">
      <c r="R317" s="103"/>
    </row>
    <row r="318" ht="13.5" customHeight="1">
      <c r="R318" s="103"/>
    </row>
    <row r="319" ht="13.5" customHeight="1">
      <c r="R319" s="103"/>
    </row>
    <row r="320" ht="13.5" customHeight="1">
      <c r="R320" s="103"/>
    </row>
    <row r="321" ht="13.5" customHeight="1">
      <c r="R321" s="103"/>
    </row>
    <row r="322" ht="13.5" customHeight="1">
      <c r="R322" s="103"/>
    </row>
    <row r="323" ht="13.5" customHeight="1">
      <c r="R323" s="103"/>
    </row>
    <row r="324" ht="13.5" customHeight="1">
      <c r="R324" s="103"/>
    </row>
    <row r="325" ht="13.5" customHeight="1">
      <c r="R325" s="103"/>
    </row>
    <row r="326" ht="13.5" customHeight="1">
      <c r="R326" s="103"/>
    </row>
    <row r="327" ht="13.5" customHeight="1">
      <c r="R327" s="103"/>
    </row>
    <row r="328" ht="13.5" customHeight="1">
      <c r="R328" s="103"/>
    </row>
    <row r="329" ht="13.5" customHeight="1">
      <c r="R329" s="103"/>
    </row>
    <row r="330" ht="13.5" customHeight="1">
      <c r="R330" s="103"/>
    </row>
    <row r="331" ht="13.5" customHeight="1">
      <c r="R331" s="103"/>
    </row>
    <row r="332" ht="13.5" customHeight="1">
      <c r="R332" s="103"/>
    </row>
    <row r="333" ht="13.5" customHeight="1">
      <c r="R333" s="103"/>
    </row>
    <row r="334" ht="13.5" customHeight="1">
      <c r="R334" s="103"/>
    </row>
    <row r="335" ht="13.5" customHeight="1">
      <c r="R335" s="103"/>
    </row>
    <row r="336" ht="13.5" customHeight="1">
      <c r="R336" s="103"/>
    </row>
    <row r="337" ht="13.5" customHeight="1">
      <c r="R337" s="103"/>
    </row>
    <row r="338" ht="13.5" customHeight="1">
      <c r="R338" s="103"/>
    </row>
    <row r="339" ht="13.5" customHeight="1">
      <c r="R339" s="103"/>
    </row>
    <row r="340" ht="13.5" customHeight="1">
      <c r="R340" s="103"/>
    </row>
    <row r="341" ht="13.5" customHeight="1">
      <c r="R341" s="103"/>
    </row>
    <row r="342" ht="13.5" customHeight="1">
      <c r="R342" s="103"/>
    </row>
    <row r="343" ht="13.5" customHeight="1">
      <c r="R343" s="103"/>
    </row>
    <row r="344" ht="13.5" customHeight="1">
      <c r="R344" s="103"/>
    </row>
    <row r="345" ht="13.5" customHeight="1">
      <c r="R345" s="103"/>
    </row>
    <row r="346" ht="13.5" customHeight="1">
      <c r="R346" s="103"/>
    </row>
    <row r="347" ht="13.5" customHeight="1">
      <c r="R347" s="103"/>
    </row>
    <row r="348" ht="13.5" customHeight="1">
      <c r="R348" s="103"/>
    </row>
    <row r="349" ht="13.5" customHeight="1">
      <c r="R349" s="103"/>
    </row>
    <row r="350" ht="13.5" customHeight="1">
      <c r="R350" s="103"/>
    </row>
    <row r="351" ht="13.5" customHeight="1">
      <c r="R351" s="103"/>
    </row>
    <row r="352" ht="13.5" customHeight="1">
      <c r="R352" s="103"/>
    </row>
    <row r="353" ht="13.5" customHeight="1">
      <c r="R353" s="103"/>
    </row>
    <row r="354" ht="13.5" customHeight="1">
      <c r="R354" s="103"/>
    </row>
    <row r="355" ht="13.5" customHeight="1">
      <c r="R355" s="103"/>
    </row>
    <row r="356" ht="13.5" customHeight="1">
      <c r="R356" s="103"/>
    </row>
    <row r="357" ht="13.5" customHeight="1">
      <c r="R357" s="103"/>
    </row>
    <row r="358" ht="13.5" customHeight="1">
      <c r="R358" s="103"/>
    </row>
    <row r="359" ht="13.5" customHeight="1">
      <c r="R359" s="103"/>
    </row>
    <row r="360" ht="13.5" customHeight="1">
      <c r="R360" s="103"/>
    </row>
    <row r="361" ht="13.5" customHeight="1">
      <c r="R361" s="103"/>
    </row>
    <row r="362" ht="13.5" customHeight="1">
      <c r="R362" s="103"/>
    </row>
    <row r="363" ht="13.5" customHeight="1">
      <c r="R363" s="103"/>
    </row>
    <row r="364" ht="13.5" customHeight="1">
      <c r="R364" s="103"/>
    </row>
    <row r="365" ht="13.5" customHeight="1">
      <c r="R365" s="103"/>
    </row>
    <row r="366" ht="13.5" customHeight="1">
      <c r="R366" s="103"/>
    </row>
    <row r="367" ht="13.5" customHeight="1">
      <c r="R367" s="103"/>
    </row>
    <row r="368" ht="13.5" customHeight="1">
      <c r="R368" s="103"/>
    </row>
    <row r="369" ht="13.5" customHeight="1">
      <c r="R369" s="103"/>
    </row>
    <row r="370" ht="13.5" customHeight="1">
      <c r="R370" s="103"/>
    </row>
    <row r="371" ht="13.5" customHeight="1">
      <c r="R371" s="103"/>
    </row>
    <row r="372" ht="13.5" customHeight="1">
      <c r="R372" s="103"/>
    </row>
    <row r="373" ht="13.5" customHeight="1">
      <c r="R373" s="103"/>
    </row>
    <row r="374" ht="13.5" customHeight="1">
      <c r="R374" s="103"/>
    </row>
    <row r="375" ht="13.5" customHeight="1">
      <c r="R375" s="103"/>
    </row>
    <row r="376" ht="13.5" customHeight="1">
      <c r="R376" s="103"/>
    </row>
    <row r="377" ht="13.5" customHeight="1">
      <c r="R377" s="103"/>
    </row>
    <row r="378" ht="13.5" customHeight="1">
      <c r="R378" s="103"/>
    </row>
    <row r="379" ht="13.5" customHeight="1">
      <c r="R379" s="103"/>
    </row>
    <row r="380" ht="13.5" customHeight="1">
      <c r="R380" s="103"/>
    </row>
    <row r="381" ht="13.5" customHeight="1">
      <c r="R381" s="103"/>
    </row>
    <row r="382" ht="13.5" customHeight="1">
      <c r="R382" s="103"/>
    </row>
    <row r="383" ht="13.5" customHeight="1">
      <c r="R383" s="103"/>
    </row>
    <row r="384" ht="13.5" customHeight="1">
      <c r="R384" s="103"/>
    </row>
    <row r="385" ht="13.5" customHeight="1">
      <c r="R385" s="103"/>
    </row>
    <row r="386" ht="13.5" customHeight="1">
      <c r="R386" s="103"/>
    </row>
    <row r="387" ht="13.5" customHeight="1">
      <c r="R387" s="103"/>
    </row>
    <row r="388" ht="13.5" customHeight="1">
      <c r="R388" s="103"/>
    </row>
    <row r="389" ht="13.5" customHeight="1">
      <c r="R389" s="103"/>
    </row>
    <row r="390" ht="13.5" customHeight="1">
      <c r="R390" s="103"/>
    </row>
    <row r="391" ht="13.5" customHeight="1">
      <c r="R391" s="103"/>
    </row>
    <row r="392" ht="13.5" customHeight="1">
      <c r="R392" s="103"/>
    </row>
    <row r="393" ht="13.5" customHeight="1">
      <c r="R393" s="103"/>
    </row>
    <row r="394" ht="13.5" customHeight="1">
      <c r="R394" s="103"/>
    </row>
    <row r="395" ht="13.5" customHeight="1">
      <c r="R395" s="103"/>
    </row>
    <row r="396" ht="13.5" customHeight="1">
      <c r="R396" s="103"/>
    </row>
    <row r="397" ht="13.5" customHeight="1">
      <c r="R397" s="103"/>
    </row>
    <row r="398" ht="13.5" customHeight="1">
      <c r="R398" s="103"/>
    </row>
    <row r="399" ht="13.5" customHeight="1">
      <c r="R399" s="103"/>
    </row>
    <row r="400" ht="13.5" customHeight="1">
      <c r="R400" s="103"/>
    </row>
    <row r="401" ht="13.5" customHeight="1">
      <c r="R401" s="103"/>
    </row>
    <row r="402" ht="13.5" customHeight="1">
      <c r="R402" s="103"/>
    </row>
    <row r="403" ht="13.5" customHeight="1">
      <c r="R403" s="103"/>
    </row>
    <row r="404" ht="13.5" customHeight="1">
      <c r="R404" s="103"/>
    </row>
    <row r="405" ht="13.5" customHeight="1">
      <c r="R405" s="103"/>
    </row>
    <row r="406" ht="13.5" customHeight="1">
      <c r="R406" s="103"/>
    </row>
    <row r="407" ht="13.5" customHeight="1">
      <c r="R407" s="103"/>
    </row>
    <row r="408" ht="13.5" customHeight="1">
      <c r="R408" s="103"/>
    </row>
    <row r="409" ht="13.5" customHeight="1">
      <c r="R409" s="103"/>
    </row>
    <row r="410" ht="13.5" customHeight="1">
      <c r="R410" s="103"/>
    </row>
    <row r="411" ht="13.5" customHeight="1">
      <c r="R411" s="103"/>
    </row>
    <row r="412" ht="13.5" customHeight="1">
      <c r="R412" s="103"/>
    </row>
    <row r="413" ht="13.5" customHeight="1">
      <c r="R413" s="103"/>
    </row>
    <row r="414" ht="13.5" customHeight="1">
      <c r="R414" s="103"/>
    </row>
    <row r="415" ht="13.5" customHeight="1">
      <c r="R415" s="103"/>
    </row>
    <row r="416" ht="13.5" customHeight="1">
      <c r="R416" s="103"/>
    </row>
    <row r="417" ht="13.5" customHeight="1">
      <c r="R417" s="103"/>
    </row>
    <row r="418" ht="13.5" customHeight="1">
      <c r="R418" s="103"/>
    </row>
    <row r="419" ht="13.5" customHeight="1">
      <c r="R419" s="103"/>
    </row>
    <row r="420" ht="13.5" customHeight="1">
      <c r="R420" s="103"/>
    </row>
    <row r="421" ht="13.5" customHeight="1">
      <c r="R421" s="103"/>
    </row>
    <row r="422" ht="13.5" customHeight="1">
      <c r="R422" s="103"/>
    </row>
    <row r="423" ht="13.5" customHeight="1">
      <c r="R423" s="103"/>
    </row>
    <row r="424" ht="13.5" customHeight="1">
      <c r="R424" s="103"/>
    </row>
    <row r="425" ht="13.5" customHeight="1">
      <c r="R425" s="103"/>
    </row>
    <row r="426" ht="13.5" customHeight="1">
      <c r="R426" s="103"/>
    </row>
    <row r="427" ht="13.5" customHeight="1">
      <c r="R427" s="103"/>
    </row>
    <row r="428" ht="13.5" customHeight="1">
      <c r="R428" s="103"/>
    </row>
    <row r="429" ht="13.5" customHeight="1">
      <c r="R429" s="103"/>
    </row>
    <row r="430" ht="13.5" customHeight="1">
      <c r="R430" s="103"/>
    </row>
    <row r="431" ht="13.5" customHeight="1">
      <c r="R431" s="103"/>
    </row>
    <row r="432" ht="13.5" customHeight="1">
      <c r="R432" s="103"/>
    </row>
    <row r="433" ht="13.5" customHeight="1">
      <c r="R433" s="103"/>
    </row>
    <row r="434" ht="13.5" customHeight="1">
      <c r="R434" s="103"/>
    </row>
    <row r="435" ht="13.5" customHeight="1">
      <c r="R435" s="103"/>
    </row>
    <row r="436" ht="13.5" customHeight="1">
      <c r="R436" s="103"/>
    </row>
    <row r="437" ht="13.5" customHeight="1">
      <c r="R437" s="103"/>
    </row>
    <row r="438" ht="13.5" customHeight="1">
      <c r="R438" s="103"/>
    </row>
    <row r="439" ht="13.5" customHeight="1">
      <c r="R439" s="103"/>
    </row>
    <row r="440" ht="13.5" customHeight="1">
      <c r="R440" s="103"/>
    </row>
    <row r="441" ht="13.5" customHeight="1">
      <c r="R441" s="103"/>
    </row>
    <row r="442" ht="13.5" customHeight="1">
      <c r="R442" s="103"/>
    </row>
    <row r="443" ht="13.5" customHeight="1">
      <c r="R443" s="103"/>
    </row>
    <row r="444" ht="13.5" customHeight="1">
      <c r="R444" s="103"/>
    </row>
    <row r="445" ht="13.5" customHeight="1">
      <c r="R445" s="103"/>
    </row>
    <row r="446" ht="13.5" customHeight="1">
      <c r="R446" s="103"/>
    </row>
    <row r="447" ht="13.5" customHeight="1">
      <c r="R447" s="103"/>
    </row>
    <row r="448" ht="13.5" customHeight="1">
      <c r="R448" s="103"/>
    </row>
    <row r="449" ht="13.5" customHeight="1">
      <c r="R449" s="103"/>
    </row>
    <row r="450" ht="13.5" customHeight="1">
      <c r="R450" s="103"/>
    </row>
    <row r="451" ht="13.5" customHeight="1">
      <c r="R451" s="103"/>
    </row>
    <row r="452" ht="13.5" customHeight="1">
      <c r="R452" s="103"/>
    </row>
    <row r="453" ht="13.5" customHeight="1">
      <c r="R453" s="103"/>
    </row>
    <row r="454" ht="13.5" customHeight="1">
      <c r="R454" s="103"/>
    </row>
    <row r="455" ht="13.5" customHeight="1">
      <c r="R455" s="103"/>
    </row>
    <row r="456" ht="13.5" customHeight="1">
      <c r="R456" s="103"/>
    </row>
    <row r="457" ht="13.5" customHeight="1">
      <c r="R457" s="103"/>
    </row>
    <row r="458" ht="13.5" customHeight="1">
      <c r="R458" s="103"/>
    </row>
    <row r="459" ht="13.5" customHeight="1">
      <c r="R459" s="103"/>
    </row>
    <row r="460" ht="13.5" customHeight="1">
      <c r="R460" s="103"/>
    </row>
    <row r="461" ht="13.5" customHeight="1">
      <c r="R461" s="103"/>
    </row>
    <row r="462" ht="13.5" customHeight="1">
      <c r="R462" s="103"/>
    </row>
    <row r="463" ht="13.5" customHeight="1">
      <c r="R463" s="103"/>
    </row>
    <row r="464" ht="13.5" customHeight="1">
      <c r="R464" s="103"/>
    </row>
    <row r="465" ht="13.5" customHeight="1">
      <c r="R465" s="103"/>
    </row>
    <row r="466" ht="13.5" customHeight="1">
      <c r="R466" s="103"/>
    </row>
    <row r="467" ht="13.5" customHeight="1">
      <c r="R467" s="103"/>
    </row>
    <row r="468" ht="13.5" customHeight="1">
      <c r="R468" s="103"/>
    </row>
    <row r="469" ht="13.5" customHeight="1">
      <c r="R469" s="103"/>
    </row>
    <row r="470" ht="13.5" customHeight="1">
      <c r="R470" s="103"/>
    </row>
    <row r="471" ht="13.5" customHeight="1">
      <c r="R471" s="103"/>
    </row>
    <row r="472" ht="13.5" customHeight="1">
      <c r="R472" s="103"/>
    </row>
    <row r="473" ht="13.5" customHeight="1">
      <c r="R473" s="103"/>
    </row>
    <row r="474" ht="13.5" customHeight="1">
      <c r="R474" s="103"/>
    </row>
    <row r="475" ht="13.5" customHeight="1">
      <c r="R475" s="103"/>
    </row>
    <row r="476" ht="13.5" customHeight="1">
      <c r="R476" s="103"/>
    </row>
    <row r="477" ht="13.5" customHeight="1">
      <c r="R477" s="103"/>
    </row>
    <row r="478" ht="13.5" customHeight="1">
      <c r="R478" s="103"/>
    </row>
    <row r="479" ht="13.5" customHeight="1">
      <c r="R479" s="103"/>
    </row>
    <row r="480" ht="13.5" customHeight="1">
      <c r="R480" s="103"/>
    </row>
    <row r="481" ht="13.5" customHeight="1">
      <c r="R481" s="103"/>
    </row>
    <row r="482" ht="13.5" customHeight="1">
      <c r="R482" s="103"/>
    </row>
    <row r="483" ht="13.5" customHeight="1">
      <c r="R483" s="103"/>
    </row>
    <row r="484" ht="13.5" customHeight="1">
      <c r="R484" s="103"/>
    </row>
    <row r="485" ht="13.5" customHeight="1">
      <c r="R485" s="103"/>
    </row>
    <row r="486" ht="13.5" customHeight="1">
      <c r="R486" s="103"/>
    </row>
    <row r="487" ht="13.5" customHeight="1">
      <c r="R487" s="103"/>
    </row>
    <row r="488" ht="13.5" customHeight="1">
      <c r="R488" s="103"/>
    </row>
    <row r="489" ht="13.5" customHeight="1">
      <c r="R489" s="103"/>
    </row>
    <row r="490" ht="13.5" customHeight="1">
      <c r="R490" s="103"/>
    </row>
    <row r="491" ht="13.5" customHeight="1">
      <c r="R491" s="103"/>
    </row>
    <row r="492" ht="13.5" customHeight="1">
      <c r="R492" s="103"/>
    </row>
    <row r="493" ht="13.5" customHeight="1">
      <c r="R493" s="103"/>
    </row>
    <row r="494" ht="13.5" customHeight="1">
      <c r="R494" s="103"/>
    </row>
    <row r="495" ht="13.5" customHeight="1">
      <c r="R495" s="103"/>
    </row>
    <row r="496" ht="13.5" customHeight="1">
      <c r="R496" s="103"/>
    </row>
    <row r="497" ht="13.5" customHeight="1">
      <c r="R497" s="103"/>
    </row>
    <row r="498" ht="13.5" customHeight="1">
      <c r="R498" s="103"/>
    </row>
    <row r="499" ht="13.5" customHeight="1">
      <c r="R499" s="103"/>
    </row>
    <row r="500" ht="13.5" customHeight="1">
      <c r="R500" s="103"/>
    </row>
    <row r="501" ht="13.5" customHeight="1">
      <c r="R501" s="103"/>
    </row>
    <row r="502" ht="13.5" customHeight="1">
      <c r="R502" s="103"/>
    </row>
    <row r="503" ht="13.5" customHeight="1">
      <c r="R503" s="103"/>
    </row>
    <row r="504" ht="13.5" customHeight="1">
      <c r="R504" s="103"/>
    </row>
    <row r="505" ht="13.5" customHeight="1">
      <c r="R505" s="103"/>
    </row>
    <row r="506" ht="13.5" customHeight="1">
      <c r="R506" s="103"/>
    </row>
    <row r="507" ht="13.5" customHeight="1">
      <c r="R507" s="103"/>
    </row>
    <row r="508" ht="13.5" customHeight="1">
      <c r="R508" s="103"/>
    </row>
    <row r="509" ht="13.5" customHeight="1">
      <c r="R509" s="103"/>
    </row>
    <row r="510" ht="13.5" customHeight="1">
      <c r="R510" s="103"/>
    </row>
    <row r="511" ht="13.5" customHeight="1">
      <c r="R511" s="103"/>
    </row>
    <row r="512" ht="13.5" customHeight="1">
      <c r="R512" s="103"/>
    </row>
    <row r="513" ht="13.5" customHeight="1">
      <c r="R513" s="103"/>
    </row>
    <row r="514" ht="13.5" customHeight="1">
      <c r="R514" s="103"/>
    </row>
    <row r="515" ht="13.5" customHeight="1">
      <c r="R515" s="103"/>
    </row>
    <row r="516" ht="13.5" customHeight="1">
      <c r="R516" s="103"/>
    </row>
    <row r="517" ht="13.5" customHeight="1">
      <c r="R517" s="103"/>
    </row>
    <row r="518" ht="13.5" customHeight="1">
      <c r="R518" s="103"/>
    </row>
    <row r="519" ht="13.5" customHeight="1">
      <c r="R519" s="103"/>
    </row>
    <row r="520" ht="13.5" customHeight="1">
      <c r="R520" s="103"/>
    </row>
    <row r="521" ht="13.5" customHeight="1">
      <c r="R521" s="103"/>
    </row>
    <row r="522" ht="13.5" customHeight="1">
      <c r="R522" s="103"/>
    </row>
    <row r="523" ht="13.5" customHeight="1">
      <c r="R523" s="103"/>
    </row>
    <row r="524" ht="13.5" customHeight="1">
      <c r="R524" s="103"/>
    </row>
    <row r="525" ht="13.5" customHeight="1">
      <c r="R525" s="103"/>
    </row>
    <row r="526" ht="13.5" customHeight="1">
      <c r="R526" s="103"/>
    </row>
    <row r="527" ht="13.5" customHeight="1">
      <c r="R527" s="103"/>
    </row>
    <row r="528" ht="13.5" customHeight="1">
      <c r="R528" s="103"/>
    </row>
    <row r="529" ht="13.5" customHeight="1">
      <c r="R529" s="103"/>
    </row>
    <row r="530" ht="13.5" customHeight="1">
      <c r="R530" s="103"/>
    </row>
    <row r="531" ht="13.5" customHeight="1">
      <c r="R531" s="103"/>
    </row>
    <row r="532" ht="13.5" customHeight="1">
      <c r="R532" s="103"/>
    </row>
    <row r="533" ht="13.5" customHeight="1">
      <c r="R533" s="103"/>
    </row>
    <row r="534" ht="13.5" customHeight="1">
      <c r="R534" s="103"/>
    </row>
    <row r="535" ht="13.5" customHeight="1">
      <c r="R535" s="103"/>
    </row>
    <row r="536" ht="13.5" customHeight="1">
      <c r="R536" s="103"/>
    </row>
    <row r="537" ht="13.5" customHeight="1">
      <c r="R537" s="103"/>
    </row>
    <row r="538" ht="13.5" customHeight="1">
      <c r="R538" s="103"/>
    </row>
    <row r="539" ht="13.5" customHeight="1">
      <c r="R539" s="103"/>
    </row>
    <row r="540" ht="13.5" customHeight="1">
      <c r="R540" s="103"/>
    </row>
    <row r="541" ht="13.5" customHeight="1">
      <c r="R541" s="103"/>
    </row>
    <row r="542" ht="13.5" customHeight="1">
      <c r="R542" s="103"/>
    </row>
    <row r="543" ht="13.5" customHeight="1">
      <c r="R543" s="103"/>
    </row>
    <row r="544" ht="13.5" customHeight="1">
      <c r="R544" s="103"/>
    </row>
    <row r="545" ht="13.5" customHeight="1">
      <c r="R545" s="103"/>
    </row>
    <row r="546" ht="13.5" customHeight="1">
      <c r="R546" s="103"/>
    </row>
    <row r="547" ht="13.5" customHeight="1">
      <c r="R547" s="103"/>
    </row>
    <row r="548" ht="13.5" customHeight="1">
      <c r="R548" s="103"/>
    </row>
    <row r="549" ht="13.5" customHeight="1">
      <c r="R549" s="103"/>
    </row>
    <row r="550" ht="13.5" customHeight="1">
      <c r="R550" s="103"/>
    </row>
    <row r="551" ht="13.5" customHeight="1">
      <c r="R551" s="103"/>
    </row>
    <row r="552" ht="13.5" customHeight="1">
      <c r="R552" s="103"/>
    </row>
    <row r="553" ht="13.5" customHeight="1">
      <c r="R553" s="103"/>
    </row>
    <row r="554" ht="13.5" customHeight="1">
      <c r="R554" s="103"/>
    </row>
    <row r="555" ht="13.5" customHeight="1">
      <c r="R555" s="103"/>
    </row>
    <row r="556" ht="13.5" customHeight="1">
      <c r="R556" s="103"/>
    </row>
    <row r="557" ht="13.5" customHeight="1">
      <c r="R557" s="103"/>
    </row>
    <row r="558" ht="13.5" customHeight="1">
      <c r="R558" s="103"/>
    </row>
    <row r="559" ht="13.5" customHeight="1">
      <c r="R559" s="103"/>
    </row>
    <row r="560" ht="13.5" customHeight="1">
      <c r="R560" s="103"/>
    </row>
    <row r="561" ht="13.5" customHeight="1">
      <c r="R561" s="103"/>
    </row>
    <row r="562" ht="13.5" customHeight="1">
      <c r="R562" s="103"/>
    </row>
    <row r="563" ht="13.5" customHeight="1">
      <c r="R563" s="103"/>
    </row>
    <row r="564" ht="13.5" customHeight="1">
      <c r="R564" s="103"/>
    </row>
    <row r="565" ht="13.5" customHeight="1">
      <c r="R565" s="103"/>
    </row>
    <row r="566" ht="13.5" customHeight="1">
      <c r="R566" s="103"/>
    </row>
    <row r="567" ht="13.5" customHeight="1">
      <c r="R567" s="103"/>
    </row>
    <row r="568" ht="13.5" customHeight="1">
      <c r="R568" s="103"/>
    </row>
    <row r="569" ht="13.5" customHeight="1">
      <c r="R569" s="103"/>
    </row>
    <row r="570" ht="13.5" customHeight="1">
      <c r="R570" s="103"/>
    </row>
    <row r="571" ht="13.5" customHeight="1">
      <c r="R571" s="103"/>
    </row>
    <row r="572" ht="13.5" customHeight="1">
      <c r="R572" s="103"/>
    </row>
    <row r="573" ht="13.5" customHeight="1">
      <c r="R573" s="103"/>
    </row>
    <row r="574" ht="13.5" customHeight="1">
      <c r="R574" s="103"/>
    </row>
    <row r="575" ht="13.5" customHeight="1">
      <c r="R575" s="103"/>
    </row>
    <row r="576" ht="13.5" customHeight="1">
      <c r="R576" s="103"/>
    </row>
    <row r="577" ht="13.5" customHeight="1">
      <c r="R577" s="103"/>
    </row>
    <row r="578" ht="13.5" customHeight="1">
      <c r="R578" s="103"/>
    </row>
    <row r="579" ht="13.5" customHeight="1">
      <c r="R579" s="103"/>
    </row>
    <row r="580" ht="13.5" customHeight="1">
      <c r="R580" s="103"/>
    </row>
    <row r="581" ht="13.5" customHeight="1">
      <c r="R581" s="103"/>
    </row>
    <row r="582" ht="13.5" customHeight="1">
      <c r="R582" s="103"/>
    </row>
    <row r="583" ht="13.5" customHeight="1">
      <c r="R583" s="103"/>
    </row>
    <row r="584" ht="13.5" customHeight="1">
      <c r="R584" s="103"/>
    </row>
    <row r="585" ht="13.5" customHeight="1">
      <c r="R585" s="103"/>
    </row>
    <row r="586" ht="13.5" customHeight="1">
      <c r="R586" s="103"/>
    </row>
    <row r="587" ht="13.5" customHeight="1">
      <c r="R587" s="103"/>
    </row>
    <row r="588" ht="13.5" customHeight="1">
      <c r="R588" s="103"/>
    </row>
    <row r="589" ht="13.5" customHeight="1">
      <c r="R589" s="103"/>
    </row>
    <row r="590" ht="13.5" customHeight="1">
      <c r="R590" s="103"/>
    </row>
    <row r="591" ht="13.5" customHeight="1">
      <c r="R591" s="103"/>
    </row>
    <row r="592" ht="13.5" customHeight="1">
      <c r="R592" s="103"/>
    </row>
    <row r="593" ht="13.5" customHeight="1">
      <c r="R593" s="103"/>
    </row>
    <row r="594" ht="13.5" customHeight="1">
      <c r="R594" s="103"/>
    </row>
    <row r="595" ht="13.5" customHeight="1">
      <c r="R595" s="103"/>
    </row>
    <row r="596" ht="13.5" customHeight="1">
      <c r="R596" s="103"/>
    </row>
    <row r="597" ht="13.5" customHeight="1">
      <c r="R597" s="103"/>
    </row>
    <row r="598" ht="13.5" customHeight="1">
      <c r="R598" s="103"/>
    </row>
    <row r="599" ht="13.5" customHeight="1">
      <c r="R599" s="103"/>
    </row>
    <row r="600" ht="13.5" customHeight="1">
      <c r="R600" s="103"/>
    </row>
    <row r="601" ht="13.5" customHeight="1">
      <c r="R601" s="103"/>
    </row>
    <row r="602" ht="13.5" customHeight="1">
      <c r="R602" s="103"/>
    </row>
    <row r="603" ht="13.5" customHeight="1">
      <c r="R603" s="103"/>
    </row>
    <row r="604" ht="13.5" customHeight="1">
      <c r="R604" s="103"/>
    </row>
    <row r="605" ht="13.5" customHeight="1">
      <c r="R605" s="103"/>
    </row>
    <row r="606" ht="13.5" customHeight="1">
      <c r="R606" s="103"/>
    </row>
    <row r="607" ht="13.5" customHeight="1">
      <c r="R607" s="103"/>
    </row>
    <row r="608" ht="13.5" customHeight="1">
      <c r="R608" s="103"/>
    </row>
    <row r="609" ht="13.5" customHeight="1">
      <c r="R609" s="103"/>
    </row>
    <row r="610" ht="13.5" customHeight="1">
      <c r="R610" s="103"/>
    </row>
    <row r="611" ht="13.5" customHeight="1">
      <c r="R611" s="103"/>
    </row>
    <row r="612" ht="13.5" customHeight="1">
      <c r="R612" s="103"/>
    </row>
    <row r="613" ht="13.5" customHeight="1">
      <c r="R613" s="103"/>
    </row>
    <row r="614" ht="13.5" customHeight="1">
      <c r="R614" s="103"/>
    </row>
    <row r="615" ht="13.5" customHeight="1">
      <c r="R615" s="103"/>
    </row>
    <row r="616" ht="13.5" customHeight="1">
      <c r="R616" s="103"/>
    </row>
    <row r="617" ht="13.5" customHeight="1">
      <c r="R617" s="103"/>
    </row>
    <row r="618" ht="13.5" customHeight="1">
      <c r="R618" s="103"/>
    </row>
    <row r="619" ht="13.5" customHeight="1">
      <c r="R619" s="103"/>
    </row>
    <row r="620" ht="13.5" customHeight="1">
      <c r="R620" s="103"/>
    </row>
    <row r="621" ht="13.5" customHeight="1">
      <c r="R621" s="103"/>
    </row>
    <row r="622" ht="13.5" customHeight="1">
      <c r="R622" s="103"/>
    </row>
    <row r="623" ht="13.5" customHeight="1">
      <c r="R623" s="103"/>
    </row>
    <row r="624" ht="13.5" customHeight="1">
      <c r="R624" s="103"/>
    </row>
    <row r="625" ht="13.5" customHeight="1">
      <c r="R625" s="103"/>
    </row>
    <row r="626" ht="13.5" customHeight="1">
      <c r="R626" s="103"/>
    </row>
    <row r="627" ht="13.5" customHeight="1">
      <c r="R627" s="103"/>
    </row>
    <row r="628" ht="13.5" customHeight="1">
      <c r="R628" s="103"/>
    </row>
    <row r="629" ht="13.5" customHeight="1">
      <c r="R629" s="103"/>
    </row>
    <row r="630" ht="13.5" customHeight="1">
      <c r="R630" s="103"/>
    </row>
    <row r="631" ht="13.5" customHeight="1">
      <c r="R631" s="103"/>
    </row>
    <row r="632" ht="13.5" customHeight="1">
      <c r="R632" s="103"/>
    </row>
    <row r="633" ht="13.5" customHeight="1">
      <c r="R633" s="103"/>
    </row>
    <row r="634" ht="13.5" customHeight="1">
      <c r="R634" s="103"/>
    </row>
    <row r="635" ht="13.5" customHeight="1">
      <c r="R635" s="103"/>
    </row>
    <row r="636" ht="13.5" customHeight="1">
      <c r="R636" s="103"/>
    </row>
    <row r="637" ht="13.5" customHeight="1">
      <c r="R637" s="103"/>
    </row>
    <row r="638" ht="13.5" customHeight="1">
      <c r="R638" s="103"/>
    </row>
    <row r="639" ht="13.5" customHeight="1">
      <c r="R639" s="103"/>
    </row>
    <row r="640" ht="13.5" customHeight="1">
      <c r="R640" s="103"/>
    </row>
    <row r="641" ht="13.5" customHeight="1">
      <c r="R641" s="103"/>
    </row>
    <row r="642" ht="13.5" customHeight="1">
      <c r="R642" s="103"/>
    </row>
    <row r="643" ht="13.5" customHeight="1">
      <c r="R643" s="103"/>
    </row>
    <row r="644" ht="13.5" customHeight="1">
      <c r="R644" s="103"/>
    </row>
    <row r="645" ht="13.5" customHeight="1">
      <c r="R645" s="103"/>
    </row>
    <row r="646" ht="13.5" customHeight="1">
      <c r="R646" s="103"/>
    </row>
    <row r="647" ht="13.5" customHeight="1">
      <c r="R647" s="103"/>
    </row>
    <row r="648" ht="13.5" customHeight="1">
      <c r="R648" s="103"/>
    </row>
    <row r="649" ht="13.5" customHeight="1">
      <c r="R649" s="103"/>
    </row>
    <row r="650" ht="13.5" customHeight="1">
      <c r="R650" s="103"/>
    </row>
    <row r="651" ht="13.5" customHeight="1">
      <c r="R651" s="103"/>
    </row>
    <row r="652" ht="13.5" customHeight="1">
      <c r="R652" s="103"/>
    </row>
    <row r="653" ht="13.5" customHeight="1">
      <c r="R653" s="103"/>
    </row>
    <row r="654" ht="13.5" customHeight="1">
      <c r="R654" s="103"/>
    </row>
    <row r="655" ht="13.5" customHeight="1">
      <c r="R655" s="103"/>
    </row>
    <row r="656" ht="13.5" customHeight="1">
      <c r="R656" s="103"/>
    </row>
    <row r="657" ht="13.5" customHeight="1">
      <c r="R657" s="103"/>
    </row>
    <row r="658" ht="13.5" customHeight="1">
      <c r="R658" s="103"/>
    </row>
    <row r="659" ht="13.5" customHeight="1">
      <c r="R659" s="103"/>
    </row>
    <row r="660" ht="13.5" customHeight="1">
      <c r="R660" s="103"/>
    </row>
    <row r="661" ht="13.5" customHeight="1">
      <c r="R661" s="103"/>
    </row>
    <row r="662" ht="13.5" customHeight="1">
      <c r="R662" s="103"/>
    </row>
    <row r="663" ht="13.5" customHeight="1">
      <c r="R663" s="103"/>
    </row>
    <row r="664" ht="13.5" customHeight="1">
      <c r="R664" s="103"/>
    </row>
    <row r="665" ht="13.5" customHeight="1">
      <c r="R665" s="103"/>
    </row>
    <row r="666" ht="13.5" customHeight="1">
      <c r="R666" s="103"/>
    </row>
    <row r="667" ht="13.5" customHeight="1">
      <c r="R667" s="103"/>
    </row>
    <row r="668" ht="13.5" customHeight="1">
      <c r="R668" s="103"/>
    </row>
    <row r="669" ht="13.5" customHeight="1">
      <c r="R669" s="103"/>
    </row>
    <row r="670" ht="13.5" customHeight="1">
      <c r="R670" s="103"/>
    </row>
    <row r="671" ht="13.5" customHeight="1">
      <c r="R671" s="103"/>
    </row>
    <row r="672" ht="13.5" customHeight="1">
      <c r="R672" s="103"/>
    </row>
    <row r="673" ht="13.5" customHeight="1">
      <c r="R673" s="103"/>
    </row>
    <row r="674" ht="13.5" customHeight="1">
      <c r="R674" s="103"/>
    </row>
    <row r="675" ht="13.5" customHeight="1">
      <c r="R675" s="103"/>
    </row>
    <row r="676" ht="13.5" customHeight="1">
      <c r="R676" s="103"/>
    </row>
    <row r="677" ht="13.5" customHeight="1">
      <c r="R677" s="103"/>
    </row>
    <row r="678" ht="13.5" customHeight="1">
      <c r="R678" s="103"/>
    </row>
    <row r="679" ht="13.5" customHeight="1">
      <c r="R679" s="103"/>
    </row>
    <row r="680" ht="13.5" customHeight="1">
      <c r="R680" s="103"/>
    </row>
    <row r="681" ht="13.5" customHeight="1">
      <c r="R681" s="103"/>
    </row>
    <row r="682" ht="13.5" customHeight="1">
      <c r="R682" s="103"/>
    </row>
    <row r="683" ht="13.5" customHeight="1">
      <c r="R683" s="103"/>
    </row>
    <row r="684" ht="13.5" customHeight="1">
      <c r="R684" s="103"/>
    </row>
    <row r="685" ht="13.5" customHeight="1">
      <c r="R685" s="103"/>
    </row>
    <row r="686" ht="13.5" customHeight="1">
      <c r="R686" s="103"/>
    </row>
    <row r="687" ht="13.5" customHeight="1">
      <c r="R687" s="103"/>
    </row>
    <row r="688" ht="13.5" customHeight="1">
      <c r="R688" s="103"/>
    </row>
    <row r="689" ht="13.5" customHeight="1">
      <c r="R689" s="103"/>
    </row>
    <row r="690" ht="13.5" customHeight="1">
      <c r="R690" s="103"/>
    </row>
    <row r="691" ht="13.5" customHeight="1">
      <c r="R691" s="103"/>
    </row>
    <row r="692" ht="13.5" customHeight="1">
      <c r="R692" s="103"/>
    </row>
    <row r="693" ht="13.5" customHeight="1">
      <c r="R693" s="103"/>
    </row>
    <row r="694" ht="13.5" customHeight="1">
      <c r="R694" s="103"/>
    </row>
    <row r="695" ht="13.5" customHeight="1">
      <c r="R695" s="103"/>
    </row>
    <row r="696" ht="13.5" customHeight="1">
      <c r="R696" s="103"/>
    </row>
    <row r="697" ht="13.5" customHeight="1">
      <c r="R697" s="103"/>
    </row>
    <row r="698" ht="13.5" customHeight="1">
      <c r="R698" s="103"/>
    </row>
    <row r="699" ht="13.5" customHeight="1">
      <c r="R699" s="103"/>
    </row>
    <row r="700" ht="13.5" customHeight="1">
      <c r="R700" s="103"/>
    </row>
    <row r="701" ht="13.5" customHeight="1">
      <c r="R701" s="103"/>
    </row>
    <row r="702" ht="13.5" customHeight="1">
      <c r="R702" s="103"/>
    </row>
    <row r="703" ht="13.5" customHeight="1">
      <c r="R703" s="103"/>
    </row>
    <row r="704" ht="13.5" customHeight="1">
      <c r="R704" s="103"/>
    </row>
    <row r="705" ht="13.5" customHeight="1">
      <c r="R705" s="103"/>
    </row>
    <row r="706" ht="13.5" customHeight="1">
      <c r="R706" s="103"/>
    </row>
    <row r="707" ht="13.5" customHeight="1">
      <c r="R707" s="103"/>
    </row>
    <row r="708" ht="13.5" customHeight="1">
      <c r="R708" s="103"/>
    </row>
    <row r="709" ht="13.5" customHeight="1">
      <c r="R709" s="103"/>
    </row>
    <row r="710" ht="13.5" customHeight="1">
      <c r="R710" s="103"/>
    </row>
    <row r="711" ht="13.5" customHeight="1">
      <c r="R711" s="103"/>
    </row>
    <row r="712" ht="13.5" customHeight="1">
      <c r="R712" s="103"/>
    </row>
    <row r="713" ht="13.5" customHeight="1">
      <c r="R713" s="103"/>
    </row>
    <row r="714" ht="13.5" customHeight="1">
      <c r="R714" s="103"/>
    </row>
    <row r="715" ht="13.5" customHeight="1">
      <c r="R715" s="103"/>
    </row>
    <row r="716" ht="13.5" customHeight="1">
      <c r="R716" s="103"/>
    </row>
    <row r="717" ht="13.5" customHeight="1">
      <c r="R717" s="103"/>
    </row>
    <row r="718" ht="13.5" customHeight="1">
      <c r="R718" s="103"/>
    </row>
    <row r="719" ht="13.5" customHeight="1">
      <c r="R719" s="103"/>
    </row>
    <row r="720" ht="13.5" customHeight="1">
      <c r="R720" s="103"/>
    </row>
    <row r="721" ht="13.5" customHeight="1">
      <c r="R721" s="103"/>
    </row>
    <row r="722" ht="13.5" customHeight="1">
      <c r="R722" s="103"/>
    </row>
    <row r="723" ht="13.5" customHeight="1">
      <c r="R723" s="103"/>
    </row>
    <row r="724" ht="13.5" customHeight="1">
      <c r="R724" s="103"/>
    </row>
    <row r="725" ht="13.5" customHeight="1">
      <c r="R725" s="103"/>
    </row>
    <row r="726" ht="13.5" customHeight="1">
      <c r="R726" s="103"/>
    </row>
    <row r="727" ht="13.5" customHeight="1">
      <c r="R727" s="103"/>
    </row>
    <row r="728" ht="13.5" customHeight="1">
      <c r="R728" s="103"/>
    </row>
    <row r="729" ht="13.5" customHeight="1">
      <c r="R729" s="103"/>
    </row>
    <row r="730" ht="13.5" customHeight="1">
      <c r="R730" s="103"/>
    </row>
    <row r="731" ht="13.5" customHeight="1">
      <c r="R731" s="103"/>
    </row>
    <row r="732" ht="13.5" customHeight="1">
      <c r="R732" s="103"/>
    </row>
    <row r="733" ht="13.5" customHeight="1">
      <c r="R733" s="103"/>
    </row>
    <row r="734" ht="13.5" customHeight="1">
      <c r="R734" s="103"/>
    </row>
    <row r="735" ht="13.5" customHeight="1">
      <c r="R735" s="103"/>
    </row>
    <row r="736" ht="13.5" customHeight="1">
      <c r="R736" s="103"/>
    </row>
    <row r="737" ht="13.5" customHeight="1">
      <c r="R737" s="103"/>
    </row>
    <row r="738" ht="13.5" customHeight="1">
      <c r="R738" s="103"/>
    </row>
    <row r="739" ht="13.5" customHeight="1">
      <c r="R739" s="103"/>
    </row>
    <row r="740" ht="13.5" customHeight="1">
      <c r="R740" s="103"/>
    </row>
    <row r="741" ht="13.5" customHeight="1">
      <c r="R741" s="103"/>
    </row>
    <row r="742" ht="13.5" customHeight="1">
      <c r="R742" s="103"/>
    </row>
    <row r="743" ht="13.5" customHeight="1">
      <c r="R743" s="103"/>
    </row>
    <row r="744" ht="13.5" customHeight="1">
      <c r="R744" s="103"/>
    </row>
    <row r="745" ht="13.5" customHeight="1">
      <c r="R745" s="103"/>
    </row>
    <row r="746" ht="13.5" customHeight="1">
      <c r="R746" s="103"/>
    </row>
    <row r="747" ht="13.5" customHeight="1">
      <c r="R747" s="103"/>
    </row>
    <row r="748" ht="13.5" customHeight="1">
      <c r="R748" s="103"/>
    </row>
    <row r="749" ht="13.5" customHeight="1">
      <c r="R749" s="103"/>
    </row>
    <row r="750" ht="13.5" customHeight="1">
      <c r="R750" s="103"/>
    </row>
    <row r="751" ht="13.5" customHeight="1">
      <c r="R751" s="103"/>
    </row>
    <row r="752" ht="13.5" customHeight="1">
      <c r="R752" s="103"/>
    </row>
    <row r="753" ht="13.5" customHeight="1">
      <c r="R753" s="103"/>
    </row>
    <row r="754" ht="13.5" customHeight="1">
      <c r="R754" s="103"/>
    </row>
    <row r="755" ht="13.5" customHeight="1">
      <c r="R755" s="103"/>
    </row>
    <row r="756" ht="13.5" customHeight="1">
      <c r="R756" s="103"/>
    </row>
    <row r="757" ht="13.5" customHeight="1">
      <c r="R757" s="103"/>
    </row>
    <row r="758" ht="13.5" customHeight="1">
      <c r="R758" s="103"/>
    </row>
    <row r="759" ht="13.5" customHeight="1">
      <c r="R759" s="103"/>
    </row>
    <row r="760" ht="13.5" customHeight="1">
      <c r="R760" s="103"/>
    </row>
    <row r="761" ht="13.5" customHeight="1">
      <c r="R761" s="103"/>
    </row>
    <row r="762" ht="13.5" customHeight="1">
      <c r="R762" s="103"/>
    </row>
    <row r="763" ht="13.5" customHeight="1">
      <c r="R763" s="103"/>
    </row>
    <row r="764" ht="13.5" customHeight="1">
      <c r="R764" s="103"/>
    </row>
    <row r="765" ht="13.5" customHeight="1">
      <c r="R765" s="103"/>
    </row>
    <row r="766" ht="13.5" customHeight="1">
      <c r="R766" s="103"/>
    </row>
    <row r="767" ht="13.5" customHeight="1">
      <c r="R767" s="103"/>
    </row>
    <row r="768" ht="13.5" customHeight="1">
      <c r="R768" s="103"/>
    </row>
    <row r="769" ht="13.5" customHeight="1">
      <c r="R769" s="103"/>
    </row>
    <row r="770" ht="13.5" customHeight="1">
      <c r="R770" s="103"/>
    </row>
    <row r="771" ht="13.5" customHeight="1">
      <c r="R771" s="103"/>
    </row>
    <row r="772" ht="13.5" customHeight="1">
      <c r="R772" s="103"/>
    </row>
    <row r="773" ht="13.5" customHeight="1">
      <c r="R773" s="103"/>
    </row>
    <row r="774" ht="13.5" customHeight="1">
      <c r="R774" s="103"/>
    </row>
    <row r="775" ht="13.5" customHeight="1">
      <c r="R775" s="103"/>
    </row>
    <row r="776" ht="13.5" customHeight="1">
      <c r="R776" s="103"/>
    </row>
    <row r="777" ht="13.5" customHeight="1">
      <c r="R777" s="103"/>
    </row>
    <row r="778" ht="13.5" customHeight="1">
      <c r="R778" s="103"/>
    </row>
    <row r="779" ht="13.5" customHeight="1">
      <c r="R779" s="103"/>
    </row>
    <row r="780" ht="13.5" customHeight="1">
      <c r="R780" s="103"/>
    </row>
    <row r="781" ht="13.5" customHeight="1">
      <c r="R781" s="103"/>
    </row>
    <row r="782" ht="13.5" customHeight="1">
      <c r="R782" s="103"/>
    </row>
    <row r="783" ht="13.5" customHeight="1">
      <c r="R783" s="103"/>
    </row>
    <row r="784" ht="13.5" customHeight="1">
      <c r="R784" s="103"/>
    </row>
    <row r="785" ht="13.5" customHeight="1">
      <c r="R785" s="103"/>
    </row>
    <row r="786" ht="13.5" customHeight="1">
      <c r="R786" s="103"/>
    </row>
    <row r="787" ht="13.5" customHeight="1">
      <c r="R787" s="103"/>
    </row>
    <row r="788" ht="13.5" customHeight="1">
      <c r="R788" s="103"/>
    </row>
    <row r="789" ht="13.5" customHeight="1">
      <c r="R789" s="103"/>
    </row>
    <row r="790" ht="13.5" customHeight="1">
      <c r="R790" s="103"/>
    </row>
    <row r="791" ht="13.5" customHeight="1">
      <c r="R791" s="103"/>
    </row>
    <row r="792" ht="13.5" customHeight="1">
      <c r="R792" s="103"/>
    </row>
    <row r="793" ht="13.5" customHeight="1">
      <c r="R793" s="103"/>
    </row>
    <row r="794" ht="13.5" customHeight="1">
      <c r="R794" s="103"/>
    </row>
    <row r="795" ht="13.5" customHeight="1">
      <c r="R795" s="103"/>
    </row>
    <row r="796" ht="13.5" customHeight="1">
      <c r="R796" s="103"/>
    </row>
    <row r="797" ht="13.5" customHeight="1">
      <c r="R797" s="103"/>
    </row>
    <row r="798" ht="13.5" customHeight="1">
      <c r="R798" s="103"/>
    </row>
    <row r="799" ht="13.5" customHeight="1">
      <c r="R799" s="103"/>
    </row>
    <row r="800" ht="13.5" customHeight="1">
      <c r="R800" s="103"/>
    </row>
    <row r="801" ht="13.5" customHeight="1">
      <c r="R801" s="103"/>
    </row>
    <row r="802" ht="13.5" customHeight="1">
      <c r="R802" s="103"/>
    </row>
    <row r="803" ht="13.5" customHeight="1">
      <c r="R803" s="103"/>
    </row>
    <row r="804" ht="13.5" customHeight="1">
      <c r="R804" s="103"/>
    </row>
    <row r="805" ht="13.5" customHeight="1">
      <c r="R805" s="103"/>
    </row>
    <row r="806" ht="13.5" customHeight="1">
      <c r="R806" s="103"/>
    </row>
    <row r="807" ht="13.5" customHeight="1">
      <c r="R807" s="103"/>
    </row>
    <row r="808" ht="13.5" customHeight="1">
      <c r="R808" s="103"/>
    </row>
    <row r="809" ht="13.5" customHeight="1">
      <c r="R809" s="103"/>
    </row>
    <row r="810" ht="13.5" customHeight="1">
      <c r="R810" s="103"/>
    </row>
    <row r="811" ht="13.5" customHeight="1">
      <c r="R811" s="103"/>
    </row>
    <row r="812" ht="13.5" customHeight="1">
      <c r="R812" s="103"/>
    </row>
    <row r="813" ht="13.5" customHeight="1">
      <c r="R813" s="103"/>
    </row>
    <row r="814" ht="13.5" customHeight="1">
      <c r="R814" s="103"/>
    </row>
    <row r="815" ht="13.5" customHeight="1">
      <c r="R815" s="103"/>
    </row>
    <row r="816" ht="13.5" customHeight="1">
      <c r="R816" s="103"/>
    </row>
    <row r="817" ht="13.5" customHeight="1">
      <c r="R817" s="103"/>
    </row>
    <row r="818" ht="13.5" customHeight="1">
      <c r="R818" s="103"/>
    </row>
    <row r="819" ht="13.5" customHeight="1">
      <c r="R819" s="103"/>
    </row>
    <row r="820" ht="13.5" customHeight="1">
      <c r="R820" s="103"/>
    </row>
    <row r="821" ht="13.5" customHeight="1">
      <c r="R821" s="103"/>
    </row>
    <row r="822" ht="13.5" customHeight="1">
      <c r="R822" s="103"/>
    </row>
    <row r="823" ht="13.5" customHeight="1">
      <c r="R823" s="103"/>
    </row>
    <row r="824" ht="13.5" customHeight="1">
      <c r="R824" s="103"/>
    </row>
    <row r="825" ht="13.5" customHeight="1">
      <c r="R825" s="103"/>
    </row>
    <row r="826" ht="13.5" customHeight="1">
      <c r="R826" s="103"/>
    </row>
    <row r="827" ht="13.5" customHeight="1">
      <c r="R827" s="103"/>
    </row>
    <row r="828" ht="13.5" customHeight="1">
      <c r="R828" s="103"/>
    </row>
    <row r="829" ht="13.5" customHeight="1">
      <c r="R829" s="103"/>
    </row>
    <row r="830" ht="13.5" customHeight="1">
      <c r="R830" s="103"/>
    </row>
    <row r="831" ht="13.5" customHeight="1">
      <c r="R831" s="103"/>
    </row>
    <row r="832" ht="13.5" customHeight="1">
      <c r="R832" s="103"/>
    </row>
    <row r="833" ht="13.5" customHeight="1">
      <c r="R833" s="103"/>
    </row>
    <row r="834" ht="13.5" customHeight="1">
      <c r="R834" s="103"/>
    </row>
    <row r="835" ht="13.5" customHeight="1">
      <c r="R835" s="103"/>
    </row>
    <row r="836" ht="13.5" customHeight="1">
      <c r="R836" s="103"/>
    </row>
    <row r="837" ht="13.5" customHeight="1">
      <c r="R837" s="103"/>
    </row>
    <row r="838" ht="13.5" customHeight="1">
      <c r="R838" s="103"/>
    </row>
    <row r="839" ht="13.5" customHeight="1">
      <c r="R839" s="103"/>
    </row>
    <row r="840" ht="13.5" customHeight="1">
      <c r="R840" s="103"/>
    </row>
    <row r="841" ht="13.5" customHeight="1">
      <c r="R841" s="103"/>
    </row>
    <row r="842" ht="13.5" customHeight="1">
      <c r="R842" s="103"/>
    </row>
    <row r="843" ht="13.5" customHeight="1">
      <c r="R843" s="103"/>
    </row>
    <row r="844" ht="13.5" customHeight="1">
      <c r="R844" s="103"/>
    </row>
    <row r="845" ht="13.5" customHeight="1">
      <c r="R845" s="103"/>
    </row>
    <row r="846" ht="13.5" customHeight="1">
      <c r="R846" s="103"/>
    </row>
    <row r="847" ht="13.5" customHeight="1">
      <c r="R847" s="103"/>
    </row>
    <row r="848" ht="13.5" customHeight="1">
      <c r="R848" s="103"/>
    </row>
    <row r="849" ht="13.5" customHeight="1">
      <c r="R849" s="103"/>
    </row>
    <row r="850" ht="13.5" customHeight="1">
      <c r="R850" s="103"/>
    </row>
    <row r="851" ht="13.5" customHeight="1">
      <c r="R851" s="103"/>
    </row>
    <row r="852" ht="13.5" customHeight="1">
      <c r="R852" s="103"/>
    </row>
    <row r="853" ht="13.5" customHeight="1">
      <c r="R853" s="103"/>
    </row>
    <row r="854" ht="13.5" customHeight="1">
      <c r="R854" s="103"/>
    </row>
    <row r="855" ht="13.5" customHeight="1">
      <c r="R855" s="103"/>
    </row>
    <row r="856" ht="13.5" customHeight="1">
      <c r="R856" s="103"/>
    </row>
    <row r="857" ht="13.5" customHeight="1">
      <c r="R857" s="103"/>
    </row>
    <row r="858" ht="13.5" customHeight="1">
      <c r="R858" s="103"/>
    </row>
    <row r="859" ht="13.5" customHeight="1">
      <c r="R859" s="103"/>
    </row>
    <row r="860" ht="13.5" customHeight="1">
      <c r="R860" s="103"/>
    </row>
    <row r="861" ht="13.5" customHeight="1">
      <c r="R861" s="103"/>
    </row>
    <row r="862" ht="13.5" customHeight="1">
      <c r="R862" s="103"/>
    </row>
    <row r="863" ht="13.5" customHeight="1">
      <c r="R863" s="103"/>
    </row>
    <row r="864" ht="13.5" customHeight="1">
      <c r="R864" s="103"/>
    </row>
    <row r="865" ht="13.5" customHeight="1">
      <c r="R865" s="103"/>
    </row>
    <row r="866" ht="13.5" customHeight="1">
      <c r="R866" s="103"/>
    </row>
    <row r="867" ht="13.5" customHeight="1">
      <c r="R867" s="103"/>
    </row>
    <row r="868" ht="13.5" customHeight="1">
      <c r="R868" s="103"/>
    </row>
    <row r="869" ht="13.5" customHeight="1">
      <c r="R869" s="103"/>
    </row>
    <row r="870" ht="13.5" customHeight="1">
      <c r="R870" s="103"/>
    </row>
    <row r="871" ht="13.5" customHeight="1">
      <c r="R871" s="103"/>
    </row>
    <row r="872" ht="13.5" customHeight="1">
      <c r="R872" s="103"/>
    </row>
    <row r="873" ht="13.5" customHeight="1">
      <c r="R873" s="103"/>
    </row>
    <row r="874" ht="13.5" customHeight="1">
      <c r="R874" s="103"/>
    </row>
    <row r="875" ht="13.5" customHeight="1">
      <c r="R875" s="103"/>
    </row>
    <row r="876" ht="13.5" customHeight="1">
      <c r="R876" s="103"/>
    </row>
    <row r="877" ht="13.5" customHeight="1">
      <c r="R877" s="103"/>
    </row>
    <row r="878" ht="13.5" customHeight="1">
      <c r="R878" s="103"/>
    </row>
    <row r="879" ht="13.5" customHeight="1">
      <c r="R879" s="103"/>
    </row>
    <row r="880" ht="13.5" customHeight="1">
      <c r="R880" s="103"/>
    </row>
    <row r="881" ht="13.5" customHeight="1">
      <c r="R881" s="103"/>
    </row>
    <row r="882" ht="13.5" customHeight="1">
      <c r="R882" s="103"/>
    </row>
    <row r="883" ht="13.5" customHeight="1">
      <c r="R883" s="103"/>
    </row>
    <row r="884" ht="13.5" customHeight="1">
      <c r="R884" s="103"/>
    </row>
    <row r="885" ht="13.5" customHeight="1">
      <c r="R885" s="103"/>
    </row>
    <row r="886" ht="13.5" customHeight="1">
      <c r="R886" s="103"/>
    </row>
    <row r="887" ht="13.5" customHeight="1">
      <c r="R887" s="103"/>
    </row>
    <row r="888" ht="13.5" customHeight="1">
      <c r="R888" s="103"/>
    </row>
    <row r="889" ht="13.5" customHeight="1">
      <c r="R889" s="103"/>
    </row>
    <row r="890" ht="13.5" customHeight="1">
      <c r="R890" s="103"/>
    </row>
    <row r="891" ht="13.5" customHeight="1">
      <c r="R891" s="103"/>
    </row>
    <row r="892" ht="13.5" customHeight="1">
      <c r="R892" s="103"/>
    </row>
    <row r="893" ht="13.5" customHeight="1">
      <c r="R893" s="103"/>
    </row>
    <row r="894" ht="13.5" customHeight="1">
      <c r="R894" s="103"/>
    </row>
    <row r="895" ht="13.5" customHeight="1">
      <c r="R895" s="103"/>
    </row>
    <row r="896" ht="13.5" customHeight="1">
      <c r="R896" s="103"/>
    </row>
    <row r="897" ht="13.5" customHeight="1">
      <c r="R897" s="103"/>
    </row>
    <row r="898" ht="13.5" customHeight="1">
      <c r="R898" s="103"/>
    </row>
    <row r="899" ht="13.5" customHeight="1">
      <c r="R899" s="103"/>
    </row>
    <row r="900" ht="13.5" customHeight="1">
      <c r="R900" s="103"/>
    </row>
    <row r="901" ht="13.5" customHeight="1">
      <c r="R901" s="103"/>
    </row>
    <row r="902" ht="13.5" customHeight="1">
      <c r="R902" s="103"/>
    </row>
    <row r="903" ht="13.5" customHeight="1">
      <c r="R903" s="103"/>
    </row>
    <row r="904" ht="13.5" customHeight="1">
      <c r="R904" s="103"/>
    </row>
    <row r="905" ht="13.5" customHeight="1">
      <c r="R905" s="103"/>
    </row>
    <row r="906" ht="13.5" customHeight="1">
      <c r="R906" s="103"/>
    </row>
    <row r="907" ht="13.5" customHeight="1">
      <c r="R907" s="103"/>
    </row>
    <row r="908" ht="13.5" customHeight="1">
      <c r="R908" s="103"/>
    </row>
    <row r="909" ht="13.5" customHeight="1">
      <c r="R909" s="103"/>
    </row>
    <row r="910" ht="13.5" customHeight="1">
      <c r="R910" s="103"/>
    </row>
    <row r="911" ht="13.5" customHeight="1">
      <c r="R911" s="103"/>
    </row>
    <row r="912" ht="13.5" customHeight="1">
      <c r="R912" s="103"/>
    </row>
    <row r="913" ht="13.5" customHeight="1">
      <c r="R913" s="103"/>
    </row>
    <row r="914" ht="13.5" customHeight="1">
      <c r="R914" s="103"/>
    </row>
    <row r="915" ht="13.5" customHeight="1">
      <c r="R915" s="103"/>
    </row>
    <row r="916" ht="13.5" customHeight="1">
      <c r="R916" s="103"/>
    </row>
    <row r="917" ht="13.5" customHeight="1">
      <c r="R917" s="103"/>
    </row>
    <row r="918" ht="13.5" customHeight="1">
      <c r="R918" s="103"/>
    </row>
    <row r="919" ht="13.5" customHeight="1">
      <c r="R919" s="103"/>
    </row>
    <row r="920" ht="13.5" customHeight="1">
      <c r="R920" s="103"/>
    </row>
    <row r="921" ht="13.5" customHeight="1">
      <c r="R921" s="103"/>
    </row>
    <row r="922" ht="13.5" customHeight="1">
      <c r="R922" s="103"/>
    </row>
    <row r="923" ht="13.5" customHeight="1">
      <c r="R923" s="103"/>
    </row>
    <row r="924" ht="13.5" customHeight="1">
      <c r="R924" s="103"/>
    </row>
    <row r="925" ht="13.5" customHeight="1">
      <c r="R925" s="103"/>
    </row>
    <row r="926" ht="13.5" customHeight="1">
      <c r="R926" s="103"/>
    </row>
    <row r="927" ht="13.5" customHeight="1">
      <c r="R927" s="103"/>
    </row>
    <row r="928" ht="13.5" customHeight="1">
      <c r="R928" s="103"/>
    </row>
    <row r="929" ht="13.5" customHeight="1">
      <c r="R929" s="103"/>
    </row>
    <row r="930" ht="13.5" customHeight="1">
      <c r="R930" s="103"/>
    </row>
    <row r="931" ht="13.5" customHeight="1">
      <c r="R931" s="103"/>
    </row>
    <row r="932" ht="13.5" customHeight="1">
      <c r="R932" s="103"/>
    </row>
    <row r="933" ht="13.5" customHeight="1">
      <c r="R933" s="103"/>
    </row>
    <row r="934" ht="13.5" customHeight="1">
      <c r="R934" s="103"/>
    </row>
    <row r="935" ht="13.5" customHeight="1">
      <c r="R935" s="103"/>
    </row>
    <row r="936" ht="13.5" customHeight="1">
      <c r="R936" s="103"/>
    </row>
    <row r="937" ht="13.5" customHeight="1">
      <c r="R937" s="103"/>
    </row>
    <row r="938" ht="13.5" customHeight="1">
      <c r="R938" s="103"/>
    </row>
    <row r="939" ht="13.5" customHeight="1">
      <c r="R939" s="103"/>
    </row>
    <row r="940" ht="13.5" customHeight="1">
      <c r="R940" s="103"/>
    </row>
    <row r="941" ht="13.5" customHeight="1">
      <c r="R941" s="103"/>
    </row>
    <row r="942" ht="13.5" customHeight="1">
      <c r="R942" s="103"/>
    </row>
    <row r="943" ht="13.5" customHeight="1">
      <c r="R943" s="103"/>
    </row>
    <row r="944" ht="13.5" customHeight="1">
      <c r="R944" s="103"/>
    </row>
    <row r="945" ht="13.5" customHeight="1">
      <c r="R945" s="103"/>
    </row>
    <row r="946" ht="13.5" customHeight="1">
      <c r="R946" s="103"/>
    </row>
    <row r="947" ht="13.5" customHeight="1">
      <c r="R947" s="103"/>
    </row>
    <row r="948" ht="13.5" customHeight="1">
      <c r="R948" s="103"/>
    </row>
    <row r="949" ht="13.5" customHeight="1">
      <c r="R949" s="103"/>
    </row>
    <row r="950" ht="13.5" customHeight="1">
      <c r="R950" s="103"/>
    </row>
    <row r="951" ht="13.5" customHeight="1">
      <c r="R951" s="103"/>
    </row>
    <row r="952" ht="13.5" customHeight="1">
      <c r="R952" s="103"/>
    </row>
    <row r="953" ht="13.5" customHeight="1">
      <c r="R953" s="103"/>
    </row>
    <row r="954" ht="13.5" customHeight="1">
      <c r="R954" s="103"/>
    </row>
    <row r="955" ht="13.5" customHeight="1">
      <c r="R955" s="103"/>
    </row>
    <row r="956" ht="13.5" customHeight="1">
      <c r="R956" s="103"/>
    </row>
    <row r="957" ht="13.5" customHeight="1">
      <c r="R957" s="103"/>
    </row>
    <row r="958" ht="13.5" customHeight="1">
      <c r="R958" s="103"/>
    </row>
    <row r="959" ht="13.5" customHeight="1">
      <c r="R959" s="103"/>
    </row>
    <row r="960" ht="13.5" customHeight="1">
      <c r="R960" s="103"/>
    </row>
    <row r="961" ht="13.5" customHeight="1">
      <c r="R961" s="103"/>
    </row>
    <row r="962" ht="13.5" customHeight="1">
      <c r="R962" s="103"/>
    </row>
    <row r="963" ht="13.5" customHeight="1">
      <c r="R963" s="103"/>
    </row>
    <row r="964" ht="13.5" customHeight="1">
      <c r="R964" s="103"/>
    </row>
    <row r="965" ht="13.5" customHeight="1">
      <c r="R965" s="103"/>
    </row>
    <row r="966" ht="13.5" customHeight="1">
      <c r="R966" s="103"/>
    </row>
    <row r="967" ht="13.5" customHeight="1">
      <c r="R967" s="103"/>
    </row>
    <row r="968" ht="13.5" customHeight="1">
      <c r="R968" s="103"/>
    </row>
    <row r="969" ht="13.5" customHeight="1">
      <c r="R969" s="103"/>
    </row>
    <row r="970" ht="13.5" customHeight="1">
      <c r="R970" s="103"/>
    </row>
    <row r="971" ht="13.5" customHeight="1">
      <c r="R971" s="103"/>
    </row>
    <row r="972" ht="13.5" customHeight="1">
      <c r="R972" s="103"/>
    </row>
    <row r="973" ht="13.5" customHeight="1">
      <c r="R973" s="103"/>
    </row>
    <row r="974" ht="13.5" customHeight="1">
      <c r="R974" s="103"/>
    </row>
    <row r="975" ht="13.5" customHeight="1">
      <c r="R975" s="103"/>
    </row>
    <row r="976" ht="13.5" customHeight="1">
      <c r="R976" s="103"/>
    </row>
    <row r="977" ht="13.5" customHeight="1">
      <c r="R977" s="103"/>
    </row>
    <row r="978" ht="13.5" customHeight="1">
      <c r="R978" s="103"/>
    </row>
    <row r="979" ht="13.5" customHeight="1">
      <c r="R979" s="103"/>
    </row>
    <row r="980" ht="13.5" customHeight="1">
      <c r="R980" s="103"/>
    </row>
    <row r="981" ht="13.5" customHeight="1">
      <c r="R981" s="103"/>
    </row>
    <row r="982" ht="13.5" customHeight="1">
      <c r="R982" s="103"/>
    </row>
    <row r="983" ht="13.5" customHeight="1">
      <c r="R983" s="103"/>
    </row>
    <row r="984" ht="13.5" customHeight="1">
      <c r="R984" s="103"/>
    </row>
    <row r="985" ht="13.5" customHeight="1">
      <c r="R985" s="103"/>
    </row>
    <row r="986" ht="13.5" customHeight="1">
      <c r="R986" s="103"/>
    </row>
    <row r="987" ht="13.5" customHeight="1">
      <c r="R987" s="103"/>
    </row>
    <row r="988" ht="13.5" customHeight="1">
      <c r="R988" s="103"/>
    </row>
    <row r="989" ht="13.5" customHeight="1">
      <c r="R989" s="103"/>
    </row>
    <row r="990" ht="13.5" customHeight="1">
      <c r="R990" s="103"/>
    </row>
    <row r="991" ht="13.5" customHeight="1">
      <c r="R991" s="103"/>
    </row>
    <row r="992" ht="13.5" customHeight="1">
      <c r="R992" s="103"/>
    </row>
    <row r="993" ht="13.5" customHeight="1">
      <c r="R993" s="103"/>
    </row>
    <row r="994" ht="13.5" customHeight="1">
      <c r="R994" s="103"/>
    </row>
    <row r="995" ht="13.5" customHeight="1">
      <c r="R995" s="103"/>
    </row>
    <row r="996" ht="13.5" customHeight="1">
      <c r="R996" s="103"/>
    </row>
    <row r="997" ht="13.5" customHeight="1">
      <c r="R997" s="103"/>
    </row>
    <row r="998" ht="13.5" customHeight="1">
      <c r="R998" s="103"/>
    </row>
    <row r="999" ht="13.5" customHeight="1">
      <c r="R999" s="103"/>
    </row>
    <row r="1000" ht="13.5" customHeight="1">
      <c r="R1000" s="103"/>
    </row>
  </sheetData>
  <printOptions/>
  <pageMargins bottom="0.75" footer="0.0" header="0.0" left="0.7" right="0.7" top="0.75"/>
  <pageSetup orientation="landscape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9.86"/>
    <col customWidth="1" min="3" max="26" width="8.71"/>
  </cols>
  <sheetData>
    <row r="1" ht="13.5" customHeight="1">
      <c r="A1" s="107" t="s">
        <v>3008</v>
      </c>
      <c r="B1" s="108"/>
      <c r="C1" s="108"/>
      <c r="D1" s="108"/>
      <c r="E1" s="108"/>
      <c r="F1" s="108"/>
      <c r="G1" s="108"/>
      <c r="H1" s="108"/>
      <c r="I1" s="108"/>
      <c r="J1" s="109"/>
    </row>
    <row r="2" ht="13.5" customHeight="1">
      <c r="A2" s="110"/>
      <c r="B2" s="111" t="s">
        <v>3009</v>
      </c>
      <c r="C2" s="2"/>
      <c r="D2" s="2"/>
      <c r="E2" s="3"/>
      <c r="F2" s="112" t="s">
        <v>3010</v>
      </c>
      <c r="G2" s="2"/>
      <c r="H2" s="2"/>
      <c r="I2" s="3"/>
      <c r="J2" s="113" t="s">
        <v>3011</v>
      </c>
    </row>
    <row r="3" ht="13.5" customHeight="1">
      <c r="A3" s="110" t="s">
        <v>3012</v>
      </c>
      <c r="B3" s="114" t="s">
        <v>3013</v>
      </c>
      <c r="C3" s="114" t="s">
        <v>3014</v>
      </c>
      <c r="D3" s="114" t="s">
        <v>3015</v>
      </c>
      <c r="E3" s="114" t="s">
        <v>3016</v>
      </c>
      <c r="F3" s="115" t="s">
        <v>3013</v>
      </c>
      <c r="G3" s="115" t="s">
        <v>3014</v>
      </c>
      <c r="H3" s="115" t="s">
        <v>3015</v>
      </c>
      <c r="I3" s="115" t="s">
        <v>3016</v>
      </c>
      <c r="J3" s="116"/>
    </row>
    <row r="4" ht="13.5" customHeight="1">
      <c r="A4" s="110" t="s">
        <v>16</v>
      </c>
      <c r="B4" s="117" t="e">
        <v>#REF!</v>
      </c>
      <c r="C4" s="117" t="e">
        <v>#REF!</v>
      </c>
      <c r="D4" s="117" t="e">
        <v>#REF!</v>
      </c>
      <c r="E4" s="117" t="e">
        <v>#REF!</v>
      </c>
      <c r="F4" s="117" t="e">
        <v>#REF!</v>
      </c>
      <c r="G4" s="117" t="e">
        <v>#REF!</v>
      </c>
      <c r="H4" s="117" t="e">
        <v>#REF!</v>
      </c>
      <c r="I4" s="117" t="e">
        <v>#REF!</v>
      </c>
      <c r="J4" s="117" t="str">
        <f t="shared" ref="J4:J13" si="1">SUM(B4:I4)</f>
        <v>#REF!</v>
      </c>
    </row>
    <row r="5" ht="13.5" customHeight="1">
      <c r="A5" s="110" t="s">
        <v>3017</v>
      </c>
      <c r="B5" s="117" t="e">
        <v>#REF!</v>
      </c>
      <c r="C5" s="117" t="e">
        <v>#REF!</v>
      </c>
      <c r="D5" s="117" t="e">
        <v>#REF!</v>
      </c>
      <c r="E5" s="117" t="e">
        <v>#REF!</v>
      </c>
      <c r="F5" s="117" t="e">
        <v>#REF!</v>
      </c>
      <c r="G5" s="117" t="e">
        <v>#REF!</v>
      </c>
      <c r="H5" s="117" t="e">
        <v>#REF!</v>
      </c>
      <c r="I5" s="117" t="e">
        <v>#REF!</v>
      </c>
      <c r="J5" s="117" t="str">
        <f t="shared" si="1"/>
        <v>#REF!</v>
      </c>
    </row>
    <row r="6" ht="13.5" customHeight="1">
      <c r="A6" s="110" t="s">
        <v>35</v>
      </c>
      <c r="B6" s="117" t="e">
        <v>#REF!</v>
      </c>
      <c r="C6" s="117" t="e">
        <v>#REF!</v>
      </c>
      <c r="D6" s="117" t="e">
        <v>#REF!</v>
      </c>
      <c r="E6" s="117" t="e">
        <v>#REF!</v>
      </c>
      <c r="F6" s="117" t="e">
        <v>#REF!</v>
      </c>
      <c r="G6" s="117" t="e">
        <v>#REF!</v>
      </c>
      <c r="H6" s="117" t="e">
        <v>#REF!</v>
      </c>
      <c r="I6" s="117" t="e">
        <v>#REF!</v>
      </c>
      <c r="J6" s="117" t="str">
        <f t="shared" si="1"/>
        <v>#REF!</v>
      </c>
    </row>
    <row r="7" ht="13.5" customHeight="1">
      <c r="A7" s="110" t="s">
        <v>26</v>
      </c>
      <c r="B7" s="117" t="e">
        <v>#REF!</v>
      </c>
      <c r="C7" s="117" t="e">
        <v>#REF!</v>
      </c>
      <c r="D7" s="117" t="e">
        <v>#REF!</v>
      </c>
      <c r="E7" s="117" t="e">
        <v>#REF!</v>
      </c>
      <c r="F7" s="117" t="e">
        <v>#REF!</v>
      </c>
      <c r="G7" s="117" t="e">
        <v>#REF!</v>
      </c>
      <c r="H7" s="117" t="e">
        <v>#REF!</v>
      </c>
      <c r="I7" s="117" t="e">
        <v>#REF!</v>
      </c>
      <c r="J7" s="117" t="str">
        <f t="shared" si="1"/>
        <v>#REF!</v>
      </c>
    </row>
    <row r="8" ht="13.5" customHeight="1">
      <c r="A8" s="110" t="s">
        <v>3018</v>
      </c>
      <c r="B8" s="117" t="e">
        <v>#VALUE!</v>
      </c>
      <c r="C8" s="117" t="e">
        <v>#VALUE!</v>
      </c>
      <c r="D8" s="117" t="e">
        <v>#VALUE!</v>
      </c>
      <c r="E8" s="117" t="e">
        <v>#VALUE!</v>
      </c>
      <c r="F8" s="117" t="e">
        <v>#VALUE!</v>
      </c>
      <c r="G8" s="117" t="e">
        <v>#VALUE!</v>
      </c>
      <c r="H8" s="117" t="e">
        <v>#VALUE!</v>
      </c>
      <c r="I8" s="117" t="e">
        <v>#VALUE!</v>
      </c>
      <c r="J8" s="117" t="str">
        <f t="shared" si="1"/>
        <v>#VALUE!</v>
      </c>
    </row>
    <row r="9" ht="13.5" customHeight="1">
      <c r="A9" s="110" t="s">
        <v>3019</v>
      </c>
      <c r="B9" s="117" t="e">
        <v>#VALUE!</v>
      </c>
      <c r="C9" s="117" t="e">
        <v>#VALUE!</v>
      </c>
      <c r="D9" s="117" t="e">
        <v>#VALUE!</v>
      </c>
      <c r="E9" s="117" t="e">
        <v>#VALUE!</v>
      </c>
      <c r="F9" s="117" t="e">
        <v>#VALUE!</v>
      </c>
      <c r="G9" s="117" t="e">
        <v>#VALUE!</v>
      </c>
      <c r="H9" s="117" t="e">
        <v>#VALUE!</v>
      </c>
      <c r="I9" s="117" t="e">
        <v>#VALUE!</v>
      </c>
      <c r="J9" s="117" t="str">
        <f t="shared" si="1"/>
        <v>#VALUE!</v>
      </c>
    </row>
    <row r="10" ht="13.5" customHeight="1">
      <c r="A10" s="110" t="s">
        <v>3020</v>
      </c>
      <c r="B10" s="117" t="e">
        <v>#VALUE!</v>
      </c>
      <c r="C10" s="117" t="e">
        <v>#VALUE!</v>
      </c>
      <c r="D10" s="117" t="e">
        <v>#VALUE!</v>
      </c>
      <c r="E10" s="117" t="e">
        <v>#VALUE!</v>
      </c>
      <c r="F10" s="117" t="e">
        <v>#VALUE!</v>
      </c>
      <c r="G10" s="117" t="e">
        <v>#VALUE!</v>
      </c>
      <c r="H10" s="117" t="e">
        <v>#VALUE!</v>
      </c>
      <c r="I10" s="117" t="e">
        <v>#VALUE!</v>
      </c>
      <c r="J10" s="117" t="str">
        <f t="shared" si="1"/>
        <v>#VALUE!</v>
      </c>
    </row>
    <row r="11" ht="13.5" customHeight="1">
      <c r="A11" s="110" t="s">
        <v>3021</v>
      </c>
      <c r="B11" s="117" t="e">
        <v>#VALUE!</v>
      </c>
      <c r="C11" s="117" t="e">
        <v>#VALUE!</v>
      </c>
      <c r="D11" s="117" t="e">
        <v>#VALUE!</v>
      </c>
      <c r="E11" s="117" t="e">
        <v>#VALUE!</v>
      </c>
      <c r="F11" s="117" t="e">
        <v>#VALUE!</v>
      </c>
      <c r="G11" s="117" t="e">
        <v>#VALUE!</v>
      </c>
      <c r="H11" s="117" t="e">
        <v>#VALUE!</v>
      </c>
      <c r="I11" s="117" t="e">
        <v>#VALUE!</v>
      </c>
      <c r="J11" s="117" t="str">
        <f t="shared" si="1"/>
        <v>#VALUE!</v>
      </c>
    </row>
    <row r="12" ht="13.5" customHeight="1">
      <c r="A12" s="110" t="s">
        <v>3022</v>
      </c>
      <c r="B12" s="117" t="e">
        <v>#VALUE!</v>
      </c>
      <c r="C12" s="117" t="e">
        <v>#VALUE!</v>
      </c>
      <c r="D12" s="117" t="e">
        <v>#VALUE!</v>
      </c>
      <c r="E12" s="117" t="e">
        <v>#VALUE!</v>
      </c>
      <c r="F12" s="117" t="e">
        <v>#VALUE!</v>
      </c>
      <c r="G12" s="117" t="e">
        <v>#VALUE!</v>
      </c>
      <c r="H12" s="117" t="e">
        <v>#VALUE!</v>
      </c>
      <c r="I12" s="117" t="e">
        <v>#VALUE!</v>
      </c>
      <c r="J12" s="117" t="str">
        <f t="shared" si="1"/>
        <v>#VALUE!</v>
      </c>
    </row>
    <row r="13" ht="13.5" customHeight="1">
      <c r="A13" s="118" t="s">
        <v>3023</v>
      </c>
      <c r="B13" s="118" t="str">
        <f t="shared" ref="B13:I13" si="2">SUM(B4:B12)</f>
        <v>#REF!</v>
      </c>
      <c r="C13" s="118" t="str">
        <f t="shared" si="2"/>
        <v>#REF!</v>
      </c>
      <c r="D13" s="118" t="str">
        <f t="shared" si="2"/>
        <v>#REF!</v>
      </c>
      <c r="E13" s="118" t="str">
        <f t="shared" si="2"/>
        <v>#REF!</v>
      </c>
      <c r="F13" s="118" t="str">
        <f t="shared" si="2"/>
        <v>#REF!</v>
      </c>
      <c r="G13" s="118" t="str">
        <f t="shared" si="2"/>
        <v>#REF!</v>
      </c>
      <c r="H13" s="118" t="str">
        <f t="shared" si="2"/>
        <v>#REF!</v>
      </c>
      <c r="I13" s="118" t="str">
        <f t="shared" si="2"/>
        <v>#REF!</v>
      </c>
      <c r="J13" s="118" t="str">
        <f t="shared" si="1"/>
        <v>#REF!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</sheetData>
  <mergeCells count="4">
    <mergeCell ref="A1:I1"/>
    <mergeCell ref="B2:E2"/>
    <mergeCell ref="F2:I2"/>
    <mergeCell ref="J2:J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1.29"/>
    <col customWidth="1" min="3" max="3" width="32.29"/>
    <col customWidth="1" min="4" max="4" width="22.29"/>
    <col customWidth="1" min="5" max="5" width="14.71"/>
    <col customWidth="1" min="6" max="6" width="21.0"/>
    <col customWidth="1" min="7" max="7" width="23.71"/>
    <col customWidth="1" min="8" max="8" width="25.71"/>
    <col customWidth="1" min="9" max="9" width="28.43"/>
    <col customWidth="1" min="10" max="10" width="19.29"/>
    <col customWidth="1" min="11" max="11" width="29.14"/>
    <col customWidth="1" min="12" max="26" width="8.71"/>
  </cols>
  <sheetData>
    <row r="1">
      <c r="A1" s="119" t="s">
        <v>3024</v>
      </c>
      <c r="J1" s="120" t="s">
        <v>3025</v>
      </c>
      <c r="K1" s="120" t="s">
        <v>3026</v>
      </c>
    </row>
    <row r="2">
      <c r="A2" s="121" t="s">
        <v>3027</v>
      </c>
      <c r="B2" s="122"/>
      <c r="C2" s="123" t="s">
        <v>3028</v>
      </c>
      <c r="D2" s="122"/>
      <c r="E2" s="124" t="s">
        <v>66</v>
      </c>
      <c r="F2" s="122"/>
      <c r="G2" s="125" t="s">
        <v>67</v>
      </c>
      <c r="H2" s="122"/>
      <c r="J2" s="126" t="s">
        <v>3029</v>
      </c>
      <c r="K2" s="120"/>
    </row>
    <row r="3">
      <c r="A3" s="120" t="s">
        <v>3027</v>
      </c>
      <c r="B3" s="120" t="s">
        <v>3030</v>
      </c>
      <c r="C3" s="120" t="s">
        <v>3028</v>
      </c>
      <c r="D3" s="120" t="s">
        <v>3031</v>
      </c>
      <c r="E3" s="120" t="s">
        <v>66</v>
      </c>
      <c r="F3" s="120" t="s">
        <v>3032</v>
      </c>
      <c r="G3" s="120" t="s">
        <v>67</v>
      </c>
      <c r="H3" s="120" t="s">
        <v>3033</v>
      </c>
    </row>
    <row r="4">
      <c r="A4" s="126" t="s">
        <v>3030</v>
      </c>
      <c r="B4" s="120"/>
      <c r="C4" s="126" t="s">
        <v>3030</v>
      </c>
      <c r="D4" s="120"/>
      <c r="E4" s="126" t="s">
        <v>3029</v>
      </c>
      <c r="F4" s="120"/>
      <c r="G4" s="126" t="s">
        <v>3029</v>
      </c>
      <c r="H4" s="120"/>
    </row>
    <row r="9">
      <c r="A9" s="120" t="s">
        <v>3034</v>
      </c>
      <c r="B9" s="120" t="s">
        <v>3030</v>
      </c>
      <c r="C9" s="120" t="s">
        <v>3035</v>
      </c>
      <c r="D9" s="120" t="s">
        <v>3031</v>
      </c>
      <c r="E9" s="120" t="s">
        <v>3036</v>
      </c>
      <c r="F9" s="120" t="s">
        <v>3032</v>
      </c>
      <c r="G9" s="120" t="s">
        <v>3036</v>
      </c>
      <c r="H9" s="120" t="s">
        <v>3033</v>
      </c>
    </row>
    <row r="10">
      <c r="A10" s="126" t="s">
        <v>3037</v>
      </c>
      <c r="B10" s="120"/>
      <c r="C10" s="126" t="s">
        <v>3029</v>
      </c>
      <c r="D10" s="120"/>
      <c r="E10" s="126" t="s">
        <v>3029</v>
      </c>
      <c r="F10" s="120"/>
      <c r="G10" s="126" t="s">
        <v>3029</v>
      </c>
      <c r="H10" s="120"/>
    </row>
    <row r="15">
      <c r="A15" s="120" t="s">
        <v>2988</v>
      </c>
      <c r="B15" s="120" t="s">
        <v>3030</v>
      </c>
      <c r="C15" s="120" t="s">
        <v>3036</v>
      </c>
      <c r="D15" s="120" t="s">
        <v>3031</v>
      </c>
      <c r="E15" s="120" t="s">
        <v>3036</v>
      </c>
      <c r="F15" s="120" t="s">
        <v>3032</v>
      </c>
      <c r="G15" s="120" t="s">
        <v>3036</v>
      </c>
      <c r="H15" s="120" t="s">
        <v>3033</v>
      </c>
    </row>
    <row r="16">
      <c r="A16" s="126" t="s">
        <v>3038</v>
      </c>
      <c r="B16" s="120"/>
      <c r="C16" s="126" t="s">
        <v>3029</v>
      </c>
      <c r="D16" s="120"/>
      <c r="E16" s="126" t="s">
        <v>3029</v>
      </c>
      <c r="F16" s="120"/>
      <c r="G16" s="126" t="s">
        <v>3029</v>
      </c>
      <c r="H16" s="120"/>
    </row>
    <row r="19">
      <c r="A19" s="120" t="s">
        <v>3039</v>
      </c>
      <c r="B19" s="120" t="s">
        <v>3030</v>
      </c>
      <c r="C19" s="120" t="s">
        <v>3036</v>
      </c>
      <c r="D19" s="120" t="s">
        <v>3031</v>
      </c>
      <c r="E19" s="120" t="s">
        <v>3036</v>
      </c>
      <c r="F19" s="120" t="s">
        <v>3032</v>
      </c>
      <c r="G19" s="120" t="s">
        <v>3036</v>
      </c>
      <c r="H19" s="120" t="s">
        <v>3033</v>
      </c>
    </row>
    <row r="20">
      <c r="A20" s="126" t="s">
        <v>3037</v>
      </c>
      <c r="B20" s="120"/>
      <c r="C20" s="126" t="s">
        <v>3029</v>
      </c>
      <c r="D20" s="120"/>
      <c r="E20" s="126" t="s">
        <v>3029</v>
      </c>
      <c r="F20" s="120"/>
      <c r="G20" s="126" t="s">
        <v>3029</v>
      </c>
      <c r="H20" s="120"/>
    </row>
    <row r="24" hidden="1"/>
  </sheetData>
  <mergeCells count="5">
    <mergeCell ref="A1:H1"/>
    <mergeCell ref="A2:B2"/>
    <mergeCell ref="C2:D2"/>
    <mergeCell ref="E2:F2"/>
    <mergeCell ref="G2:H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Ihab Algherbawi</dc:creator>
</cp:coreProperties>
</file>